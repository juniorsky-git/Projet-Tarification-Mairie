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s1\Downloads\"/>
    </mc:Choice>
  </mc:AlternateContent>
  <xr:revisionPtr revIDLastSave="0" documentId="13_ncr:1_{CE7900D3-1FBD-48B0-B16F-4EEFE212F433}" xr6:coauthVersionLast="47" xr6:coauthVersionMax="47" xr10:uidLastSave="{00000000-0000-0000-0000-000000000000}"/>
  <bookViews>
    <workbookView xWindow="-28920" yWindow="-120" windowWidth="29040" windowHeight="15720" xr2:uid="{40CBD6EB-B60F-42BC-820A-1063316FB899}"/>
  </bookViews>
  <sheets>
    <sheet name="Dépenses" sheetId="1" r:id="rId1"/>
    <sheet name="Reg dep" sheetId="2" r:id="rId2"/>
    <sheet name="recet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3" l="1"/>
  <c r="H23" i="3"/>
  <c r="G23" i="3"/>
  <c r="F23" i="3"/>
  <c r="E23" i="3"/>
  <c r="D23" i="3"/>
  <c r="C23" i="3"/>
  <c r="J23" i="3" s="1"/>
  <c r="J22" i="3"/>
  <c r="J21" i="3"/>
  <c r="C21" i="3"/>
  <c r="J11" i="3"/>
  <c r="I11" i="3"/>
  <c r="H11" i="3"/>
  <c r="G11" i="3"/>
  <c r="F11" i="3"/>
  <c r="E11" i="3"/>
  <c r="D11" i="3"/>
  <c r="C11" i="3"/>
  <c r="K10" i="3"/>
  <c r="K9" i="3"/>
  <c r="G62" i="2"/>
  <c r="G66" i="2" s="1"/>
  <c r="D66" i="2"/>
  <c r="E66" i="2"/>
  <c r="F66" i="2"/>
  <c r="C66" i="2"/>
  <c r="G65" i="2"/>
  <c r="G64" i="2"/>
  <c r="G63" i="2"/>
  <c r="G61" i="2"/>
  <c r="G60" i="2"/>
  <c r="G59" i="2"/>
  <c r="G58" i="2"/>
  <c r="G57" i="2"/>
  <c r="G56" i="2"/>
  <c r="G55" i="2"/>
  <c r="G54" i="2"/>
  <c r="D47" i="2"/>
  <c r="E47" i="2"/>
  <c r="F47" i="2"/>
  <c r="H47" i="2"/>
  <c r="I47" i="2"/>
  <c r="J47" i="2"/>
  <c r="C47" i="2"/>
  <c r="G43" i="2"/>
  <c r="K43" i="2" s="1"/>
  <c r="K42" i="2"/>
  <c r="K41" i="2"/>
  <c r="K40" i="2"/>
  <c r="K39" i="2"/>
  <c r="K38" i="2"/>
  <c r="K37" i="2"/>
  <c r="K36" i="2"/>
  <c r="K35" i="2"/>
  <c r="K34" i="2"/>
  <c r="K33" i="2"/>
  <c r="K32" i="2"/>
  <c r="K31" i="2"/>
  <c r="K47" i="2" s="1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D81" i="1"/>
  <c r="H62" i="1"/>
  <c r="H63" i="1"/>
  <c r="H61" i="1"/>
  <c r="F64" i="1"/>
  <c r="G64" i="1"/>
  <c r="E64" i="1"/>
  <c r="D64" i="1"/>
  <c r="C64" i="1"/>
  <c r="C55" i="1"/>
  <c r="G41" i="1"/>
  <c r="G42" i="1"/>
  <c r="G43" i="1"/>
  <c r="G44" i="1"/>
  <c r="G45" i="1"/>
  <c r="G46" i="1"/>
  <c r="G47" i="1"/>
  <c r="G40" i="1"/>
  <c r="D48" i="1"/>
  <c r="E48" i="1"/>
  <c r="F48" i="1"/>
  <c r="C48" i="1"/>
  <c r="D35" i="1"/>
  <c r="E35" i="1"/>
  <c r="F35" i="1"/>
  <c r="G35" i="1"/>
  <c r="H35" i="1"/>
  <c r="I35" i="1"/>
  <c r="J35" i="1"/>
  <c r="C35" i="1"/>
  <c r="K24" i="1"/>
  <c r="K25" i="1"/>
  <c r="K26" i="1"/>
  <c r="K27" i="1"/>
  <c r="K28" i="1"/>
  <c r="K29" i="1"/>
  <c r="K30" i="1"/>
  <c r="K31" i="1"/>
  <c r="K32" i="1"/>
  <c r="K33" i="1"/>
  <c r="K34" i="1"/>
  <c r="K23" i="1"/>
  <c r="V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C17" i="1"/>
  <c r="V5" i="1"/>
  <c r="V6" i="1"/>
  <c r="V7" i="1"/>
  <c r="V8" i="1"/>
  <c r="V9" i="1"/>
  <c r="V10" i="1"/>
  <c r="V11" i="1"/>
  <c r="V12" i="1"/>
  <c r="V13" i="1"/>
  <c r="V14" i="1"/>
  <c r="V15" i="1"/>
  <c r="V4" i="1"/>
  <c r="V22" i="2" l="1"/>
  <c r="K11" i="3"/>
  <c r="G47" i="2"/>
  <c r="H64" i="1"/>
  <c r="G48" i="1"/>
  <c r="K35" i="1"/>
  <c r="V17" i="1"/>
</calcChain>
</file>

<file path=xl/sharedStrings.xml><?xml version="1.0" encoding="utf-8"?>
<sst xmlns="http://schemas.openxmlformats.org/spreadsheetml/2006/main" count="160" uniqueCount="91">
  <si>
    <t>BAT BRASS</t>
  </si>
  <si>
    <t>BATCOMM</t>
  </si>
  <si>
    <t>BATT CURIE</t>
  </si>
  <si>
    <t>BAT GAV</t>
  </si>
  <si>
    <t>BAT MICH</t>
  </si>
  <si>
    <t>BAT PREVET</t>
  </si>
  <si>
    <t>BAT SAND</t>
  </si>
  <si>
    <t>BAT CA</t>
  </si>
  <si>
    <t>BAT MDJ</t>
  </si>
  <si>
    <t xml:space="preserve">BAT PP </t>
  </si>
  <si>
    <t xml:space="preserve">CL JP1 </t>
  </si>
  <si>
    <t>PREVET</t>
  </si>
  <si>
    <t xml:space="preserve">RESTSCOL </t>
  </si>
  <si>
    <t>RESTCA</t>
  </si>
  <si>
    <t xml:space="preserve">RESTCOMM </t>
  </si>
  <si>
    <t>RESTGAV</t>
  </si>
  <si>
    <t xml:space="preserve">RESTJP1 </t>
  </si>
  <si>
    <t>RESTMICH</t>
  </si>
  <si>
    <t xml:space="preserve">VIDE </t>
  </si>
  <si>
    <t>Nature C /Antene</t>
  </si>
  <si>
    <t xml:space="preserve">Total </t>
  </si>
  <si>
    <t xml:space="preserve">DEPENSES RE </t>
  </si>
  <si>
    <t>NATURE C /ANTENNE</t>
  </si>
  <si>
    <t>BRASSENS</t>
  </si>
  <si>
    <t>CLGAV</t>
  </si>
  <si>
    <t>CLMICH</t>
  </si>
  <si>
    <t>CURIE</t>
  </si>
  <si>
    <t>SAND</t>
  </si>
  <si>
    <t>RASED</t>
  </si>
  <si>
    <t>VIDE</t>
  </si>
  <si>
    <t>DEPENSES SC</t>
  </si>
  <si>
    <t>TOTAL</t>
  </si>
  <si>
    <t>CLJP1</t>
  </si>
  <si>
    <t>DEPENSES CL</t>
  </si>
  <si>
    <t>Total</t>
  </si>
  <si>
    <t>DEPENSES MP</t>
  </si>
  <si>
    <t>DEPENSES FL</t>
  </si>
  <si>
    <t>RESTAURATION</t>
  </si>
  <si>
    <t>ACCEUIL DE LOISIRS</t>
  </si>
  <si>
    <t>ACCEUIL PERISCO</t>
  </si>
  <si>
    <t>ESPACE ADOS</t>
  </si>
  <si>
    <t>SEJOURS</t>
  </si>
  <si>
    <t>Total Sal Brut + Charge PP</t>
  </si>
  <si>
    <t>ALSH Louise Michel / Animation</t>
  </si>
  <si>
    <t>ALSH Petit Prince Gavroche / animation</t>
  </si>
  <si>
    <t>Ecole maternelle George Sand / ATSEM</t>
  </si>
  <si>
    <t>Ecole maternelle JP1 / ATSEM</t>
  </si>
  <si>
    <t>Ecole maternelle JP2 / ATSEM</t>
  </si>
  <si>
    <t>Restaurant scolaire Louise Michel</t>
  </si>
  <si>
    <t>Restaurant scolaire JP1</t>
  </si>
  <si>
    <t>Restaurant scolaire Gavroche JP2</t>
  </si>
  <si>
    <t>Etudes surveillées</t>
  </si>
  <si>
    <t>Espace Ados</t>
  </si>
  <si>
    <t>Maison des jeunes</t>
  </si>
  <si>
    <t>CHARGES PERSONNEL</t>
  </si>
  <si>
    <t>Structure</t>
  </si>
  <si>
    <t>Recettes extraction ciril (FICHIER REC F 74 et 70)</t>
  </si>
  <si>
    <t>Restauration</t>
  </si>
  <si>
    <t>Acceuil de Loisirs</t>
  </si>
  <si>
    <t>Scolaire</t>
  </si>
  <si>
    <t>Séjours</t>
  </si>
  <si>
    <t>RESTCOMM</t>
  </si>
  <si>
    <t>RESTSCOLL</t>
  </si>
  <si>
    <t>CL JP1</t>
  </si>
  <si>
    <t>CL MIC</t>
  </si>
  <si>
    <t>Tableau synthetique des recettes par service pole enfance</t>
  </si>
  <si>
    <t xml:space="preserve"> Nature comptable / Service </t>
  </si>
  <si>
    <t>Acceuil périscolaire</t>
  </si>
  <si>
    <t>Etudes surveillés</t>
  </si>
  <si>
    <t>classe de découverte</t>
  </si>
  <si>
    <t>Chapitre comptable / Antenne</t>
  </si>
  <si>
    <t>Nombre de présence</t>
  </si>
  <si>
    <t>Nombre annuel</t>
  </si>
  <si>
    <t>Cout par unité d'œuvre</t>
  </si>
  <si>
    <t>Personnel</t>
  </si>
  <si>
    <t>Fournitures</t>
  </si>
  <si>
    <t>Frnt non stocké</t>
  </si>
  <si>
    <t xml:space="preserve">Alimentation </t>
  </si>
  <si>
    <t xml:space="preserve">Maintenace </t>
  </si>
  <si>
    <t>Vetemeny de travail</t>
  </si>
  <si>
    <t>Autres immob corp</t>
  </si>
  <si>
    <t>Installation, mat et outillage</t>
  </si>
  <si>
    <t xml:space="preserve">Fournitures et petits équipement </t>
  </si>
  <si>
    <t>Achat préstation de service</t>
  </si>
  <si>
    <t xml:space="preserve">Autres biens mobiliers </t>
  </si>
  <si>
    <t xml:space="preserve">Service bancaire et asimilés </t>
  </si>
  <si>
    <t xml:space="preserve">Contrat de préstation de service </t>
  </si>
  <si>
    <t xml:space="preserve">Fournitures d'entretien </t>
  </si>
  <si>
    <t xml:space="preserve">Eau et assainissement </t>
  </si>
  <si>
    <t>autre frnt non stockable</t>
  </si>
  <si>
    <t xml:space="preserve">Enérgie elctricité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</si>
</sst>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0\ _€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1" fillId="4" borderId="1" xfId="0" applyFont="1" applyFill="1" applyBorder="1"/>
    <xf numFmtId="0" fontId="0" fillId="0" borderId="1" xfId="0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164" fontId="2" fillId="2" borderId="1" xfId="0" applyNumberFormat="1" applyFont="1" applyFill="1" applyBorder="1"/>
    <xf numFmtId="164" fontId="0" fillId="0" borderId="1" xfId="0" applyNumberFormat="1" applyBorder="1"/>
    <xf numFmtId="164" fontId="3" fillId="5" borderId="1" xfId="0" applyNumberFormat="1" applyFont="1" applyFill="1" applyBorder="1"/>
    <xf numFmtId="0" fontId="1" fillId="2" borderId="1" xfId="0" applyFont="1" applyFill="1" applyBorder="1"/>
    <xf numFmtId="0" fontId="1" fillId="4" borderId="2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164" fontId="0" fillId="5" borderId="1" xfId="0" applyNumberFormat="1" applyFill="1" applyBorder="1"/>
    <xf numFmtId="0" fontId="2" fillId="6" borderId="3" xfId="0" applyFont="1" applyFill="1" applyBorder="1"/>
    <xf numFmtId="164" fontId="0" fillId="0" borderId="3" xfId="0" applyNumberFormat="1" applyBorder="1"/>
    <xf numFmtId="0" fontId="0" fillId="7" borderId="0" xfId="0" applyFill="1"/>
    <xf numFmtId="0" fontId="4" fillId="6" borderId="1" xfId="0" applyFont="1" applyFill="1" applyBorder="1"/>
    <xf numFmtId="0" fontId="5" fillId="5" borderId="3" xfId="0" applyFont="1" applyFill="1" applyBorder="1"/>
    <xf numFmtId="164" fontId="3" fillId="5" borderId="3" xfId="0" applyNumberFormat="1" applyFont="1" applyFill="1" applyBorder="1"/>
    <xf numFmtId="0" fontId="1" fillId="6" borderId="1" xfId="0" applyFont="1" applyFill="1" applyBorder="1"/>
    <xf numFmtId="0" fontId="0" fillId="4" borderId="1" xfId="0" applyFill="1" applyBorder="1"/>
    <xf numFmtId="4" fontId="0" fillId="0" borderId="1" xfId="0" applyNumberFormat="1" applyBorder="1"/>
    <xf numFmtId="4" fontId="0" fillId="5" borderId="1" xfId="0" applyNumberFormat="1" applyFill="1" applyBorder="1"/>
    <xf numFmtId="4" fontId="1" fillId="5" borderId="1" xfId="0" applyNumberFormat="1" applyFont="1" applyFill="1" applyBorder="1"/>
    <xf numFmtId="164" fontId="3" fillId="5" borderId="0" xfId="0" applyNumberFormat="1" applyFont="1" applyFill="1"/>
    <xf numFmtId="164" fontId="0" fillId="0" borderId="0" xfId="0" applyNumberFormat="1"/>
    <xf numFmtId="0" fontId="4" fillId="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4" fontId="2" fillId="5" borderId="0" xfId="0" applyNumberFormat="1" applyFont="1" applyFill="1"/>
    <xf numFmtId="0" fontId="4" fillId="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5" fontId="0" fillId="0" borderId="1" xfId="0" applyNumberFormat="1" applyBorder="1"/>
    <xf numFmtId="165" fontId="0" fillId="5" borderId="1" xfId="0" applyNumberFormat="1" applyFill="1" applyBorder="1"/>
    <xf numFmtId="0" fontId="2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" fontId="0" fillId="0" borderId="0" xfId="0" applyNumberFormat="1"/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/>
    <xf numFmtId="164" fontId="2" fillId="3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DEDE-FC8F-4367-8776-C021E7DECA7A}">
  <dimension ref="B2:V81"/>
  <sheetViews>
    <sheetView tabSelected="1" zoomScale="55" zoomScaleNormal="55" workbookViewId="0">
      <selection activeCell="S23" sqref="S23"/>
    </sheetView>
  </sheetViews>
  <sheetFormatPr baseColWidth="10" defaultColWidth="15.140625" defaultRowHeight="15" x14ac:dyDescent="0.25"/>
  <cols>
    <col min="2" max="2" width="29.140625" customWidth="1"/>
    <col min="3" max="3" width="48.5703125" customWidth="1"/>
    <col min="4" max="4" width="38.140625" customWidth="1"/>
    <col min="5" max="5" width="22.5703125" customWidth="1"/>
    <col min="6" max="6" width="26.85546875" customWidth="1"/>
    <col min="7" max="7" width="25.5703125" customWidth="1"/>
    <col min="8" max="8" width="23.28515625" customWidth="1"/>
    <col min="9" max="14" width="15.28515625" bestFit="1" customWidth="1"/>
    <col min="15" max="15" width="19.42578125" customWidth="1"/>
    <col min="16" max="16" width="17.5703125" customWidth="1"/>
    <col min="17" max="20" width="15.28515625" bestFit="1" customWidth="1"/>
    <col min="21" max="21" width="29" customWidth="1"/>
    <col min="22" max="22" width="29.7109375" customWidth="1"/>
  </cols>
  <sheetData>
    <row r="2" spans="2:22" ht="15.75" x14ac:dyDescent="0.25">
      <c r="B2" s="51" t="s">
        <v>21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3" t="s">
        <v>20</v>
      </c>
    </row>
    <row r="3" spans="2:22" x14ac:dyDescent="0.25">
      <c r="B3" s="12" t="s">
        <v>19</v>
      </c>
      <c r="C3" s="9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17</v>
      </c>
      <c r="U3" s="9" t="s">
        <v>18</v>
      </c>
      <c r="V3" s="53"/>
    </row>
    <row r="4" spans="2:22" ht="15.75" x14ac:dyDescent="0.25">
      <c r="B4" s="3">
        <v>60631</v>
      </c>
      <c r="C4" s="10">
        <v>5343.98</v>
      </c>
      <c r="D4" s="10">
        <v>300</v>
      </c>
      <c r="E4" s="10">
        <v>6403.8</v>
      </c>
      <c r="F4" s="10">
        <v>10378.48</v>
      </c>
      <c r="G4" s="10">
        <v>7078.77</v>
      </c>
      <c r="H4" s="10">
        <v>8005.49</v>
      </c>
      <c r="I4" s="10">
        <v>3818.11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>
        <f>SUM(C4:U4)</f>
        <v>41328.629999999997</v>
      </c>
    </row>
    <row r="5" spans="2:22" ht="15.75" x14ac:dyDescent="0.25">
      <c r="B5" s="3">
        <v>611</v>
      </c>
      <c r="C5" s="10">
        <v>1403</v>
      </c>
      <c r="D5" s="10"/>
      <c r="E5" s="10">
        <v>10460.84</v>
      </c>
      <c r="F5" s="10"/>
      <c r="G5" s="10">
        <v>5191.38</v>
      </c>
      <c r="H5" s="10">
        <v>6611.82</v>
      </c>
      <c r="I5" s="10">
        <v>7626.65</v>
      </c>
      <c r="J5" s="10">
        <v>4678.6000000000004</v>
      </c>
      <c r="K5" s="10">
        <v>10097.84</v>
      </c>
      <c r="L5" s="10">
        <v>27471.64</v>
      </c>
      <c r="M5" s="10"/>
      <c r="N5" s="10"/>
      <c r="O5" s="10"/>
      <c r="P5" s="10"/>
      <c r="Q5" s="10"/>
      <c r="R5" s="10"/>
      <c r="S5" s="10"/>
      <c r="T5" s="10"/>
      <c r="U5" s="10"/>
      <c r="V5" s="11">
        <f t="shared" ref="V5:V16" si="0">SUM(C5:U5)</f>
        <v>73541.77</v>
      </c>
    </row>
    <row r="6" spans="2:22" ht="15.75" x14ac:dyDescent="0.25">
      <c r="B6" s="3">
        <v>627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>
        <v>1366.95</v>
      </c>
      <c r="P6" s="10"/>
      <c r="Q6" s="10"/>
      <c r="R6" s="10"/>
      <c r="S6" s="10"/>
      <c r="T6" s="10"/>
      <c r="U6" s="10"/>
      <c r="V6" s="11">
        <f t="shared" si="0"/>
        <v>1366.95</v>
      </c>
    </row>
    <row r="7" spans="2:22" ht="15.75" x14ac:dyDescent="0.25">
      <c r="B7" s="3">
        <v>61558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>
        <v>206.14</v>
      </c>
      <c r="O7" s="10"/>
      <c r="P7" s="10"/>
      <c r="Q7" s="10"/>
      <c r="R7" s="10">
        <v>281.39999999999998</v>
      </c>
      <c r="S7" s="10"/>
      <c r="T7" s="10">
        <v>242.5</v>
      </c>
      <c r="U7" s="10"/>
      <c r="V7" s="11">
        <f t="shared" si="0"/>
        <v>730.04</v>
      </c>
    </row>
    <row r="8" spans="2:22" ht="15.75" x14ac:dyDescent="0.25">
      <c r="B8" s="3">
        <v>6042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10434.81</v>
      </c>
      <c r="Q8" s="10">
        <v>4839.1000000000004</v>
      </c>
      <c r="R8" s="10">
        <v>80450.009999999995</v>
      </c>
      <c r="S8" s="10"/>
      <c r="T8" s="10">
        <v>85746.84</v>
      </c>
      <c r="U8" s="10">
        <v>591759.97</v>
      </c>
      <c r="V8" s="11">
        <f t="shared" si="0"/>
        <v>773230.73</v>
      </c>
    </row>
    <row r="9" spans="2:22" ht="15.75" x14ac:dyDescent="0.25">
      <c r="B9" s="3">
        <v>60632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v>1253.22</v>
      </c>
      <c r="V9" s="11">
        <f t="shared" si="0"/>
        <v>1253.22</v>
      </c>
    </row>
    <row r="10" spans="2:22" ht="15.75" x14ac:dyDescent="0.25">
      <c r="B10" s="3">
        <v>21541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25155.72</v>
      </c>
      <c r="S10" s="10">
        <v>5810.47</v>
      </c>
      <c r="T10" s="10">
        <v>10175.01</v>
      </c>
      <c r="U10" s="10"/>
      <c r="V10" s="11">
        <f t="shared" si="0"/>
        <v>41141.200000000004</v>
      </c>
    </row>
    <row r="11" spans="2:22" ht="15.75" x14ac:dyDescent="0.25">
      <c r="B11" s="3">
        <v>2188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2155.9899999999998</v>
      </c>
      <c r="V11" s="11">
        <f t="shared" si="0"/>
        <v>2155.9899999999998</v>
      </c>
    </row>
    <row r="12" spans="2:22" ht="15.75" x14ac:dyDescent="0.25">
      <c r="B12" s="3">
        <v>60636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2516.08</v>
      </c>
      <c r="V12" s="11">
        <f t="shared" si="0"/>
        <v>2516.08</v>
      </c>
    </row>
    <row r="13" spans="2:22" ht="15.75" x14ac:dyDescent="0.25">
      <c r="B13" s="3">
        <v>6156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16700.509999999998</v>
      </c>
      <c r="V13" s="11">
        <f t="shared" si="0"/>
        <v>16700.509999999998</v>
      </c>
    </row>
    <row r="14" spans="2:22" ht="15.75" x14ac:dyDescent="0.25">
      <c r="B14" s="3">
        <v>60623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472.13</v>
      </c>
      <c r="N14" s="10"/>
      <c r="O14" s="10"/>
      <c r="P14" s="10"/>
      <c r="Q14" s="10">
        <v>337.28</v>
      </c>
      <c r="R14" s="10">
        <v>463.73</v>
      </c>
      <c r="S14" s="10"/>
      <c r="T14" s="10">
        <v>650.9</v>
      </c>
      <c r="U14" s="10">
        <v>11114.63</v>
      </c>
      <c r="V14" s="11">
        <f t="shared" si="0"/>
        <v>13038.669999999998</v>
      </c>
    </row>
    <row r="15" spans="2:22" ht="15.75" x14ac:dyDescent="0.25">
      <c r="B15" s="3">
        <v>60628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777.85</v>
      </c>
      <c r="V15" s="11">
        <f t="shared" si="0"/>
        <v>777.85</v>
      </c>
    </row>
    <row r="16" spans="2:22" ht="15.75" x14ac:dyDescent="0.25">
      <c r="B16" s="13">
        <v>6064</v>
      </c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9511.68</v>
      </c>
      <c r="Q16" s="4">
        <v>4535.95</v>
      </c>
      <c r="R16" s="4">
        <v>174126.06</v>
      </c>
      <c r="S16" s="4"/>
      <c r="T16" s="4"/>
      <c r="U16" s="4">
        <v>555834.84</v>
      </c>
      <c r="V16" s="11">
        <f t="shared" si="0"/>
        <v>744008.53</v>
      </c>
    </row>
    <row r="17" spans="2:22" ht="15.75" x14ac:dyDescent="0.25">
      <c r="B17" s="7" t="s">
        <v>20</v>
      </c>
      <c r="C17" s="11">
        <f>SUM(C4:C16)</f>
        <v>6746.98</v>
      </c>
      <c r="D17" s="11">
        <f t="shared" ref="D17:V17" si="1">SUM(D4:D16)</f>
        <v>300</v>
      </c>
      <c r="E17" s="11">
        <f t="shared" si="1"/>
        <v>16864.64</v>
      </c>
      <c r="F17" s="11">
        <f t="shared" si="1"/>
        <v>10378.48</v>
      </c>
      <c r="G17" s="11">
        <f t="shared" si="1"/>
        <v>12270.150000000001</v>
      </c>
      <c r="H17" s="11">
        <f t="shared" si="1"/>
        <v>14617.31</v>
      </c>
      <c r="I17" s="11">
        <f t="shared" si="1"/>
        <v>11444.76</v>
      </c>
      <c r="J17" s="11">
        <f t="shared" si="1"/>
        <v>4678.6000000000004</v>
      </c>
      <c r="K17" s="11">
        <f t="shared" si="1"/>
        <v>10097.84</v>
      </c>
      <c r="L17" s="11">
        <f t="shared" si="1"/>
        <v>27471.64</v>
      </c>
      <c r="M17" s="11">
        <f t="shared" si="1"/>
        <v>472.13</v>
      </c>
      <c r="N17" s="11">
        <f t="shared" si="1"/>
        <v>206.14</v>
      </c>
      <c r="O17" s="11">
        <f t="shared" si="1"/>
        <v>1366.95</v>
      </c>
      <c r="P17" s="11">
        <f t="shared" si="1"/>
        <v>19946.489999999998</v>
      </c>
      <c r="Q17" s="11">
        <f t="shared" si="1"/>
        <v>9712.33</v>
      </c>
      <c r="R17" s="11">
        <f t="shared" si="1"/>
        <v>280476.92</v>
      </c>
      <c r="S17" s="11">
        <f t="shared" si="1"/>
        <v>5810.47</v>
      </c>
      <c r="T17" s="11">
        <f t="shared" si="1"/>
        <v>96815.249999999985</v>
      </c>
      <c r="U17" s="11">
        <f t="shared" si="1"/>
        <v>1182113.0899999999</v>
      </c>
      <c r="V17" s="11">
        <f t="shared" si="1"/>
        <v>1711790.17</v>
      </c>
    </row>
    <row r="21" spans="2:22" ht="15.75" x14ac:dyDescent="0.25">
      <c r="B21" s="49" t="s">
        <v>30</v>
      </c>
      <c r="C21" s="49"/>
      <c r="D21" s="49"/>
      <c r="E21" s="49"/>
      <c r="F21" s="49"/>
      <c r="G21" s="49"/>
      <c r="H21" s="49"/>
      <c r="I21" s="49"/>
      <c r="J21" s="49"/>
      <c r="K21" s="54" t="s">
        <v>31</v>
      </c>
    </row>
    <row r="22" spans="2:22" x14ac:dyDescent="0.25">
      <c r="B22" s="14" t="s">
        <v>22</v>
      </c>
      <c r="C22" s="14" t="s">
        <v>23</v>
      </c>
      <c r="D22" s="14" t="s">
        <v>24</v>
      </c>
      <c r="E22" s="14" t="s">
        <v>25</v>
      </c>
      <c r="F22" s="14" t="s">
        <v>26</v>
      </c>
      <c r="G22" s="14" t="s">
        <v>11</v>
      </c>
      <c r="H22" s="14" t="s">
        <v>27</v>
      </c>
      <c r="I22" s="14" t="s">
        <v>28</v>
      </c>
      <c r="J22" s="14" t="s">
        <v>29</v>
      </c>
      <c r="K22" s="54"/>
    </row>
    <row r="23" spans="2:22" ht="15.75" x14ac:dyDescent="0.25">
      <c r="B23" s="15">
        <v>6247</v>
      </c>
      <c r="C23" s="10">
        <v>9335.7900000000009</v>
      </c>
      <c r="D23" s="10"/>
      <c r="E23" s="10"/>
      <c r="F23" s="10">
        <v>7000.31</v>
      </c>
      <c r="G23" s="10">
        <v>5452.99</v>
      </c>
      <c r="H23" s="10">
        <v>4959</v>
      </c>
      <c r="I23" s="10"/>
      <c r="J23" s="10"/>
      <c r="K23" s="11">
        <f>SUM(C23:J23)</f>
        <v>26748.090000000004</v>
      </c>
    </row>
    <row r="24" spans="2:22" ht="15.75" x14ac:dyDescent="0.25">
      <c r="B24" s="15">
        <v>61558</v>
      </c>
      <c r="C24" s="10"/>
      <c r="D24" s="10">
        <v>2081.4</v>
      </c>
      <c r="E24" s="10">
        <v>3255</v>
      </c>
      <c r="F24" s="10"/>
      <c r="G24" s="10">
        <v>5400</v>
      </c>
      <c r="H24" s="10">
        <v>4897.6000000000004</v>
      </c>
      <c r="I24" s="10"/>
      <c r="J24" s="10"/>
      <c r="K24" s="11">
        <f t="shared" ref="K24:K34" si="2">SUM(C24:J24)</f>
        <v>15634</v>
      </c>
    </row>
    <row r="25" spans="2:22" ht="15.75" x14ac:dyDescent="0.25">
      <c r="B25" s="15">
        <v>657382</v>
      </c>
      <c r="C25" s="10"/>
      <c r="D25" s="10"/>
      <c r="E25" s="10"/>
      <c r="F25" s="10"/>
      <c r="G25" s="10"/>
      <c r="H25" s="10"/>
      <c r="I25" s="10"/>
      <c r="J25" s="10">
        <v>8419.94</v>
      </c>
      <c r="K25" s="11">
        <f t="shared" si="2"/>
        <v>8419.94</v>
      </c>
    </row>
    <row r="26" spans="2:22" ht="15.75" x14ac:dyDescent="0.25">
      <c r="B26" s="15">
        <v>6067</v>
      </c>
      <c r="C26" s="10">
        <v>14043.05</v>
      </c>
      <c r="D26" s="10"/>
      <c r="E26" s="10"/>
      <c r="F26" s="10">
        <v>10495.83</v>
      </c>
      <c r="G26" s="10">
        <v>8215.5300000000007</v>
      </c>
      <c r="H26" s="10">
        <v>6523.45</v>
      </c>
      <c r="I26" s="10">
        <v>856.07</v>
      </c>
      <c r="J26" s="10">
        <v>3777.54</v>
      </c>
      <c r="K26" s="11">
        <f t="shared" si="2"/>
        <v>43911.469999999994</v>
      </c>
    </row>
    <row r="27" spans="2:22" ht="15.75" x14ac:dyDescent="0.25">
      <c r="B27" s="15">
        <v>6042</v>
      </c>
      <c r="C27" s="10">
        <v>38872.699999999997</v>
      </c>
      <c r="D27" s="10"/>
      <c r="E27" s="10"/>
      <c r="F27" s="10">
        <v>35615.300000000003</v>
      </c>
      <c r="G27" s="10">
        <v>4055.5</v>
      </c>
      <c r="H27" s="10">
        <v>3079</v>
      </c>
      <c r="I27" s="10"/>
      <c r="J27" s="10"/>
      <c r="K27" s="11">
        <f t="shared" si="2"/>
        <v>81622.5</v>
      </c>
    </row>
    <row r="28" spans="2:22" ht="15.75" x14ac:dyDescent="0.25">
      <c r="B28" s="15">
        <v>60623</v>
      </c>
      <c r="C28" s="10"/>
      <c r="D28" s="10"/>
      <c r="E28" s="10"/>
      <c r="F28" s="10"/>
      <c r="G28" s="10"/>
      <c r="H28" s="10"/>
      <c r="I28" s="10"/>
      <c r="J28" s="10">
        <v>1660.37</v>
      </c>
      <c r="K28" s="11">
        <f t="shared" si="2"/>
        <v>1660.37</v>
      </c>
    </row>
    <row r="29" spans="2:22" ht="15.75" x14ac:dyDescent="0.25">
      <c r="B29" s="15">
        <v>21841</v>
      </c>
      <c r="C29" s="10">
        <v>1198.58</v>
      </c>
      <c r="D29" s="10"/>
      <c r="E29" s="10"/>
      <c r="F29" s="10">
        <v>1199.32</v>
      </c>
      <c r="G29" s="10">
        <v>1100.83</v>
      </c>
      <c r="H29" s="10">
        <v>1199.22</v>
      </c>
      <c r="I29" s="10">
        <v>325.60000000000002</v>
      </c>
      <c r="J29" s="10">
        <v>11700.18</v>
      </c>
      <c r="K29" s="11">
        <f t="shared" si="2"/>
        <v>16723.73</v>
      </c>
    </row>
    <row r="30" spans="2:22" ht="15.75" x14ac:dyDescent="0.25">
      <c r="B30" s="15">
        <v>6156</v>
      </c>
      <c r="C30" s="10">
        <v>3122.2</v>
      </c>
      <c r="D30" s="10"/>
      <c r="E30" s="10"/>
      <c r="F30" s="10"/>
      <c r="G30" s="10">
        <v>369.85</v>
      </c>
      <c r="H30" s="10">
        <v>968.32</v>
      </c>
      <c r="I30" s="10"/>
      <c r="J30" s="10"/>
      <c r="K30" s="11">
        <f t="shared" si="2"/>
        <v>4460.37</v>
      </c>
    </row>
    <row r="31" spans="2:22" ht="15.75" x14ac:dyDescent="0.25">
      <c r="B31" s="15">
        <v>60628</v>
      </c>
      <c r="C31" s="10"/>
      <c r="D31" s="10"/>
      <c r="E31" s="10"/>
      <c r="F31" s="10">
        <v>1603.76</v>
      </c>
      <c r="G31" s="10">
        <v>149.36000000000001</v>
      </c>
      <c r="H31" s="10">
        <v>147.44999999999999</v>
      </c>
      <c r="I31" s="10"/>
      <c r="J31" s="10">
        <v>90.75</v>
      </c>
      <c r="K31" s="11">
        <f t="shared" si="2"/>
        <v>1991.32</v>
      </c>
    </row>
    <row r="32" spans="2:22" ht="15.75" x14ac:dyDescent="0.25">
      <c r="B32" s="15">
        <v>6064</v>
      </c>
      <c r="C32" s="10"/>
      <c r="D32" s="10"/>
      <c r="E32" s="10"/>
      <c r="F32" s="10"/>
      <c r="G32" s="10"/>
      <c r="H32" s="10"/>
      <c r="I32" s="10"/>
      <c r="J32" s="10">
        <v>626.97</v>
      </c>
      <c r="K32" s="11">
        <f t="shared" si="2"/>
        <v>626.97</v>
      </c>
    </row>
    <row r="33" spans="2:11" ht="15.75" x14ac:dyDescent="0.25">
      <c r="B33" s="15">
        <v>60632</v>
      </c>
      <c r="C33" s="10"/>
      <c r="D33" s="10"/>
      <c r="E33" s="10"/>
      <c r="F33" s="10"/>
      <c r="G33" s="10"/>
      <c r="H33" s="10"/>
      <c r="I33" s="10"/>
      <c r="J33" s="10">
        <v>245.89</v>
      </c>
      <c r="K33" s="11">
        <f t="shared" si="2"/>
        <v>245.89</v>
      </c>
    </row>
    <row r="34" spans="2:11" x14ac:dyDescent="0.25">
      <c r="B34" s="15">
        <v>2188</v>
      </c>
      <c r="C34" s="10"/>
      <c r="D34" s="10"/>
      <c r="E34" s="10"/>
      <c r="F34" s="10"/>
      <c r="G34" s="10"/>
      <c r="H34" s="10">
        <v>683.71</v>
      </c>
      <c r="I34" s="10"/>
      <c r="J34" s="10">
        <v>1779.04</v>
      </c>
      <c r="K34" s="16">
        <f t="shared" si="2"/>
        <v>2462.75</v>
      </c>
    </row>
    <row r="35" spans="2:11" ht="15.75" x14ac:dyDescent="0.25">
      <c r="B35" s="6" t="s">
        <v>31</v>
      </c>
      <c r="C35" s="11">
        <f>SUM(C23:C34)</f>
        <v>66572.319999999992</v>
      </c>
      <c r="D35" s="11">
        <f t="shared" ref="D35:J35" si="3">SUM(D23:D34)</f>
        <v>2081.4</v>
      </c>
      <c r="E35" s="11">
        <f t="shared" si="3"/>
        <v>3255</v>
      </c>
      <c r="F35" s="11">
        <f t="shared" si="3"/>
        <v>55914.520000000004</v>
      </c>
      <c r="G35" s="11">
        <f t="shared" si="3"/>
        <v>24744.059999999998</v>
      </c>
      <c r="H35" s="11">
        <f t="shared" si="3"/>
        <v>22457.75</v>
      </c>
      <c r="I35" s="11">
        <f t="shared" si="3"/>
        <v>1181.67</v>
      </c>
      <c r="J35" s="11">
        <f t="shared" si="3"/>
        <v>28300.68</v>
      </c>
      <c r="K35" s="11">
        <f>SUM(K23:K34)</f>
        <v>204507.40000000002</v>
      </c>
    </row>
    <row r="38" spans="2:11" ht="15.75" x14ac:dyDescent="0.25">
      <c r="B38" s="49" t="s">
        <v>33</v>
      </c>
      <c r="C38" s="51"/>
      <c r="D38" s="51"/>
      <c r="E38" s="51"/>
      <c r="F38" s="52"/>
      <c r="G38" s="53" t="s">
        <v>31</v>
      </c>
    </row>
    <row r="39" spans="2:11" x14ac:dyDescent="0.25">
      <c r="B39" s="14" t="s">
        <v>22</v>
      </c>
      <c r="C39" s="14" t="s">
        <v>32</v>
      </c>
      <c r="D39" s="14" t="s">
        <v>24</v>
      </c>
      <c r="E39" s="14" t="s">
        <v>25</v>
      </c>
      <c r="F39" s="17" t="s">
        <v>29</v>
      </c>
      <c r="G39" s="53"/>
    </row>
    <row r="40" spans="2:11" ht="15.75" x14ac:dyDescent="0.25">
      <c r="B40" s="3">
        <v>2188</v>
      </c>
      <c r="C40" s="10"/>
      <c r="D40" s="10"/>
      <c r="E40" s="10">
        <v>3236.51</v>
      </c>
      <c r="F40" s="18"/>
      <c r="G40" s="11">
        <f>SUM(C40:F40)</f>
        <v>3236.51</v>
      </c>
    </row>
    <row r="41" spans="2:11" ht="15.75" x14ac:dyDescent="0.25">
      <c r="B41" s="3">
        <v>6042</v>
      </c>
      <c r="C41" s="10"/>
      <c r="D41" s="10">
        <v>7655.2</v>
      </c>
      <c r="E41" s="10">
        <v>11012.33</v>
      </c>
      <c r="F41" s="18">
        <v>21765.91</v>
      </c>
      <c r="G41" s="11">
        <f t="shared" ref="G41:G48" si="4">SUM(C41:F41)</f>
        <v>40433.440000000002</v>
      </c>
    </row>
    <row r="42" spans="2:11" ht="15.75" x14ac:dyDescent="0.25">
      <c r="B42" s="3">
        <v>60623</v>
      </c>
      <c r="C42" s="10">
        <v>2459.98</v>
      </c>
      <c r="D42" s="10">
        <v>7014.46</v>
      </c>
      <c r="E42" s="10">
        <v>6254.03</v>
      </c>
      <c r="F42" s="18">
        <v>175.55</v>
      </c>
      <c r="G42" s="11">
        <f t="shared" si="4"/>
        <v>15904.02</v>
      </c>
    </row>
    <row r="43" spans="2:11" ht="15.75" x14ac:dyDescent="0.25">
      <c r="B43" s="3">
        <v>60628</v>
      </c>
      <c r="C43" s="10">
        <v>99.99</v>
      </c>
      <c r="D43" s="10">
        <v>537.33000000000004</v>
      </c>
      <c r="E43" s="10">
        <v>499.73</v>
      </c>
      <c r="F43" s="18"/>
      <c r="G43" s="11">
        <f t="shared" si="4"/>
        <v>1137.0500000000002</v>
      </c>
    </row>
    <row r="44" spans="2:11" ht="15.75" x14ac:dyDescent="0.25">
      <c r="B44" s="3">
        <v>60632</v>
      </c>
      <c r="C44" s="10">
        <v>2141.77</v>
      </c>
      <c r="D44" s="10">
        <v>8461.61</v>
      </c>
      <c r="E44" s="10">
        <v>8999.84</v>
      </c>
      <c r="F44" s="18"/>
      <c r="G44" s="11">
        <f t="shared" si="4"/>
        <v>19603.22</v>
      </c>
    </row>
    <row r="45" spans="2:11" ht="15.75" x14ac:dyDescent="0.25">
      <c r="B45" s="3">
        <v>61351</v>
      </c>
      <c r="C45" s="10"/>
      <c r="D45" s="10"/>
      <c r="E45" s="10"/>
      <c r="F45" s="18">
        <v>3903.82</v>
      </c>
      <c r="G45" s="11">
        <f t="shared" si="4"/>
        <v>3903.82</v>
      </c>
    </row>
    <row r="46" spans="2:11" ht="15.75" x14ac:dyDescent="0.25">
      <c r="B46" s="3">
        <v>6238</v>
      </c>
      <c r="C46" s="10">
        <v>650</v>
      </c>
      <c r="D46" s="10">
        <v>1109.2</v>
      </c>
      <c r="E46" s="10">
        <v>3250.85</v>
      </c>
      <c r="F46" s="18">
        <v>2087.21</v>
      </c>
      <c r="G46" s="11">
        <f t="shared" si="4"/>
        <v>7097.26</v>
      </c>
    </row>
    <row r="47" spans="2:11" ht="15.75" x14ac:dyDescent="0.25">
      <c r="B47" s="3">
        <v>6247</v>
      </c>
      <c r="C47" s="10"/>
      <c r="D47" s="10">
        <v>9211.6</v>
      </c>
      <c r="E47" s="10">
        <v>7327.41</v>
      </c>
      <c r="F47" s="18">
        <v>257</v>
      </c>
      <c r="G47" s="11">
        <f t="shared" si="4"/>
        <v>16796.010000000002</v>
      </c>
    </row>
    <row r="48" spans="2:11" ht="15.75" x14ac:dyDescent="0.25">
      <c r="B48" s="8" t="s">
        <v>31</v>
      </c>
      <c r="C48" s="11">
        <f>SUM(C40:C47)</f>
        <v>5351.74</v>
      </c>
      <c r="D48" s="11">
        <f t="shared" ref="D48:F48" si="5">SUM(D40:D47)</f>
        <v>33989.4</v>
      </c>
      <c r="E48" s="11">
        <f t="shared" si="5"/>
        <v>40580.699999999997</v>
      </c>
      <c r="F48" s="11">
        <f t="shared" si="5"/>
        <v>28189.489999999998</v>
      </c>
      <c r="G48" s="11">
        <f t="shared" si="4"/>
        <v>108111.32999999999</v>
      </c>
    </row>
    <row r="52" spans="2:8" ht="15.75" x14ac:dyDescent="0.25">
      <c r="B52" s="49" t="s">
        <v>35</v>
      </c>
      <c r="C52" s="49"/>
      <c r="D52" s="19"/>
      <c r="E52" s="19"/>
      <c r="F52" s="19"/>
    </row>
    <row r="53" spans="2:8" x14ac:dyDescent="0.25">
      <c r="B53" s="20" t="s">
        <v>22</v>
      </c>
      <c r="C53" s="20" t="s">
        <v>29</v>
      </c>
      <c r="D53" s="19"/>
      <c r="E53" s="19"/>
      <c r="F53" s="19"/>
    </row>
    <row r="54" spans="2:8" x14ac:dyDescent="0.25">
      <c r="B54" s="15">
        <v>2188</v>
      </c>
      <c r="C54" s="4">
        <v>1758</v>
      </c>
    </row>
    <row r="55" spans="2:8" ht="15.75" x14ac:dyDescent="0.25">
      <c r="B55" s="5" t="s">
        <v>34</v>
      </c>
      <c r="C55" s="11">
        <f>SUM(C54)</f>
        <v>1758</v>
      </c>
    </row>
    <row r="59" spans="2:8" ht="15.75" x14ac:dyDescent="0.25">
      <c r="B59" s="49" t="s">
        <v>36</v>
      </c>
      <c r="C59" s="49"/>
      <c r="D59" s="49"/>
      <c r="E59" s="49"/>
      <c r="F59" s="49"/>
      <c r="G59" s="49"/>
      <c r="H59" s="49"/>
    </row>
    <row r="60" spans="2:8" ht="15.75" x14ac:dyDescent="0.25">
      <c r="B60" s="14" t="s">
        <v>22</v>
      </c>
      <c r="C60" s="14" t="s">
        <v>37</v>
      </c>
      <c r="D60" s="14" t="s">
        <v>38</v>
      </c>
      <c r="E60" s="14" t="s">
        <v>39</v>
      </c>
      <c r="F60" s="17" t="s">
        <v>40</v>
      </c>
      <c r="G60" s="17" t="s">
        <v>41</v>
      </c>
      <c r="H60" s="21" t="s">
        <v>31</v>
      </c>
    </row>
    <row r="61" spans="2:8" ht="15.75" x14ac:dyDescent="0.25">
      <c r="B61" s="3">
        <v>60611</v>
      </c>
      <c r="C61" s="10">
        <v>8159</v>
      </c>
      <c r="D61" s="10">
        <v>26601.98</v>
      </c>
      <c r="E61" s="10">
        <v>18594.03</v>
      </c>
      <c r="F61" s="18">
        <v>3499.27</v>
      </c>
      <c r="G61" s="18">
        <v>0</v>
      </c>
      <c r="H61" s="22">
        <f>SUM(C61:G61)</f>
        <v>56854.279999999992</v>
      </c>
    </row>
    <row r="62" spans="2:8" ht="15.75" x14ac:dyDescent="0.25">
      <c r="B62" s="3">
        <v>60618</v>
      </c>
      <c r="C62" s="10">
        <v>8159</v>
      </c>
      <c r="D62" s="10">
        <v>0</v>
      </c>
      <c r="E62" s="10">
        <v>16186.5</v>
      </c>
      <c r="F62" s="18">
        <v>426.6</v>
      </c>
      <c r="G62" s="18">
        <v>0</v>
      </c>
      <c r="H62" s="22">
        <f t="shared" ref="H62:H63" si="6">SUM(C62:G62)</f>
        <v>24772.1</v>
      </c>
    </row>
    <row r="63" spans="2:8" ht="15.75" x14ac:dyDescent="0.25">
      <c r="B63" s="3">
        <v>60612</v>
      </c>
      <c r="C63" s="10">
        <v>30563.49</v>
      </c>
      <c r="D63" s="10">
        <v>16884.23</v>
      </c>
      <c r="E63" s="10">
        <v>20288.400000000001</v>
      </c>
      <c r="F63" s="18">
        <v>10918.98</v>
      </c>
      <c r="G63" s="18">
        <v>0</v>
      </c>
      <c r="H63" s="22">
        <f t="shared" si="6"/>
        <v>78655.099999999991</v>
      </c>
    </row>
    <row r="64" spans="2:8" ht="15.75" x14ac:dyDescent="0.25">
      <c r="B64" s="8" t="s">
        <v>31</v>
      </c>
      <c r="C64" s="11">
        <f>SUM(C61:C63)</f>
        <v>46881.490000000005</v>
      </c>
      <c r="D64" s="11">
        <f>SUM(D61:D63)</f>
        <v>43486.21</v>
      </c>
      <c r="E64" s="11">
        <f>SUM(E61:E63)</f>
        <v>55068.93</v>
      </c>
      <c r="F64" s="11">
        <f t="shared" ref="F64:H64" si="7">SUM(F61:F63)</f>
        <v>14844.849999999999</v>
      </c>
      <c r="G64" s="11">
        <f t="shared" si="7"/>
        <v>0</v>
      </c>
      <c r="H64" s="11">
        <f t="shared" si="7"/>
        <v>160281.47999999998</v>
      </c>
    </row>
    <row r="68" spans="2:4" x14ac:dyDescent="0.25">
      <c r="B68" s="50" t="s">
        <v>54</v>
      </c>
      <c r="C68" s="50"/>
      <c r="D68" s="50"/>
    </row>
    <row r="69" spans="2:4" x14ac:dyDescent="0.25">
      <c r="B69" s="14" t="s">
        <v>22</v>
      </c>
      <c r="C69" s="23" t="s">
        <v>55</v>
      </c>
      <c r="D69" s="23" t="s">
        <v>42</v>
      </c>
    </row>
    <row r="70" spans="2:4" x14ac:dyDescent="0.25">
      <c r="B70" s="48">
        <v>641</v>
      </c>
      <c r="C70" s="24" t="s">
        <v>43</v>
      </c>
      <c r="D70" s="25">
        <v>664758.87</v>
      </c>
    </row>
    <row r="71" spans="2:4" x14ac:dyDescent="0.25">
      <c r="B71" s="48"/>
      <c r="C71" s="24" t="s">
        <v>44</v>
      </c>
      <c r="D71" s="25">
        <v>661314.32999999996</v>
      </c>
    </row>
    <row r="72" spans="2:4" x14ac:dyDescent="0.25">
      <c r="B72" s="48"/>
      <c r="C72" s="24" t="s">
        <v>45</v>
      </c>
      <c r="D72" s="25">
        <v>268883.59000000003</v>
      </c>
    </row>
    <row r="73" spans="2:4" x14ac:dyDescent="0.25">
      <c r="B73" s="48"/>
      <c r="C73" s="24" t="s">
        <v>46</v>
      </c>
      <c r="D73" s="25">
        <v>171094.89</v>
      </c>
    </row>
    <row r="74" spans="2:4" x14ac:dyDescent="0.25">
      <c r="B74" s="48"/>
      <c r="C74" s="24" t="s">
        <v>47</v>
      </c>
      <c r="D74" s="25">
        <v>157998.9</v>
      </c>
    </row>
    <row r="75" spans="2:4" x14ac:dyDescent="0.25">
      <c r="B75" s="48"/>
      <c r="C75" s="24" t="s">
        <v>48</v>
      </c>
      <c r="D75" s="25">
        <v>435474.22</v>
      </c>
    </row>
    <row r="76" spans="2:4" x14ac:dyDescent="0.25">
      <c r="B76" s="48"/>
      <c r="C76" s="24" t="s">
        <v>49</v>
      </c>
      <c r="D76" s="25">
        <v>97360.35</v>
      </c>
    </row>
    <row r="77" spans="2:4" x14ac:dyDescent="0.25">
      <c r="B77" s="48"/>
      <c r="C77" s="24" t="s">
        <v>50</v>
      </c>
      <c r="D77" s="25">
        <v>518185.07</v>
      </c>
    </row>
    <row r="78" spans="2:4" x14ac:dyDescent="0.25">
      <c r="B78" s="48"/>
      <c r="C78" s="24" t="s">
        <v>51</v>
      </c>
      <c r="D78" s="25">
        <v>58598.14</v>
      </c>
    </row>
    <row r="79" spans="2:4" x14ac:dyDescent="0.25">
      <c r="B79" s="48"/>
      <c r="C79" s="24" t="s">
        <v>52</v>
      </c>
      <c r="D79" s="25">
        <v>119794.89</v>
      </c>
    </row>
    <row r="80" spans="2:4" x14ac:dyDescent="0.25">
      <c r="B80" s="48"/>
      <c r="C80" s="24" t="s">
        <v>53</v>
      </c>
      <c r="D80" s="25">
        <v>102776.17</v>
      </c>
    </row>
    <row r="81" spans="2:4" x14ac:dyDescent="0.25">
      <c r="B81" s="47" t="s">
        <v>31</v>
      </c>
      <c r="C81" s="47"/>
      <c r="D81" s="27">
        <f>SUM(D70:D80)</f>
        <v>3256239.42</v>
      </c>
    </row>
  </sheetData>
  <mergeCells count="11">
    <mergeCell ref="B38:F38"/>
    <mergeCell ref="G38:G39"/>
    <mergeCell ref="B2:U2"/>
    <mergeCell ref="V2:V3"/>
    <mergeCell ref="B21:J21"/>
    <mergeCell ref="K21:K22"/>
    <mergeCell ref="B81:C81"/>
    <mergeCell ref="B70:B80"/>
    <mergeCell ref="B52:C52"/>
    <mergeCell ref="B59:H59"/>
    <mergeCell ref="B68:D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3930-7D4F-4251-895A-11B34DCC5615}">
  <dimension ref="A3:V66"/>
  <sheetViews>
    <sheetView zoomScale="115" zoomScaleNormal="115" workbookViewId="0">
      <selection activeCell="D11" sqref="D11"/>
    </sheetView>
  </sheetViews>
  <sheetFormatPr baseColWidth="10" defaultColWidth="17.42578125" defaultRowHeight="15" x14ac:dyDescent="0.25"/>
  <cols>
    <col min="1" max="1" width="31.85546875" customWidth="1"/>
    <col min="2" max="2" width="22.28515625" customWidth="1"/>
  </cols>
  <sheetData>
    <row r="3" spans="1:22" ht="15.75" x14ac:dyDescent="0.25">
      <c r="B3" s="67" t="s">
        <v>21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53" t="s">
        <v>20</v>
      </c>
    </row>
    <row r="4" spans="1:22" x14ac:dyDescent="0.25">
      <c r="B4" s="57" t="s">
        <v>19</v>
      </c>
      <c r="C4" s="69" t="s">
        <v>0</v>
      </c>
      <c r="D4" s="69" t="s">
        <v>1</v>
      </c>
      <c r="E4" s="69" t="s">
        <v>2</v>
      </c>
      <c r="F4" s="69" t="s">
        <v>3</v>
      </c>
      <c r="G4" s="69" t="s">
        <v>4</v>
      </c>
      <c r="H4" s="69" t="s">
        <v>5</v>
      </c>
      <c r="I4" s="69" t="s">
        <v>6</v>
      </c>
      <c r="J4" s="69" t="s">
        <v>7</v>
      </c>
      <c r="K4" s="69" t="s">
        <v>8</v>
      </c>
      <c r="L4" s="69" t="s">
        <v>9</v>
      </c>
      <c r="M4" s="69" t="s">
        <v>10</v>
      </c>
      <c r="N4" s="69" t="s">
        <v>11</v>
      </c>
      <c r="O4" s="69" t="s">
        <v>12</v>
      </c>
      <c r="P4" s="69" t="s">
        <v>13</v>
      </c>
      <c r="Q4" s="69" t="s">
        <v>14</v>
      </c>
      <c r="R4" s="69" t="s">
        <v>15</v>
      </c>
      <c r="S4" s="69" t="s">
        <v>16</v>
      </c>
      <c r="T4" s="69" t="s">
        <v>17</v>
      </c>
      <c r="U4" s="69" t="s">
        <v>18</v>
      </c>
      <c r="V4" s="53"/>
    </row>
    <row r="5" spans="1:22" ht="15.75" x14ac:dyDescent="0.25">
      <c r="A5" s="70" t="s">
        <v>87</v>
      </c>
      <c r="B5" s="12">
        <v>60631</v>
      </c>
      <c r="C5" s="10">
        <v>5343.98</v>
      </c>
      <c r="D5" s="10">
        <v>300</v>
      </c>
      <c r="E5" s="10">
        <v>6403.8</v>
      </c>
      <c r="F5" s="10">
        <v>10378.48</v>
      </c>
      <c r="G5" s="10">
        <v>7078.77</v>
      </c>
      <c r="H5" s="10">
        <v>8005.49</v>
      </c>
      <c r="I5" s="10">
        <v>3818.11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>
        <f>SUM(C5:U5)</f>
        <v>41328.629999999997</v>
      </c>
    </row>
    <row r="6" spans="1:22" ht="15.75" x14ac:dyDescent="0.25">
      <c r="A6" s="70" t="s">
        <v>86</v>
      </c>
      <c r="B6" s="12">
        <v>611</v>
      </c>
      <c r="C6" s="10">
        <v>1403</v>
      </c>
      <c r="D6" s="10"/>
      <c r="E6" s="10">
        <v>10460.84</v>
      </c>
      <c r="F6" s="10"/>
      <c r="G6" s="10">
        <v>5191.38</v>
      </c>
      <c r="H6" s="10">
        <v>6611.82</v>
      </c>
      <c r="I6" s="10">
        <v>7626.65</v>
      </c>
      <c r="J6" s="10">
        <v>4678.6000000000004</v>
      </c>
      <c r="K6" s="10">
        <v>10097.84</v>
      </c>
      <c r="L6" s="10">
        <v>27471.64</v>
      </c>
      <c r="M6" s="10"/>
      <c r="N6" s="10"/>
      <c r="O6" s="10"/>
      <c r="P6" s="10"/>
      <c r="Q6" s="10"/>
      <c r="R6" s="10"/>
      <c r="S6" s="10"/>
      <c r="T6" s="10"/>
      <c r="U6" s="10"/>
      <c r="V6" s="11">
        <f t="shared" ref="V6:V17" si="0">SUM(C6:U6)</f>
        <v>73541.77</v>
      </c>
    </row>
    <row r="7" spans="1:22" ht="15.75" x14ac:dyDescent="0.25">
      <c r="A7" s="70" t="s">
        <v>85</v>
      </c>
      <c r="B7" s="12">
        <v>627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>
        <v>1366.95</v>
      </c>
      <c r="P7" s="10"/>
      <c r="Q7" s="10"/>
      <c r="R7" s="10"/>
      <c r="S7" s="10"/>
      <c r="T7" s="10"/>
      <c r="U7" s="10"/>
      <c r="V7" s="11">
        <f t="shared" si="0"/>
        <v>1366.95</v>
      </c>
    </row>
    <row r="8" spans="1:22" ht="15.75" x14ac:dyDescent="0.25">
      <c r="A8" s="70" t="s">
        <v>84</v>
      </c>
      <c r="B8" s="12">
        <v>61558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>
        <v>206.14</v>
      </c>
      <c r="O8" s="10"/>
      <c r="P8" s="10"/>
      <c r="Q8" s="10"/>
      <c r="R8" s="10">
        <v>281.39999999999998</v>
      </c>
      <c r="S8" s="10"/>
      <c r="T8" s="10">
        <v>242.5</v>
      </c>
      <c r="U8" s="10"/>
      <c r="V8" s="11">
        <f t="shared" si="0"/>
        <v>730.04</v>
      </c>
    </row>
    <row r="9" spans="1:22" ht="15.75" x14ac:dyDescent="0.25">
      <c r="A9" s="70" t="s">
        <v>83</v>
      </c>
      <c r="B9" s="12">
        <v>6042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10434.81</v>
      </c>
      <c r="Q9" s="10">
        <v>4839.1000000000004</v>
      </c>
      <c r="R9" s="10">
        <v>80450.009999999995</v>
      </c>
      <c r="S9" s="10"/>
      <c r="T9" s="10">
        <v>85746.84</v>
      </c>
      <c r="U9" s="10">
        <v>591759.97</v>
      </c>
      <c r="V9" s="11">
        <f t="shared" si="0"/>
        <v>773230.73</v>
      </c>
    </row>
    <row r="10" spans="1:22" ht="15.75" x14ac:dyDescent="0.25">
      <c r="A10" s="70" t="s">
        <v>82</v>
      </c>
      <c r="B10" s="12">
        <v>60632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1253.22</v>
      </c>
      <c r="V10" s="11">
        <f t="shared" si="0"/>
        <v>1253.22</v>
      </c>
    </row>
    <row r="11" spans="1:22" ht="15.75" x14ac:dyDescent="0.25">
      <c r="A11" s="70" t="s">
        <v>81</v>
      </c>
      <c r="B11" s="12">
        <v>21541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25155.72</v>
      </c>
      <c r="S11" s="10">
        <v>5810.47</v>
      </c>
      <c r="T11" s="10">
        <v>10175.01</v>
      </c>
      <c r="U11" s="10"/>
      <c r="V11" s="11">
        <f t="shared" si="0"/>
        <v>41141.200000000004</v>
      </c>
    </row>
    <row r="12" spans="1:22" ht="15.75" x14ac:dyDescent="0.25">
      <c r="A12" s="70" t="s">
        <v>80</v>
      </c>
      <c r="B12" s="12">
        <v>2188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2155.9899999999998</v>
      </c>
      <c r="V12" s="11">
        <f t="shared" si="0"/>
        <v>2155.9899999999998</v>
      </c>
    </row>
    <row r="13" spans="1:22" ht="15.75" x14ac:dyDescent="0.25">
      <c r="A13" s="70" t="s">
        <v>79</v>
      </c>
      <c r="B13" s="12">
        <v>60636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2516.08</v>
      </c>
      <c r="V13" s="11">
        <f t="shared" si="0"/>
        <v>2516.08</v>
      </c>
    </row>
    <row r="14" spans="1:22" ht="15.75" x14ac:dyDescent="0.25">
      <c r="A14" s="70" t="s">
        <v>78</v>
      </c>
      <c r="B14" s="12">
        <v>6156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16700.509999999998</v>
      </c>
      <c r="V14" s="11">
        <f t="shared" si="0"/>
        <v>16700.509999999998</v>
      </c>
    </row>
    <row r="15" spans="1:22" ht="15.75" x14ac:dyDescent="0.25">
      <c r="A15" s="70" t="s">
        <v>77</v>
      </c>
      <c r="B15" s="12">
        <v>60623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472.13</v>
      </c>
      <c r="N15" s="10"/>
      <c r="O15" s="10"/>
      <c r="P15" s="10"/>
      <c r="Q15" s="10">
        <v>337.28</v>
      </c>
      <c r="R15" s="10">
        <v>463.73</v>
      </c>
      <c r="S15" s="10"/>
      <c r="T15" s="10">
        <v>650.9</v>
      </c>
      <c r="U15" s="10">
        <v>11114.63</v>
      </c>
      <c r="V15" s="11">
        <f t="shared" si="0"/>
        <v>13038.669999999998</v>
      </c>
    </row>
    <row r="16" spans="1:22" ht="15.75" x14ac:dyDescent="0.25">
      <c r="A16" s="70" t="s">
        <v>76</v>
      </c>
      <c r="B16" s="12">
        <v>60628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>
        <v>777.85</v>
      </c>
      <c r="V16" s="11">
        <f t="shared" si="0"/>
        <v>777.85</v>
      </c>
    </row>
    <row r="17" spans="1:22" ht="15.75" x14ac:dyDescent="0.25">
      <c r="A17" s="1" t="s">
        <v>75</v>
      </c>
      <c r="B17" s="68">
        <v>6064</v>
      </c>
      <c r="C17" s="1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9511.68</v>
      </c>
      <c r="Q17" s="4">
        <v>4535.95</v>
      </c>
      <c r="R17" s="4">
        <v>174126.06</v>
      </c>
      <c r="S17" s="4"/>
      <c r="T17" s="4"/>
      <c r="U17" s="4">
        <v>555834.84</v>
      </c>
      <c r="V17" s="11">
        <f t="shared" si="0"/>
        <v>744008.53</v>
      </c>
    </row>
    <row r="18" spans="1:22" ht="15.75" x14ac:dyDescent="0.25">
      <c r="A18" s="1" t="s">
        <v>74</v>
      </c>
      <c r="B18" s="12">
        <v>641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5">
        <v>518185.07</v>
      </c>
      <c r="S18" s="25">
        <v>97360.35</v>
      </c>
      <c r="T18" s="4">
        <v>435474.22</v>
      </c>
      <c r="U18" s="4"/>
      <c r="V18" s="28">
        <v>1051019.6399999999</v>
      </c>
    </row>
    <row r="19" spans="1:22" ht="15.75" x14ac:dyDescent="0.25">
      <c r="A19" s="1" t="s">
        <v>88</v>
      </c>
      <c r="B19" s="12">
        <v>60611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1">
        <v>8159</v>
      </c>
    </row>
    <row r="20" spans="1:22" ht="15.75" x14ac:dyDescent="0.25">
      <c r="A20" s="1" t="s">
        <v>89</v>
      </c>
      <c r="B20" s="12">
        <v>60618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11">
        <v>8159</v>
      </c>
    </row>
    <row r="21" spans="1:22" ht="15.75" x14ac:dyDescent="0.25">
      <c r="A21" s="1" t="s">
        <v>90</v>
      </c>
      <c r="B21" s="12">
        <v>60612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1">
        <v>30563.49</v>
      </c>
    </row>
    <row r="22" spans="1:22" ht="15.75" x14ac:dyDescent="0.25">
      <c r="A22" s="53" t="s">
        <v>20</v>
      </c>
      <c r="B22" s="53"/>
      <c r="C22" s="11">
        <f t="shared" ref="C22:U22" si="1">SUM(C5:C17)</f>
        <v>6746.98</v>
      </c>
      <c r="D22" s="11">
        <f t="shared" si="1"/>
        <v>300</v>
      </c>
      <c r="E22" s="11">
        <f t="shared" si="1"/>
        <v>16864.64</v>
      </c>
      <c r="F22" s="11">
        <f t="shared" si="1"/>
        <v>10378.48</v>
      </c>
      <c r="G22" s="11">
        <f t="shared" si="1"/>
        <v>12270.150000000001</v>
      </c>
      <c r="H22" s="11">
        <f t="shared" si="1"/>
        <v>14617.31</v>
      </c>
      <c r="I22" s="11">
        <f t="shared" si="1"/>
        <v>11444.76</v>
      </c>
      <c r="J22" s="11">
        <f t="shared" si="1"/>
        <v>4678.6000000000004</v>
      </c>
      <c r="K22" s="11">
        <f t="shared" si="1"/>
        <v>10097.84</v>
      </c>
      <c r="L22" s="11">
        <f t="shared" si="1"/>
        <v>27471.64</v>
      </c>
      <c r="M22" s="11">
        <f t="shared" si="1"/>
        <v>472.13</v>
      </c>
      <c r="N22" s="11">
        <f t="shared" si="1"/>
        <v>206.14</v>
      </c>
      <c r="O22" s="11">
        <f t="shared" si="1"/>
        <v>1366.95</v>
      </c>
      <c r="P22" s="11">
        <f t="shared" si="1"/>
        <v>19946.489999999998</v>
      </c>
      <c r="Q22" s="11">
        <f t="shared" si="1"/>
        <v>9712.33</v>
      </c>
      <c r="R22" s="11">
        <f t="shared" si="1"/>
        <v>280476.92</v>
      </c>
      <c r="S22" s="11">
        <f t="shared" si="1"/>
        <v>5810.47</v>
      </c>
      <c r="T22" s="11">
        <f t="shared" si="1"/>
        <v>96815.249999999985</v>
      </c>
      <c r="U22" s="11">
        <f t="shared" si="1"/>
        <v>1182113.0899999999</v>
      </c>
      <c r="V22" s="11">
        <f>SUM(V5:V21)</f>
        <v>2809691.3</v>
      </c>
    </row>
    <row r="23" spans="1:22" x14ac:dyDescent="0.25">
      <c r="A23" s="71" t="s">
        <v>71</v>
      </c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</row>
    <row r="24" spans="1:22" x14ac:dyDescent="0.25">
      <c r="A24" s="73" t="s">
        <v>72</v>
      </c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</row>
    <row r="25" spans="1:22" x14ac:dyDescent="0.25">
      <c r="A25" s="75" t="s">
        <v>73</v>
      </c>
      <c r="B25" s="75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9" spans="1:22" ht="15.75" x14ac:dyDescent="0.25">
      <c r="B29" s="65" t="s">
        <v>30</v>
      </c>
      <c r="C29" s="65"/>
      <c r="D29" s="65"/>
      <c r="E29" s="65"/>
      <c r="F29" s="65"/>
      <c r="G29" s="65"/>
      <c r="H29" s="65"/>
      <c r="I29" s="65"/>
      <c r="J29" s="65"/>
      <c r="K29" s="55" t="s">
        <v>31</v>
      </c>
    </row>
    <row r="30" spans="1:22" x14ac:dyDescent="0.25">
      <c r="B30" s="59" t="s">
        <v>22</v>
      </c>
      <c r="C30" s="59" t="s">
        <v>23</v>
      </c>
      <c r="D30" s="59" t="s">
        <v>24</v>
      </c>
      <c r="E30" s="59" t="s">
        <v>25</v>
      </c>
      <c r="F30" s="59" t="s">
        <v>26</v>
      </c>
      <c r="G30" s="59" t="s">
        <v>11</v>
      </c>
      <c r="H30" s="59" t="s">
        <v>27</v>
      </c>
      <c r="I30" s="59" t="s">
        <v>28</v>
      </c>
      <c r="J30" s="59" t="s">
        <v>29</v>
      </c>
      <c r="K30" s="55"/>
    </row>
    <row r="31" spans="1:22" ht="15.75" x14ac:dyDescent="0.25">
      <c r="B31" s="66">
        <v>6247</v>
      </c>
      <c r="C31" s="10">
        <v>9335.7900000000009</v>
      </c>
      <c r="D31" s="10"/>
      <c r="E31" s="10"/>
      <c r="F31" s="10">
        <v>7000.31</v>
      </c>
      <c r="G31" s="10">
        <v>5452.99</v>
      </c>
      <c r="H31" s="10">
        <v>4959</v>
      </c>
      <c r="I31" s="10"/>
      <c r="J31" s="10"/>
      <c r="K31" s="11">
        <f>SUM(C31:J31)</f>
        <v>26748.090000000004</v>
      </c>
    </row>
    <row r="32" spans="1:22" ht="15.75" x14ac:dyDescent="0.25">
      <c r="B32" s="66">
        <v>61558</v>
      </c>
      <c r="C32" s="10"/>
      <c r="D32" s="10">
        <v>2081.4</v>
      </c>
      <c r="E32" s="10">
        <v>3255</v>
      </c>
      <c r="F32" s="10"/>
      <c r="G32" s="10">
        <v>5400</v>
      </c>
      <c r="H32" s="10">
        <v>4897.6000000000004</v>
      </c>
      <c r="I32" s="10"/>
      <c r="J32" s="10"/>
      <c r="K32" s="11">
        <f t="shared" ref="K32:K42" si="2">SUM(C32:J32)</f>
        <v>15634</v>
      </c>
    </row>
    <row r="33" spans="2:20" ht="15.75" x14ac:dyDescent="0.25">
      <c r="B33" s="66">
        <v>657382</v>
      </c>
      <c r="C33" s="10"/>
      <c r="D33" s="10"/>
      <c r="E33" s="10"/>
      <c r="F33" s="10"/>
      <c r="G33" s="10"/>
      <c r="H33" s="10"/>
      <c r="I33" s="10"/>
      <c r="J33" s="10">
        <v>8419.94</v>
      </c>
      <c r="K33" s="11">
        <f t="shared" si="2"/>
        <v>8419.94</v>
      </c>
    </row>
    <row r="34" spans="2:20" ht="15.75" x14ac:dyDescent="0.25">
      <c r="B34" s="66">
        <v>6067</v>
      </c>
      <c r="C34" s="10">
        <v>14043.05</v>
      </c>
      <c r="D34" s="10"/>
      <c r="E34" s="10"/>
      <c r="F34" s="10">
        <v>10495.83</v>
      </c>
      <c r="G34" s="10">
        <v>8215.5300000000007</v>
      </c>
      <c r="H34" s="10">
        <v>6523.45</v>
      </c>
      <c r="I34" s="10">
        <v>856.07</v>
      </c>
      <c r="J34" s="10">
        <v>3777.54</v>
      </c>
      <c r="K34" s="11">
        <f t="shared" si="2"/>
        <v>43911.469999999994</v>
      </c>
    </row>
    <row r="35" spans="2:20" ht="15.75" x14ac:dyDescent="0.25">
      <c r="B35" s="66">
        <v>6042</v>
      </c>
      <c r="C35" s="10">
        <v>38872.699999999997</v>
      </c>
      <c r="D35" s="10"/>
      <c r="E35" s="10"/>
      <c r="F35" s="10">
        <v>35615.300000000003</v>
      </c>
      <c r="G35" s="10">
        <v>4055.5</v>
      </c>
      <c r="H35" s="10">
        <v>3079</v>
      </c>
      <c r="I35" s="10"/>
      <c r="J35" s="10"/>
      <c r="K35" s="11">
        <f t="shared" si="2"/>
        <v>81622.5</v>
      </c>
    </row>
    <row r="36" spans="2:20" ht="15.75" x14ac:dyDescent="0.25">
      <c r="B36" s="66">
        <v>60623</v>
      </c>
      <c r="C36" s="10"/>
      <c r="D36" s="10"/>
      <c r="E36" s="10"/>
      <c r="F36" s="10"/>
      <c r="G36" s="10"/>
      <c r="H36" s="10"/>
      <c r="I36" s="10"/>
      <c r="J36" s="10">
        <v>1660.37</v>
      </c>
      <c r="K36" s="11">
        <f t="shared" si="2"/>
        <v>1660.37</v>
      </c>
    </row>
    <row r="37" spans="2:20" ht="15.75" x14ac:dyDescent="0.25">
      <c r="B37" s="66">
        <v>21841</v>
      </c>
      <c r="C37" s="10">
        <v>1198.58</v>
      </c>
      <c r="D37" s="10"/>
      <c r="E37" s="10"/>
      <c r="F37" s="10">
        <v>1199.32</v>
      </c>
      <c r="G37" s="10">
        <v>1100.83</v>
      </c>
      <c r="H37" s="10">
        <v>1199.22</v>
      </c>
      <c r="I37" s="10">
        <v>325.60000000000002</v>
      </c>
      <c r="J37" s="10">
        <v>11700.18</v>
      </c>
      <c r="K37" s="11">
        <f t="shared" si="2"/>
        <v>16723.73</v>
      </c>
      <c r="T37" s="29"/>
    </row>
    <row r="38" spans="2:20" ht="15.75" x14ac:dyDescent="0.25">
      <c r="B38" s="66">
        <v>6156</v>
      </c>
      <c r="C38" s="10">
        <v>3122.2</v>
      </c>
      <c r="D38" s="10"/>
      <c r="E38" s="10"/>
      <c r="F38" s="10"/>
      <c r="G38" s="10">
        <v>369.85</v>
      </c>
      <c r="H38" s="10">
        <v>968.32</v>
      </c>
      <c r="I38" s="10"/>
      <c r="J38" s="10"/>
      <c r="K38" s="11">
        <f t="shared" si="2"/>
        <v>4460.37</v>
      </c>
    </row>
    <row r="39" spans="2:20" ht="15.75" x14ac:dyDescent="0.25">
      <c r="B39" s="66">
        <v>60628</v>
      </c>
      <c r="C39" s="10"/>
      <c r="D39" s="10"/>
      <c r="E39" s="10"/>
      <c r="F39" s="10">
        <v>1603.76</v>
      </c>
      <c r="G39" s="10">
        <v>149.36000000000001</v>
      </c>
      <c r="H39" s="10">
        <v>147.44999999999999</v>
      </c>
      <c r="I39" s="10"/>
      <c r="J39" s="10">
        <v>90.75</v>
      </c>
      <c r="K39" s="11">
        <f t="shared" si="2"/>
        <v>1991.32</v>
      </c>
    </row>
    <row r="40" spans="2:20" ht="15.75" x14ac:dyDescent="0.25">
      <c r="B40" s="66">
        <v>6064</v>
      </c>
      <c r="C40" s="10"/>
      <c r="D40" s="10"/>
      <c r="E40" s="10"/>
      <c r="F40" s="10"/>
      <c r="G40" s="10"/>
      <c r="H40" s="10"/>
      <c r="I40" s="10"/>
      <c r="J40" s="10">
        <v>626.97</v>
      </c>
      <c r="K40" s="11">
        <f t="shared" si="2"/>
        <v>626.97</v>
      </c>
    </row>
    <row r="41" spans="2:20" ht="15.75" x14ac:dyDescent="0.25">
      <c r="B41" s="66">
        <v>60632</v>
      </c>
      <c r="C41" s="10"/>
      <c r="D41" s="10"/>
      <c r="E41" s="10"/>
      <c r="F41" s="10"/>
      <c r="G41" s="10"/>
      <c r="H41" s="10"/>
      <c r="I41" s="10"/>
      <c r="J41" s="10">
        <v>245.89</v>
      </c>
      <c r="K41" s="11">
        <f t="shared" si="2"/>
        <v>245.89</v>
      </c>
    </row>
    <row r="42" spans="2:20" ht="15.75" x14ac:dyDescent="0.25">
      <c r="B42" s="66">
        <v>2188</v>
      </c>
      <c r="C42" s="10"/>
      <c r="D42" s="10"/>
      <c r="E42" s="10"/>
      <c r="F42" s="10"/>
      <c r="G42" s="10"/>
      <c r="H42" s="10">
        <v>683.71</v>
      </c>
      <c r="I42" s="10"/>
      <c r="J42" s="10">
        <v>1779.04</v>
      </c>
      <c r="K42" s="11">
        <f t="shared" si="2"/>
        <v>2462.75</v>
      </c>
    </row>
    <row r="43" spans="2:20" ht="15.75" x14ac:dyDescent="0.25">
      <c r="B43" s="12">
        <v>641</v>
      </c>
      <c r="C43" s="4"/>
      <c r="D43" s="4"/>
      <c r="E43" s="4"/>
      <c r="F43" s="4"/>
      <c r="G43" s="25">
        <f>171094.89+157998.9</f>
        <v>329093.79000000004</v>
      </c>
      <c r="H43" s="4">
        <v>268883.59000000003</v>
      </c>
      <c r="I43" s="4"/>
      <c r="J43" s="4">
        <v>58598.14</v>
      </c>
      <c r="K43" s="11">
        <f>SUM(C43:J43)</f>
        <v>656575.52000000014</v>
      </c>
    </row>
    <row r="44" spans="2:20" ht="15.75" x14ac:dyDescent="0.25">
      <c r="B44" s="12">
        <v>60611</v>
      </c>
      <c r="C44" s="4"/>
      <c r="D44" s="4"/>
      <c r="E44" s="4"/>
      <c r="F44" s="4"/>
      <c r="G44" s="4"/>
      <c r="H44" s="4"/>
      <c r="I44" s="4"/>
      <c r="J44" s="4"/>
      <c r="K44" s="11">
        <v>18594.03</v>
      </c>
    </row>
    <row r="45" spans="2:20" ht="15.75" x14ac:dyDescent="0.25">
      <c r="B45" s="12">
        <v>60618</v>
      </c>
      <c r="C45" s="4"/>
      <c r="D45" s="4"/>
      <c r="E45" s="4"/>
      <c r="F45" s="4"/>
      <c r="G45" s="4"/>
      <c r="H45" s="4"/>
      <c r="I45" s="4"/>
      <c r="J45" s="4"/>
      <c r="K45" s="11">
        <v>16186.5</v>
      </c>
    </row>
    <row r="46" spans="2:20" ht="15.75" x14ac:dyDescent="0.25">
      <c r="B46" s="12">
        <v>60612</v>
      </c>
      <c r="C46" s="4"/>
      <c r="D46" s="4"/>
      <c r="E46" s="4"/>
      <c r="F46" s="4"/>
      <c r="G46" s="4"/>
      <c r="H46" s="4"/>
      <c r="I46" s="4"/>
      <c r="J46" s="4"/>
      <c r="K46" s="11">
        <v>20288.400000000001</v>
      </c>
    </row>
    <row r="47" spans="2:20" ht="15.75" x14ac:dyDescent="0.25">
      <c r="B47" s="6" t="s">
        <v>31</v>
      </c>
      <c r="C47" s="11">
        <f>SUM(C31:C46)</f>
        <v>66572.319999999992</v>
      </c>
      <c r="D47" s="11">
        <f t="shared" ref="D47:J47" si="3">SUM(D31:D46)</f>
        <v>2081.4</v>
      </c>
      <c r="E47" s="11">
        <f t="shared" si="3"/>
        <v>3255</v>
      </c>
      <c r="F47" s="11">
        <f t="shared" si="3"/>
        <v>55914.520000000004</v>
      </c>
      <c r="G47" s="11">
        <f t="shared" si="3"/>
        <v>353837.85000000003</v>
      </c>
      <c r="H47" s="11">
        <f t="shared" si="3"/>
        <v>291341.34000000003</v>
      </c>
      <c r="I47" s="11">
        <f t="shared" si="3"/>
        <v>1181.67</v>
      </c>
      <c r="J47" s="11">
        <f t="shared" si="3"/>
        <v>86898.82</v>
      </c>
      <c r="K47" s="11">
        <f>SUM(K31:K46)</f>
        <v>916151.85000000021</v>
      </c>
    </row>
    <row r="52" spans="2:7" ht="15.75" x14ac:dyDescent="0.25">
      <c r="B52" s="58" t="s">
        <v>33</v>
      </c>
      <c r="C52" s="56"/>
      <c r="D52" s="56"/>
      <c r="E52" s="56"/>
      <c r="F52" s="60"/>
      <c r="G52" s="53" t="s">
        <v>31</v>
      </c>
    </row>
    <row r="53" spans="2:7" x14ac:dyDescent="0.25">
      <c r="B53" s="14" t="s">
        <v>22</v>
      </c>
      <c r="C53" s="14" t="s">
        <v>32</v>
      </c>
      <c r="D53" s="14" t="s">
        <v>24</v>
      </c>
      <c r="E53" s="14" t="s">
        <v>25</v>
      </c>
      <c r="F53" s="17" t="s">
        <v>29</v>
      </c>
      <c r="G53" s="53"/>
    </row>
    <row r="54" spans="2:7" ht="15.75" x14ac:dyDescent="0.25">
      <c r="B54" s="57">
        <v>2188</v>
      </c>
      <c r="C54" s="10"/>
      <c r="D54" s="10"/>
      <c r="E54" s="10">
        <v>3236.51</v>
      </c>
      <c r="F54" s="18"/>
      <c r="G54" s="11">
        <f>SUM(C54:F54)</f>
        <v>3236.51</v>
      </c>
    </row>
    <row r="55" spans="2:7" ht="15.75" x14ac:dyDescent="0.25">
      <c r="B55" s="57">
        <v>6042</v>
      </c>
      <c r="C55" s="10"/>
      <c r="D55" s="10">
        <v>7655.2</v>
      </c>
      <c r="E55" s="10">
        <v>11012.33</v>
      </c>
      <c r="F55" s="18">
        <v>21765.91</v>
      </c>
      <c r="G55" s="11">
        <f t="shared" ref="G55:G61" si="4">SUM(C55:F55)</f>
        <v>40433.440000000002</v>
      </c>
    </row>
    <row r="56" spans="2:7" ht="15.75" x14ac:dyDescent="0.25">
      <c r="B56" s="57">
        <v>60623</v>
      </c>
      <c r="C56" s="10">
        <v>2459.98</v>
      </c>
      <c r="D56" s="10">
        <v>7014.46</v>
      </c>
      <c r="E56" s="10">
        <v>6254.03</v>
      </c>
      <c r="F56" s="18">
        <v>175.55</v>
      </c>
      <c r="G56" s="11">
        <f t="shared" si="4"/>
        <v>15904.02</v>
      </c>
    </row>
    <row r="57" spans="2:7" ht="15.75" x14ac:dyDescent="0.25">
      <c r="B57" s="57">
        <v>60628</v>
      </c>
      <c r="C57" s="10">
        <v>99.99</v>
      </c>
      <c r="D57" s="10">
        <v>537.33000000000004</v>
      </c>
      <c r="E57" s="10">
        <v>499.73</v>
      </c>
      <c r="F57" s="18"/>
      <c r="G57" s="11">
        <f t="shared" si="4"/>
        <v>1137.0500000000002</v>
      </c>
    </row>
    <row r="58" spans="2:7" ht="15.75" x14ac:dyDescent="0.25">
      <c r="B58" s="57">
        <v>60632</v>
      </c>
      <c r="C58" s="10">
        <v>2141.77</v>
      </c>
      <c r="D58" s="10">
        <v>8461.61</v>
      </c>
      <c r="E58" s="10">
        <v>8999.84</v>
      </c>
      <c r="F58" s="18"/>
      <c r="G58" s="11">
        <f t="shared" si="4"/>
        <v>19603.22</v>
      </c>
    </row>
    <row r="59" spans="2:7" ht="15.75" x14ac:dyDescent="0.25">
      <c r="B59" s="57">
        <v>61351</v>
      </c>
      <c r="C59" s="10"/>
      <c r="D59" s="10"/>
      <c r="E59" s="10"/>
      <c r="F59" s="18">
        <v>3903.82</v>
      </c>
      <c r="G59" s="11">
        <f t="shared" si="4"/>
        <v>3903.82</v>
      </c>
    </row>
    <row r="60" spans="2:7" ht="15.75" x14ac:dyDescent="0.25">
      <c r="B60" s="57">
        <v>6238</v>
      </c>
      <c r="C60" s="10">
        <v>650</v>
      </c>
      <c r="D60" s="10">
        <v>1109.2</v>
      </c>
      <c r="E60" s="10">
        <v>3250.85</v>
      </c>
      <c r="F60" s="18">
        <v>2087.21</v>
      </c>
      <c r="G60" s="11">
        <f t="shared" si="4"/>
        <v>7097.26</v>
      </c>
    </row>
    <row r="61" spans="2:7" ht="15.75" x14ac:dyDescent="0.25">
      <c r="B61" s="57">
        <v>6247</v>
      </c>
      <c r="C61" s="10"/>
      <c r="D61" s="10">
        <v>9211.6</v>
      </c>
      <c r="E61" s="10">
        <v>7327.41</v>
      </c>
      <c r="F61" s="18">
        <v>257</v>
      </c>
      <c r="G61" s="11">
        <f t="shared" si="4"/>
        <v>16796.010000000002</v>
      </c>
    </row>
    <row r="62" spans="2:7" ht="15.75" x14ac:dyDescent="0.25">
      <c r="B62" s="57">
        <v>641</v>
      </c>
      <c r="C62" s="4"/>
      <c r="D62" s="4"/>
      <c r="E62" s="4"/>
      <c r="F62" s="4"/>
      <c r="G62" s="11">
        <f>Dépenses!D79+Dépenses!D80+Dépenses!D70+Dépenses!D71</f>
        <v>1548644.2599999998</v>
      </c>
    </row>
    <row r="63" spans="2:7" ht="15.75" x14ac:dyDescent="0.25">
      <c r="B63" s="57">
        <v>60611</v>
      </c>
      <c r="C63" s="4"/>
      <c r="D63" s="4"/>
      <c r="E63" s="4"/>
      <c r="F63" s="4"/>
      <c r="G63" s="11">
        <f>Dépenses!D61+Dépenses!F61</f>
        <v>30101.25</v>
      </c>
    </row>
    <row r="64" spans="2:7" ht="15.75" x14ac:dyDescent="0.25">
      <c r="B64" s="57">
        <v>60618</v>
      </c>
      <c r="C64" s="4"/>
      <c r="D64" s="4"/>
      <c r="E64" s="4"/>
      <c r="F64" s="4"/>
      <c r="G64" s="11">
        <f>Dépenses!D62+Dépenses!F62</f>
        <v>426.6</v>
      </c>
    </row>
    <row r="65" spans="2:7" ht="15.75" x14ac:dyDescent="0.25">
      <c r="B65" s="57">
        <v>60612</v>
      </c>
      <c r="C65" s="4"/>
      <c r="D65" s="4"/>
      <c r="E65" s="4"/>
      <c r="F65" s="4"/>
      <c r="G65" s="11">
        <f>Dépenses!D63+Dépenses!F63</f>
        <v>27803.21</v>
      </c>
    </row>
    <row r="66" spans="2:7" ht="15.75" x14ac:dyDescent="0.25">
      <c r="B66" s="8" t="s">
        <v>31</v>
      </c>
      <c r="C66" s="11">
        <f>SUM(C54:C65)</f>
        <v>5351.74</v>
      </c>
      <c r="D66" s="11">
        <f t="shared" ref="D66:F66" si="5">SUM(D54:D65)</f>
        <v>33989.4</v>
      </c>
      <c r="E66" s="11">
        <f t="shared" si="5"/>
        <v>40580.699999999997</v>
      </c>
      <c r="F66" s="11">
        <f t="shared" si="5"/>
        <v>28189.489999999998</v>
      </c>
      <c r="G66" s="11">
        <f>SUM(G54:G65)</f>
        <v>1715086.65</v>
      </c>
    </row>
  </sheetData>
  <mergeCells count="10">
    <mergeCell ref="A22:B22"/>
    <mergeCell ref="A23:B23"/>
    <mergeCell ref="A24:B24"/>
    <mergeCell ref="A25:B25"/>
    <mergeCell ref="B3:U3"/>
    <mergeCell ref="V3:V4"/>
    <mergeCell ref="B29:J29"/>
    <mergeCell ref="K29:K30"/>
    <mergeCell ref="B52:F52"/>
    <mergeCell ref="G52:G5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6406-BA5A-4C28-9B85-90DAF6937A37}">
  <dimension ref="B6:L32"/>
  <sheetViews>
    <sheetView workbookViewId="0">
      <selection activeCell="D32" sqref="D32"/>
    </sheetView>
  </sheetViews>
  <sheetFormatPr baseColWidth="10" defaultColWidth="28" defaultRowHeight="15" x14ac:dyDescent="0.25"/>
  <sheetData>
    <row r="6" spans="2:12" x14ac:dyDescent="0.25">
      <c r="B6" s="61" t="s">
        <v>56</v>
      </c>
      <c r="C6" s="62"/>
      <c r="D6" s="62"/>
      <c r="E6" s="62"/>
      <c r="F6" s="62"/>
      <c r="G6" s="62"/>
      <c r="H6" s="62"/>
      <c r="I6" s="62"/>
      <c r="J6" s="62"/>
      <c r="K6" s="62"/>
      <c r="L6" s="63"/>
    </row>
    <row r="7" spans="2:12" x14ac:dyDescent="0.25">
      <c r="B7" s="42" t="s">
        <v>70</v>
      </c>
      <c r="C7" s="44" t="s">
        <v>57</v>
      </c>
      <c r="D7" s="44"/>
      <c r="E7" s="44" t="s">
        <v>58</v>
      </c>
      <c r="F7" s="44"/>
      <c r="G7" s="44"/>
      <c r="H7" s="42" t="s">
        <v>59</v>
      </c>
      <c r="I7" s="42" t="s">
        <v>52</v>
      </c>
      <c r="J7" s="42" t="s">
        <v>60</v>
      </c>
      <c r="K7" s="45" t="s">
        <v>34</v>
      </c>
    </row>
    <row r="8" spans="2:12" x14ac:dyDescent="0.25">
      <c r="B8" s="43"/>
      <c r="C8" s="31" t="s">
        <v>61</v>
      </c>
      <c r="D8" s="31" t="s">
        <v>62</v>
      </c>
      <c r="E8" s="31" t="s">
        <v>24</v>
      </c>
      <c r="F8" s="31" t="s">
        <v>63</v>
      </c>
      <c r="G8" s="31" t="s">
        <v>64</v>
      </c>
      <c r="H8" s="43"/>
      <c r="I8" s="43"/>
      <c r="J8" s="43"/>
      <c r="K8" s="46"/>
    </row>
    <row r="9" spans="2:12" x14ac:dyDescent="0.25">
      <c r="B9" s="2">
        <v>70</v>
      </c>
      <c r="C9" s="25">
        <v>6934.3</v>
      </c>
      <c r="D9" s="25">
        <v>1040724.64</v>
      </c>
      <c r="E9" s="4">
        <v>0</v>
      </c>
      <c r="F9" s="4">
        <v>0</v>
      </c>
      <c r="G9" s="4">
        <v>0</v>
      </c>
      <c r="H9" s="4">
        <v>51197</v>
      </c>
      <c r="I9">
        <v>0</v>
      </c>
      <c r="J9" s="4"/>
      <c r="K9" s="26">
        <f>SUM(C9:J9)</f>
        <v>1098855.94</v>
      </c>
    </row>
    <row r="10" spans="2:12" x14ac:dyDescent="0.25">
      <c r="B10" s="2">
        <v>74</v>
      </c>
      <c r="C10" s="25">
        <v>0</v>
      </c>
      <c r="D10" s="4">
        <v>0</v>
      </c>
      <c r="E10" s="4">
        <v>175069.1</v>
      </c>
      <c r="F10" s="4">
        <v>197.23</v>
      </c>
      <c r="G10" s="4">
        <v>218.07</v>
      </c>
      <c r="H10" s="4">
        <v>0</v>
      </c>
      <c r="I10" s="4">
        <v>16994.79</v>
      </c>
      <c r="J10" s="4"/>
      <c r="K10" s="26">
        <f>SUM(C10:J10)</f>
        <v>192479.19000000003</v>
      </c>
    </row>
    <row r="11" spans="2:12" x14ac:dyDescent="0.25">
      <c r="B11" s="32" t="s">
        <v>34</v>
      </c>
      <c r="C11" s="33">
        <f>SUM(C9:C10)</f>
        <v>6934.3</v>
      </c>
      <c r="D11" s="33">
        <f t="shared" ref="D11:J11" si="0">SUM(D9:D10)</f>
        <v>1040724.64</v>
      </c>
      <c r="E11" s="33">
        <f t="shared" si="0"/>
        <v>175069.1</v>
      </c>
      <c r="F11" s="33">
        <f t="shared" si="0"/>
        <v>197.23</v>
      </c>
      <c r="G11" s="33">
        <f t="shared" si="0"/>
        <v>218.07</v>
      </c>
      <c r="H11" s="33">
        <f t="shared" si="0"/>
        <v>51197</v>
      </c>
      <c r="I11" s="33">
        <f t="shared" si="0"/>
        <v>16994.79</v>
      </c>
      <c r="J11" s="33">
        <f t="shared" si="0"/>
        <v>0</v>
      </c>
      <c r="K11" s="33">
        <f>SUM(C11:J11)</f>
        <v>1291335.1300000001</v>
      </c>
    </row>
    <row r="19" spans="2:10" x14ac:dyDescent="0.25">
      <c r="B19" s="41" t="s">
        <v>65</v>
      </c>
      <c r="C19" s="41"/>
      <c r="D19" s="41"/>
      <c r="E19" s="41"/>
      <c r="F19" s="41"/>
      <c r="G19" s="41"/>
      <c r="H19" s="41"/>
      <c r="I19" s="41"/>
    </row>
    <row r="20" spans="2:10" x14ac:dyDescent="0.25">
      <c r="B20" s="34" t="s">
        <v>66</v>
      </c>
      <c r="C20" s="35" t="s">
        <v>57</v>
      </c>
      <c r="D20" s="30" t="s">
        <v>58</v>
      </c>
      <c r="E20" s="30" t="s">
        <v>67</v>
      </c>
      <c r="F20" s="30" t="s">
        <v>68</v>
      </c>
      <c r="G20" s="30" t="s">
        <v>52</v>
      </c>
      <c r="H20" s="30" t="s">
        <v>60</v>
      </c>
      <c r="I20" s="30" t="s">
        <v>69</v>
      </c>
      <c r="J20" s="36" t="s">
        <v>34</v>
      </c>
    </row>
    <row r="21" spans="2:10" x14ac:dyDescent="0.25">
      <c r="B21" s="2">
        <v>70</v>
      </c>
      <c r="C21" s="37">
        <f>451961+113850</f>
        <v>565811</v>
      </c>
      <c r="D21" s="37">
        <v>161235</v>
      </c>
      <c r="E21" s="37">
        <v>0</v>
      </c>
      <c r="F21" s="37">
        <v>161235</v>
      </c>
      <c r="G21" s="37">
        <v>0</v>
      </c>
      <c r="H21" s="37">
        <v>7650</v>
      </c>
      <c r="I21" s="37">
        <v>33308.85</v>
      </c>
      <c r="J21" s="38">
        <f>SUM(C21:I21)</f>
        <v>929239.85</v>
      </c>
    </row>
    <row r="22" spans="2:10" x14ac:dyDescent="0.25">
      <c r="B22" s="2">
        <v>74</v>
      </c>
      <c r="C22" s="37">
        <v>0</v>
      </c>
      <c r="D22" s="37">
        <v>84241.75</v>
      </c>
      <c r="E22" s="37">
        <v>92584.4</v>
      </c>
      <c r="F22" s="37">
        <v>0</v>
      </c>
      <c r="G22" s="37">
        <v>39956.79</v>
      </c>
      <c r="H22" s="37">
        <v>0</v>
      </c>
      <c r="I22" s="37">
        <v>0</v>
      </c>
      <c r="J22" s="38">
        <f>SUM(C22:I22)</f>
        <v>216782.94</v>
      </c>
    </row>
    <row r="23" spans="2:10" x14ac:dyDescent="0.25">
      <c r="B23" s="39" t="s">
        <v>34</v>
      </c>
      <c r="C23" s="40">
        <f>C21+C22</f>
        <v>565811</v>
      </c>
      <c r="D23" s="40">
        <f t="shared" ref="D23:I23" si="1">D21+D22</f>
        <v>245476.75</v>
      </c>
      <c r="E23" s="40">
        <f t="shared" si="1"/>
        <v>92584.4</v>
      </c>
      <c r="F23" s="40">
        <f t="shared" si="1"/>
        <v>161235</v>
      </c>
      <c r="G23" s="40">
        <f t="shared" si="1"/>
        <v>39956.79</v>
      </c>
      <c r="H23" s="40">
        <f t="shared" si="1"/>
        <v>7650</v>
      </c>
      <c r="I23" s="40">
        <f t="shared" si="1"/>
        <v>33308.85</v>
      </c>
      <c r="J23" s="40">
        <f>SUM(C23:I23)</f>
        <v>1146022.79</v>
      </c>
    </row>
    <row r="32" spans="2:10" x14ac:dyDescent="0.25">
      <c r="I32" s="64"/>
    </row>
  </sheetData>
  <mergeCells count="9">
    <mergeCell ref="B19:I19"/>
    <mergeCell ref="B6:L6"/>
    <mergeCell ref="B7:B8"/>
    <mergeCell ref="C7:D7"/>
    <mergeCell ref="E7:G7"/>
    <mergeCell ref="H7:H8"/>
    <mergeCell ref="I7:I8"/>
    <mergeCell ref="J7:J8"/>
    <mergeCell ref="K7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Dépenses</vt:lpstr>
      <vt:lpstr>Reg dep</vt:lpstr>
      <vt:lpstr>recettes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BAZZA</dc:creator>
  <cp:lastModifiedBy>Salma BAZZA</cp:lastModifiedBy>
  <cp:lastPrinted>2026-05-11T08:14:58Z</cp:lastPrinted>
  <dcterms:created xsi:type="dcterms:W3CDTF">2026-05-07T12:45:30Z</dcterms:created>
  <dcterms:modified xsi:type="dcterms:W3CDTF">2026-05-11T08:16:13Z</dcterms:modified>
</cp:coreProperties>
</file>