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riecrosne-my.sharepoint.com/personal/stage2_crosne_fr/Documents/Documents/"/>
    </mc:Choice>
  </mc:AlternateContent>
  <xr:revisionPtr revIDLastSave="14" documentId="8_{C7A258ED-5235-44BD-B92B-0DDF48A65163}" xr6:coauthVersionLast="47" xr6:coauthVersionMax="47" xr10:uidLastSave="{0DE9CC2D-E3E3-43E6-A25B-32BB65C0CB2D}"/>
  <bookViews>
    <workbookView xWindow="14400" yWindow="0" windowWidth="14400" windowHeight="15600" xr2:uid="{02617AD9-842C-4AE8-B343-3992509FEE9B}"/>
  </bookViews>
  <sheets>
    <sheet name="Feuil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" i="1" l="1"/>
  <c r="E26" i="1"/>
  <c r="I26" i="1" s="1"/>
  <c r="E27" i="1"/>
  <c r="C25" i="1"/>
  <c r="I25" i="1" s="1"/>
  <c r="K149" i="1"/>
  <c r="J149" i="1"/>
  <c r="E113" i="1"/>
  <c r="D113" i="1"/>
  <c r="I112" i="1"/>
  <c r="C112" i="1"/>
  <c r="I111" i="1"/>
  <c r="C111" i="1"/>
  <c r="I109" i="1"/>
  <c r="G109" i="1"/>
  <c r="G113" i="1" s="1"/>
  <c r="F109" i="1"/>
  <c r="F113" i="1" s="1"/>
  <c r="C109" i="1"/>
  <c r="C113" i="1" s="1"/>
  <c r="I96" i="1"/>
  <c r="G96" i="1"/>
  <c r="C96" i="1"/>
  <c r="J95" i="1"/>
  <c r="J96" i="1" s="1"/>
  <c r="I95" i="1"/>
  <c r="F95" i="1"/>
  <c r="D95" i="1"/>
  <c r="K95" i="1" s="1"/>
  <c r="G94" i="1"/>
  <c r="F94" i="1"/>
  <c r="K94" i="1" s="1"/>
  <c r="D94" i="1"/>
  <c r="K93" i="1"/>
  <c r="D93" i="1"/>
  <c r="H92" i="1"/>
  <c r="H96" i="1" s="1"/>
  <c r="G92" i="1"/>
  <c r="F92" i="1"/>
  <c r="F96" i="1" s="1"/>
  <c r="E92" i="1"/>
  <c r="E96" i="1" s="1"/>
  <c r="D92" i="1"/>
  <c r="D96" i="1" s="1"/>
  <c r="F77" i="1" a="1"/>
  <c r="F77" i="1" s="1"/>
  <c r="F79" i="1" s="1"/>
  <c r="L76" i="1"/>
  <c r="J76" i="1"/>
  <c r="F76" i="1"/>
  <c r="E76" i="1"/>
  <c r="D76" i="1"/>
  <c r="K75" i="1"/>
  <c r="K76" i="1" s="1"/>
  <c r="J75" i="1"/>
  <c r="I75" i="1"/>
  <c r="I76" i="1" s="1"/>
  <c r="H75" i="1"/>
  <c r="M75" i="1" s="1"/>
  <c r="G75" i="1"/>
  <c r="G76" i="1" s="1"/>
  <c r="C75" i="1"/>
  <c r="C76" i="1" s="1"/>
  <c r="E61" i="1"/>
  <c r="D61" i="1"/>
  <c r="C59" i="1"/>
  <c r="C61" i="1" s="1"/>
  <c r="M47" i="1"/>
  <c r="L47" i="1"/>
  <c r="F47" i="1"/>
  <c r="D47" i="1"/>
  <c r="N46" i="1"/>
  <c r="J46" i="1"/>
  <c r="J47" i="1" s="1"/>
  <c r="I46" i="1"/>
  <c r="H46" i="1"/>
  <c r="G46" i="1"/>
  <c r="E46" i="1"/>
  <c r="D46" i="1"/>
  <c r="C46" i="1"/>
  <c r="O46" i="1" s="1"/>
  <c r="H45" i="1"/>
  <c r="G45" i="1"/>
  <c r="E45" i="1"/>
  <c r="O45" i="1" s="1"/>
  <c r="N44" i="1"/>
  <c r="N47" i="1" s="1"/>
  <c r="J44" i="1"/>
  <c r="I44" i="1"/>
  <c r="I47" i="1" s="1"/>
  <c r="H44" i="1"/>
  <c r="H47" i="1" s="1"/>
  <c r="G44" i="1"/>
  <c r="G47" i="1" s="1"/>
  <c r="F44" i="1"/>
  <c r="E44" i="1"/>
  <c r="E47" i="1" s="1"/>
  <c r="D44" i="1"/>
  <c r="O44" i="1" s="1"/>
  <c r="O43" i="1"/>
  <c r="L43" i="1"/>
  <c r="K43" i="1"/>
  <c r="C43" i="1"/>
  <c r="L42" i="1"/>
  <c r="K42" i="1"/>
  <c r="K47" i="1" s="1"/>
  <c r="H42" i="1"/>
  <c r="C42" i="1"/>
  <c r="C47" i="1" s="1"/>
  <c r="E36" i="1"/>
  <c r="O34" i="1"/>
  <c r="N34" i="1"/>
  <c r="M34" i="1"/>
  <c r="F34" i="1"/>
  <c r="I33" i="1"/>
  <c r="I32" i="1"/>
  <c r="I31" i="1"/>
  <c r="I30" i="1"/>
  <c r="I29" i="1"/>
  <c r="D29" i="1"/>
  <c r="G28" i="1"/>
  <c r="G34" i="1" s="1"/>
  <c r="E28" i="1"/>
  <c r="D28" i="1"/>
  <c r="C28" i="1"/>
  <c r="I28" i="1" s="1"/>
  <c r="H27" i="1"/>
  <c r="H34" i="1" s="1"/>
  <c r="G27" i="1"/>
  <c r="D27" i="1"/>
  <c r="D34" i="1" s="1"/>
  <c r="C27" i="1"/>
  <c r="C26" i="1"/>
  <c r="G17" i="1"/>
  <c r="H17" i="1" s="1"/>
  <c r="D17" i="1"/>
  <c r="I16" i="1"/>
  <c r="H16" i="1"/>
  <c r="G16" i="1"/>
  <c r="F16" i="1"/>
  <c r="I15" i="1"/>
  <c r="H15" i="1"/>
  <c r="G15" i="1"/>
  <c r="F15" i="1"/>
  <c r="I14" i="1"/>
  <c r="H14" i="1"/>
  <c r="G14" i="1"/>
  <c r="F14" i="1"/>
  <c r="I13" i="1"/>
  <c r="H13" i="1"/>
  <c r="G13" i="1"/>
  <c r="F13" i="1"/>
  <c r="I12" i="1"/>
  <c r="H12" i="1"/>
  <c r="G12" i="1"/>
  <c r="F12" i="1"/>
  <c r="I11" i="1"/>
  <c r="H11" i="1"/>
  <c r="G11" i="1"/>
  <c r="F11" i="1"/>
  <c r="I10" i="1"/>
  <c r="H10" i="1"/>
  <c r="G10" i="1"/>
  <c r="F10" i="1"/>
  <c r="I9" i="1"/>
  <c r="H9" i="1"/>
  <c r="G9" i="1"/>
  <c r="F9" i="1"/>
  <c r="I8" i="1"/>
  <c r="H8" i="1"/>
  <c r="G8" i="1"/>
  <c r="F8" i="1"/>
  <c r="I7" i="1"/>
  <c r="H7" i="1"/>
  <c r="G7" i="1"/>
  <c r="F7" i="1"/>
  <c r="F17" i="1" s="1"/>
  <c r="I27" i="1" l="1"/>
  <c r="I34" i="1" s="1"/>
  <c r="E34" i="1"/>
  <c r="H113" i="1"/>
  <c r="I110" i="1"/>
  <c r="I113" i="1" s="1"/>
  <c r="M76" i="1"/>
  <c r="F59" i="1"/>
  <c r="F61" i="1" s="1"/>
  <c r="O42" i="1"/>
  <c r="O47" i="1" s="1"/>
  <c r="K92" i="1"/>
  <c r="K96" i="1" s="1"/>
  <c r="C34" i="1"/>
  <c r="I17" i="1"/>
  <c r="H7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<sst xmlns="http://schemas.openxmlformats.org/spreadsheetml/2006/main" count="189" uniqueCount="136">
  <si>
    <t>Tranches</t>
  </si>
  <si>
    <t>Px repas facturé</t>
  </si>
  <si>
    <t>Nombre d'enfants</t>
  </si>
  <si>
    <t>cout moyen de repas</t>
  </si>
  <si>
    <t>DEPENSE ann. en repas</t>
  </si>
  <si>
    <t>RECETTE ann. en repas</t>
  </si>
  <si>
    <t>Ecarts</t>
  </si>
  <si>
    <t>Taux de couverture</t>
  </si>
  <si>
    <t>EXT</t>
  </si>
  <si>
    <t>Plus de 18 000€</t>
  </si>
  <si>
    <t>A</t>
  </si>
  <si>
    <t>15 000 à 17 999 €</t>
  </si>
  <si>
    <t>B</t>
  </si>
  <si>
    <t>13 000€ à 14 999 €</t>
  </si>
  <si>
    <t>B2</t>
  </si>
  <si>
    <t>11 000€ à 12 999 €</t>
  </si>
  <si>
    <t>C</t>
  </si>
  <si>
    <t>9 000 à 10 999 €</t>
  </si>
  <si>
    <t>D</t>
  </si>
  <si>
    <t>7 000€ à 8 999 €</t>
  </si>
  <si>
    <t>E</t>
  </si>
  <si>
    <t>5 000€ à 6 999 €</t>
  </si>
  <si>
    <t>F</t>
  </si>
  <si>
    <t>3 000€ à 4 999 €</t>
  </si>
  <si>
    <t>F2</t>
  </si>
  <si>
    <t>Moins de 3 000 €</t>
  </si>
  <si>
    <t>G</t>
  </si>
  <si>
    <t>Total</t>
  </si>
  <si>
    <t>RESTAURATION</t>
  </si>
  <si>
    <t>Depenses reelles</t>
  </si>
  <si>
    <t>TOTAL</t>
  </si>
  <si>
    <t>DEP. SCOLAREST 2025</t>
  </si>
  <si>
    <t>PERSONNEL</t>
  </si>
  <si>
    <t>Mat et equip</t>
  </si>
  <si>
    <t>FLUIDES</t>
  </si>
  <si>
    <t>Elements</t>
  </si>
  <si>
    <t>Montant</t>
  </si>
  <si>
    <t>Charges</t>
  </si>
  <si>
    <t>Depenses alimentation</t>
  </si>
  <si>
    <t>Eau</t>
  </si>
  <si>
    <t>Electricité</t>
  </si>
  <si>
    <t>Gaz</t>
  </si>
  <si>
    <t xml:space="preserve"> nmbr personnel</t>
  </si>
  <si>
    <t>x</t>
  </si>
  <si>
    <t>"vide"</t>
  </si>
  <si>
    <t xml:space="preserve">Matériel </t>
  </si>
  <si>
    <t>Batiment</t>
  </si>
  <si>
    <t>RESTCOMM</t>
  </si>
  <si>
    <t>RESTGAV</t>
  </si>
  <si>
    <t>RESTMICH</t>
  </si>
  <si>
    <t>rest JP1</t>
  </si>
  <si>
    <t>BRASSENS</t>
  </si>
  <si>
    <t>SAND</t>
  </si>
  <si>
    <t>CURIE</t>
  </si>
  <si>
    <t>REST SCOLAIRE</t>
  </si>
  <si>
    <t>Total général</t>
  </si>
  <si>
    <t>*Gaz de Gavroche comprend une partie de cl petit prince d'un montant de :</t>
  </si>
  <si>
    <t>De manière approximative, on le divise sur 2</t>
  </si>
  <si>
    <t>ACCUEIL DE LOISIRS</t>
  </si>
  <si>
    <t>DEPENSES REELLES</t>
  </si>
  <si>
    <t>Personnel</t>
  </si>
  <si>
    <t>Matrériel et fournitures</t>
  </si>
  <si>
    <t>Activités</t>
  </si>
  <si>
    <t>Locaux</t>
  </si>
  <si>
    <t>NOMBRE</t>
  </si>
  <si>
    <t>CHARGES</t>
  </si>
  <si>
    <t>Matrériel</t>
  </si>
  <si>
    <t>Fournitures pédagogique (papier, peinture)</t>
  </si>
  <si>
    <t>Matériel sportif</t>
  </si>
  <si>
    <t>prestation (spectacle,ateliers..)</t>
  </si>
  <si>
    <t>alimentation</t>
  </si>
  <si>
    <t>Transport (bus, carburant, chaufeur,amendes)</t>
  </si>
  <si>
    <t>Droits d'entrées( musés/parc…)</t>
  </si>
  <si>
    <t>EAU</t>
  </si>
  <si>
    <t>Restauration</t>
  </si>
  <si>
    <t>Autres</t>
  </si>
  <si>
    <t>MDJ</t>
  </si>
  <si>
    <t>p'tit prince</t>
  </si>
  <si>
    <t>CLGAV</t>
  </si>
  <si>
    <t>CLJP1</t>
  </si>
  <si>
    <t>CLLMICH</t>
  </si>
  <si>
    <t>ETUDES SURVEILLEES</t>
  </si>
  <si>
    <t>Fournitures scolaire</t>
  </si>
  <si>
    <t xml:space="preserve">Matériel (photocopieuse..) </t>
  </si>
  <si>
    <t>personnel</t>
  </si>
  <si>
    <t>ESPACE ADOS</t>
  </si>
  <si>
    <t>Matreriel</t>
  </si>
  <si>
    <t>Alimentation</t>
  </si>
  <si>
    <t>Sorties</t>
  </si>
  <si>
    <t>Charges de personnel</t>
  </si>
  <si>
    <t>GAZ</t>
  </si>
  <si>
    <t>Fournitures</t>
  </si>
  <si>
    <t>Petit materiel</t>
  </si>
  <si>
    <t>Transport (bus, carburant, chaufeur)</t>
  </si>
  <si>
    <t>Elec club ados et regroupé avec celle de maison petite enfance, donc j'ai du faire la moyenne : diviser par 2</t>
  </si>
  <si>
    <t>SEJOURS</t>
  </si>
  <si>
    <t>Transport</t>
  </si>
  <si>
    <t>Hebergement</t>
  </si>
  <si>
    <t>Materiel</t>
  </si>
  <si>
    <t>BUS/MINI BUS</t>
  </si>
  <si>
    <t>PEAGE / PARKING</t>
  </si>
  <si>
    <t>CENTRE DE VACANCES</t>
  </si>
  <si>
    <t xml:space="preserve"> matériel</t>
  </si>
  <si>
    <t>Esapce ADOS</t>
  </si>
  <si>
    <t xml:space="preserve">Curie </t>
  </si>
  <si>
    <t xml:space="preserve">Bressens </t>
  </si>
  <si>
    <t>"VIDE"</t>
  </si>
  <si>
    <t>*Curie: montant d'hebergement inclue transport</t>
  </si>
  <si>
    <t>ACCUEILS PERISCOLAIRE</t>
  </si>
  <si>
    <t xml:space="preserve">FOURNITURES </t>
  </si>
  <si>
    <t>Charges personnel</t>
  </si>
  <si>
    <t>FOURNITURES (papier, feutres, peinture)</t>
  </si>
  <si>
    <t>Restaration</t>
  </si>
  <si>
    <t>JP1</t>
  </si>
  <si>
    <t>Petit Prince</t>
  </si>
  <si>
    <t>JP2</t>
  </si>
  <si>
    <t>Georg sand</t>
  </si>
  <si>
    <t>Restauration (chiffre fiche ameline)</t>
  </si>
  <si>
    <t>Espace ADOS</t>
  </si>
  <si>
    <t>cases vides en depenses restau 2025</t>
  </si>
  <si>
    <t xml:space="preserve">Restauration </t>
  </si>
  <si>
    <t>Numéro</t>
  </si>
  <si>
    <t>N° bordereau</t>
  </si>
  <si>
    <t>N° mandat/titre</t>
  </si>
  <si>
    <t>Service</t>
  </si>
  <si>
    <t xml:space="preserve">restauration </t>
  </si>
  <si>
    <t>MONTANT</t>
  </si>
  <si>
    <t>Espace ado</t>
  </si>
  <si>
    <t>BAT</t>
  </si>
  <si>
    <t>REST COMM</t>
  </si>
  <si>
    <t>BAT MDJ</t>
  </si>
  <si>
    <t>SERVICE SCOLAIRE</t>
  </si>
  <si>
    <t>PREVERT</t>
  </si>
  <si>
    <t>BAT CLUB ADOS</t>
  </si>
  <si>
    <t>Pour une mairie qui fais des services de restauration pour écoles, accueil de loisir, espace ados, sejour.. comment faire pour etablir une maquette des couts pour chaque service</t>
  </si>
  <si>
    <t>Restauration - Données pole enfance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</si>
</sst>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color theme="5" tint="-0.249977111117893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4" tint="-0.249977111117893"/>
      <name val="Calibri"/>
      <family val="2"/>
    </font>
    <font>
      <sz val="10"/>
      <color theme="4" tint="-0.249977111117893"/>
      <name val="Arial"/>
      <family val="2"/>
    </font>
    <font>
      <b/>
      <sz val="10"/>
      <color theme="4" tint="-0.249977111117893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theme="8" tint="0.79998168889431442"/>
      </patternFill>
    </fill>
    <fill>
      <patternFill patternType="solid">
        <fgColor theme="7" tint="0.39997558519241921"/>
        <bgColor theme="8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E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8" fontId="5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0" fillId="0" borderId="4" xfId="0" applyNumberFormat="1" applyBorder="1" applyAlignment="1">
      <alignment vertical="center"/>
    </xf>
    <xf numFmtId="164" fontId="0" fillId="0" borderId="4" xfId="0" applyNumberFormat="1" applyBorder="1"/>
    <xf numFmtId="8" fontId="0" fillId="0" borderId="4" xfId="0" applyNumberFormat="1" applyBorder="1"/>
    <xf numFmtId="10" fontId="0" fillId="0" borderId="4" xfId="1" applyNumberFormat="1" applyFont="1" applyBorder="1"/>
    <xf numFmtId="0" fontId="7" fillId="0" borderId="4" xfId="0" applyFont="1" applyBorder="1" applyAlignment="1">
      <alignment horizontal="center" vertical="center"/>
    </xf>
    <xf numFmtId="8" fontId="8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8" fontId="5" fillId="0" borderId="5" xfId="0" applyNumberFormat="1" applyFont="1" applyBorder="1" applyAlignment="1">
      <alignment horizontal="center" vertical="center"/>
    </xf>
    <xf numFmtId="0" fontId="0" fillId="0" borderId="5" xfId="0" applyBorder="1"/>
    <xf numFmtId="164" fontId="0" fillId="0" borderId="5" xfId="0" applyNumberFormat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8" fontId="9" fillId="3" borderId="4" xfId="0" applyNumberFormat="1" applyFont="1" applyFill="1" applyBorder="1" applyAlignment="1">
      <alignment horizontal="center" vertical="center"/>
    </xf>
    <xf numFmtId="164" fontId="10" fillId="3" borderId="4" xfId="0" applyNumberFormat="1" applyFont="1" applyFill="1" applyBorder="1" applyAlignment="1">
      <alignment vertical="center"/>
    </xf>
    <xf numFmtId="164" fontId="11" fillId="3" borderId="6" xfId="0" applyNumberFormat="1" applyFont="1" applyFill="1" applyBorder="1"/>
    <xf numFmtId="10" fontId="6" fillId="0" borderId="0" xfId="0" applyNumberFormat="1" applyFont="1"/>
    <xf numFmtId="0" fontId="12" fillId="0" borderId="0" xfId="0" applyFont="1" applyAlignment="1">
      <alignment vertical="center" wrapText="1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6" fillId="0" borderId="1" xfId="0" applyFont="1" applyBorder="1"/>
    <xf numFmtId="0" fontId="0" fillId="5" borderId="4" xfId="0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2" fillId="7" borderId="4" xfId="0" quotePrefix="1" applyFont="1" applyFill="1" applyBorder="1"/>
    <xf numFmtId="4" fontId="13" fillId="8" borderId="4" xfId="0" applyNumberFormat="1" applyFont="1" applyFill="1" applyBorder="1"/>
    <xf numFmtId="4" fontId="0" fillId="9" borderId="4" xfId="0" applyNumberFormat="1" applyFill="1" applyBorder="1"/>
    <xf numFmtId="0" fontId="6" fillId="6" borderId="4" xfId="0" applyFont="1" applyFill="1" applyBorder="1" applyAlignment="1">
      <alignment horizontal="center" vertical="center"/>
    </xf>
    <xf numFmtId="0" fontId="14" fillId="7" borderId="4" xfId="0" applyFont="1" applyFill="1" applyBorder="1"/>
    <xf numFmtId="4" fontId="0" fillId="0" borderId="4" xfId="0" applyNumberFormat="1" applyBorder="1"/>
    <xf numFmtId="0" fontId="0" fillId="6" borderId="4" xfId="0" applyFill="1" applyBorder="1"/>
    <xf numFmtId="4" fontId="0" fillId="7" borderId="4" xfId="0" applyNumberFormat="1" applyFill="1" applyBorder="1"/>
    <xf numFmtId="0" fontId="13" fillId="0" borderId="4" xfId="0" applyFont="1" applyBorder="1"/>
    <xf numFmtId="0" fontId="0" fillId="0" borderId="7" xfId="0" applyBorder="1"/>
    <xf numFmtId="0" fontId="14" fillId="7" borderId="7" xfId="0" applyFont="1" applyFill="1" applyBorder="1"/>
    <xf numFmtId="0" fontId="13" fillId="0" borderId="7" xfId="0" applyFont="1" applyBorder="1"/>
    <xf numFmtId="0" fontId="14" fillId="3" borderId="4" xfId="0" applyFont="1" applyFill="1" applyBorder="1"/>
    <xf numFmtId="4" fontId="2" fillId="3" borderId="4" xfId="0" applyNumberFormat="1" applyFont="1" applyFill="1" applyBorder="1"/>
    <xf numFmtId="4" fontId="0" fillId="6" borderId="4" xfId="0" applyNumberFormat="1" applyFill="1" applyBorder="1"/>
    <xf numFmtId="1" fontId="2" fillId="3" borderId="4" xfId="0" applyNumberFormat="1" applyFont="1" applyFill="1" applyBorder="1"/>
    <xf numFmtId="4" fontId="2" fillId="6" borderId="4" xfId="0" applyNumberFormat="1" applyFont="1" applyFill="1" applyBorder="1"/>
    <xf numFmtId="0" fontId="14" fillId="7" borderId="8" xfId="0" applyFont="1" applyFill="1" applyBorder="1"/>
    <xf numFmtId="0" fontId="6" fillId="0" borderId="0" xfId="0" applyFont="1"/>
    <xf numFmtId="0" fontId="0" fillId="0" borderId="9" xfId="0" applyBorder="1"/>
    <xf numFmtId="0" fontId="14" fillId="7" borderId="10" xfId="0" applyFont="1" applyFill="1" applyBorder="1"/>
    <xf numFmtId="0" fontId="6" fillId="5" borderId="4" xfId="0" applyFont="1" applyFill="1" applyBorder="1" applyAlignment="1">
      <alignment wrapText="1"/>
    </xf>
    <xf numFmtId="0" fontId="6" fillId="5" borderId="4" xfId="0" applyFont="1" applyFill="1" applyBorder="1"/>
    <xf numFmtId="0" fontId="6" fillId="5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/>
    </xf>
    <xf numFmtId="0" fontId="6" fillId="5" borderId="4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/>
    </xf>
    <xf numFmtId="0" fontId="0" fillId="7" borderId="4" xfId="0" applyFill="1" applyBorder="1"/>
    <xf numFmtId="4" fontId="0" fillId="10" borderId="4" xfId="0" applyNumberFormat="1" applyFill="1" applyBorder="1"/>
    <xf numFmtId="4" fontId="2" fillId="11" borderId="4" xfId="0" applyNumberFormat="1" applyFont="1" applyFill="1" applyBorder="1"/>
    <xf numFmtId="0" fontId="2" fillId="7" borderId="14" xfId="0" applyFont="1" applyFill="1" applyBorder="1" applyAlignment="1">
      <alignment vertical="center"/>
    </xf>
    <xf numFmtId="0" fontId="2" fillId="7" borderId="15" xfId="0" applyFont="1" applyFill="1" applyBorder="1" applyAlignment="1">
      <alignment vertical="center"/>
    </xf>
    <xf numFmtId="0" fontId="2" fillId="0" borderId="4" xfId="0" applyFont="1" applyBorder="1"/>
    <xf numFmtId="0" fontId="2" fillId="0" borderId="0" xfId="0" applyFont="1"/>
    <xf numFmtId="0" fontId="2" fillId="0" borderId="4" xfId="0" applyFont="1" applyBorder="1" applyAlignment="1">
      <alignment horizontal="center"/>
    </xf>
    <xf numFmtId="4" fontId="13" fillId="8" borderId="14" xfId="0" applyNumberFormat="1" applyFont="1" applyFill="1" applyBorder="1" applyAlignment="1">
      <alignment horizontal="right"/>
    </xf>
    <xf numFmtId="4" fontId="13" fillId="8" borderId="11" xfId="0" applyNumberFormat="1" applyFont="1" applyFill="1" applyBorder="1" applyAlignment="1">
      <alignment horizontal="right"/>
    </xf>
    <xf numFmtId="4" fontId="0" fillId="12" borderId="4" xfId="0" applyNumberFormat="1" applyFill="1" applyBorder="1"/>
    <xf numFmtId="0" fontId="2" fillId="7" borderId="0" xfId="0" applyFont="1" applyFill="1" applyAlignment="1">
      <alignment vertical="center" wrapText="1"/>
    </xf>
    <xf numFmtId="0" fontId="2" fillId="7" borderId="15" xfId="0" applyFont="1" applyFill="1" applyBorder="1" applyAlignment="1">
      <alignment vertical="center" wrapText="1"/>
    </xf>
    <xf numFmtId="4" fontId="13" fillId="13" borderId="4" xfId="0" applyNumberFormat="1" applyFont="1" applyFill="1" applyBorder="1"/>
    <xf numFmtId="0" fontId="2" fillId="7" borderId="0" xfId="0" applyFont="1" applyFill="1" applyAlignment="1">
      <alignment vertical="center"/>
    </xf>
    <xf numFmtId="0" fontId="0" fillId="7" borderId="0" xfId="0" applyFill="1"/>
    <xf numFmtId="20" fontId="2" fillId="0" borderId="4" xfId="0" applyNumberFormat="1" applyFont="1" applyBorder="1" applyAlignment="1">
      <alignment horizontal="center"/>
    </xf>
    <xf numFmtId="4" fontId="14" fillId="14" borderId="4" xfId="0" applyNumberFormat="1" applyFont="1" applyFill="1" applyBorder="1"/>
    <xf numFmtId="0" fontId="2" fillId="0" borderId="4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4" fontId="13" fillId="7" borderId="4" xfId="0" applyNumberFormat="1" applyFont="1" applyFill="1" applyBorder="1"/>
    <xf numFmtId="0" fontId="15" fillId="16" borderId="16" xfId="0" applyFont="1" applyFill="1" applyBorder="1" applyAlignment="1">
      <alignment horizontal="center" vertical="top"/>
    </xf>
    <xf numFmtId="0" fontId="15" fillId="16" borderId="16" xfId="0" applyFont="1" applyFill="1" applyBorder="1" applyAlignment="1">
      <alignment horizontal="left" vertical="top"/>
    </xf>
    <xf numFmtId="0" fontId="6" fillId="17" borderId="17" xfId="0" applyFont="1" applyFill="1" applyBorder="1" applyAlignment="1">
      <alignment horizontal="center" vertical="top"/>
    </xf>
    <xf numFmtId="0" fontId="6" fillId="17" borderId="17" xfId="0" applyFont="1" applyFill="1" applyBorder="1" applyAlignment="1">
      <alignment horizontal="right" vertical="top"/>
    </xf>
    <xf numFmtId="0" fontId="6" fillId="17" borderId="17" xfId="0" applyFont="1" applyFill="1" applyBorder="1" applyAlignment="1">
      <alignment horizontal="left" vertical="top"/>
    </xf>
    <xf numFmtId="0" fontId="6" fillId="16" borderId="17" xfId="0" applyFont="1" applyFill="1" applyBorder="1" applyAlignment="1">
      <alignment horizontal="center" vertical="top"/>
    </xf>
    <xf numFmtId="0" fontId="6" fillId="16" borderId="17" xfId="0" applyFont="1" applyFill="1" applyBorder="1" applyAlignment="1">
      <alignment horizontal="right" vertical="top"/>
    </xf>
    <xf numFmtId="4" fontId="6" fillId="0" borderId="0" xfId="0" applyNumberFormat="1" applyFont="1"/>
    <xf numFmtId="4" fontId="0" fillId="0" borderId="0" xfId="0" applyNumberFormat="1"/>
    <xf numFmtId="0" fontId="6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15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" fontId="0" fillId="9" borderId="5" xfId="0" applyNumberFormat="1" applyFill="1" applyBorder="1" applyAlignment="1">
      <alignment horizontal="right"/>
    </xf>
    <xf numFmtId="4" fontId="0" fillId="9" borderId="6" xfId="0" applyNumberForma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4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7" borderId="5" xfId="0" quotePrefix="1" applyFont="1" applyFill="1" applyBorder="1" applyAlignment="1">
      <alignment horizontal="center"/>
    </xf>
    <xf numFmtId="0" fontId="2" fillId="7" borderId="6" xfId="0" quotePrefix="1" applyFont="1" applyFill="1" applyBorder="1" applyAlignment="1">
      <alignment horizontal="center"/>
    </xf>
    <xf numFmtId="4" fontId="13" fillId="8" borderId="5" xfId="0" applyNumberFormat="1" applyFont="1" applyFill="1" applyBorder="1" applyAlignment="1">
      <alignment horizontal="right" vertical="center"/>
    </xf>
    <xf numFmtId="4" fontId="13" fillId="8" borderId="6" xfId="0" applyNumberFormat="1" applyFont="1" applyFill="1" applyBorder="1" applyAlignment="1">
      <alignment horizontal="right" vertical="center"/>
    </xf>
    <xf numFmtId="4" fontId="13" fillId="8" borderId="4" xfId="0" applyNumberFormat="1" applyFont="1" applyFill="1" applyBorder="1" applyAlignment="1">
      <alignment horizontal="right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4" fontId="13" fillId="8" borderId="5" xfId="0" applyNumberFormat="1" applyFont="1" applyFill="1" applyBorder="1" applyAlignment="1">
      <alignment horizontal="center" vertical="center"/>
    </xf>
    <xf numFmtId="4" fontId="13" fillId="8" borderId="6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agedg2\Downloads\CALC%20DEP%20(1).xlsx" TargetMode="External"/><Relationship Id="rId1" Type="http://schemas.openxmlformats.org/officeDocument/2006/relationships/externalLinkPath" Target="file:///C:\Users\stagedg2\Downloads\CALC%20DEP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ances1\Downloads\Edition_d_un_journal_de_paie_142129.slk" TargetMode="External"/><Relationship Id="rId1" Type="http://schemas.openxmlformats.org/officeDocument/2006/relationships/externalLinkPath" Target="file:///C:\Users\finances1\Downloads\Edition_d_un_journal_de_paie_142129.slk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ances1\AppData\Roaming\Microsoft\Windows\Network%20Shortcuts\Suivi%20consos%20et%20facturations%20ELEC%20sur%20BP2024-2025-2026.xlsx" TargetMode="External"/><Relationship Id="rId1" Type="http://schemas.openxmlformats.org/officeDocument/2006/relationships/externalLinkPath" Target="file:///C:\Users\finances1\AppData\Roaming\Microsoft\Windows\Network%20Shortcuts\Suivi%20consos%20et%20facturations%20ELEC%20sur%20BP2024-2025-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ances1\AppData\Roaming\Microsoft\Windows\Network%20Shortcuts\Suivi%20consos%20et%20facturations%20EAU%20sur%20BP2024-2025-2026.xlsx" TargetMode="External"/><Relationship Id="rId1" Type="http://schemas.openxmlformats.org/officeDocument/2006/relationships/externalLinkPath" Target="file:///C:\Users\finances1\AppData\Roaming\Microsoft\Windows\Network%20Shortcuts\Suivi%20consos%20et%20facturations%20EAU%20sur%20BP2024-2025-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ances1\Downloads\depenses%20centre%20de%20loisirs%202025.xlsx" TargetMode="External"/><Relationship Id="rId1" Type="http://schemas.openxmlformats.org/officeDocument/2006/relationships/externalLinkPath" Target="file:///C:\Users\stagedg2\Downloads\depenses%20centre%20de%20loisirs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ances1\Downloads\conso%20elec.xlsx" TargetMode="External"/><Relationship Id="rId1" Type="http://schemas.openxmlformats.org/officeDocument/2006/relationships/externalLinkPath" Target="file:///C:\Users\finances1\Downloads\conso%20elec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ances1\Downloads\_ShowList%20(4).xls.xlsm" TargetMode="External"/><Relationship Id="rId1" Type="http://schemas.openxmlformats.org/officeDocument/2006/relationships/externalLinkPath" Target="file:///C:\Users\finances1\Downloads\_ShowList%20(4).xl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penses restau 2025"/>
      <sheetName val="Depenses,service,RE"/>
      <sheetName val="DEP ALIM"/>
      <sheetName val="DEP ALIM MODIF"/>
      <sheetName val="DEP ALIM TCD"/>
      <sheetName val="CONSO ELEC"/>
      <sheetName val="CONSO GAZ"/>
      <sheetName val="Conso eau"/>
      <sheetName val="Simulation"/>
    </sheetNames>
    <sheetDataSet>
      <sheetData sheetId="0">
        <row r="1">
          <cell r="H1" t="str">
            <v>Montant TTC</v>
          </cell>
        </row>
        <row r="2">
          <cell r="H2">
            <v>576.51</v>
          </cell>
        </row>
        <row r="3">
          <cell r="H3">
            <v>464.26</v>
          </cell>
        </row>
        <row r="4">
          <cell r="H4">
            <v>20581.580000000002</v>
          </cell>
        </row>
        <row r="5">
          <cell r="H5">
            <v>31959.66</v>
          </cell>
        </row>
        <row r="6">
          <cell r="H6">
            <v>65753.279999999999</v>
          </cell>
        </row>
        <row r="7">
          <cell r="H7">
            <v>4665.24</v>
          </cell>
        </row>
        <row r="8">
          <cell r="H8">
            <v>403.25</v>
          </cell>
        </row>
        <row r="9">
          <cell r="H9">
            <v>4375.97</v>
          </cell>
        </row>
        <row r="12">
          <cell r="H12">
            <v>200.99</v>
          </cell>
        </row>
        <row r="14">
          <cell r="H14">
            <v>32717.64</v>
          </cell>
        </row>
        <row r="15">
          <cell r="H15">
            <v>10247.290000000001</v>
          </cell>
        </row>
        <row r="16">
          <cell r="H16">
            <v>403.25</v>
          </cell>
        </row>
        <row r="17">
          <cell r="H17">
            <v>8332.8799999999992</v>
          </cell>
        </row>
        <row r="19">
          <cell r="H19">
            <v>39569.42</v>
          </cell>
        </row>
        <row r="20">
          <cell r="H20">
            <v>30000</v>
          </cell>
        </row>
        <row r="21">
          <cell r="H21">
            <v>764.95</v>
          </cell>
        </row>
        <row r="22">
          <cell r="H22">
            <v>3514.74</v>
          </cell>
        </row>
        <row r="23">
          <cell r="H23">
            <v>3262.23</v>
          </cell>
        </row>
        <row r="24">
          <cell r="H24">
            <v>393.5</v>
          </cell>
        </row>
        <row r="25">
          <cell r="H25">
            <v>169.87</v>
          </cell>
        </row>
        <row r="27">
          <cell r="H27">
            <v>330.13</v>
          </cell>
        </row>
        <row r="28">
          <cell r="H28">
            <v>84.98</v>
          </cell>
        </row>
        <row r="29">
          <cell r="H29">
            <v>7626.18</v>
          </cell>
        </row>
        <row r="30">
          <cell r="H30">
            <v>8906.36</v>
          </cell>
        </row>
        <row r="31">
          <cell r="H31">
            <v>32235.05</v>
          </cell>
        </row>
        <row r="32">
          <cell r="H32">
            <v>1363.58</v>
          </cell>
        </row>
        <row r="34">
          <cell r="H34">
            <v>4185.8</v>
          </cell>
        </row>
        <row r="35">
          <cell r="H35">
            <v>4116.05</v>
          </cell>
        </row>
        <row r="37">
          <cell r="H37">
            <v>420</v>
          </cell>
        </row>
        <row r="38">
          <cell r="H38">
            <v>53133.08</v>
          </cell>
        </row>
        <row r="40">
          <cell r="H40">
            <v>3156.78</v>
          </cell>
        </row>
        <row r="41">
          <cell r="H41">
            <v>1377.27</v>
          </cell>
        </row>
        <row r="42">
          <cell r="H42">
            <v>2000</v>
          </cell>
        </row>
        <row r="44">
          <cell r="H44">
            <v>3572.73</v>
          </cell>
        </row>
        <row r="45">
          <cell r="H45">
            <v>127.43</v>
          </cell>
        </row>
        <row r="46">
          <cell r="H46">
            <v>1466.21</v>
          </cell>
        </row>
        <row r="47">
          <cell r="H47">
            <v>2000</v>
          </cell>
        </row>
        <row r="48">
          <cell r="H48">
            <v>266.91000000000003</v>
          </cell>
        </row>
        <row r="49">
          <cell r="H49">
            <v>500</v>
          </cell>
        </row>
        <row r="50">
          <cell r="H50">
            <v>69.3</v>
          </cell>
        </row>
        <row r="51">
          <cell r="H51">
            <v>60398.07</v>
          </cell>
        </row>
        <row r="52">
          <cell r="H52">
            <v>11949.56</v>
          </cell>
        </row>
        <row r="54">
          <cell r="H54">
            <v>231.28</v>
          </cell>
        </row>
        <row r="56">
          <cell r="H56">
            <v>8961.84</v>
          </cell>
        </row>
        <row r="58">
          <cell r="H58">
            <v>47.44</v>
          </cell>
        </row>
        <row r="59">
          <cell r="H59">
            <v>9937.9599999999991</v>
          </cell>
        </row>
        <row r="60">
          <cell r="H60">
            <v>36.630000000000003</v>
          </cell>
        </row>
        <row r="61">
          <cell r="H61">
            <v>13475.81</v>
          </cell>
        </row>
        <row r="62">
          <cell r="H62">
            <v>13804.3</v>
          </cell>
        </row>
        <row r="66">
          <cell r="H66">
            <v>2679.53</v>
          </cell>
        </row>
        <row r="67">
          <cell r="H67">
            <v>8636.42</v>
          </cell>
        </row>
        <row r="68">
          <cell r="H68">
            <v>6866.92</v>
          </cell>
        </row>
        <row r="69">
          <cell r="H69">
            <v>754.6</v>
          </cell>
        </row>
        <row r="70">
          <cell r="H70">
            <v>50000</v>
          </cell>
        </row>
        <row r="71">
          <cell r="H71">
            <v>5199.99</v>
          </cell>
        </row>
        <row r="72">
          <cell r="H72">
            <v>415.11</v>
          </cell>
        </row>
        <row r="73">
          <cell r="H73">
            <v>2518.41</v>
          </cell>
        </row>
        <row r="75">
          <cell r="H75">
            <v>10327.44</v>
          </cell>
        </row>
        <row r="76">
          <cell r="H76">
            <v>38731.480000000003</v>
          </cell>
        </row>
        <row r="77">
          <cell r="H77">
            <v>11251.18</v>
          </cell>
        </row>
        <row r="79">
          <cell r="H79">
            <v>415.11</v>
          </cell>
        </row>
        <row r="80">
          <cell r="H80">
            <v>0.14000000000000001</v>
          </cell>
        </row>
        <row r="81">
          <cell r="H81">
            <v>3000</v>
          </cell>
        </row>
        <row r="82">
          <cell r="H82">
            <v>671.32</v>
          </cell>
        </row>
        <row r="83">
          <cell r="H83">
            <v>3553.68</v>
          </cell>
        </row>
        <row r="84">
          <cell r="H84">
            <v>415.11</v>
          </cell>
        </row>
        <row r="85">
          <cell r="H85">
            <v>64178.79</v>
          </cell>
        </row>
      </sheetData>
      <sheetData sheetId="1"/>
      <sheetData sheetId="2"/>
      <sheetData sheetId="3">
        <row r="1">
          <cell r="N1" t="str">
            <v>Montant TTC</v>
          </cell>
        </row>
        <row r="2">
          <cell r="N2">
            <v>29.71</v>
          </cell>
        </row>
        <row r="3">
          <cell r="N3">
            <v>20.420000000000002</v>
          </cell>
        </row>
        <row r="5">
          <cell r="N5">
            <v>29.71</v>
          </cell>
        </row>
        <row r="6">
          <cell r="N6">
            <v>43.63</v>
          </cell>
        </row>
        <row r="13">
          <cell r="N13">
            <v>30.42</v>
          </cell>
        </row>
        <row r="14">
          <cell r="N14">
            <v>70.2</v>
          </cell>
        </row>
        <row r="15">
          <cell r="N15">
            <v>56.16</v>
          </cell>
        </row>
        <row r="16">
          <cell r="N16">
            <v>56.16</v>
          </cell>
        </row>
        <row r="31">
          <cell r="N31">
            <v>198.89</v>
          </cell>
        </row>
        <row r="32">
          <cell r="N32">
            <v>150.38999999999999</v>
          </cell>
        </row>
        <row r="36">
          <cell r="N36">
            <v>1021.18</v>
          </cell>
        </row>
        <row r="37">
          <cell r="N37">
            <v>183.61</v>
          </cell>
        </row>
        <row r="44">
          <cell r="N44">
            <v>194.4</v>
          </cell>
        </row>
        <row r="63">
          <cell r="N63">
            <v>26</v>
          </cell>
        </row>
        <row r="64">
          <cell r="N64">
            <v>26</v>
          </cell>
        </row>
        <row r="65">
          <cell r="N65">
            <v>32.49</v>
          </cell>
        </row>
        <row r="66">
          <cell r="N66">
            <v>25.07</v>
          </cell>
        </row>
        <row r="68">
          <cell r="N68">
            <v>76.05</v>
          </cell>
        </row>
        <row r="69">
          <cell r="N69">
            <v>33.93</v>
          </cell>
        </row>
        <row r="77">
          <cell r="N77">
            <v>25.74</v>
          </cell>
        </row>
        <row r="78">
          <cell r="N78">
            <v>58.5</v>
          </cell>
        </row>
        <row r="79">
          <cell r="N79">
            <v>46.8</v>
          </cell>
        </row>
        <row r="81">
          <cell r="N81">
            <v>146.51</v>
          </cell>
        </row>
        <row r="101">
          <cell r="N101">
            <v>22.28</v>
          </cell>
        </row>
        <row r="108">
          <cell r="N108">
            <v>60.84</v>
          </cell>
        </row>
        <row r="114">
          <cell r="N114">
            <v>12.98</v>
          </cell>
        </row>
        <row r="116">
          <cell r="N116">
            <v>199.45</v>
          </cell>
        </row>
        <row r="117">
          <cell r="N117">
            <v>33.76</v>
          </cell>
        </row>
        <row r="118">
          <cell r="N118">
            <v>96.95</v>
          </cell>
        </row>
        <row r="119">
          <cell r="N119">
            <v>149.88</v>
          </cell>
        </row>
        <row r="120">
          <cell r="N120">
            <v>136.62</v>
          </cell>
        </row>
        <row r="121">
          <cell r="N121">
            <v>187.77</v>
          </cell>
        </row>
        <row r="122">
          <cell r="N122">
            <v>43.67</v>
          </cell>
        </row>
        <row r="123">
          <cell r="N123">
            <v>93.57</v>
          </cell>
        </row>
        <row r="124">
          <cell r="N124">
            <v>79.819999999999993</v>
          </cell>
        </row>
        <row r="125">
          <cell r="N125">
            <v>99.67</v>
          </cell>
        </row>
        <row r="126">
          <cell r="N126">
            <v>200</v>
          </cell>
        </row>
        <row r="127">
          <cell r="N127">
            <v>198.6</v>
          </cell>
        </row>
        <row r="128">
          <cell r="N128">
            <v>159.84</v>
          </cell>
        </row>
        <row r="132">
          <cell r="N132">
            <v>22.18</v>
          </cell>
        </row>
        <row r="133">
          <cell r="N133">
            <v>22.28</v>
          </cell>
        </row>
        <row r="134">
          <cell r="N134">
            <v>27.85</v>
          </cell>
        </row>
        <row r="136">
          <cell r="N136">
            <v>44.56</v>
          </cell>
        </row>
        <row r="137">
          <cell r="N137">
            <v>44.56</v>
          </cell>
        </row>
        <row r="138">
          <cell r="N138">
            <v>26</v>
          </cell>
        </row>
        <row r="140">
          <cell r="N140">
            <v>200.13</v>
          </cell>
        </row>
        <row r="159">
          <cell r="N159">
            <v>28.08</v>
          </cell>
        </row>
        <row r="160">
          <cell r="N160">
            <v>16.38</v>
          </cell>
        </row>
        <row r="161">
          <cell r="N161">
            <v>9.36</v>
          </cell>
        </row>
        <row r="163">
          <cell r="N163">
            <v>9.36</v>
          </cell>
        </row>
        <row r="165">
          <cell r="N165">
            <v>42.12</v>
          </cell>
        </row>
        <row r="181">
          <cell r="N181">
            <v>135.59</v>
          </cell>
        </row>
        <row r="183">
          <cell r="N183">
            <v>103.54</v>
          </cell>
        </row>
        <row r="184">
          <cell r="N184">
            <v>148.96</v>
          </cell>
        </row>
        <row r="199">
          <cell r="N199">
            <v>147.72999999999999</v>
          </cell>
        </row>
        <row r="222">
          <cell r="N222">
            <v>55.7</v>
          </cell>
        </row>
        <row r="228">
          <cell r="N228">
            <v>206.62</v>
          </cell>
        </row>
        <row r="238">
          <cell r="N238">
            <v>49.59</v>
          </cell>
        </row>
        <row r="239">
          <cell r="N239">
            <v>36.270000000000003</v>
          </cell>
        </row>
        <row r="240">
          <cell r="N240">
            <v>81.900000000000006</v>
          </cell>
        </row>
        <row r="241">
          <cell r="N241">
            <v>65.52</v>
          </cell>
        </row>
        <row r="242">
          <cell r="N242">
            <v>65.52</v>
          </cell>
        </row>
        <row r="251">
          <cell r="N251">
            <v>194.86</v>
          </cell>
        </row>
        <row r="256">
          <cell r="N256">
            <v>199.8</v>
          </cell>
        </row>
        <row r="257">
          <cell r="N257">
            <v>14.26</v>
          </cell>
        </row>
        <row r="258">
          <cell r="N258">
            <v>99.81</v>
          </cell>
        </row>
        <row r="265">
          <cell r="N265">
            <v>62.29</v>
          </cell>
        </row>
        <row r="266">
          <cell r="N266">
            <v>199.72</v>
          </cell>
        </row>
        <row r="274">
          <cell r="N274">
            <v>349.28</v>
          </cell>
        </row>
        <row r="276">
          <cell r="N276">
            <v>138.52000000000001</v>
          </cell>
        </row>
        <row r="277">
          <cell r="N277">
            <v>26</v>
          </cell>
        </row>
        <row r="278">
          <cell r="N278">
            <v>26</v>
          </cell>
        </row>
        <row r="279">
          <cell r="N279">
            <v>32.49</v>
          </cell>
        </row>
        <row r="280">
          <cell r="N280">
            <v>22.28</v>
          </cell>
        </row>
        <row r="282">
          <cell r="N282">
            <v>30.42</v>
          </cell>
        </row>
        <row r="283">
          <cell r="N283">
            <v>64.349999999999994</v>
          </cell>
        </row>
        <row r="284">
          <cell r="N284">
            <v>51.48</v>
          </cell>
        </row>
        <row r="285">
          <cell r="N285">
            <v>51.48</v>
          </cell>
        </row>
        <row r="287">
          <cell r="N287">
            <v>99.31</v>
          </cell>
        </row>
        <row r="289">
          <cell r="N289">
            <v>60.84</v>
          </cell>
        </row>
        <row r="290">
          <cell r="N290">
            <v>199.96</v>
          </cell>
        </row>
        <row r="292">
          <cell r="N292">
            <v>248.92</v>
          </cell>
        </row>
        <row r="293">
          <cell r="N293">
            <v>697.18</v>
          </cell>
        </row>
        <row r="294">
          <cell r="N294">
            <v>250.05</v>
          </cell>
        </row>
        <row r="295">
          <cell r="N295">
            <v>300.35000000000002</v>
          </cell>
        </row>
        <row r="298">
          <cell r="N298">
            <v>380</v>
          </cell>
        </row>
        <row r="299">
          <cell r="N299">
            <v>60</v>
          </cell>
        </row>
        <row r="306">
          <cell r="N306">
            <v>200</v>
          </cell>
        </row>
        <row r="307">
          <cell r="N307">
            <v>250</v>
          </cell>
        </row>
        <row r="308">
          <cell r="N308">
            <v>100</v>
          </cell>
        </row>
        <row r="309">
          <cell r="N309">
            <v>100</v>
          </cell>
        </row>
        <row r="310">
          <cell r="N310">
            <v>400</v>
          </cell>
        </row>
        <row r="311">
          <cell r="N311">
            <v>300</v>
          </cell>
        </row>
        <row r="319">
          <cell r="N319">
            <v>100</v>
          </cell>
        </row>
        <row r="342">
          <cell r="N342">
            <v>33.42</v>
          </cell>
        </row>
        <row r="343">
          <cell r="N343">
            <v>41.77</v>
          </cell>
        </row>
        <row r="344">
          <cell r="N344">
            <v>33.520000000000003</v>
          </cell>
        </row>
        <row r="345">
          <cell r="N345">
            <v>6.65</v>
          </cell>
        </row>
        <row r="346">
          <cell r="N346">
            <v>26</v>
          </cell>
        </row>
        <row r="1036130">
          <cell r="N1036130">
            <v>6254.03</v>
          </cell>
        </row>
        <row r="1036131">
          <cell r="N1036131">
            <v>2437.79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dition_d_un_journal_de_paie_14"/>
    </sheetNames>
    <sheetDataSet>
      <sheetData sheetId="0" refreshError="1">
        <row r="7">
          <cell r="B7">
            <v>664758.87</v>
          </cell>
        </row>
        <row r="8">
          <cell r="B8">
            <v>661314.32999999996</v>
          </cell>
        </row>
        <row r="9">
          <cell r="B9">
            <v>268883.59000000003</v>
          </cell>
        </row>
        <row r="10">
          <cell r="B10">
            <v>171094.89</v>
          </cell>
        </row>
        <row r="11">
          <cell r="B11">
            <v>157998.9</v>
          </cell>
        </row>
        <row r="12">
          <cell r="B12">
            <v>435474.22</v>
          </cell>
        </row>
        <row r="13">
          <cell r="B13">
            <v>97360.35</v>
          </cell>
        </row>
        <row r="14">
          <cell r="B14">
            <v>518185.07</v>
          </cell>
        </row>
        <row r="15">
          <cell r="B15">
            <v>58598.14</v>
          </cell>
        </row>
        <row r="16">
          <cell r="B16">
            <v>119794.89</v>
          </cell>
        </row>
        <row r="17">
          <cell r="B17">
            <v>102776.17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at consos TOTAL sur BP2025 "/>
      <sheetName val="Etats consos TOTAL sur BP 2026"/>
      <sheetName val="Etat consos EDF sur BP 2024"/>
    </sheetNames>
    <sheetDataSet>
      <sheetData sheetId="0" refreshError="1">
        <row r="11">
          <cell r="K11">
            <v>3295.15</v>
          </cell>
          <cell r="AA11">
            <v>989.36</v>
          </cell>
          <cell r="AI11">
            <v>694.8</v>
          </cell>
          <cell r="AQ11">
            <v>694.63</v>
          </cell>
          <cell r="AU11">
            <v>834.55</v>
          </cell>
          <cell r="BC11">
            <v>750.18</v>
          </cell>
          <cell r="BK11">
            <v>856.87</v>
          </cell>
          <cell r="BS11">
            <v>1745.05</v>
          </cell>
          <cell r="CI11">
            <v>3275.03</v>
          </cell>
          <cell r="CM11">
            <v>1956.47</v>
          </cell>
          <cell r="DS11">
            <v>3012.55</v>
          </cell>
        </row>
        <row r="14">
          <cell r="K14">
            <v>2147.6799999999998</v>
          </cell>
          <cell r="O14">
            <v>1384.31</v>
          </cell>
          <cell r="AA14">
            <v>1101.95</v>
          </cell>
          <cell r="AI14">
            <v>756.07</v>
          </cell>
          <cell r="AQ14">
            <v>601.74</v>
          </cell>
          <cell r="AU14">
            <v>753.91</v>
          </cell>
          <cell r="BC14">
            <v>824.47</v>
          </cell>
          <cell r="BK14">
            <v>798.77</v>
          </cell>
          <cell r="BS14">
            <v>1399.69</v>
          </cell>
          <cell r="CI14">
            <v>1836.2</v>
          </cell>
          <cell r="CM14">
            <v>986.99</v>
          </cell>
          <cell r="DS14">
            <v>1717.43</v>
          </cell>
        </row>
        <row r="22">
          <cell r="K22">
            <v>1198.3399999999999</v>
          </cell>
          <cell r="O22">
            <v>880.84</v>
          </cell>
          <cell r="AA22">
            <v>740.26</v>
          </cell>
          <cell r="AI22">
            <v>574.98</v>
          </cell>
          <cell r="AQ22">
            <v>496.99</v>
          </cell>
          <cell r="AU22">
            <v>627.79</v>
          </cell>
          <cell r="BC22">
            <v>608.69000000000005</v>
          </cell>
          <cell r="BK22">
            <v>625.01</v>
          </cell>
          <cell r="BS22">
            <v>961.25</v>
          </cell>
          <cell r="CI22">
            <v>1086.95</v>
          </cell>
          <cell r="CM22">
            <v>831.87</v>
          </cell>
          <cell r="DS22">
            <v>1093.1600000000001</v>
          </cell>
        </row>
        <row r="67">
          <cell r="S67">
            <v>226.91</v>
          </cell>
          <cell r="W67">
            <v>106.18</v>
          </cell>
          <cell r="AE67">
            <v>103.51</v>
          </cell>
          <cell r="AM67">
            <v>90.65</v>
          </cell>
          <cell r="AY67">
            <v>94.61</v>
          </cell>
          <cell r="BG67">
            <v>72.73</v>
          </cell>
          <cell r="BO67">
            <v>94.38</v>
          </cell>
          <cell r="BW67">
            <v>183.31</v>
          </cell>
          <cell r="CA67">
            <v>274.52</v>
          </cell>
          <cell r="CE67">
            <v>391.99</v>
          </cell>
          <cell r="DG67">
            <v>278.08999999999997</v>
          </cell>
        </row>
        <row r="68">
          <cell r="S68">
            <v>567.61</v>
          </cell>
          <cell r="W68">
            <v>38.72</v>
          </cell>
          <cell r="AE68">
            <v>77.34</v>
          </cell>
          <cell r="AM68">
            <v>38.14</v>
          </cell>
          <cell r="AY68">
            <v>33.44</v>
          </cell>
          <cell r="BG68">
            <v>-50.75</v>
          </cell>
          <cell r="BO68">
            <v>-26.21</v>
          </cell>
          <cell r="BW68">
            <v>524.08000000000004</v>
          </cell>
          <cell r="CA68">
            <v>1251.1400000000001</v>
          </cell>
          <cell r="CE68">
            <v>1562.36</v>
          </cell>
          <cell r="DG68">
            <v>1124.03</v>
          </cell>
        </row>
      </sheetData>
      <sheetData sheetId="1" refreshError="1">
        <row r="67">
          <cell r="K67">
            <v>346.66</v>
          </cell>
        </row>
        <row r="68">
          <cell r="K68">
            <v>1500.32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s eau 2026"/>
      <sheetName val="Consos eau 2025"/>
      <sheetName val="Consos eau 2024"/>
    </sheetNames>
    <sheetDataSet>
      <sheetData sheetId="0" refreshError="1">
        <row r="11">
          <cell r="I11">
            <v>1418.78</v>
          </cell>
        </row>
        <row r="15">
          <cell r="I15">
            <v>1709.62</v>
          </cell>
        </row>
        <row r="20">
          <cell r="I20">
            <v>1244.69</v>
          </cell>
        </row>
      </sheetData>
      <sheetData sheetId="1" refreshError="1">
        <row r="11">
          <cell r="S11">
            <v>5530.99</v>
          </cell>
        </row>
        <row r="15">
          <cell r="S15">
            <v>4483.21</v>
          </cell>
        </row>
        <row r="20">
          <cell r="S20">
            <v>1294.3399999999999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"/>
    </sheetNames>
    <sheetDataSet>
      <sheetData sheetId="0">
        <row r="10">
          <cell r="N10">
            <v>482</v>
          </cell>
        </row>
        <row r="11">
          <cell r="N11">
            <v>924</v>
          </cell>
        </row>
        <row r="12">
          <cell r="N12">
            <v>149.68</v>
          </cell>
        </row>
        <row r="13">
          <cell r="N13">
            <v>127.34</v>
          </cell>
        </row>
        <row r="14">
          <cell r="N14">
            <v>99.99</v>
          </cell>
        </row>
        <row r="15">
          <cell r="N15">
            <v>29.64</v>
          </cell>
        </row>
        <row r="16">
          <cell r="N16">
            <v>198.79</v>
          </cell>
        </row>
        <row r="17">
          <cell r="N17">
            <v>28.93</v>
          </cell>
        </row>
        <row r="18">
          <cell r="N18">
            <v>27.81</v>
          </cell>
        </row>
        <row r="19">
          <cell r="N19">
            <v>29.08</v>
          </cell>
        </row>
        <row r="20">
          <cell r="N20">
            <v>885.35</v>
          </cell>
        </row>
        <row r="21">
          <cell r="N21">
            <v>30</v>
          </cell>
        </row>
        <row r="22">
          <cell r="N22">
            <v>99.39</v>
          </cell>
        </row>
        <row r="23">
          <cell r="N23">
            <v>150</v>
          </cell>
        </row>
        <row r="24">
          <cell r="N24">
            <v>72.56</v>
          </cell>
        </row>
        <row r="25">
          <cell r="N25">
            <v>198.89</v>
          </cell>
        </row>
        <row r="26">
          <cell r="N26">
            <v>150.38999999999999</v>
          </cell>
        </row>
        <row r="27">
          <cell r="N27">
            <v>502</v>
          </cell>
        </row>
        <row r="28">
          <cell r="N28">
            <v>117.29</v>
          </cell>
        </row>
        <row r="29">
          <cell r="N29">
            <v>83.74</v>
          </cell>
        </row>
        <row r="30">
          <cell r="N30">
            <v>695</v>
          </cell>
        </row>
        <row r="31">
          <cell r="N31">
            <v>81.2</v>
          </cell>
        </row>
        <row r="32">
          <cell r="N32">
            <v>291.5</v>
          </cell>
        </row>
        <row r="33">
          <cell r="N33">
            <v>1021.18</v>
          </cell>
        </row>
        <row r="34">
          <cell r="N34">
            <v>379</v>
          </cell>
        </row>
        <row r="35">
          <cell r="N35">
            <v>183.61</v>
          </cell>
        </row>
        <row r="36">
          <cell r="N36">
            <v>109.7</v>
          </cell>
        </row>
        <row r="37">
          <cell r="N37">
            <v>440</v>
          </cell>
        </row>
        <row r="38">
          <cell r="N38">
            <v>69.599999999999994</v>
          </cell>
        </row>
        <row r="39">
          <cell r="N39">
            <v>29.74</v>
          </cell>
        </row>
        <row r="40">
          <cell r="N40">
            <v>29.41</v>
          </cell>
        </row>
        <row r="41">
          <cell r="N41">
            <v>135.15</v>
          </cell>
        </row>
        <row r="42">
          <cell r="N42">
            <v>400</v>
          </cell>
        </row>
        <row r="43">
          <cell r="N43">
            <v>120</v>
          </cell>
        </row>
        <row r="44">
          <cell r="N44">
            <v>3236.51</v>
          </cell>
        </row>
        <row r="46">
          <cell r="N46">
            <v>19.03</v>
          </cell>
        </row>
        <row r="47">
          <cell r="N47">
            <v>62.15</v>
          </cell>
        </row>
        <row r="48">
          <cell r="N48">
            <v>160.15</v>
          </cell>
        </row>
        <row r="49">
          <cell r="N49">
            <v>142.38999999999999</v>
          </cell>
        </row>
        <row r="50">
          <cell r="N50">
            <v>203.64</v>
          </cell>
        </row>
        <row r="51">
          <cell r="N51">
            <v>194.4</v>
          </cell>
        </row>
        <row r="52">
          <cell r="N52">
            <v>149.35</v>
          </cell>
        </row>
        <row r="53">
          <cell r="N53">
            <v>150</v>
          </cell>
        </row>
        <row r="54">
          <cell r="N54">
            <v>99.88</v>
          </cell>
        </row>
        <row r="55">
          <cell r="N55">
            <v>310.63</v>
          </cell>
        </row>
        <row r="56">
          <cell r="N56">
            <v>284.75</v>
          </cell>
        </row>
        <row r="57">
          <cell r="N57">
            <v>29.86</v>
          </cell>
        </row>
        <row r="58">
          <cell r="N58">
            <v>29.93</v>
          </cell>
        </row>
        <row r="59">
          <cell r="N59">
            <v>29.8</v>
          </cell>
        </row>
        <row r="60">
          <cell r="N60">
            <v>149.82</v>
          </cell>
        </row>
        <row r="61">
          <cell r="N61">
            <v>252</v>
          </cell>
        </row>
        <row r="62">
          <cell r="N62">
            <v>1274.3699999999999</v>
          </cell>
        </row>
        <row r="63">
          <cell r="N63">
            <v>132</v>
          </cell>
        </row>
        <row r="64">
          <cell r="N64">
            <v>227.66</v>
          </cell>
        </row>
        <row r="65">
          <cell r="N65">
            <v>391</v>
          </cell>
        </row>
        <row r="66">
          <cell r="N66">
            <v>399</v>
          </cell>
        </row>
        <row r="67">
          <cell r="N67">
            <v>555</v>
          </cell>
        </row>
        <row r="68">
          <cell r="N68">
            <v>405</v>
          </cell>
        </row>
        <row r="70">
          <cell r="N70">
            <v>198</v>
          </cell>
        </row>
        <row r="71">
          <cell r="N71">
            <v>99.99</v>
          </cell>
        </row>
        <row r="72">
          <cell r="N72">
            <v>687.64</v>
          </cell>
        </row>
        <row r="73">
          <cell r="N73">
            <v>146.51</v>
          </cell>
        </row>
        <row r="74">
          <cell r="N74">
            <v>28.28</v>
          </cell>
        </row>
        <row r="75">
          <cell r="N75">
            <v>79.41</v>
          </cell>
        </row>
        <row r="76">
          <cell r="N76">
            <v>99.39</v>
          </cell>
        </row>
        <row r="77">
          <cell r="N77">
            <v>29.55</v>
          </cell>
        </row>
        <row r="78">
          <cell r="N78">
            <v>29.67</v>
          </cell>
        </row>
        <row r="79">
          <cell r="N79">
            <v>99.28</v>
          </cell>
        </row>
        <row r="80">
          <cell r="N80">
            <v>29.4</v>
          </cell>
        </row>
        <row r="81">
          <cell r="N81">
            <v>330</v>
          </cell>
        </row>
        <row r="82">
          <cell r="N82">
            <v>29.46</v>
          </cell>
        </row>
        <row r="83">
          <cell r="N83">
            <v>99.24</v>
          </cell>
        </row>
        <row r="84">
          <cell r="N84">
            <v>29.78</v>
          </cell>
        </row>
        <row r="85">
          <cell r="N85">
            <v>29.61</v>
          </cell>
        </row>
        <row r="86">
          <cell r="N86">
            <v>119.5</v>
          </cell>
        </row>
        <row r="87">
          <cell r="N87">
            <v>99.32</v>
          </cell>
        </row>
        <row r="88">
          <cell r="N88">
            <v>149.79</v>
          </cell>
        </row>
        <row r="89">
          <cell r="N89">
            <v>149.65</v>
          </cell>
        </row>
        <row r="90">
          <cell r="N90">
            <v>196.77</v>
          </cell>
        </row>
        <row r="92">
          <cell r="N92">
            <v>149.94</v>
          </cell>
        </row>
        <row r="93">
          <cell r="N93">
            <v>480.13</v>
          </cell>
        </row>
        <row r="94">
          <cell r="N94">
            <v>116.99</v>
          </cell>
        </row>
        <row r="95">
          <cell r="N95">
            <v>379.39</v>
          </cell>
        </row>
        <row r="96">
          <cell r="N96">
            <v>59.24</v>
          </cell>
        </row>
        <row r="97">
          <cell r="N97">
            <v>298.95999999999998</v>
          </cell>
        </row>
        <row r="98">
          <cell r="N98">
            <v>46.4</v>
          </cell>
        </row>
        <row r="99">
          <cell r="N99">
            <v>12.98</v>
          </cell>
        </row>
        <row r="100">
          <cell r="N100">
            <v>190.96</v>
          </cell>
        </row>
        <row r="101">
          <cell r="N101">
            <v>74.19</v>
          </cell>
        </row>
        <row r="102">
          <cell r="N102">
            <v>199.45</v>
          </cell>
        </row>
        <row r="103">
          <cell r="N103">
            <v>33.76</v>
          </cell>
        </row>
        <row r="104">
          <cell r="N104">
            <v>96.95</v>
          </cell>
        </row>
        <row r="105">
          <cell r="N105">
            <v>149.88</v>
          </cell>
        </row>
        <row r="106">
          <cell r="N106">
            <v>136.62</v>
          </cell>
        </row>
        <row r="107">
          <cell r="N107">
            <v>187.77</v>
          </cell>
        </row>
        <row r="108">
          <cell r="N108">
            <v>43.67</v>
          </cell>
        </row>
        <row r="109">
          <cell r="N109">
            <v>17.34</v>
          </cell>
        </row>
        <row r="110">
          <cell r="N110">
            <v>93.57</v>
          </cell>
        </row>
        <row r="112">
          <cell r="N112">
            <v>74.38</v>
          </cell>
        </row>
        <row r="113">
          <cell r="N113">
            <v>79.819999999999993</v>
          </cell>
        </row>
        <row r="114">
          <cell r="N114">
            <v>90</v>
          </cell>
        </row>
        <row r="115">
          <cell r="N115">
            <v>99.67</v>
          </cell>
        </row>
        <row r="116">
          <cell r="N116">
            <v>128.76</v>
          </cell>
        </row>
        <row r="117">
          <cell r="N117">
            <v>298.79000000000002</v>
          </cell>
        </row>
        <row r="118">
          <cell r="N118">
            <v>200</v>
          </cell>
        </row>
        <row r="119">
          <cell r="N119">
            <v>134.41</v>
          </cell>
        </row>
        <row r="120">
          <cell r="N120">
            <v>198.6</v>
          </cell>
        </row>
        <row r="121">
          <cell r="N121">
            <v>570</v>
          </cell>
        </row>
        <row r="122">
          <cell r="N122">
            <v>208</v>
          </cell>
        </row>
        <row r="123">
          <cell r="N123">
            <v>199.5</v>
          </cell>
        </row>
        <row r="124">
          <cell r="N124">
            <v>365.5</v>
          </cell>
        </row>
        <row r="125">
          <cell r="N125">
            <v>159.84</v>
          </cell>
        </row>
        <row r="126">
          <cell r="N126">
            <v>1045.21</v>
          </cell>
        </row>
        <row r="127">
          <cell r="N127">
            <v>129.86000000000001</v>
          </cell>
        </row>
        <row r="128">
          <cell r="N128">
            <v>56.06</v>
          </cell>
        </row>
        <row r="129">
          <cell r="N129">
            <v>853.67</v>
          </cell>
        </row>
        <row r="130">
          <cell r="N130">
            <v>65.62</v>
          </cell>
        </row>
        <row r="131">
          <cell r="N131">
            <v>144.4</v>
          </cell>
        </row>
        <row r="132">
          <cell r="N132">
            <v>508</v>
          </cell>
        </row>
        <row r="133">
          <cell r="N133">
            <v>97</v>
          </cell>
        </row>
        <row r="134">
          <cell r="N134">
            <v>28.6</v>
          </cell>
        </row>
        <row r="135">
          <cell r="N135">
            <v>200.13</v>
          </cell>
        </row>
        <row r="136">
          <cell r="N136">
            <v>29.52</v>
          </cell>
        </row>
        <row r="137">
          <cell r="N137">
            <v>149.25</v>
          </cell>
        </row>
        <row r="138">
          <cell r="N138">
            <v>248.27</v>
          </cell>
        </row>
        <row r="139">
          <cell r="N139">
            <v>29.3</v>
          </cell>
        </row>
        <row r="140">
          <cell r="N140">
            <v>1027.3699999999999</v>
          </cell>
        </row>
        <row r="141">
          <cell r="N141">
            <v>89.6</v>
          </cell>
        </row>
        <row r="142">
          <cell r="N142">
            <v>374</v>
          </cell>
        </row>
        <row r="143">
          <cell r="N143">
            <v>344</v>
          </cell>
        </row>
        <row r="144">
          <cell r="N144">
            <v>169.98</v>
          </cell>
        </row>
        <row r="145">
          <cell r="N145">
            <v>97.73</v>
          </cell>
        </row>
        <row r="146">
          <cell r="N146">
            <v>29.62</v>
          </cell>
        </row>
        <row r="147">
          <cell r="N147">
            <v>21.59</v>
          </cell>
        </row>
        <row r="148">
          <cell r="N148">
            <v>30.32</v>
          </cell>
        </row>
        <row r="149">
          <cell r="N149">
            <v>28.19</v>
          </cell>
        </row>
        <row r="150">
          <cell r="N150">
            <v>29.58</v>
          </cell>
        </row>
        <row r="151">
          <cell r="N151">
            <v>29.24</v>
          </cell>
        </row>
        <row r="152">
          <cell r="N152">
            <v>29.21</v>
          </cell>
        </row>
        <row r="153">
          <cell r="N153">
            <v>154</v>
          </cell>
        </row>
        <row r="154">
          <cell r="N154">
            <v>119.86</v>
          </cell>
        </row>
        <row r="155">
          <cell r="N155">
            <v>28.72</v>
          </cell>
        </row>
        <row r="156">
          <cell r="N156">
            <v>29.1</v>
          </cell>
        </row>
        <row r="157">
          <cell r="N157">
            <v>99.3</v>
          </cell>
        </row>
        <row r="158">
          <cell r="N158">
            <v>99.46</v>
          </cell>
        </row>
        <row r="159">
          <cell r="N159">
            <v>368.4</v>
          </cell>
        </row>
        <row r="160">
          <cell r="N160">
            <v>24.97</v>
          </cell>
        </row>
        <row r="161">
          <cell r="N161">
            <v>1934.41</v>
          </cell>
        </row>
        <row r="162">
          <cell r="N162">
            <v>228</v>
          </cell>
        </row>
        <row r="163">
          <cell r="N163">
            <v>99.96</v>
          </cell>
        </row>
        <row r="164">
          <cell r="N164">
            <v>34.200000000000003</v>
          </cell>
        </row>
        <row r="165">
          <cell r="N165">
            <v>34.200000000000003</v>
          </cell>
        </row>
        <row r="166">
          <cell r="N166">
            <v>200</v>
          </cell>
        </row>
        <row r="167">
          <cell r="N167">
            <v>51.8</v>
          </cell>
        </row>
        <row r="168">
          <cell r="N168">
            <v>627</v>
          </cell>
        </row>
        <row r="169">
          <cell r="N169">
            <v>100</v>
          </cell>
        </row>
        <row r="170">
          <cell r="N170">
            <v>124</v>
          </cell>
        </row>
        <row r="171">
          <cell r="N171">
            <v>115.6</v>
          </cell>
        </row>
        <row r="172">
          <cell r="N172">
            <v>92.76</v>
          </cell>
        </row>
        <row r="173">
          <cell r="N173">
            <v>332</v>
          </cell>
        </row>
        <row r="174">
          <cell r="N174">
            <v>620</v>
          </cell>
        </row>
        <row r="175">
          <cell r="N175">
            <v>62</v>
          </cell>
        </row>
        <row r="177">
          <cell r="N177">
            <v>968</v>
          </cell>
        </row>
        <row r="178">
          <cell r="N178">
            <v>440</v>
          </cell>
        </row>
        <row r="179">
          <cell r="N179">
            <v>418</v>
          </cell>
        </row>
        <row r="180">
          <cell r="N180">
            <v>297.2</v>
          </cell>
        </row>
        <row r="181">
          <cell r="N181">
            <v>135.59</v>
          </cell>
        </row>
        <row r="182">
          <cell r="N182">
            <v>500</v>
          </cell>
        </row>
        <row r="183">
          <cell r="N183">
            <v>667.2</v>
          </cell>
        </row>
        <row r="184">
          <cell r="N184">
            <v>539</v>
          </cell>
        </row>
        <row r="185">
          <cell r="N185">
            <v>336</v>
          </cell>
        </row>
        <row r="186">
          <cell r="N186">
            <v>286</v>
          </cell>
        </row>
        <row r="187">
          <cell r="N187">
            <v>103.54</v>
          </cell>
        </row>
        <row r="188">
          <cell r="N188">
            <v>148.96</v>
          </cell>
        </row>
        <row r="189">
          <cell r="N189">
            <v>550</v>
          </cell>
        </row>
        <row r="190">
          <cell r="N190">
            <v>638</v>
          </cell>
        </row>
        <row r="192">
          <cell r="N192">
            <v>53.8</v>
          </cell>
        </row>
        <row r="193">
          <cell r="N193">
            <v>29.99</v>
          </cell>
        </row>
        <row r="194">
          <cell r="N194">
            <v>77.599999999999994</v>
          </cell>
        </row>
        <row r="195">
          <cell r="N195">
            <v>63.6</v>
          </cell>
        </row>
        <row r="196">
          <cell r="N196">
            <v>2.1</v>
          </cell>
        </row>
        <row r="197">
          <cell r="N197">
            <v>338</v>
          </cell>
        </row>
        <row r="198">
          <cell r="N198">
            <v>111</v>
          </cell>
        </row>
        <row r="199">
          <cell r="N199">
            <v>28.57</v>
          </cell>
        </row>
        <row r="200">
          <cell r="N200">
            <v>28.62</v>
          </cell>
        </row>
        <row r="201">
          <cell r="N201">
            <v>29.98</v>
          </cell>
        </row>
        <row r="202">
          <cell r="N202">
            <v>5775</v>
          </cell>
        </row>
        <row r="203">
          <cell r="N203">
            <v>5694.06</v>
          </cell>
        </row>
        <row r="204">
          <cell r="N204">
            <v>4959.97</v>
          </cell>
        </row>
        <row r="205">
          <cell r="N205">
            <v>1934.41</v>
          </cell>
        </row>
        <row r="206">
          <cell r="N206">
            <v>1934.41</v>
          </cell>
        </row>
        <row r="207">
          <cell r="N207">
            <v>539</v>
          </cell>
        </row>
        <row r="208">
          <cell r="N208">
            <v>506</v>
          </cell>
        </row>
        <row r="209">
          <cell r="N209">
            <v>147.72999999999999</v>
          </cell>
        </row>
        <row r="210">
          <cell r="N210">
            <v>5334.78</v>
          </cell>
        </row>
        <row r="211">
          <cell r="N211">
            <v>35</v>
          </cell>
        </row>
        <row r="212">
          <cell r="N212">
            <v>35</v>
          </cell>
        </row>
        <row r="213">
          <cell r="N213">
            <v>23.76</v>
          </cell>
        </row>
        <row r="214">
          <cell r="N214">
            <v>79.53</v>
          </cell>
        </row>
        <row r="215">
          <cell r="N215">
            <v>29.99</v>
          </cell>
        </row>
        <row r="216">
          <cell r="N216">
            <v>23.83</v>
          </cell>
        </row>
        <row r="217">
          <cell r="N217">
            <v>98.89</v>
          </cell>
        </row>
        <row r="218">
          <cell r="N218">
            <v>160</v>
          </cell>
        </row>
        <row r="219">
          <cell r="N219">
            <v>107</v>
          </cell>
        </row>
        <row r="220">
          <cell r="N220">
            <v>699</v>
          </cell>
        </row>
        <row r="221">
          <cell r="N221">
            <v>405</v>
          </cell>
        </row>
        <row r="222">
          <cell r="N222">
            <v>646</v>
          </cell>
        </row>
        <row r="223">
          <cell r="N223">
            <v>206.62</v>
          </cell>
        </row>
        <row r="224">
          <cell r="N224">
            <v>1078</v>
          </cell>
        </row>
        <row r="225">
          <cell r="N225">
            <v>214.98</v>
          </cell>
        </row>
        <row r="226">
          <cell r="N226">
            <v>400</v>
          </cell>
        </row>
        <row r="227">
          <cell r="N227">
            <v>29.35</v>
          </cell>
        </row>
        <row r="228">
          <cell r="N228">
            <v>29.26</v>
          </cell>
        </row>
        <row r="229">
          <cell r="N229">
            <v>29.31</v>
          </cell>
        </row>
        <row r="230">
          <cell r="N230">
            <v>29.28</v>
          </cell>
        </row>
        <row r="231">
          <cell r="N231">
            <v>29.63</v>
          </cell>
        </row>
        <row r="232">
          <cell r="N232">
            <v>95.64</v>
          </cell>
        </row>
        <row r="233">
          <cell r="N233">
            <v>1590.6</v>
          </cell>
        </row>
        <row r="234">
          <cell r="N234">
            <v>199.97</v>
          </cell>
        </row>
        <row r="237">
          <cell r="N237">
            <v>149.55000000000001</v>
          </cell>
        </row>
        <row r="238">
          <cell r="N238">
            <v>29.88</v>
          </cell>
        </row>
        <row r="239">
          <cell r="N239">
            <v>29.7</v>
          </cell>
        </row>
        <row r="240">
          <cell r="N240">
            <v>29.57</v>
          </cell>
        </row>
        <row r="241">
          <cell r="N241">
            <v>29.74</v>
          </cell>
        </row>
        <row r="242">
          <cell r="N242">
            <v>27.57</v>
          </cell>
        </row>
        <row r="243">
          <cell r="N243">
            <v>194.86</v>
          </cell>
        </row>
        <row r="244">
          <cell r="N244">
            <v>28.79</v>
          </cell>
        </row>
        <row r="245">
          <cell r="N245">
            <v>112.38</v>
          </cell>
        </row>
        <row r="246">
          <cell r="N246">
            <v>297</v>
          </cell>
        </row>
        <row r="247">
          <cell r="N247">
            <v>643.5</v>
          </cell>
        </row>
        <row r="248">
          <cell r="N248">
            <v>49.23</v>
          </cell>
        </row>
        <row r="249">
          <cell r="N249">
            <v>85.08</v>
          </cell>
        </row>
        <row r="250">
          <cell r="N250">
            <v>374</v>
          </cell>
        </row>
        <row r="251">
          <cell r="N251">
            <v>199.8</v>
          </cell>
        </row>
        <row r="252">
          <cell r="N252">
            <v>14.26</v>
          </cell>
        </row>
        <row r="253">
          <cell r="N253">
            <v>99.81</v>
          </cell>
        </row>
        <row r="254">
          <cell r="N254">
            <v>62.29</v>
          </cell>
        </row>
        <row r="255">
          <cell r="N255">
            <v>199.72</v>
          </cell>
        </row>
        <row r="256">
          <cell r="N256">
            <v>641.1</v>
          </cell>
        </row>
        <row r="257">
          <cell r="N257">
            <v>267.89999999999998</v>
          </cell>
        </row>
        <row r="258">
          <cell r="N258">
            <v>342</v>
          </cell>
        </row>
        <row r="259">
          <cell r="N259">
            <v>496.15</v>
          </cell>
        </row>
        <row r="260">
          <cell r="N260">
            <v>29.14</v>
          </cell>
        </row>
        <row r="261">
          <cell r="N261">
            <v>587.52</v>
          </cell>
        </row>
        <row r="262">
          <cell r="N262">
            <v>349.28</v>
          </cell>
        </row>
        <row r="263">
          <cell r="N263">
            <v>348.61</v>
          </cell>
        </row>
        <row r="264">
          <cell r="N264">
            <v>232.85</v>
          </cell>
        </row>
        <row r="265">
          <cell r="N265">
            <v>138.52000000000001</v>
          </cell>
        </row>
        <row r="266">
          <cell r="N266">
            <v>890.15</v>
          </cell>
        </row>
        <row r="267">
          <cell r="N267">
            <v>650</v>
          </cell>
        </row>
        <row r="268">
          <cell r="N268">
            <v>99.31</v>
          </cell>
        </row>
        <row r="269">
          <cell r="N269">
            <v>199.96</v>
          </cell>
        </row>
        <row r="270">
          <cell r="N270">
            <v>48.25</v>
          </cell>
        </row>
        <row r="271">
          <cell r="N271">
            <v>140.08000000000001</v>
          </cell>
        </row>
        <row r="272">
          <cell r="N272">
            <v>248.92</v>
          </cell>
        </row>
        <row r="273">
          <cell r="N273">
            <v>697.18</v>
          </cell>
        </row>
        <row r="274">
          <cell r="N274">
            <v>250.05</v>
          </cell>
        </row>
        <row r="275">
          <cell r="N275">
            <v>300.35000000000002</v>
          </cell>
        </row>
        <row r="276">
          <cell r="N276">
            <v>500.16</v>
          </cell>
        </row>
        <row r="277">
          <cell r="N277">
            <v>462</v>
          </cell>
        </row>
        <row r="278">
          <cell r="N278">
            <v>722.96</v>
          </cell>
        </row>
        <row r="279">
          <cell r="N279">
            <v>522.39</v>
          </cell>
        </row>
        <row r="280">
          <cell r="N280">
            <v>476.5</v>
          </cell>
        </row>
        <row r="281">
          <cell r="N281">
            <v>636.74</v>
          </cell>
        </row>
        <row r="282">
          <cell r="N282">
            <v>160</v>
          </cell>
        </row>
        <row r="283">
          <cell r="N283">
            <v>785</v>
          </cell>
        </row>
        <row r="284">
          <cell r="N284">
            <v>94.7</v>
          </cell>
        </row>
        <row r="285">
          <cell r="N285">
            <v>380</v>
          </cell>
        </row>
        <row r="286">
          <cell r="N286">
            <v>15</v>
          </cell>
        </row>
        <row r="287">
          <cell r="N287">
            <v>60</v>
          </cell>
        </row>
        <row r="288">
          <cell r="N288">
            <v>150</v>
          </cell>
        </row>
        <row r="289">
          <cell r="N289">
            <v>150</v>
          </cell>
        </row>
        <row r="290">
          <cell r="N290">
            <v>100</v>
          </cell>
        </row>
        <row r="291">
          <cell r="N291">
            <v>100</v>
          </cell>
        </row>
        <row r="292">
          <cell r="N292">
            <v>144</v>
          </cell>
        </row>
        <row r="293">
          <cell r="N293">
            <v>139.19999999999999</v>
          </cell>
        </row>
        <row r="294">
          <cell r="N294">
            <v>34.92</v>
          </cell>
        </row>
        <row r="295">
          <cell r="N295">
            <v>30</v>
          </cell>
        </row>
        <row r="296">
          <cell r="N296">
            <v>200</v>
          </cell>
        </row>
        <row r="297">
          <cell r="N297">
            <v>250</v>
          </cell>
        </row>
        <row r="298">
          <cell r="N298">
            <v>100</v>
          </cell>
        </row>
        <row r="299">
          <cell r="N299">
            <v>18.02</v>
          </cell>
        </row>
        <row r="300">
          <cell r="N300">
            <v>100</v>
          </cell>
        </row>
        <row r="301">
          <cell r="N301">
            <v>400</v>
          </cell>
        </row>
        <row r="302">
          <cell r="N302">
            <v>300</v>
          </cell>
        </row>
        <row r="303">
          <cell r="N303">
            <v>370</v>
          </cell>
        </row>
        <row r="304">
          <cell r="N304">
            <v>340</v>
          </cell>
        </row>
        <row r="305">
          <cell r="N305">
            <v>992</v>
          </cell>
        </row>
        <row r="306">
          <cell r="N306">
            <v>30</v>
          </cell>
        </row>
        <row r="307">
          <cell r="N307">
            <v>30</v>
          </cell>
        </row>
        <row r="308">
          <cell r="N308">
            <v>30</v>
          </cell>
        </row>
        <row r="309">
          <cell r="N309">
            <v>30</v>
          </cell>
        </row>
        <row r="310">
          <cell r="N310">
            <v>80</v>
          </cell>
        </row>
        <row r="311">
          <cell r="N311">
            <v>80</v>
          </cell>
        </row>
        <row r="312">
          <cell r="N312">
            <v>100</v>
          </cell>
        </row>
        <row r="313">
          <cell r="N313">
            <v>100</v>
          </cell>
        </row>
        <row r="314">
          <cell r="N314">
            <v>374</v>
          </cell>
        </row>
        <row r="315">
          <cell r="N315">
            <v>374</v>
          </cell>
        </row>
        <row r="316">
          <cell r="N316">
            <v>374</v>
          </cell>
        </row>
        <row r="317">
          <cell r="N317">
            <v>374</v>
          </cell>
        </row>
        <row r="318">
          <cell r="N318">
            <v>695</v>
          </cell>
        </row>
        <row r="319">
          <cell r="N319">
            <v>478.61</v>
          </cell>
        </row>
        <row r="320">
          <cell r="N320">
            <v>400</v>
          </cell>
        </row>
        <row r="321">
          <cell r="N321">
            <v>700</v>
          </cell>
        </row>
        <row r="322">
          <cell r="N322">
            <v>1176</v>
          </cell>
        </row>
        <row r="323">
          <cell r="N323">
            <v>400</v>
          </cell>
        </row>
        <row r="324">
          <cell r="N324">
            <v>840</v>
          </cell>
        </row>
        <row r="325">
          <cell r="N325">
            <v>600</v>
          </cell>
        </row>
        <row r="326">
          <cell r="N326">
            <v>540</v>
          </cell>
        </row>
        <row r="327">
          <cell r="N327">
            <v>150</v>
          </cell>
        </row>
        <row r="328">
          <cell r="N328">
            <v>100</v>
          </cell>
        </row>
        <row r="329">
          <cell r="N329">
            <v>200</v>
          </cell>
        </row>
        <row r="330">
          <cell r="N330">
            <v>643.5</v>
          </cell>
        </row>
        <row r="331">
          <cell r="N331">
            <v>418</v>
          </cell>
        </row>
        <row r="332">
          <cell r="N332">
            <v>479</v>
          </cell>
        </row>
        <row r="333">
          <cell r="N333">
            <v>500</v>
          </cell>
        </row>
        <row r="334">
          <cell r="N334">
            <v>240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at consos TOTAL sur BP2025 "/>
      <sheetName val="Etats consos TOTAL sur BP 2026"/>
      <sheetName val="Etat consos EDF sur BP 2024"/>
    </sheetNames>
    <sheetDataSet>
      <sheetData sheetId="0" refreshError="1">
        <row r="17">
          <cell r="K17">
            <v>3440.84</v>
          </cell>
          <cell r="O17">
            <v>1726.13</v>
          </cell>
          <cell r="AA17">
            <v>1049.46</v>
          </cell>
          <cell r="AI17">
            <v>854.57</v>
          </cell>
          <cell r="AQ17">
            <v>784.92</v>
          </cell>
          <cell r="AU17">
            <v>1381.87</v>
          </cell>
          <cell r="BC17">
            <v>791.34</v>
          </cell>
          <cell r="BK17">
            <v>926.54</v>
          </cell>
          <cell r="BS17">
            <v>1623.26</v>
          </cell>
          <cell r="CI17">
            <v>3702.78</v>
          </cell>
          <cell r="CM17">
            <v>2371.4499999999998</v>
          </cell>
          <cell r="DS17">
            <v>3184.79</v>
          </cell>
        </row>
        <row r="18">
          <cell r="K18"/>
          <cell r="O18"/>
          <cell r="AA18"/>
          <cell r="AI18"/>
          <cell r="AQ18"/>
          <cell r="AU18"/>
          <cell r="BC18"/>
          <cell r="BK18"/>
          <cell r="BS18"/>
          <cell r="CI18"/>
          <cell r="CM18"/>
          <cell r="DS18"/>
        </row>
      </sheetData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"/>
    </sheetNames>
    <sheetDataSet>
      <sheetData sheetId="0" refreshError="1">
        <row r="2">
          <cell r="H2">
            <v>29454</v>
          </cell>
        </row>
        <row r="3">
          <cell r="H3">
            <v>14415</v>
          </cell>
        </row>
        <row r="4">
          <cell r="H4">
            <v>8160</v>
          </cell>
        </row>
        <row r="5">
          <cell r="H5">
            <v>9900</v>
          </cell>
        </row>
        <row r="6">
          <cell r="H6">
            <v>59.24</v>
          </cell>
        </row>
        <row r="7">
          <cell r="H7">
            <v>298.95999999999998</v>
          </cell>
        </row>
        <row r="8">
          <cell r="H8">
            <v>129.86000000000001</v>
          </cell>
        </row>
        <row r="9">
          <cell r="H9">
            <v>23.48</v>
          </cell>
        </row>
        <row r="10">
          <cell r="H10">
            <v>53.8</v>
          </cell>
        </row>
        <row r="11">
          <cell r="H11">
            <v>29.99</v>
          </cell>
        </row>
        <row r="12">
          <cell r="H12">
            <v>77.599999999999994</v>
          </cell>
        </row>
        <row r="13">
          <cell r="H13">
            <v>5775</v>
          </cell>
        </row>
        <row r="14">
          <cell r="H14">
            <v>5694.06</v>
          </cell>
        </row>
        <row r="15">
          <cell r="H15">
            <v>4959.97</v>
          </cell>
        </row>
        <row r="16">
          <cell r="H16">
            <v>28.57</v>
          </cell>
        </row>
        <row r="17">
          <cell r="H17">
            <v>28.62</v>
          </cell>
        </row>
        <row r="18">
          <cell r="H18">
            <v>29.98</v>
          </cell>
        </row>
        <row r="19">
          <cell r="H19">
            <v>1934.41</v>
          </cell>
        </row>
        <row r="20">
          <cell r="H20">
            <v>1934.41</v>
          </cell>
        </row>
        <row r="22">
          <cell r="H22">
            <v>29.14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4F3C6-91DF-4060-BB7F-2DE88A92BE12}">
  <dimension ref="A2:O204"/>
  <sheetViews>
    <sheetView tabSelected="1" topLeftCell="E15" zoomScale="130" zoomScaleNormal="130" workbookViewId="0">
      <selection activeCell="E27" sqref="E27"/>
    </sheetView>
  </sheetViews>
  <sheetFormatPr baseColWidth="10" defaultColWidth="21.42578125" defaultRowHeight="15" x14ac:dyDescent="0.25"/>
  <cols>
    <col min="3" max="3" width="25" customWidth="1"/>
    <col min="4" max="4" width="28.85546875" customWidth="1"/>
    <col min="5" max="5" width="32.5703125" customWidth="1"/>
    <col min="6" max="6" width="27.42578125" customWidth="1"/>
    <col min="7" max="7" width="32.28515625" customWidth="1"/>
    <col min="14" max="14" width="23.7109375" customWidth="1"/>
    <col min="15" max="15" width="24.7109375" customWidth="1"/>
    <col min="16" max="16" width="28.7109375" customWidth="1"/>
    <col min="17" max="17" width="29.5703125" customWidth="1"/>
    <col min="18" max="18" width="30.140625" customWidth="1"/>
  </cols>
  <sheetData>
    <row r="2" spans="1:9" ht="12" customHeight="1" x14ac:dyDescent="0.25"/>
    <row r="3" spans="1:9" ht="13.5" hidden="1" customHeight="1" x14ac:dyDescent="0.25"/>
    <row r="4" spans="1:9" ht="18" customHeight="1" x14ac:dyDescent="0.25">
      <c r="A4" s="105" t="s">
        <v>135</v>
      </c>
      <c r="B4" s="106"/>
      <c r="C4" s="106"/>
      <c r="D4" s="106"/>
      <c r="E4" s="106"/>
      <c r="F4" s="106"/>
      <c r="G4" s="106"/>
      <c r="H4" s="106"/>
      <c r="I4" s="107"/>
    </row>
    <row r="5" spans="1:9" ht="13.5" customHeight="1" x14ac:dyDescent="0.25">
      <c r="A5" s="129" t="s">
        <v>0</v>
      </c>
      <c r="B5" s="129"/>
      <c r="C5" s="129" t="s">
        <v>1</v>
      </c>
      <c r="D5" s="129" t="s">
        <v>2</v>
      </c>
      <c r="E5" s="129" t="s">
        <v>3</v>
      </c>
      <c r="F5" s="129" t="s">
        <v>4</v>
      </c>
      <c r="G5" s="129" t="s">
        <v>5</v>
      </c>
      <c r="H5" s="129" t="s">
        <v>6</v>
      </c>
      <c r="I5" s="1" t="s">
        <v>7</v>
      </c>
    </row>
    <row r="6" spans="1:9" ht="13.5" customHeight="1" x14ac:dyDescent="0.25">
      <c r="A6" s="129"/>
      <c r="B6" s="129"/>
      <c r="C6" s="129"/>
      <c r="D6" s="129"/>
      <c r="E6" s="129"/>
      <c r="F6" s="130"/>
      <c r="G6" s="130"/>
      <c r="H6" s="130"/>
      <c r="I6" s="1"/>
    </row>
    <row r="7" spans="1:9" ht="13.5" customHeight="1" x14ac:dyDescent="0.25">
      <c r="A7" s="2" t="s">
        <v>8</v>
      </c>
      <c r="B7" s="2"/>
      <c r="C7" s="3">
        <v>5.54</v>
      </c>
      <c r="D7" s="4">
        <v>11</v>
      </c>
      <c r="E7" s="5">
        <v>4.42</v>
      </c>
      <c r="F7" s="6">
        <f t="shared" ref="F7:F16" si="0">(E7*D7)*140</f>
        <v>6806.7999999999993</v>
      </c>
      <c r="G7" s="6">
        <f>(C7*D7)*140</f>
        <v>8531.6</v>
      </c>
      <c r="H7" s="7">
        <f>G7-F7</f>
        <v>1724.8000000000011</v>
      </c>
      <c r="I7" s="8">
        <f>(G7/F7)</f>
        <v>1.2533936651583713</v>
      </c>
    </row>
    <row r="8" spans="1:9" ht="13.5" customHeight="1" x14ac:dyDescent="0.25">
      <c r="A8" s="2" t="s">
        <v>9</v>
      </c>
      <c r="B8" s="2" t="s">
        <v>10</v>
      </c>
      <c r="C8" s="3">
        <v>5.13</v>
      </c>
      <c r="D8" s="4">
        <v>429</v>
      </c>
      <c r="E8" s="5">
        <v>4.42</v>
      </c>
      <c r="F8" s="6">
        <f t="shared" si="0"/>
        <v>265465.2</v>
      </c>
      <c r="G8" s="6">
        <f t="shared" ref="G8:G16" si="1">(C8*D8)*140</f>
        <v>308107.8</v>
      </c>
      <c r="H8" s="7">
        <f t="shared" ref="H8:H17" si="2">G8-F8</f>
        <v>42642.599999999977</v>
      </c>
      <c r="I8" s="8">
        <f t="shared" ref="I8:I17" si="3">(G8/F8)</f>
        <v>1.1606334841628958</v>
      </c>
    </row>
    <row r="9" spans="1:9" ht="13.5" customHeight="1" x14ac:dyDescent="0.25">
      <c r="A9" s="2" t="s">
        <v>11</v>
      </c>
      <c r="B9" s="2" t="s">
        <v>12</v>
      </c>
      <c r="C9" s="3">
        <v>4.53</v>
      </c>
      <c r="D9" s="4">
        <v>90</v>
      </c>
      <c r="E9" s="5">
        <v>4.42</v>
      </c>
      <c r="F9" s="6">
        <f t="shared" si="0"/>
        <v>55692</v>
      </c>
      <c r="G9" s="6">
        <f t="shared" si="1"/>
        <v>57078.000000000007</v>
      </c>
      <c r="H9" s="7">
        <f t="shared" si="2"/>
        <v>1386.0000000000073</v>
      </c>
      <c r="I9" s="8">
        <f t="shared" si="3"/>
        <v>1.0248868778280544</v>
      </c>
    </row>
    <row r="10" spans="1:9" ht="13.5" customHeight="1" x14ac:dyDescent="0.25">
      <c r="A10" s="9" t="s">
        <v>13</v>
      </c>
      <c r="B10" s="9" t="s">
        <v>14</v>
      </c>
      <c r="C10" s="10">
        <v>4</v>
      </c>
      <c r="D10" s="4">
        <v>90</v>
      </c>
      <c r="E10" s="5">
        <v>4.42</v>
      </c>
      <c r="F10" s="6">
        <f t="shared" si="0"/>
        <v>55692</v>
      </c>
      <c r="G10" s="6">
        <f t="shared" si="1"/>
        <v>50400</v>
      </c>
      <c r="H10" s="7">
        <f t="shared" si="2"/>
        <v>-5292</v>
      </c>
      <c r="I10" s="8">
        <f t="shared" si="3"/>
        <v>0.90497737556561086</v>
      </c>
    </row>
    <row r="11" spans="1:9" ht="13.5" customHeight="1" x14ac:dyDescent="0.25">
      <c r="A11" s="2" t="s">
        <v>15</v>
      </c>
      <c r="B11" s="2" t="s">
        <v>16</v>
      </c>
      <c r="C11" s="3">
        <v>3.86</v>
      </c>
      <c r="D11" s="4">
        <v>79</v>
      </c>
      <c r="E11" s="5">
        <v>4.42</v>
      </c>
      <c r="F11" s="6">
        <f t="shared" si="0"/>
        <v>48885.200000000004</v>
      </c>
      <c r="G11" s="6">
        <f t="shared" si="1"/>
        <v>42691.6</v>
      </c>
      <c r="H11" s="7">
        <f t="shared" si="2"/>
        <v>-6193.6000000000058</v>
      </c>
      <c r="I11" s="8">
        <f t="shared" si="3"/>
        <v>0.87330316742081437</v>
      </c>
    </row>
    <row r="12" spans="1:9" ht="13.5" customHeight="1" x14ac:dyDescent="0.25">
      <c r="A12" s="2" t="s">
        <v>17</v>
      </c>
      <c r="B12" s="2" t="s">
        <v>18</v>
      </c>
      <c r="C12" s="3">
        <v>3.25</v>
      </c>
      <c r="D12" s="4">
        <v>79</v>
      </c>
      <c r="E12" s="5">
        <v>4.42</v>
      </c>
      <c r="F12" s="6">
        <f t="shared" si="0"/>
        <v>48885.200000000004</v>
      </c>
      <c r="G12" s="6">
        <f t="shared" si="1"/>
        <v>35945</v>
      </c>
      <c r="H12" s="7">
        <f t="shared" si="2"/>
        <v>-12940.200000000004</v>
      </c>
      <c r="I12" s="8">
        <f t="shared" si="3"/>
        <v>0.73529411764705876</v>
      </c>
    </row>
    <row r="13" spans="1:9" ht="13.5" customHeight="1" x14ac:dyDescent="0.25">
      <c r="A13" s="2" t="s">
        <v>19</v>
      </c>
      <c r="B13" s="2" t="s">
        <v>20</v>
      </c>
      <c r="C13" s="3">
        <v>2.7</v>
      </c>
      <c r="D13" s="4">
        <v>90</v>
      </c>
      <c r="E13" s="5">
        <v>4.42</v>
      </c>
      <c r="F13" s="6">
        <f t="shared" si="0"/>
        <v>55692</v>
      </c>
      <c r="G13" s="6">
        <f t="shared" si="1"/>
        <v>34020.000000000007</v>
      </c>
      <c r="H13" s="7">
        <f t="shared" si="2"/>
        <v>-21671.999999999993</v>
      </c>
      <c r="I13" s="8">
        <f t="shared" si="3"/>
        <v>0.61085972850678749</v>
      </c>
    </row>
    <row r="14" spans="1:9" ht="13.5" customHeight="1" x14ac:dyDescent="0.25">
      <c r="A14" s="2" t="s">
        <v>21</v>
      </c>
      <c r="B14" s="2" t="s">
        <v>22</v>
      </c>
      <c r="C14" s="3">
        <v>2</v>
      </c>
      <c r="D14" s="4">
        <v>79</v>
      </c>
      <c r="E14" s="5">
        <v>4.42</v>
      </c>
      <c r="F14" s="6">
        <f t="shared" si="0"/>
        <v>48885.200000000004</v>
      </c>
      <c r="G14" s="6">
        <f t="shared" si="1"/>
        <v>22120</v>
      </c>
      <c r="H14" s="7">
        <f t="shared" si="2"/>
        <v>-26765.200000000004</v>
      </c>
      <c r="I14" s="8">
        <f t="shared" si="3"/>
        <v>0.45248868778280538</v>
      </c>
    </row>
    <row r="15" spans="1:9" ht="13.5" customHeight="1" x14ac:dyDescent="0.25">
      <c r="A15" s="9" t="s">
        <v>23</v>
      </c>
      <c r="B15" s="9" t="s">
        <v>24</v>
      </c>
      <c r="C15" s="10">
        <v>1.45</v>
      </c>
      <c r="D15" s="4">
        <v>57</v>
      </c>
      <c r="E15" s="5">
        <v>4.42</v>
      </c>
      <c r="F15" s="6">
        <f t="shared" si="0"/>
        <v>35271.599999999999</v>
      </c>
      <c r="G15" s="6">
        <f t="shared" si="1"/>
        <v>11570.999999999998</v>
      </c>
      <c r="H15" s="7">
        <f t="shared" si="2"/>
        <v>-23700.6</v>
      </c>
      <c r="I15" s="8">
        <f t="shared" si="3"/>
        <v>0.32805429864253388</v>
      </c>
    </row>
    <row r="16" spans="1:9" ht="13.5" customHeight="1" x14ac:dyDescent="0.25">
      <c r="A16" s="11" t="s">
        <v>25</v>
      </c>
      <c r="B16" s="11" t="s">
        <v>26</v>
      </c>
      <c r="C16" s="12">
        <v>1.32</v>
      </c>
      <c r="D16" s="13">
        <v>124</v>
      </c>
      <c r="E16" s="14">
        <v>4.42</v>
      </c>
      <c r="F16" s="6">
        <f t="shared" si="0"/>
        <v>76731.200000000012</v>
      </c>
      <c r="G16" s="6">
        <f t="shared" si="1"/>
        <v>22915.200000000001</v>
      </c>
      <c r="H16" s="7">
        <f t="shared" si="2"/>
        <v>-53816.000000000015</v>
      </c>
      <c r="I16" s="8">
        <f t="shared" si="3"/>
        <v>0.29864253393665152</v>
      </c>
    </row>
    <row r="17" spans="1:15" ht="13.5" customHeight="1" x14ac:dyDescent="0.25">
      <c r="A17" s="15" t="s">
        <v>27</v>
      </c>
      <c r="B17" s="15"/>
      <c r="C17" s="16"/>
      <c r="D17" s="15">
        <f>SUM(D7:D16)</f>
        <v>1128</v>
      </c>
      <c r="E17" s="17"/>
      <c r="F17" s="18">
        <f>SUM(F7:F16)</f>
        <v>698006.39999999991</v>
      </c>
      <c r="G17" s="18">
        <f>SUM(G7:G16)</f>
        <v>593380.19999999995</v>
      </c>
      <c r="H17" s="7">
        <f t="shared" si="2"/>
        <v>-104626.19999999995</v>
      </c>
      <c r="I17" s="8">
        <f t="shared" si="3"/>
        <v>0.85010710503514009</v>
      </c>
    </row>
    <row r="18" spans="1:15" ht="13.5" customHeight="1" x14ac:dyDescent="0.25">
      <c r="H18" s="19"/>
      <c r="K18" s="20"/>
    </row>
    <row r="22" spans="1:15" ht="13.5" customHeight="1" x14ac:dyDescent="0.25">
      <c r="A22" s="94" t="s">
        <v>28</v>
      </c>
      <c r="B22" s="101" t="s">
        <v>29</v>
      </c>
      <c r="C22" s="102"/>
      <c r="D22" s="102"/>
      <c r="E22" s="102"/>
      <c r="F22" s="102"/>
      <c r="G22" s="102"/>
      <c r="H22" s="103"/>
      <c r="I22" s="123" t="s">
        <v>30</v>
      </c>
    </row>
    <row r="23" spans="1:15" ht="13.5" customHeight="1" x14ac:dyDescent="0.25">
      <c r="A23" s="94"/>
      <c r="B23" s="119" t="s">
        <v>31</v>
      </c>
      <c r="C23" s="126"/>
      <c r="D23" s="22" t="s">
        <v>32</v>
      </c>
      <c r="E23" s="23" t="s">
        <v>33</v>
      </c>
      <c r="F23" s="102" t="s">
        <v>34</v>
      </c>
      <c r="G23" s="102"/>
      <c r="H23" s="102"/>
      <c r="I23" s="124"/>
    </row>
    <row r="24" spans="1:15" ht="13.5" customHeight="1" x14ac:dyDescent="0.25">
      <c r="A24" s="94"/>
      <c r="B24" s="24" t="s">
        <v>35</v>
      </c>
      <c r="C24" s="24" t="s">
        <v>36</v>
      </c>
      <c r="D24" s="24" t="s">
        <v>37</v>
      </c>
      <c r="E24" s="25" t="s">
        <v>38</v>
      </c>
      <c r="F24" s="25" t="s">
        <v>39</v>
      </c>
      <c r="G24" s="25" t="s">
        <v>40</v>
      </c>
      <c r="H24" s="25" t="s">
        <v>41</v>
      </c>
      <c r="I24" s="125"/>
      <c r="M24" s="24" t="s">
        <v>42</v>
      </c>
      <c r="N24" s="127" t="s">
        <v>43</v>
      </c>
      <c r="O24" s="128"/>
    </row>
    <row r="25" spans="1:15" ht="13.5" customHeight="1" x14ac:dyDescent="0.25">
      <c r="A25" s="94"/>
      <c r="B25" s="26" t="s">
        <v>44</v>
      </c>
      <c r="C25" s="27">
        <f>'[1]Depenses restau 2025'!H2+'[1]Depenses restau 2025'!H3+'[1]Depenses restau 2025'!H4+'[1]Depenses restau 2025'!H5+'[1]Depenses restau 2025'!H6+'[1]Depenses restau 2025'!H14+'[1]Depenses restau 2025'!H19+'[1]Depenses restau 2025'!H20+'[1]Depenses restau 2025'!H21+'[1]Depenses restau 2025'!H31+'[1]Depenses restau 2025'!H32+'[1]Depenses restau 2025'!H38+'[1]Depenses restau 2025'!H51+'[1]Depenses restau 2025'!H52+'[1]Depenses restau 2025'!H67+'[1]Depenses restau 2025'!H68+'[1]Depenses restau 2025'!H69+'[1]Depenses restau 2025'!H70+'[1]Depenses restau 2025'!H71+'[1]Depenses restau 2025'!H76+'[1]Depenses restau 2025'!H85</f>
        <v>555834.83999999985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28">
        <f t="shared" ref="I25:I33" si="4">SUM(C25:H25)</f>
        <v>555834.83999999985</v>
      </c>
      <c r="M25" s="4">
        <v>0</v>
      </c>
      <c r="N25" s="29" t="s">
        <v>45</v>
      </c>
      <c r="O25" s="29" t="s">
        <v>46</v>
      </c>
    </row>
    <row r="26" spans="1:15" ht="13.5" customHeight="1" x14ac:dyDescent="0.25">
      <c r="A26" s="94"/>
      <c r="B26" s="30" t="s">
        <v>47</v>
      </c>
      <c r="C26" s="27">
        <f>'[1]Depenses restau 2025'!H8+'[1]Depenses restau 2025'!H12+'[1]Depenses restau 2025'!H16+'[1]Depenses restau 2025'!H24+'[1]Depenses restau 2025'!H25+'[1]Depenses restau 2025'!H27+'[1]Depenses restau 2025'!H28+'[1]Depenses restau 2025'!H37+'[1]Depenses restau 2025'!H49+'[1]Depenses restau 2025'!H50+'[1]Depenses restau 2025'!H54+'[1]Depenses restau 2025'!H58+'[1]Depenses restau 2025'!H60+'[1]Depenses restau 2025'!H72+'[1]Depenses restau 2025'!H79+'[1]Depenses restau 2025'!H84</f>
        <v>4535.9500000000007</v>
      </c>
      <c r="D26" s="4">
        <v>0</v>
      </c>
      <c r="E26" s="31">
        <f>'[1]DEP ALIM MODIF'!N3+'[1]DEP ALIM MODIF'!N13+'[1]DEP ALIM MODIF'!N66+'[1]DEP ALIM MODIF'!N69+'[1]DEP ALIM MODIF'!N77+'[1]DEP ALIM MODIF'!N101+'[1]DEP ALIM MODIF'!N138+'[1]DEP ALIM MODIF'!N159+'[1]DEP ALIM MODIF'!N239+'[1]DEP ALIM MODIF'!N278+'[1]DEP ALIM MODIF'!N282+'[1]DEP ALIM MODIF'!N345+'[1]DEP ALIM MODIF'!N346</f>
        <v>337.28000000000003</v>
      </c>
      <c r="F26" s="4">
        <v>0</v>
      </c>
      <c r="G26" s="4">
        <v>0</v>
      </c>
      <c r="H26" s="4">
        <v>0</v>
      </c>
      <c r="I26" s="28">
        <f t="shared" si="4"/>
        <v>4873.2300000000005</v>
      </c>
      <c r="M26" s="4">
        <v>0</v>
      </c>
      <c r="N26" s="32"/>
      <c r="O26" s="32"/>
    </row>
    <row r="27" spans="1:15" ht="13.5" customHeight="1" x14ac:dyDescent="0.25">
      <c r="A27" s="94"/>
      <c r="B27" s="30" t="s">
        <v>48</v>
      </c>
      <c r="C27" s="27">
        <f>'[1]Depenses restau 2025'!H9+'[1]Depenses restau 2025'!H17+'[1]Depenses restau 2025'!H23+'[1]Depenses restau 2025'!H29+'[1]Depenses restau 2025'!H35+'[1]Depenses restau 2025'!H40+'[1]Depenses restau 2025'!H41+'[1]Depenses restau 2025'!H42+'[1]Depenses restau 2025'!H56+'[1]Depenses restau 2025'!H61+'[1]Depenses restau 2025'!H73+'[1]Depenses restau 2025'!H77+'[1]Depenses restau 2025'!H80+'[1]Depenses restau 2025'!H81+'[1]Depenses restau 2025'!H82</f>
        <v>74126.060000000012</v>
      </c>
      <c r="D27" s="33">
        <f>[2]Edition_d_un_journal_de_paie_14!$B$14</f>
        <v>518185.07</v>
      </c>
      <c r="E27" s="31">
        <f>'[1]DEP ALIM MODIF'!N2+'[1]DEP ALIM MODIF'!N15+'[1]DEP ALIM MODIF'!N64+'[1]DEP ALIM MODIF'!N108+'[1]DEP ALIM MODIF'!N133+'[1]DEP ALIM MODIF'!N137+'[1]DEP ALIM MODIF'!N163+'[1]DEP ALIM MODIF'!N165+'[1]DEP ALIM MODIF'!N241+'[1]DEP ALIM MODIF'!N280+'[1]DEP ALIM MODIF'!N284+'[1]DEP ALIM MODIF'!N342</f>
        <v>463.73000000000008</v>
      </c>
      <c r="F27" s="4">
        <v>0</v>
      </c>
      <c r="G27">
        <f>'[3]Etat consos TOTAL sur BP2025 '!$DS$11+'[3]Etat consos TOTAL sur BP2025 '!$CM$11+'[3]Etat consos TOTAL sur BP2025 '!$BS$11+'[3]Etat consos TOTAL sur BP2025 '!$BC$11</f>
        <v>7464.2500000000009</v>
      </c>
      <c r="H27">
        <f>E36</f>
        <v>8159</v>
      </c>
      <c r="I27" s="28">
        <f t="shared" si="4"/>
        <v>608398.11</v>
      </c>
      <c r="M27" s="4">
        <v>16</v>
      </c>
      <c r="N27" s="32"/>
      <c r="O27" s="32"/>
    </row>
    <row r="28" spans="1:15" ht="13.5" customHeight="1" x14ac:dyDescent="0.25">
      <c r="A28" s="94"/>
      <c r="B28" s="30" t="s">
        <v>49</v>
      </c>
      <c r="C28" s="27">
        <f>'[1]Depenses restau 2025'!H7+'[1]Depenses restau 2025'!H15+'[1]Depenses restau 2025'!H22+'[1]Depenses restau 2025'!H30+'[1]Depenses restau 2025'!H34+'[1]Depenses restau 2025'!H44+'[1]Depenses restau 2025'!H45+'[1]Depenses restau 2025'!H46+'[1]Depenses restau 2025'!H47+'[1]Depenses restau 2025'!H48+'[1]Depenses restau 2025'!H59+'[1]Depenses restau 2025'!H62+'[1]Depenses restau 2025'!H66+'[1]Depenses restau 2025'!H75+'[1]Depenses restau 2025'!H83</f>
        <v>79255.62</v>
      </c>
      <c r="D28" s="33">
        <f>[2]Edition_d_un_journal_de_paie_14!$B$12</f>
        <v>435474.22</v>
      </c>
      <c r="E28" s="31">
        <f>'[1]DEP ALIM MODIF'!N6+'[1]DEP ALIM MODIF'!N14+'[1]DEP ALIM MODIF'!N65+'[1]DEP ALIM MODIF'!N68+'[1]DEP ALIM MODIF'!N78+'[1]DEP ALIM MODIF'!N134+'[1]DEP ALIM MODIF'!N160+'[1]DEP ALIM MODIF'!N222+'[1]DEP ALIM MODIF'!N238+'[1]DEP ALIM MODIF'!N240+'[1]DEP ALIM MODIF'!N279+'[1]DEP ALIM MODIF'!N283+'[1]DEP ALIM MODIF'!N343</f>
        <v>650.9</v>
      </c>
      <c r="F28" s="4">
        <v>0</v>
      </c>
      <c r="G28" s="4">
        <f>'[3]Etat consos TOTAL sur BP2025 '!$K$11+'[3]Etat consos TOTAL sur BP2025 '!$AA$11+'[3]Etat consos TOTAL sur BP2025 '!$AI$11+'[3]Etat consos TOTAL sur BP2025 '!$AQ$11+'[3]Etat consos TOTAL sur BP2025 '!$AU$11+'[3]Etat consos TOTAL sur BP2025 '!$BC$11+'[3]Etat consos TOTAL sur BP2025 '!$BK$11+'[3]Etat consos TOTAL sur BP2025 '!$BS$11+'[3]Etat consos TOTAL sur BP2025 '!$CI$11+'[3]Etat consos TOTAL sur BP2025 '!$CM$11+'[3]Etat consos TOTAL sur BP2025 '!$DS$11</f>
        <v>18104.64</v>
      </c>
      <c r="H28" s="4">
        <v>0</v>
      </c>
      <c r="I28" s="28">
        <f t="shared" si="4"/>
        <v>533485.38</v>
      </c>
      <c r="M28" s="4">
        <v>19</v>
      </c>
      <c r="N28" s="32"/>
      <c r="O28" s="32"/>
    </row>
    <row r="29" spans="1:15" ht="13.5" customHeight="1" x14ac:dyDescent="0.25">
      <c r="A29" s="94"/>
      <c r="B29" s="30" t="s">
        <v>50</v>
      </c>
      <c r="C29" s="34">
        <v>0</v>
      </c>
      <c r="D29" s="33">
        <f>[2]Edition_d_un_journal_de_paie_14!$B$13</f>
        <v>97360.35</v>
      </c>
      <c r="E29" s="4">
        <v>0</v>
      </c>
      <c r="F29" s="4">
        <v>0</v>
      </c>
      <c r="G29" s="4">
        <v>0</v>
      </c>
      <c r="H29" s="4">
        <v>0</v>
      </c>
      <c r="I29" s="28">
        <f t="shared" si="4"/>
        <v>97360.35</v>
      </c>
      <c r="M29" s="4">
        <v>7</v>
      </c>
      <c r="N29" s="32"/>
      <c r="O29" s="32"/>
    </row>
    <row r="30" spans="1:15" ht="13.5" customHeight="1" x14ac:dyDescent="0.25">
      <c r="A30" s="94"/>
      <c r="B30" s="30" t="s">
        <v>51</v>
      </c>
      <c r="C30" s="34">
        <v>0</v>
      </c>
      <c r="D30" s="4">
        <v>0</v>
      </c>
      <c r="E30" s="4">
        <v>0</v>
      </c>
      <c r="F30" s="35">
        <v>0</v>
      </c>
      <c r="G30" s="4">
        <v>0</v>
      </c>
      <c r="H30" s="4">
        <v>0</v>
      </c>
      <c r="I30" s="28">
        <f t="shared" si="4"/>
        <v>0</v>
      </c>
      <c r="M30" s="4">
        <v>0</v>
      </c>
      <c r="N30" s="32"/>
      <c r="O30" s="32"/>
    </row>
    <row r="31" spans="1:15" ht="13.5" customHeight="1" x14ac:dyDescent="0.25">
      <c r="A31" s="94"/>
      <c r="B31" s="30" t="s">
        <v>52</v>
      </c>
      <c r="C31" s="3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28">
        <f t="shared" si="4"/>
        <v>0</v>
      </c>
      <c r="M31" s="4">
        <v>0</v>
      </c>
      <c r="N31" s="32"/>
      <c r="O31" s="32"/>
    </row>
    <row r="32" spans="1:15" ht="13.5" customHeight="1" x14ac:dyDescent="0.25">
      <c r="A32" s="94"/>
      <c r="B32" s="30" t="s">
        <v>53</v>
      </c>
      <c r="C32" s="3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28">
        <f t="shared" si="4"/>
        <v>0</v>
      </c>
      <c r="M32" s="4">
        <v>0</v>
      </c>
      <c r="N32" s="32"/>
      <c r="O32" s="32"/>
    </row>
    <row r="33" spans="1:15" ht="13.5" customHeight="1" x14ac:dyDescent="0.25">
      <c r="A33" s="94"/>
      <c r="B33" s="36" t="s">
        <v>54</v>
      </c>
      <c r="C33" s="37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28">
        <f t="shared" si="4"/>
        <v>0</v>
      </c>
      <c r="M33" s="4">
        <v>0</v>
      </c>
      <c r="N33" s="32"/>
      <c r="O33" s="32"/>
    </row>
    <row r="34" spans="1:15" ht="13.5" customHeight="1" x14ac:dyDescent="0.25">
      <c r="A34" s="94"/>
      <c r="B34" s="38" t="s">
        <v>55</v>
      </c>
      <c r="C34" s="39">
        <f>SUM(C25:C33)</f>
        <v>713752.46999999986</v>
      </c>
      <c r="D34" s="39">
        <f>SUM(D25:D33)</f>
        <v>1051019.6400000001</v>
      </c>
      <c r="E34" s="39">
        <f t="shared" ref="E34:H34" si="5">SUM(E25:E33)</f>
        <v>1451.91</v>
      </c>
      <c r="F34" s="39">
        <f t="shared" si="5"/>
        <v>0</v>
      </c>
      <c r="G34" s="39">
        <f t="shared" si="5"/>
        <v>25568.89</v>
      </c>
      <c r="H34" s="39">
        <f t="shared" si="5"/>
        <v>8159</v>
      </c>
      <c r="I34" s="40">
        <f>SUM(I25:I33)</f>
        <v>1799951.9099999997</v>
      </c>
      <c r="M34" s="41">
        <f>SUM(M25:M33)</f>
        <v>42</v>
      </c>
      <c r="N34" s="42">
        <f>SUM(N26:N29)</f>
        <v>0</v>
      </c>
      <c r="O34" s="42">
        <f>SUM(O26:O29)</f>
        <v>0</v>
      </c>
    </row>
    <row r="35" spans="1:15" ht="13.5" customHeight="1" x14ac:dyDescent="0.25">
      <c r="B35" s="43" t="s">
        <v>56</v>
      </c>
      <c r="C35" s="44"/>
      <c r="D35" s="45"/>
      <c r="E35" s="45">
        <v>16318</v>
      </c>
      <c r="F35" s="45"/>
    </row>
    <row r="36" spans="1:15" ht="13.5" customHeight="1" x14ac:dyDescent="0.25">
      <c r="B36" s="46" t="s">
        <v>57</v>
      </c>
      <c r="E36">
        <f>16318/2</f>
        <v>8159</v>
      </c>
    </row>
    <row r="38" spans="1:15" ht="29.25" customHeight="1" x14ac:dyDescent="0.25"/>
    <row r="39" spans="1:15" ht="13.5" customHeight="1" x14ac:dyDescent="0.25">
      <c r="A39" s="113" t="s">
        <v>58</v>
      </c>
      <c r="B39" s="101" t="s">
        <v>59</v>
      </c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3"/>
    </row>
    <row r="40" spans="1:15" ht="13.5" customHeight="1" x14ac:dyDescent="0.25">
      <c r="A40" s="114"/>
      <c r="B40" s="116" t="s">
        <v>60</v>
      </c>
      <c r="C40" s="117"/>
      <c r="D40" s="116" t="s">
        <v>61</v>
      </c>
      <c r="E40" s="118"/>
      <c r="F40" s="117"/>
      <c r="G40" s="119" t="s">
        <v>62</v>
      </c>
      <c r="H40" s="119"/>
      <c r="I40" s="119"/>
      <c r="J40" s="119"/>
      <c r="K40" s="120" t="s">
        <v>63</v>
      </c>
      <c r="L40" s="120"/>
      <c r="M40" s="120"/>
      <c r="N40" s="120"/>
      <c r="O40" s="120"/>
    </row>
    <row r="41" spans="1:15" ht="39" x14ac:dyDescent="0.25">
      <c r="A41" s="114"/>
      <c r="B41" s="24" t="s">
        <v>64</v>
      </c>
      <c r="C41" s="24" t="s">
        <v>65</v>
      </c>
      <c r="D41" s="25" t="s">
        <v>66</v>
      </c>
      <c r="E41" s="47" t="s">
        <v>67</v>
      </c>
      <c r="F41" s="48" t="s">
        <v>68</v>
      </c>
      <c r="G41" s="49" t="s">
        <v>69</v>
      </c>
      <c r="H41" s="50" t="s">
        <v>70</v>
      </c>
      <c r="I41" s="51" t="s">
        <v>71</v>
      </c>
      <c r="J41" s="51" t="s">
        <v>72</v>
      </c>
      <c r="K41" s="25" t="s">
        <v>40</v>
      </c>
      <c r="L41" s="25" t="s">
        <v>73</v>
      </c>
      <c r="M41" s="25" t="s">
        <v>74</v>
      </c>
      <c r="N41" s="25" t="s">
        <v>75</v>
      </c>
      <c r="O41" s="52" t="s">
        <v>27</v>
      </c>
    </row>
    <row r="42" spans="1:15" ht="13.5" customHeight="1" x14ac:dyDescent="0.25">
      <c r="A42" s="114"/>
      <c r="B42" s="30" t="s">
        <v>76</v>
      </c>
      <c r="C42" s="27">
        <f>[2]Edition_d_un_journal_de_paie_14!$B$17</f>
        <v>102776.17</v>
      </c>
      <c r="D42" s="27">
        <v>0</v>
      </c>
      <c r="E42" s="4">
        <v>0</v>
      </c>
      <c r="F42" s="4">
        <v>0</v>
      </c>
      <c r="G42" s="27">
        <v>0</v>
      </c>
      <c r="H42" s="27">
        <f>'[1]DEP ALIM MODIF'!N1036131</f>
        <v>2437.79</v>
      </c>
      <c r="I42" s="27">
        <v>0</v>
      </c>
      <c r="J42" s="27">
        <v>0</v>
      </c>
      <c r="K42" s="27">
        <f>'[3]Etat consos TOTAL sur BP2025 '!$S$67+'[3]Etat consos TOTAL sur BP2025 '!$S$68+'[3]Etat consos TOTAL sur BP2025 '!$W$67+'[3]Etat consos TOTAL sur BP2025 '!$W$68+'[3]Etat consos TOTAL sur BP2025 '!$AE$67+'[3]Etat consos TOTAL sur BP2025 '!$AE$68+'[3]Etat consos TOTAL sur BP2025 '!$AM$67+'[3]Etat consos TOTAL sur BP2025 '!$AM$68+'[3]Etat consos TOTAL sur BP2025 '!$AY$67+'[3]Etat consos TOTAL sur BP2025 '!$AY$68+'[3]Etat consos TOTAL sur BP2025 '!$BG$67+'[3]Etat consos TOTAL sur BP2025 '!$BG$68+'[3]Etat consos TOTAL sur BP2025 '!$BO$67+'[3]Etat consos TOTAL sur BP2025 '!$BO$68+'[3]Etat consos TOTAL sur BP2025 '!$BW$67+'[3]Etat consos TOTAL sur BP2025 '!$BW$68+'[3]Etat consos TOTAL sur BP2025 '!$CA$67+'[3]Etat consos TOTAL sur BP2025 '!$CA$68+'[3]Etat consos TOTAL sur BP2025 '!$CE$67+'[3]Etat consos TOTAL sur BP2025 '!$CE$68+'[3]Etat consos TOTAL sur BP2025 '!$DG$67+'[3]Etat consos TOTAL sur BP2025 '!$DG$68+'[3]Etats consos TOTAL sur BP 2026'!$K$67+'[3]Etats consos TOTAL sur BP 2026'!$K$68</f>
        <v>8903.76</v>
      </c>
      <c r="L42" s="27">
        <f>'[4]Consos eau 2025'!$S$11+'[4]Consos eau 2026'!$I$11</f>
        <v>6949.7699999999995</v>
      </c>
      <c r="M42" s="53">
        <v>27471.64</v>
      </c>
      <c r="N42" s="53"/>
      <c r="O42" s="54">
        <f>SUM(C42:N42)</f>
        <v>148539.13</v>
      </c>
    </row>
    <row r="43" spans="1:15" ht="13.5" customHeight="1" x14ac:dyDescent="0.25">
      <c r="A43" s="114"/>
      <c r="B43" s="30" t="s">
        <v>77</v>
      </c>
      <c r="C43" s="121">
        <f>[2]Edition_d_un_journal_de_paie_14!$B$8</f>
        <v>661314.32999999996</v>
      </c>
      <c r="D43" s="27">
        <v>0</v>
      </c>
      <c r="E43" s="4">
        <v>0</v>
      </c>
      <c r="F43" s="4">
        <v>0</v>
      </c>
      <c r="G43" s="27">
        <v>0</v>
      </c>
      <c r="H43" s="27">
        <v>0</v>
      </c>
      <c r="I43" s="27">
        <v>0</v>
      </c>
      <c r="J43" s="27">
        <v>0</v>
      </c>
      <c r="K43" s="27">
        <f>'[3]Etat consos TOTAL sur BP2025 '!$K$14+'[3]Etat consos TOTAL sur BP2025 '!$O$14+'[3]Etat consos TOTAL sur BP2025 '!$AA$14+'[3]Etat consos TOTAL sur BP2025 '!$AI$14+'[3]Etat consos TOTAL sur BP2025 '!$AQ$14+'[3]Etat consos TOTAL sur BP2025 '!$AU$14+'[3]Etat consos TOTAL sur BP2025 '!$BC$14+'[3]Etat consos TOTAL sur BP2025 '!$BK$14+'[3]Etat consos TOTAL sur BP2025 '!$BS$14+'[3]Etat consos TOTAL sur BP2025 '!$CI$14+'[3]Etat consos TOTAL sur BP2025 '!$CM$14+'[3]Etat consos TOTAL sur BP2025 '!$DS$14</f>
        <v>14309.210000000001</v>
      </c>
      <c r="L43" s="27">
        <f>'[4]Consos eau 2026'!$I$15+'[4]Consos eau 2025'!$S$15</f>
        <v>6192.83</v>
      </c>
      <c r="M43" s="4"/>
      <c r="N43" s="4"/>
      <c r="O43" s="54">
        <f>SUM(C43:N43)</f>
        <v>681816.36999999988</v>
      </c>
    </row>
    <row r="44" spans="1:15" ht="13.5" customHeight="1" x14ac:dyDescent="0.25">
      <c r="A44" s="114"/>
      <c r="B44" s="30" t="s">
        <v>78</v>
      </c>
      <c r="C44" s="122"/>
      <c r="D44" s="27">
        <f>[5]Feuil1!$N$36+[5]Feuil1!$N$126</f>
        <v>1154.9100000000001</v>
      </c>
      <c r="E44" s="31">
        <f>[5]Feuil1!$N$46+[5]Feuil1!$N$47+[5]Feuil1!$N$48+[5]Feuil1!$N$49+[5]Feuil1!$N$50+[5]Feuil1!$N$64+[5]Feuil1!$N$112+[5]Feuil1!$N$116+[5]Feuil1!$N$129+[5]Feuil1!$N$234+[5]Feuil1!$N$256+[5]Feuil1!$N$278+[5]Feuil1!$N$279+[5]Feuil1!$N$280+[5]Feuil1!$N$281+[5]Feuil1!$N$321+[5]Feuil1!$N$323+[5]Feuil1!$N$324</f>
        <v>7011.49</v>
      </c>
      <c r="F44" s="31">
        <f>[5]Feuil1!$N$319</f>
        <v>478.61</v>
      </c>
      <c r="G44" s="27">
        <f>[5]Feuil1!$N$106+[5]Feuil1!$N$283+[5]Feuil1!$N$318+[5]Feuil1!$N$320</f>
        <v>2016.62</v>
      </c>
      <c r="H44" s="27">
        <f>[5]Feuil1!$N$33+[5]Feuil1!$N$35+[5]Feuil1!$N$102+[5]Feuil1!$N$103+[5]Feuil1!$N$104+[5]Feuil1!$N$105+[5]Feuil1!$N$107+[5]Feuil1!$N$108+[5]Feuil1!$N$109+[5]Feuil1!$N$110+[5]Feuil1!$N$113+[5]Feuil1!$N$115+[5]Feuil1!$N$117+[5]Feuil1!$N$118+[5]Feuil1!$N$119+[5]Feuil1!$N$120+[5]Feuil1!$N$123+[5]Feuil1!$N$125+[5]Feuil1!$N$181+[5]Feuil1!$N$187+[5]Feuil1!$N$188+[5]Feuil1!$N$223+[5]Feuil1!$N$251+[5]Feuil1!$N$252+[5]Feuil1!$N$253+[5]Feuil1!$N$254+[5]Feuil1!$N$255+[5]Feuil1!$N$272+[5]Feuil1!$N$273+[5]Feuil1!$N$274+[5]Feuil1!$N$275+[5]Feuil1!$N$296+[5]Feuil1!$N$297+[5]Feuil1!$N$298+[5]Feuil1!$N$300+[5]Feuil1!$N$301+[5]Feuil1!$N$302+[5]Feuil1!$N$313+'[1]DEP ALIM MODIF'!N36+'[1]DEP ALIM MODIF'!N37+'[1]DEP ALIM MODIF'!N114+'[1]DEP ALIM MODIF'!N116+'[1]DEP ALIM MODIF'!N117+'[1]DEP ALIM MODIF'!N118+'[1]DEP ALIM MODIF'!N119+'[1]DEP ALIM MODIF'!N120+'[1]DEP ALIM MODIF'!N121+'[1]DEP ALIM MODIF'!N122+'[1]DEP ALIM MODIF'!N123+'[1]DEP ALIM MODIF'!N124+'[1]DEP ALIM MODIF'!N125+'[1]DEP ALIM MODIF'!N126+'[1]DEP ALIM MODIF'!N127+'[1]DEP ALIM MODIF'!N128+'[1]DEP ALIM MODIF'!N181+'[1]DEP ALIM MODIF'!N183+'[1]DEP ALIM MODIF'!N184+'[1]DEP ALIM MODIF'!N228+'[1]DEP ALIM MODIF'!N256+'[1]DEP ALIM MODIF'!N257+'[1]DEP ALIM MODIF'!N258+'[1]DEP ALIM MODIF'!N265+'[1]DEP ALIM MODIF'!N266+'[1]DEP ALIM MODIF'!N292+'[1]DEP ALIM MODIF'!N293+'[1]DEP ALIM MODIF'!N294+'[1]DEP ALIM MODIF'!N295+'[1]DEP ALIM MODIF'!N306+'[1]DEP ALIM MODIF'!N307+'[1]DEP ALIM MODIF'!N308+'[1]DEP ALIM MODIF'!N309+'[1]DEP ALIM MODIF'!N310+'[1]DEP ALIM MODIF'!N311+'[1]DEP ALIM MODIF'!N319</f>
        <v>14529.360000000004</v>
      </c>
      <c r="I44" s="27">
        <f>[5]Feuil1!$N$34+[5]Feuil1!$N$177+[5]Feuil1!$N$178+[5]Feuil1!$N$179+[5]Feuil1!$N$184+[5]Feuil1!$N$189+[5]Feuil1!$N$190+[5]Feuil1!$N$207+[5]Feuil1!$N$208+[5]Feuil1!$N$220+[5]Feuil1!$N$221+[5]Feuil1!$N$224+[5]Feuil1!$N$233</f>
        <v>8749.6</v>
      </c>
      <c r="J44" s="27">
        <f>[5]Feuil1!$N$37+[5]Feuil1!$N$65+[5]Feuil1!$N$114+[5]Feuil1!$N$121+[5]Feuil1!$N$122+[5]Feuil1!$N$124+[5]Feuil1!$N$159+[5]Feuil1!$N$180+[5]Feuil1!$N$182+[5]Feuil1!$N$183+[5]Feuil1!$N$185+[5]Feuil1!$N$186+[5]Feuil1!$N$222+[5]Feuil1!$N$257+[5]Feuil1!$N$258+[5]Feuil1!$N$277</f>
        <v>6237.2</v>
      </c>
      <c r="K44" s="27">
        <v>0</v>
      </c>
      <c r="L44" s="27">
        <v>0</v>
      </c>
      <c r="M44" s="53"/>
      <c r="N44" s="31">
        <f>[5]Feuil1!$N$98+[5]Feuil1!$N$99+[5]Feuil1!$N$128</f>
        <v>115.44</v>
      </c>
      <c r="O44" s="54">
        <f>SUM(C44:N44)</f>
        <v>40293.230000000003</v>
      </c>
    </row>
    <row r="45" spans="1:15" ht="13.5" customHeight="1" x14ac:dyDescent="0.25">
      <c r="A45" s="114"/>
      <c r="B45" s="30" t="s">
        <v>79</v>
      </c>
      <c r="C45" s="4">
        <v>0</v>
      </c>
      <c r="D45" s="27">
        <v>0</v>
      </c>
      <c r="E45" s="31">
        <f>[5]Feuil1!$N$71+[5]Feuil1!$N$72+[5]Feuil1!$N$263+[5]Feuil1!$N$276</f>
        <v>1636.4</v>
      </c>
      <c r="F45" s="4">
        <v>0</v>
      </c>
      <c r="G45" s="27">
        <f>[5]Feuil1!$N$267</f>
        <v>650</v>
      </c>
      <c r="H45" s="27">
        <f>[5]Feuil1!$N$25+[5]Feuil1!$N$26+[5]Feuil1!$N$51+[5]Feuil1!$N$73+[5]Feuil1!$N$135+[5]Feuil1!$N$209+[5]Feuil1!$N$243+[5]Feuil1!$N$262+[5]Feuil1!$N$265+[5]Feuil1!$N$268+[5]Feuil1!$N$269+[5]Feuil1!$N$285+[5]Feuil1!$N$287+'[1]DEP ALIM MODIF'!N5+'[1]DEP ALIM MODIF'!N16+'[1]DEP ALIM MODIF'!N31+'[1]DEP ALIM MODIF'!N32+'[1]DEP ALIM MODIF'!N44+'[1]DEP ALIM MODIF'!N63+'[1]DEP ALIM MODIF'!N79+'[1]DEP ALIM MODIF'!N81+'[1]DEP ALIM MODIF'!N132+'[1]DEP ALIM MODIF'!N136+'[1]DEP ALIM MODIF'!N140+'[1]DEP ALIM MODIF'!N161+'[1]DEP ALIM MODIF'!N199+'[1]DEP ALIM MODIF'!N242+'[1]DEP ALIM MODIF'!N251+'[1]DEP ALIM MODIF'!N274+'[1]DEP ALIM MODIF'!N276+'[1]DEP ALIM MODIF'!N277+'[1]DEP ALIM MODIF'!N285+'[1]DEP ALIM MODIF'!N287+'[1]DEP ALIM MODIF'!N289+'[1]DEP ALIM MODIF'!N290+'[1]DEP ALIM MODIF'!N298+'[1]DEP ALIM MODIF'!N299+'[1]DEP ALIM MODIF'!N344</f>
        <v>5392.09</v>
      </c>
      <c r="I45" s="27">
        <v>0</v>
      </c>
      <c r="J45" s="27">
        <v>0</v>
      </c>
      <c r="K45" s="27">
        <v>0</v>
      </c>
      <c r="L45" s="27">
        <v>0</v>
      </c>
      <c r="M45" s="4"/>
      <c r="N45" s="53"/>
      <c r="O45" s="54">
        <f>SUM(C45:N45)</f>
        <v>7678.49</v>
      </c>
    </row>
    <row r="46" spans="1:15" ht="13.5" customHeight="1" x14ac:dyDescent="0.25">
      <c r="A46" s="114"/>
      <c r="B46" s="30" t="s">
        <v>80</v>
      </c>
      <c r="C46" s="31">
        <f>[2]Edition_d_un_journal_de_paie_14!$B$7</f>
        <v>664758.87</v>
      </c>
      <c r="D46" s="27">
        <f>[5]Feuil1!$N$16+[5]Feuil1!$N$90+[5]Feuil1!$N$168</f>
        <v>1022.56</v>
      </c>
      <c r="E46" s="31">
        <f>[5]Feuil1!$N$20+[5]Feuil1!$N$55+[5]Feuil1!$N$56+[5]Feuil1!$N$62+[5]Feuil1!$N$140+[5]Feuil1!$N$245+[5]Feuil1!$N$266+[5]Feuil1!$N$299+[5]Feuil1!$N$325+[5]Feuil1!$N$326+[5]Feuil1!$N$329</f>
        <v>6143.02</v>
      </c>
      <c r="F46" s="4">
        <v>0</v>
      </c>
      <c r="G46" s="27">
        <f>[5]Feuil1!$N$292+[5]Feuil1!$N$282+[5]Feuil1!$N$239+[5]Feuil1!$N$231+[5]Feuil1!$N$230+[5]Feuil1!$N$229+[5]Feuil1!$N$228+[5]Feuil1!$N$227+[5]Feuil1!$N$226+[5]Feuil1!$N$216+[5]Feuil1!$N$215+[5]Feuil1!$N$173+[5]Feuil1!$N$169+[5]Feuil1!$N$160+[5]Feuil1!$N$156+[5]Feuil1!$N$155+[5]Feuil1!$N$152+[5]Feuil1!$N$149+[5]Feuil1!$N$148+[5]Feuil1!$N$146+[5]Feuil1!$N$134+[5]Feuil1!$N$132+[5]Feuil1!$N$43</f>
        <v>2223.08</v>
      </c>
      <c r="H46" s="27">
        <f>[5]Feuil1!$N$12+[5]Feuil1!$N$13+[5]Feuil1!$N$14+[5]Feuil1!$N$15+[5]Feuil1!$N$17+[5]Feuil1!$N$18+[5]Feuil1!$N$19+[5]Feuil1!$N$21+[5]Feuil1!$N$22+[5]Feuil1!$N$28+[5]Feuil1!$N$29+[5]Feuil1!$N$39+[5]Feuil1!$N$40+[5]Feuil1!$N$41+[5]Feuil1!$N$42+[5]Feuil1!$N$52+[5]Feuil1!$N$53+[5]Feuil1!$N$54+[5]Feuil1!$N$57+[5]Feuil1!$N$58+[5]Feuil1!$N$59+[5]Feuil1!$N$60+[5]Feuil1!$N$74+[5]Feuil1!$N$75+[5]Feuil1!$N$76+[5]Feuil1!$N$77+[5]Feuil1!$N$78+[5]Feuil1!$N$79+[5]Feuil1!$N$80+[5]Feuil1!$N$82+[5]Feuil1!$N$84+[5]Feuil1!$N$85+[5]Feuil1!$N$86+[5]Feuil1!$N$87+[5]Feuil1!$N$88+[5]Feuil1!$N$89+[5]Feuil1!$N$92+[5]Feuil1!$N$136+[5]Feuil1!$N$137+[5]Feuil1!$N$138+[5]Feuil1!$N$139+[5]Feuil1!$N$141+[5]Feuil1!$N$145+[5]Feuil1!$N$147+[5]Feuil1!$N$150+[5]Feuil1!$N$151+[5]Feuil1!$N$154+[5]Feuil1!$N$157+[5]Feuil1!$N$158+[5]Feuil1!$N$163+[5]Feuil1!$N$172+[5]Feuil1!$N$213+[5]Feuil1!$N$214+[5]Feuil1!$N$217+[5]Feuil1!$N$237+[5]Feuil1!$N$238+[5]Feuil1!$N$240+[5]Feuil1!$N$241+[5]Feuil1!$N$242+[5]Feuil1!$N$244+[5]Feuil1!$N$248+[5]Feuil1!$N$249+[5]Feuil1!$N$288+[5]Feuil1!$N$289+[5]Feuil1!$N$290+[5]Feuil1!$N$291+[5]Feuil1!$N$294+[5]Feuil1!$N$295+[5]Feuil1!$N$306+[5]Feuil1!$N$307+[5]Feuil1!$N$308+[5]Feuil1!$N$309+[5]Feuil1!$N$310+[5]Feuil1!$N$311+[5]Feuil1!$N$312+[5]Feuil1!$N$327+[5]Feuil1!$N$328+[5]Feuil1!$N$333+[5]Feuil1!$N$334+'[1]DEP ALIM MODIF'!N1036130</f>
        <v>13263.82</v>
      </c>
      <c r="I46" s="27">
        <f>[5]Feuil1!$N$10+[5]Feuil1!$N$66+[5]Feuil1!$N$142+[5]Feuil1!$N$161+[5]Feuil1!$N$198+[5]Feuil1!$N$225+[5]Feuil1!$N$250+[5]Feuil1!$N$314+[5]Feuil1!$N$315+[5]Feuil1!$N$316+[5]Feuil1!$N$317+[5]Feuil1!$N$331</f>
        <v>5803.3899999999994</v>
      </c>
      <c r="J46" s="27">
        <f>[5]Feuil1!$N$11+[5]Feuil1!$N$23+[5]Feuil1!$N$27+[5]Feuil1!$N$30+[5]Feuil1!$N$31+[5]Feuil1!$N$32+[5]Feuil1!$N$38+[5]Feuil1!$N$61+[5]Feuil1!$N$63+[5]Feuil1!$N$67+[5]Feuil1!$N$68+[5]Feuil1!$N$70+[5]Feuil1!$N$81+[5]Feuil1!$N$83+[5]Feuil1!$N$133+[5]Feuil1!$N$143+[5]Feuil1!$N$144+[5]Feuil1!$N$153+[5]Feuil1!$N$162+[5]Feuil1!$N$164+[5]Feuil1!$N$165+[5]Feuil1!$N$166+[5]Feuil1!$N$167+[5]Feuil1!$N$170+[5]Feuil1!$N$171+[5]Feuil1!$N$174+[5]Feuil1!$N$175+[5]Feuil1!$N$218+[5]Feuil1!$N$219+[5]Feuil1!$N$246+[5]Feuil1!$N$247+[5]Feuil1!$N$264+[5]Feuil1!$N$284+[5]Feuil1!$N$286+[5]Feuil1!$N$293+[5]Feuil1!$N$303+[5]Feuil1!$N$304+[5]Feuil1!$N$305+[5]Feuil1!$N$322+[5]Feuil1!$N$330+[5]Feuil1!$N$332</f>
        <v>12609.07</v>
      </c>
      <c r="K46" s="27">
        <v>0</v>
      </c>
      <c r="L46" s="27">
        <v>0</v>
      </c>
      <c r="M46" s="4"/>
      <c r="N46" s="33">
        <f>[5]Feuil1!$N$24+[5]Feuil1!$N$44+[5]Feuil1!$N$93+[5]Feuil1!$N$100+[5]Feuil1!$N$101+[5]Feuil1!$N$232+[5]Feuil1!$N$259+[5]Feuil1!$N$270+[5]Feuil1!$N$271</f>
        <v>4834.47</v>
      </c>
      <c r="O46" s="54">
        <f>SUM(C46:N46)</f>
        <v>710658.27999999991</v>
      </c>
    </row>
    <row r="47" spans="1:15" ht="13.5" customHeight="1" x14ac:dyDescent="0.25">
      <c r="A47" s="115"/>
      <c r="B47" s="38" t="s">
        <v>55</v>
      </c>
      <c r="C47" s="39">
        <f t="shared" ref="C47:O47" si="6">SUM(C42:C46)</f>
        <v>1428849.37</v>
      </c>
      <c r="D47" s="39">
        <f t="shared" si="6"/>
        <v>2177.4700000000003</v>
      </c>
      <c r="E47" s="39">
        <f t="shared" si="6"/>
        <v>14790.91</v>
      </c>
      <c r="F47" s="39">
        <f t="shared" si="6"/>
        <v>478.61</v>
      </c>
      <c r="G47" s="39">
        <f t="shared" si="6"/>
        <v>4889.7</v>
      </c>
      <c r="H47" s="39">
        <f t="shared" si="6"/>
        <v>35623.060000000005</v>
      </c>
      <c r="I47" s="39">
        <f t="shared" si="6"/>
        <v>14552.99</v>
      </c>
      <c r="J47" s="39">
        <f t="shared" si="6"/>
        <v>18846.27</v>
      </c>
      <c r="K47" s="39">
        <f t="shared" si="6"/>
        <v>23212.97</v>
      </c>
      <c r="L47" s="39">
        <f t="shared" si="6"/>
        <v>13142.599999999999</v>
      </c>
      <c r="M47" s="39">
        <f t="shared" si="6"/>
        <v>27471.64</v>
      </c>
      <c r="N47" s="39">
        <f t="shared" si="6"/>
        <v>4949.91</v>
      </c>
      <c r="O47" s="55">
        <f t="shared" si="6"/>
        <v>1588985.4999999998</v>
      </c>
    </row>
    <row r="48" spans="1:15" ht="13.5" customHeight="1" x14ac:dyDescent="0.25">
      <c r="A48" s="56"/>
      <c r="B48" s="45"/>
    </row>
    <row r="49" spans="1:11" ht="13.5" customHeight="1" x14ac:dyDescent="0.25">
      <c r="A49" s="57"/>
    </row>
    <row r="50" spans="1:11" ht="13.5" customHeight="1" x14ac:dyDescent="0.25">
      <c r="A50" s="57"/>
    </row>
    <row r="55" spans="1:11" ht="28.5" customHeight="1" x14ac:dyDescent="0.25"/>
    <row r="56" spans="1:11" ht="13.5" customHeight="1" x14ac:dyDescent="0.25">
      <c r="A56" s="104" t="s">
        <v>81</v>
      </c>
      <c r="B56" s="105" t="s">
        <v>59</v>
      </c>
      <c r="C56" s="106"/>
      <c r="D56" s="106"/>
      <c r="E56" s="107"/>
      <c r="F56" s="58"/>
      <c r="G56" s="59"/>
      <c r="H56" s="59"/>
      <c r="I56" s="59"/>
      <c r="J56" s="59"/>
      <c r="K56" s="59"/>
    </row>
    <row r="57" spans="1:11" ht="13.5" customHeight="1" x14ac:dyDescent="0.25">
      <c r="A57" s="104"/>
      <c r="B57" s="88" t="s">
        <v>60</v>
      </c>
      <c r="C57" s="90"/>
      <c r="D57" s="88" t="s">
        <v>66</v>
      </c>
      <c r="E57" s="88"/>
      <c r="F57" s="21"/>
    </row>
    <row r="58" spans="1:11" ht="41.25" customHeight="1" x14ac:dyDescent="0.25">
      <c r="A58" s="104"/>
      <c r="B58" s="24" t="s">
        <v>64</v>
      </c>
      <c r="C58" s="24" t="s">
        <v>65</v>
      </c>
      <c r="D58" s="47" t="s">
        <v>82</v>
      </c>
      <c r="E58" s="47" t="s">
        <v>83</v>
      </c>
      <c r="F58" s="25" t="s">
        <v>27</v>
      </c>
    </row>
    <row r="59" spans="1:11" ht="13.5" customHeight="1" x14ac:dyDescent="0.25">
      <c r="A59" s="104"/>
      <c r="B59" s="108" t="s">
        <v>84</v>
      </c>
      <c r="C59" s="110">
        <f>[2]Edition_d_un_journal_de_paie_14!$B$15</f>
        <v>58598.14</v>
      </c>
      <c r="D59" s="61"/>
      <c r="E59" s="112">
        <v>0</v>
      </c>
      <c r="F59" s="99">
        <f>SUM(C59:E60)</f>
        <v>58598.14</v>
      </c>
    </row>
    <row r="60" spans="1:11" ht="13.5" customHeight="1" x14ac:dyDescent="0.25">
      <c r="A60" s="104"/>
      <c r="B60" s="109"/>
      <c r="C60" s="111"/>
      <c r="D60" s="62">
        <v>0</v>
      </c>
      <c r="E60" s="112"/>
      <c r="F60" s="100"/>
    </row>
    <row r="61" spans="1:11" ht="13.5" customHeight="1" x14ac:dyDescent="0.25">
      <c r="A61" s="104"/>
      <c r="B61" s="38" t="s">
        <v>55</v>
      </c>
      <c r="C61" s="39">
        <f>SUM(C59:C60)</f>
        <v>58598.14</v>
      </c>
      <c r="D61" s="41">
        <f>SUM(D59:D60)</f>
        <v>0</v>
      </c>
      <c r="E61" s="39">
        <f>SUM(E59)</f>
        <v>0</v>
      </c>
      <c r="F61" s="63">
        <f>SUM(F59)</f>
        <v>58598.14</v>
      </c>
    </row>
    <row r="62" spans="1:11" ht="13.5" customHeight="1" x14ac:dyDescent="0.25">
      <c r="A62" s="64"/>
    </row>
    <row r="63" spans="1:11" ht="13.5" customHeight="1" x14ac:dyDescent="0.25">
      <c r="A63" s="64"/>
    </row>
    <row r="64" spans="1:11" ht="13.5" customHeight="1" x14ac:dyDescent="0.25">
      <c r="A64" s="64"/>
    </row>
    <row r="65" spans="1:13" ht="13.5" customHeight="1" x14ac:dyDescent="0.25">
      <c r="A65" s="64"/>
    </row>
    <row r="66" spans="1:13" ht="13.5" customHeight="1" x14ac:dyDescent="0.25">
      <c r="A66" s="64"/>
    </row>
    <row r="67" spans="1:13" ht="13.5" customHeight="1" x14ac:dyDescent="0.25">
      <c r="A67" s="65"/>
    </row>
    <row r="71" spans="1:13" ht="25.5" customHeight="1" x14ac:dyDescent="0.25"/>
    <row r="72" spans="1:13" ht="13.5" customHeight="1" x14ac:dyDescent="0.25">
      <c r="A72" s="94" t="s">
        <v>85</v>
      </c>
      <c r="B72" s="101" t="s">
        <v>59</v>
      </c>
      <c r="C72" s="102"/>
      <c r="D72" s="102"/>
      <c r="E72" s="102"/>
      <c r="F72" s="102"/>
      <c r="G72" s="102"/>
      <c r="H72" s="102"/>
      <c r="I72" s="102"/>
      <c r="J72" s="102"/>
      <c r="K72" s="103"/>
    </row>
    <row r="73" spans="1:13" ht="13.5" customHeight="1" x14ac:dyDescent="0.25">
      <c r="A73" s="94"/>
      <c r="B73" s="88" t="s">
        <v>60</v>
      </c>
      <c r="C73" s="90"/>
      <c r="D73" s="101" t="s">
        <v>63</v>
      </c>
      <c r="E73" s="102"/>
      <c r="F73" s="102" t="s">
        <v>86</v>
      </c>
      <c r="G73" s="102"/>
      <c r="H73" s="103"/>
      <c r="I73" s="60" t="s">
        <v>87</v>
      </c>
      <c r="J73" s="58"/>
      <c r="K73" s="101" t="s">
        <v>88</v>
      </c>
      <c r="L73" s="103"/>
    </row>
    <row r="74" spans="1:13" ht="35.25" customHeight="1" x14ac:dyDescent="0.25">
      <c r="A74" s="94"/>
      <c r="B74" s="25" t="s">
        <v>35</v>
      </c>
      <c r="C74" s="25" t="s">
        <v>89</v>
      </c>
      <c r="D74" s="25" t="s">
        <v>40</v>
      </c>
      <c r="E74" s="25" t="s">
        <v>90</v>
      </c>
      <c r="F74" s="25" t="s">
        <v>86</v>
      </c>
      <c r="G74" s="25" t="s">
        <v>91</v>
      </c>
      <c r="H74" s="25" t="s">
        <v>92</v>
      </c>
      <c r="I74" s="25" t="s">
        <v>87</v>
      </c>
      <c r="J74" s="25" t="s">
        <v>75</v>
      </c>
      <c r="K74" s="51" t="s">
        <v>93</v>
      </c>
      <c r="L74" s="51" t="s">
        <v>72</v>
      </c>
      <c r="M74" s="51" t="s">
        <v>30</v>
      </c>
    </row>
    <row r="75" spans="1:13" ht="13.5" customHeight="1" x14ac:dyDescent="0.25">
      <c r="A75" s="94"/>
      <c r="B75" s="30" t="s">
        <v>85</v>
      </c>
      <c r="C75" s="27">
        <f>[2]Edition_d_un_journal_de_paie_14!$B$16</f>
        <v>119794.89</v>
      </c>
      <c r="D75">
        <v>10918.975</v>
      </c>
      <c r="E75" s="27">
        <v>426</v>
      </c>
      <c r="F75" s="27">
        <v>0</v>
      </c>
      <c r="G75" s="27">
        <f>[5]Feuil1!$N$261+[5]Feuil1!$N$97+[5]Feuil1!$N$95</f>
        <v>1265.8699999999999</v>
      </c>
      <c r="H75" s="27">
        <f>[5]Feuil1!$N$127+[5]Feuil1!$N$197</f>
        <v>467.86</v>
      </c>
      <c r="I75" s="27">
        <f>[5]Feuil1!$N$96</f>
        <v>59.24</v>
      </c>
      <c r="J75" s="27">
        <f>[5]Feuil1!$N$94+[5]Feuil1!$N$130+[5]Feuil1!$N$131</f>
        <v>327.01</v>
      </c>
      <c r="K75" s="27">
        <f>[5]Feuil1!$N$194+[5]Feuil1!$N$205+[5]Feuil1!$N$206+[5]Feuil1!$N$211+[5]Feuil1!$N$212</f>
        <v>4016.42</v>
      </c>
      <c r="L75" s="27">
        <v>0</v>
      </c>
      <c r="M75" s="66">
        <f>SUM(C75:L75)</f>
        <v>137276.26499999998</v>
      </c>
    </row>
    <row r="76" spans="1:13" ht="13.5" customHeight="1" x14ac:dyDescent="0.25">
      <c r="A76" s="94"/>
      <c r="B76" s="38" t="s">
        <v>55</v>
      </c>
      <c r="C76" s="39">
        <f>SUM(C75:C75)</f>
        <v>119794.89</v>
      </c>
      <c r="D76" s="39">
        <f>SUM(D75)</f>
        <v>10918.975</v>
      </c>
      <c r="E76" s="39">
        <f t="shared" ref="E76:L76" si="7">SUM(E75:E75)</f>
        <v>426</v>
      </c>
      <c r="F76" s="39">
        <f t="shared" si="7"/>
        <v>0</v>
      </c>
      <c r="G76" s="39">
        <f t="shared" si="7"/>
        <v>1265.8699999999999</v>
      </c>
      <c r="H76" s="39">
        <f t="shared" si="7"/>
        <v>467.86</v>
      </c>
      <c r="I76" s="39">
        <f t="shared" si="7"/>
        <v>59.24</v>
      </c>
      <c r="J76" s="39">
        <f t="shared" si="7"/>
        <v>327.01</v>
      </c>
      <c r="K76" s="39">
        <f t="shared" si="7"/>
        <v>4016.42</v>
      </c>
      <c r="L76" s="39">
        <f t="shared" si="7"/>
        <v>0</v>
      </c>
      <c r="M76" s="55">
        <f>SUM(C76:L76)</f>
        <v>137276.26499999998</v>
      </c>
    </row>
    <row r="77" spans="1:13" ht="13.5" customHeight="1" x14ac:dyDescent="0.25">
      <c r="A77" s="94"/>
      <c r="B77" s="44" t="s">
        <v>94</v>
      </c>
      <c r="F77" cm="1">
        <f t="array" ref="F77:F78">'[6]Etat consos TOTAL sur BP2025 '!$K$17:$K$18+'[6]Etat consos TOTAL sur BP2025 '!$O$17:$O$18+'[6]Etat consos TOTAL sur BP2025 '!$AA$17:$AA$18+'[6]Etat consos TOTAL sur BP2025 '!$AI$17:$AI$18+'[6]Etat consos TOTAL sur BP2025 '!$AQ$17:$AQ$18+'[6]Etat consos TOTAL sur BP2025 '!$AU$17:$AU$18+'[6]Etat consos TOTAL sur BP2025 '!$BC$17:$BC$18+'[6]Etat consos TOTAL sur BP2025 '!$BK$17:$BK$18+'[6]Etat consos TOTAL sur BP2025 '!$BS$17:$BS$18+'[6]Etat consos TOTAL sur BP2025 '!$CI$17:$CI$18+'[6]Etat consos TOTAL sur BP2025 '!$CM$17:$CM$18+'[6]Etat consos TOTAL sur BP2025 '!$DS$17:$DS$18</f>
        <v>21837.950000000004</v>
      </c>
    </row>
    <row r="78" spans="1:13" ht="13.5" customHeight="1" x14ac:dyDescent="0.25">
      <c r="A78" s="57"/>
      <c r="F78">
        <v>0</v>
      </c>
    </row>
    <row r="79" spans="1:13" ht="13.5" customHeight="1" x14ac:dyDescent="0.25">
      <c r="A79" s="67"/>
      <c r="F79">
        <f>F77/2</f>
        <v>10918.975000000002</v>
      </c>
    </row>
    <row r="80" spans="1:13" ht="13.5" customHeight="1" x14ac:dyDescent="0.25">
      <c r="A80" s="67"/>
    </row>
    <row r="81" spans="1:11" ht="13.5" customHeight="1" x14ac:dyDescent="0.25">
      <c r="A81" s="67"/>
    </row>
    <row r="82" spans="1:11" ht="13.5" customHeight="1" x14ac:dyDescent="0.25">
      <c r="A82" s="68"/>
    </row>
    <row r="83" spans="1:11" ht="13.5" customHeight="1" x14ac:dyDescent="0.25">
      <c r="A83" s="67"/>
      <c r="B83" s="68"/>
    </row>
    <row r="86" spans="1:11" ht="13.5" customHeight="1" x14ac:dyDescent="0.25">
      <c r="B86" s="68"/>
    </row>
    <row r="89" spans="1:11" ht="13.5" customHeight="1" x14ac:dyDescent="0.25">
      <c r="A89" s="94" t="s">
        <v>95</v>
      </c>
      <c r="B89" s="88" t="s">
        <v>59</v>
      </c>
      <c r="C89" s="88"/>
      <c r="D89" s="88"/>
      <c r="E89" s="88"/>
      <c r="F89" s="88"/>
      <c r="G89" s="88"/>
      <c r="H89" s="88"/>
      <c r="I89" s="88"/>
      <c r="J89" s="88"/>
      <c r="K89" s="88"/>
    </row>
    <row r="90" spans="1:11" ht="13.5" customHeight="1" x14ac:dyDescent="0.25">
      <c r="A90" s="94"/>
      <c r="B90" s="88" t="s">
        <v>60</v>
      </c>
      <c r="C90" s="90"/>
      <c r="D90" s="88" t="s">
        <v>96</v>
      </c>
      <c r="E90" s="88"/>
      <c r="F90" s="69" t="s">
        <v>97</v>
      </c>
      <c r="G90" s="60" t="s">
        <v>74</v>
      </c>
      <c r="H90" s="88" t="s">
        <v>98</v>
      </c>
      <c r="I90" s="88"/>
      <c r="J90" s="88"/>
      <c r="K90" s="95" t="s">
        <v>30</v>
      </c>
    </row>
    <row r="91" spans="1:11" ht="34.5" customHeight="1" x14ac:dyDescent="0.25">
      <c r="A91" s="94"/>
      <c r="B91" s="24" t="s">
        <v>64</v>
      </c>
      <c r="C91" s="24" t="s">
        <v>65</v>
      </c>
      <c r="D91" s="51" t="s">
        <v>99</v>
      </c>
      <c r="E91" s="25" t="s">
        <v>100</v>
      </c>
      <c r="F91" s="25" t="s">
        <v>101</v>
      </c>
      <c r="G91" s="25" t="s">
        <v>74</v>
      </c>
      <c r="H91" s="25" t="s">
        <v>102</v>
      </c>
      <c r="I91" s="25" t="s">
        <v>91</v>
      </c>
      <c r="J91" s="25" t="s">
        <v>75</v>
      </c>
      <c r="K91" s="96"/>
    </row>
    <row r="92" spans="1:11" ht="13.5" customHeight="1" x14ac:dyDescent="0.25">
      <c r="A92" s="94"/>
      <c r="B92" s="26" t="s">
        <v>103</v>
      </c>
      <c r="C92" s="27"/>
      <c r="D92" s="27">
        <f>[5]Feuil1!$N$205</f>
        <v>1934.41</v>
      </c>
      <c r="E92" s="27">
        <f>[5]Feuil1!$N$194+[5]Feuil1!$N$211+[5]Feuil1!$N$212</f>
        <v>147.6</v>
      </c>
      <c r="F92" s="27">
        <f>[5]Feuil1!$N$196+[5]Feuil1!$N$202+[5]Feuil1!$N$203+[5]Feuil1!$N$204+[5]Feuil1!$N$210</f>
        <v>21765.91</v>
      </c>
      <c r="G92" s="27">
        <f>[5]Feuil1!$N$195+[5]Feuil1!$N$199+[5]Feuil1!$N$200+[5]Feuil1!$N$260+[5]Feuil1!$N$201</f>
        <v>179.91</v>
      </c>
      <c r="H92" s="27">
        <f>[5]Feuil1!$N$192+[5]Feuil1!$N$193</f>
        <v>83.789999999999992</v>
      </c>
      <c r="I92" s="27"/>
      <c r="J92" s="27"/>
      <c r="K92" s="66">
        <f>SUM(C92:J92)</f>
        <v>24111.62</v>
      </c>
    </row>
    <row r="93" spans="1:11" ht="13.5" customHeight="1" x14ac:dyDescent="0.25">
      <c r="A93" s="94"/>
      <c r="B93" s="30" t="s">
        <v>104</v>
      </c>
      <c r="C93" s="27"/>
      <c r="D93" s="97">
        <f>[7]Feuil1!$H$2</f>
        <v>29454</v>
      </c>
      <c r="E93" s="98"/>
      <c r="F93" s="98"/>
      <c r="G93" s="98"/>
      <c r="H93" s="98"/>
      <c r="I93" s="98"/>
      <c r="J93" s="85"/>
      <c r="K93" s="66">
        <f t="shared" ref="K93:K95" si="8">SUM(C93:J93)</f>
        <v>29454</v>
      </c>
    </row>
    <row r="94" spans="1:11" ht="13.5" customHeight="1" x14ac:dyDescent="0.25">
      <c r="A94" s="94"/>
      <c r="B94" s="30" t="s">
        <v>105</v>
      </c>
      <c r="C94" s="27"/>
      <c r="D94" s="97">
        <f>[7]Feuil1!$H$5</f>
        <v>9900</v>
      </c>
      <c r="E94" s="85"/>
      <c r="F94" s="27">
        <f>[7]Feuil1!$H$3+[7]Feuil1!$H$4</f>
        <v>22575</v>
      </c>
      <c r="G94" s="27">
        <f>[7]Feuil1!$H$6+[7]Feuil1!$H$16+[7]Feuil1!$H$17+[7]Feuil1!$H$18+[7]Feuil1!$H$22</f>
        <v>175.55</v>
      </c>
      <c r="H94" s="27"/>
      <c r="I94" s="27"/>
      <c r="J94" s="27"/>
      <c r="K94" s="66">
        <f t="shared" si="8"/>
        <v>32650.55</v>
      </c>
    </row>
    <row r="95" spans="1:11" ht="13.5" customHeight="1" x14ac:dyDescent="0.25">
      <c r="A95" s="94"/>
      <c r="B95" s="30" t="s">
        <v>106</v>
      </c>
      <c r="C95" s="27"/>
      <c r="D95" s="31">
        <f>[7]Feuil1!$H$19+[7]Feuil1!$H$20</f>
        <v>3868.82</v>
      </c>
      <c r="E95" s="53"/>
      <c r="F95" s="27">
        <f>[7]Feuil1!$H$13+[7]Feuil1!$H$14+[7]Feuil1!$H$15</f>
        <v>16429.030000000002</v>
      </c>
      <c r="G95" s="27"/>
      <c r="H95" s="27"/>
      <c r="I95" s="27">
        <f>[7]Feuil1!$H$7</f>
        <v>298.95999999999998</v>
      </c>
      <c r="J95" s="27">
        <f>[7]Feuil1!$H$8+[7]Feuil1!$H$9+[7]Feuil1!$H$10+[7]Feuil1!$H$11+[7]Feuil1!$H$12</f>
        <v>314.73</v>
      </c>
      <c r="K95" s="66">
        <f t="shared" si="8"/>
        <v>20911.54</v>
      </c>
    </row>
    <row r="96" spans="1:11" ht="13.5" customHeight="1" x14ac:dyDescent="0.25">
      <c r="A96" s="94"/>
      <c r="B96" s="38" t="s">
        <v>55</v>
      </c>
      <c r="C96" s="39">
        <f>SUM(C92:C95)</f>
        <v>0</v>
      </c>
      <c r="D96" s="39">
        <f>SUM(D92:D95)</f>
        <v>45157.23</v>
      </c>
      <c r="E96" s="39">
        <f>SUM(E92)</f>
        <v>147.6</v>
      </c>
      <c r="F96" s="39">
        <f>SUM(F92:F95)</f>
        <v>60769.94</v>
      </c>
      <c r="G96" s="39">
        <f>SUM(G92:G95)</f>
        <v>355.46000000000004</v>
      </c>
      <c r="H96" s="39">
        <f t="shared" ref="H96:J96" si="9">SUM(H92:H95)</f>
        <v>83.789999999999992</v>
      </c>
      <c r="I96" s="39">
        <f t="shared" si="9"/>
        <v>298.95999999999998</v>
      </c>
      <c r="J96" s="39">
        <f t="shared" si="9"/>
        <v>314.73</v>
      </c>
      <c r="K96" s="70">
        <f>SUM(K92:K95)</f>
        <v>107127.70999999999</v>
      </c>
    </row>
    <row r="97" spans="1:13" ht="13.5" customHeight="1" x14ac:dyDescent="0.25">
      <c r="A97" s="57"/>
      <c r="B97" s="45" t="s">
        <v>107</v>
      </c>
    </row>
    <row r="98" spans="1:13" ht="13.5" customHeight="1" x14ac:dyDescent="0.25">
      <c r="A98" s="67"/>
    </row>
    <row r="99" spans="1:13" ht="13.5" customHeight="1" x14ac:dyDescent="0.25">
      <c r="A99" s="67"/>
    </row>
    <row r="100" spans="1:13" ht="13.5" customHeight="1" x14ac:dyDescent="0.25">
      <c r="A100" s="67"/>
    </row>
    <row r="106" spans="1:13" ht="13.5" customHeight="1" x14ac:dyDescent="0.25">
      <c r="A106" s="89" t="s">
        <v>108</v>
      </c>
      <c r="B106" s="88" t="s">
        <v>59</v>
      </c>
      <c r="C106" s="88"/>
      <c r="D106" s="88"/>
      <c r="E106" s="88"/>
      <c r="F106" s="88"/>
      <c r="G106" s="88"/>
      <c r="H106" s="88"/>
      <c r="I106" s="59"/>
      <c r="J106" s="59"/>
      <c r="K106" s="59"/>
      <c r="L106" s="59"/>
      <c r="M106" s="59"/>
    </row>
    <row r="107" spans="1:13" ht="13.5" customHeight="1" x14ac:dyDescent="0.25">
      <c r="A107" s="89"/>
      <c r="B107" s="88" t="s">
        <v>60</v>
      </c>
      <c r="C107" s="90"/>
      <c r="D107" s="60" t="s">
        <v>109</v>
      </c>
      <c r="E107" s="71" t="s">
        <v>74</v>
      </c>
      <c r="F107" s="91" t="s">
        <v>63</v>
      </c>
      <c r="G107" s="91"/>
      <c r="H107" s="91"/>
      <c r="I107" s="92" t="s">
        <v>30</v>
      </c>
    </row>
    <row r="108" spans="1:13" ht="28.5" customHeight="1" x14ac:dyDescent="0.25">
      <c r="A108" s="89"/>
      <c r="B108" s="73" t="s">
        <v>35</v>
      </c>
      <c r="C108" s="73" t="s">
        <v>110</v>
      </c>
      <c r="D108" s="72" t="s">
        <v>111</v>
      </c>
      <c r="E108" s="72" t="s">
        <v>112</v>
      </c>
      <c r="F108" s="72" t="s">
        <v>39</v>
      </c>
      <c r="G108" s="72" t="s">
        <v>40</v>
      </c>
      <c r="H108" s="72" t="s">
        <v>41</v>
      </c>
      <c r="I108" s="92"/>
    </row>
    <row r="109" spans="1:13" ht="13.5" customHeight="1" x14ac:dyDescent="0.25">
      <c r="A109" s="89"/>
      <c r="B109" s="26" t="s">
        <v>113</v>
      </c>
      <c r="C109" s="27">
        <f>[2]Edition_d_un_journal_de_paie_14!$B$10</f>
        <v>171094.89</v>
      </c>
      <c r="D109" s="27"/>
      <c r="E109" s="34">
        <v>5810.47</v>
      </c>
      <c r="F109" s="4">
        <f>'[4]Consos eau 2026'!$I$20+'[4]Consos eau 2025'!$S$20</f>
        <v>2539.0299999999997</v>
      </c>
      <c r="G109" s="4">
        <f>'[3]Etat consos TOTAL sur BP2025 '!$K$22+'[3]Etat consos TOTAL sur BP2025 '!$O$22+'[3]Etat consos TOTAL sur BP2025 '!$AA$22+'[3]Etat consos TOTAL sur BP2025 '!$AI$22+'[3]Etat consos TOTAL sur BP2025 '!$AQ$22+'[3]Etat consos TOTAL sur BP2025 '!$AU$22+'[3]Etat consos TOTAL sur BP2025 '!$BC$22+'[3]Etat consos TOTAL sur BP2025 '!$BK$22+'[3]Etat consos TOTAL sur BP2025 '!$BS$22+'[3]Etat consos TOTAL sur BP2025 '!$CI$22+'[3]Etat consos TOTAL sur BP2025 '!$CM$22+'[3]Etat consos TOTAL sur BP2025 '!$DS$22</f>
        <v>9726.1299999999992</v>
      </c>
      <c r="H109" s="4">
        <v>16055</v>
      </c>
      <c r="I109" s="66">
        <f>SUM(C109:H109)</f>
        <v>205225.52000000002</v>
      </c>
    </row>
    <row r="110" spans="1:13" ht="13.5" customHeight="1" x14ac:dyDescent="0.25">
      <c r="A110" s="89"/>
      <c r="B110" s="30" t="s">
        <v>114</v>
      </c>
      <c r="C110" s="27">
        <v>0</v>
      </c>
      <c r="D110" s="27"/>
      <c r="E110" s="27"/>
      <c r="F110" s="27"/>
      <c r="G110" s="27"/>
      <c r="H110" s="27">
        <f>E36</f>
        <v>8159</v>
      </c>
      <c r="I110" s="66">
        <f>SUM(C110:H110)</f>
        <v>8159</v>
      </c>
    </row>
    <row r="111" spans="1:13" ht="13.5" customHeight="1" x14ac:dyDescent="0.25">
      <c r="A111" s="89"/>
      <c r="B111" s="30" t="s">
        <v>115</v>
      </c>
      <c r="C111" s="27">
        <f>[2]Edition_d_un_journal_de_paie_14!$B$11</f>
        <v>157998.9</v>
      </c>
      <c r="D111" s="27"/>
      <c r="E111" s="27"/>
      <c r="F111" s="27"/>
      <c r="G111" s="27"/>
      <c r="H111" s="27"/>
      <c r="I111" s="66">
        <f>SUM(C111:H111)</f>
        <v>157998.9</v>
      </c>
    </row>
    <row r="112" spans="1:13" ht="13.5" customHeight="1" x14ac:dyDescent="0.25">
      <c r="A112" s="89"/>
      <c r="B112" s="30" t="s">
        <v>116</v>
      </c>
      <c r="C112" s="74">
        <f>[2]Edition_d_un_journal_de_paie_14!$B$9</f>
        <v>268883.59000000003</v>
      </c>
      <c r="D112" s="30"/>
      <c r="E112" s="30"/>
      <c r="F112" s="30"/>
      <c r="G112" s="30"/>
      <c r="H112" s="30"/>
      <c r="I112" s="66">
        <f>SUM(C112:H112)</f>
        <v>268883.59000000003</v>
      </c>
    </row>
    <row r="113" spans="1:9" ht="13.5" customHeight="1" x14ac:dyDescent="0.25">
      <c r="A113" s="89"/>
      <c r="B113" s="38" t="s">
        <v>55</v>
      </c>
      <c r="C113" s="39">
        <f>SUM(C109:C112)</f>
        <v>597977.38000000012</v>
      </c>
      <c r="D113" s="39">
        <f t="shared" ref="D113:H113" si="10">SUM(D109:D112)</f>
        <v>0</v>
      </c>
      <c r="E113" s="39">
        <f t="shared" si="10"/>
        <v>5810.47</v>
      </c>
      <c r="F113" s="39">
        <f t="shared" si="10"/>
        <v>2539.0299999999997</v>
      </c>
      <c r="G113" s="39">
        <f t="shared" si="10"/>
        <v>9726.1299999999992</v>
      </c>
      <c r="H113" s="39">
        <f t="shared" si="10"/>
        <v>24214</v>
      </c>
      <c r="I113" s="55">
        <f>SUM(I109:I112)</f>
        <v>640267.01</v>
      </c>
    </row>
    <row r="114" spans="1:9" ht="13.5" customHeight="1" x14ac:dyDescent="0.25">
      <c r="A114" s="64"/>
    </row>
    <row r="115" spans="1:9" ht="13.5" customHeight="1" x14ac:dyDescent="0.25">
      <c r="A115" s="64"/>
    </row>
    <row r="116" spans="1:9" ht="13.5" customHeight="1" x14ac:dyDescent="0.25">
      <c r="A116" s="64"/>
    </row>
    <row r="117" spans="1:9" ht="13.5" customHeight="1" x14ac:dyDescent="0.25">
      <c r="A117" s="64"/>
    </row>
    <row r="123" spans="1:9" ht="13.5" customHeight="1" x14ac:dyDescent="0.25">
      <c r="A123" s="68"/>
      <c r="B123" s="68"/>
      <c r="C123" s="68"/>
      <c r="D123" s="68"/>
      <c r="E123" s="68"/>
      <c r="F123" s="68"/>
      <c r="G123" s="68"/>
    </row>
    <row r="124" spans="1:9" ht="13.5" customHeight="1" x14ac:dyDescent="0.25">
      <c r="A124" s="68"/>
      <c r="B124" s="68"/>
      <c r="C124" s="68"/>
      <c r="D124" s="68"/>
      <c r="E124" s="68"/>
      <c r="F124" s="68"/>
      <c r="G124" s="68"/>
    </row>
    <row r="125" spans="1:9" ht="13.5" customHeight="1" x14ac:dyDescent="0.25">
      <c r="A125" s="68"/>
      <c r="B125" s="68"/>
      <c r="C125" s="68"/>
      <c r="D125" s="68"/>
      <c r="E125" s="68"/>
      <c r="F125" s="68"/>
      <c r="G125" s="68"/>
    </row>
    <row r="126" spans="1:9" ht="13.5" customHeight="1" x14ac:dyDescent="0.25">
      <c r="A126" s="68"/>
      <c r="B126" s="68"/>
      <c r="C126" s="68"/>
      <c r="D126" s="68"/>
      <c r="E126" s="68"/>
      <c r="F126" s="68"/>
      <c r="G126" s="68"/>
    </row>
    <row r="127" spans="1:9" ht="13.5" customHeight="1" x14ac:dyDescent="0.25">
      <c r="A127" s="68"/>
      <c r="B127" s="68"/>
      <c r="C127" s="68"/>
      <c r="D127" s="68"/>
      <c r="E127" s="68"/>
      <c r="F127" s="68"/>
      <c r="G127" s="68"/>
    </row>
    <row r="128" spans="1:9" ht="13.5" customHeight="1" x14ac:dyDescent="0.25">
      <c r="A128" s="68"/>
      <c r="B128" s="68"/>
      <c r="C128" s="68"/>
      <c r="D128" s="68"/>
      <c r="E128" s="68"/>
      <c r="F128" s="68"/>
      <c r="G128" s="68"/>
    </row>
    <row r="129" spans="1:11" ht="13.5" customHeight="1" x14ac:dyDescent="0.25">
      <c r="A129" s="68"/>
      <c r="B129" s="68"/>
      <c r="C129" s="68"/>
      <c r="D129" s="68"/>
      <c r="E129" s="68"/>
      <c r="F129" s="68"/>
      <c r="G129" s="68"/>
    </row>
    <row r="130" spans="1:11" ht="13.5" customHeight="1" x14ac:dyDescent="0.25">
      <c r="A130" s="68"/>
      <c r="B130" s="68"/>
      <c r="C130" s="68"/>
      <c r="D130" s="68"/>
      <c r="E130" s="68"/>
      <c r="F130" s="68"/>
      <c r="G130" s="68"/>
    </row>
    <row r="131" spans="1:11" ht="13.5" customHeight="1" x14ac:dyDescent="0.25">
      <c r="A131" s="68"/>
      <c r="B131" s="68"/>
      <c r="C131" s="68"/>
      <c r="D131" s="68"/>
      <c r="E131" s="68"/>
      <c r="F131" s="68"/>
      <c r="G131" s="68"/>
    </row>
    <row r="138" spans="1:11" ht="13.5" customHeight="1" x14ac:dyDescent="0.25">
      <c r="G138" s="90" t="s">
        <v>117</v>
      </c>
      <c r="H138" s="93"/>
      <c r="J138" s="84" t="s">
        <v>118</v>
      </c>
      <c r="K138" s="85"/>
    </row>
    <row r="139" spans="1:11" ht="13.5" customHeight="1" x14ac:dyDescent="0.25">
      <c r="A139" s="84" t="s">
        <v>119</v>
      </c>
      <c r="B139" s="86"/>
      <c r="C139" s="86"/>
      <c r="D139" s="86"/>
      <c r="E139" s="87"/>
      <c r="G139" s="26" t="s">
        <v>44</v>
      </c>
      <c r="H139" s="27">
        <v>555834.84</v>
      </c>
      <c r="J139" s="88" t="s">
        <v>120</v>
      </c>
      <c r="K139" s="88"/>
    </row>
    <row r="140" spans="1:11" ht="13.5" customHeight="1" thickBot="1" x14ac:dyDescent="0.3">
      <c r="A140" s="75" t="s">
        <v>121</v>
      </c>
      <c r="B140" s="76" t="s">
        <v>122</v>
      </c>
      <c r="C140" s="76" t="s">
        <v>123</v>
      </c>
      <c r="D140" s="76" t="s">
        <v>124</v>
      </c>
      <c r="E140" s="76" t="s">
        <v>36</v>
      </c>
      <c r="G140" s="30" t="s">
        <v>47</v>
      </c>
      <c r="H140" s="27">
        <v>4535.9500000000007</v>
      </c>
      <c r="J140" s="25" t="s">
        <v>125</v>
      </c>
      <c r="K140" s="25" t="s">
        <v>126</v>
      </c>
    </row>
    <row r="141" spans="1:11" ht="13.5" customHeight="1" x14ac:dyDescent="0.25">
      <c r="A141" s="77">
        <v>401932</v>
      </c>
      <c r="B141" s="78">
        <v>19</v>
      </c>
      <c r="C141" s="78">
        <v>135</v>
      </c>
      <c r="D141" s="79" t="s">
        <v>127</v>
      </c>
      <c r="E141" s="44">
        <v>576.51</v>
      </c>
      <c r="G141" s="30" t="s">
        <v>48</v>
      </c>
      <c r="H141" s="27">
        <v>74126.060000000012</v>
      </c>
      <c r="J141" s="27" t="s">
        <v>128</v>
      </c>
      <c r="K141" s="4">
        <v>5246</v>
      </c>
    </row>
    <row r="142" spans="1:11" ht="13.5" customHeight="1" x14ac:dyDescent="0.25">
      <c r="A142" s="80">
        <v>401933</v>
      </c>
      <c r="B142" s="81">
        <v>19</v>
      </c>
      <c r="C142" s="81">
        <v>136</v>
      </c>
      <c r="D142" s="79" t="s">
        <v>129</v>
      </c>
      <c r="E142" s="44">
        <v>464.26</v>
      </c>
      <c r="G142" s="30" t="s">
        <v>49</v>
      </c>
      <c r="H142" s="27">
        <v>79255.62</v>
      </c>
      <c r="J142" s="27" t="s">
        <v>130</v>
      </c>
      <c r="K142" s="4">
        <v>10097.84</v>
      </c>
    </row>
    <row r="143" spans="1:11" ht="13.5" customHeight="1" x14ac:dyDescent="0.25">
      <c r="A143" s="77">
        <v>401935</v>
      </c>
      <c r="B143" s="78">
        <v>19</v>
      </c>
      <c r="C143" s="78">
        <v>137</v>
      </c>
      <c r="D143" s="44" t="s">
        <v>131</v>
      </c>
      <c r="E143" s="82">
        <v>52541.24</v>
      </c>
      <c r="G143" s="30" t="s">
        <v>132</v>
      </c>
      <c r="H143" s="4"/>
      <c r="J143" s="27" t="s">
        <v>133</v>
      </c>
      <c r="K143" s="4">
        <v>4678.6000000000004</v>
      </c>
    </row>
    <row r="144" spans="1:11" ht="13.5" customHeight="1" x14ac:dyDescent="0.25">
      <c r="A144" s="77">
        <v>403041</v>
      </c>
      <c r="B144" s="78">
        <v>25</v>
      </c>
      <c r="C144" s="78">
        <v>174</v>
      </c>
      <c r="D144" t="s">
        <v>131</v>
      </c>
      <c r="E144" s="83">
        <v>65753.279999999999</v>
      </c>
      <c r="G144" s="30" t="s">
        <v>51</v>
      </c>
      <c r="H144" s="4"/>
      <c r="J144" s="27"/>
      <c r="K144" s="4"/>
    </row>
    <row r="145" spans="1:11" ht="13.5" customHeight="1" x14ac:dyDescent="0.25">
      <c r="A145" s="77">
        <v>406096</v>
      </c>
      <c r="B145" s="78">
        <v>69</v>
      </c>
      <c r="C145" s="78">
        <v>535</v>
      </c>
      <c r="D145" t="s">
        <v>131</v>
      </c>
      <c r="E145" s="83">
        <v>32717.64</v>
      </c>
      <c r="G145" s="30" t="s">
        <v>52</v>
      </c>
      <c r="H145" s="4"/>
      <c r="J145" s="27"/>
      <c r="K145" s="4"/>
    </row>
    <row r="146" spans="1:11" ht="13.5" customHeight="1" x14ac:dyDescent="0.25">
      <c r="A146" s="80">
        <v>407926</v>
      </c>
      <c r="B146" s="81">
        <v>93</v>
      </c>
      <c r="C146" s="81">
        <v>708</v>
      </c>
      <c r="D146" t="s">
        <v>131</v>
      </c>
      <c r="E146" s="83">
        <v>70334.37</v>
      </c>
      <c r="G146" s="30" t="s">
        <v>53</v>
      </c>
      <c r="H146" s="4"/>
      <c r="J146" s="27"/>
      <c r="K146" s="4"/>
    </row>
    <row r="147" spans="1:11" ht="13.5" customHeight="1" x14ac:dyDescent="0.25">
      <c r="A147" s="77">
        <v>407927</v>
      </c>
      <c r="B147" s="78">
        <v>93</v>
      </c>
      <c r="C147" s="78">
        <v>708</v>
      </c>
      <c r="J147" s="27"/>
      <c r="K147" s="4"/>
    </row>
    <row r="148" spans="1:11" ht="13.5" customHeight="1" x14ac:dyDescent="0.25">
      <c r="A148" s="80">
        <v>407928</v>
      </c>
      <c r="B148" s="81">
        <v>93</v>
      </c>
      <c r="C148" s="81">
        <v>708</v>
      </c>
      <c r="J148" s="27"/>
      <c r="K148" s="4"/>
    </row>
    <row r="149" spans="1:11" ht="13.5" customHeight="1" x14ac:dyDescent="0.25">
      <c r="A149" s="80">
        <v>409359</v>
      </c>
      <c r="B149" s="81">
        <v>142</v>
      </c>
      <c r="C149" s="81">
        <v>971</v>
      </c>
      <c r="J149" s="39">
        <f>SUM(J141:J148)</f>
        <v>0</v>
      </c>
      <c r="K149" s="39">
        <f>SUM(K141:K148)</f>
        <v>20022.440000000002</v>
      </c>
    </row>
    <row r="150" spans="1:11" ht="13.5" customHeight="1" x14ac:dyDescent="0.25">
      <c r="A150" s="77">
        <v>409360</v>
      </c>
      <c r="B150" s="78">
        <v>142</v>
      </c>
      <c r="C150" s="78">
        <v>972</v>
      </c>
    </row>
    <row r="151" spans="1:11" ht="13.5" customHeight="1" x14ac:dyDescent="0.25">
      <c r="A151" s="77">
        <v>411309</v>
      </c>
      <c r="B151" s="78">
        <v>201</v>
      </c>
      <c r="C151" s="78">
        <v>1332</v>
      </c>
    </row>
    <row r="152" spans="1:11" ht="13.5" customHeight="1" x14ac:dyDescent="0.25">
      <c r="A152" s="80">
        <v>413725</v>
      </c>
      <c r="B152" s="81">
        <v>270</v>
      </c>
      <c r="C152" s="81">
        <v>1734</v>
      </c>
    </row>
    <row r="153" spans="1:11" ht="13.5" customHeight="1" x14ac:dyDescent="0.25">
      <c r="A153" s="77">
        <v>414786</v>
      </c>
      <c r="B153" s="78">
        <v>304</v>
      </c>
      <c r="C153" s="78">
        <v>1900</v>
      </c>
    </row>
    <row r="154" spans="1:11" ht="13.5" customHeight="1" x14ac:dyDescent="0.25">
      <c r="A154" s="80">
        <v>415931</v>
      </c>
      <c r="B154" s="81">
        <v>336</v>
      </c>
      <c r="C154" s="81">
        <v>2216</v>
      </c>
    </row>
    <row r="155" spans="1:11" ht="13.5" customHeight="1" x14ac:dyDescent="0.25">
      <c r="A155" s="77">
        <v>415932</v>
      </c>
      <c r="B155" s="78">
        <v>336</v>
      </c>
      <c r="C155" s="78">
        <v>2217</v>
      </c>
    </row>
    <row r="156" spans="1:11" ht="13.5" customHeight="1" x14ac:dyDescent="0.25">
      <c r="A156" s="80">
        <v>415933</v>
      </c>
      <c r="B156" s="81">
        <v>336</v>
      </c>
      <c r="C156" s="81">
        <v>2218</v>
      </c>
    </row>
    <row r="157" spans="1:11" ht="13.5" customHeight="1" x14ac:dyDescent="0.25">
      <c r="A157" s="77">
        <v>415935</v>
      </c>
      <c r="B157" s="78">
        <v>336</v>
      </c>
      <c r="C157" s="78">
        <v>2219</v>
      </c>
    </row>
    <row r="158" spans="1:11" ht="13.5" customHeight="1" x14ac:dyDescent="0.25">
      <c r="A158" s="80">
        <v>415936</v>
      </c>
      <c r="B158" s="81">
        <v>336</v>
      </c>
      <c r="C158" s="81">
        <v>2220</v>
      </c>
    </row>
    <row r="159" spans="1:11" ht="13.5" customHeight="1" x14ac:dyDescent="0.25">
      <c r="A159" s="77">
        <v>419293</v>
      </c>
      <c r="B159" s="78">
        <v>419</v>
      </c>
      <c r="C159" s="78">
        <v>2835</v>
      </c>
    </row>
    <row r="160" spans="1:11" ht="13.5" customHeight="1" x14ac:dyDescent="0.25">
      <c r="A160" s="80">
        <v>419698</v>
      </c>
      <c r="B160" s="81">
        <v>441</v>
      </c>
      <c r="C160" s="81">
        <v>3005</v>
      </c>
    </row>
    <row r="163" spans="1:5" ht="13.5" customHeight="1" x14ac:dyDescent="0.25">
      <c r="A163" s="68"/>
      <c r="B163" s="68"/>
      <c r="C163" s="68"/>
      <c r="D163" s="68"/>
      <c r="E163" s="68"/>
    </row>
    <row r="164" spans="1:5" ht="13.5" customHeight="1" x14ac:dyDescent="0.25">
      <c r="A164" s="68"/>
      <c r="B164" s="68"/>
      <c r="C164" s="68"/>
      <c r="D164" s="68"/>
      <c r="E164" s="68"/>
    </row>
    <row r="165" spans="1:5" ht="13.5" customHeight="1" x14ac:dyDescent="0.25">
      <c r="A165" s="68"/>
      <c r="B165" s="68"/>
      <c r="C165" s="68"/>
      <c r="D165" s="68"/>
      <c r="E165" s="68"/>
    </row>
    <row r="166" spans="1:5" ht="13.5" customHeight="1" x14ac:dyDescent="0.25">
      <c r="A166" s="68"/>
      <c r="B166" s="68"/>
      <c r="C166" s="68"/>
      <c r="D166" s="68"/>
      <c r="E166" s="68"/>
    </row>
    <row r="167" spans="1:5" ht="13.5" customHeight="1" x14ac:dyDescent="0.25">
      <c r="A167" s="68"/>
      <c r="B167" s="68"/>
      <c r="C167" s="68"/>
      <c r="D167" s="68"/>
      <c r="E167" s="68"/>
    </row>
    <row r="168" spans="1:5" ht="13.5" customHeight="1" x14ac:dyDescent="0.25">
      <c r="A168" s="68"/>
      <c r="B168" s="68"/>
      <c r="C168" s="68"/>
      <c r="D168" s="68"/>
      <c r="E168" s="68"/>
    </row>
    <row r="169" spans="1:5" ht="13.5" customHeight="1" x14ac:dyDescent="0.25">
      <c r="A169" s="68"/>
      <c r="B169" s="68"/>
      <c r="C169" s="68"/>
      <c r="D169" s="68"/>
      <c r="E169" s="68"/>
    </row>
    <row r="170" spans="1:5" ht="13.5" customHeight="1" x14ac:dyDescent="0.25">
      <c r="A170" s="68"/>
      <c r="B170" s="68"/>
      <c r="C170" s="68"/>
      <c r="D170" s="68"/>
      <c r="E170" s="68"/>
    </row>
    <row r="171" spans="1:5" ht="13.5" customHeight="1" x14ac:dyDescent="0.25">
      <c r="A171" s="68"/>
      <c r="B171" s="68"/>
      <c r="C171" s="68"/>
      <c r="D171" s="68"/>
      <c r="E171" s="68"/>
    </row>
    <row r="172" spans="1:5" ht="13.5" customHeight="1" x14ac:dyDescent="0.25">
      <c r="A172" s="68"/>
      <c r="B172" s="68"/>
      <c r="C172" s="68"/>
      <c r="D172" s="68"/>
      <c r="E172" s="68"/>
    </row>
    <row r="204" spans="1:1" ht="13.5" customHeight="1" x14ac:dyDescent="0.25">
      <c r="A204" s="44" t="s">
        <v>134</v>
      </c>
    </row>
  </sheetData>
  <mergeCells count="52">
    <mergeCell ref="N24:O24"/>
    <mergeCell ref="A4:I4"/>
    <mergeCell ref="A5:B6"/>
    <mergeCell ref="C5:C6"/>
    <mergeCell ref="D5:D6"/>
    <mergeCell ref="E5:E6"/>
    <mergeCell ref="F5:F6"/>
    <mergeCell ref="G5:G6"/>
    <mergeCell ref="H5:H6"/>
    <mergeCell ref="A22:A34"/>
    <mergeCell ref="B22:H22"/>
    <mergeCell ref="I22:I24"/>
    <mergeCell ref="B23:C23"/>
    <mergeCell ref="F23:H23"/>
    <mergeCell ref="A39:A47"/>
    <mergeCell ref="B39:O39"/>
    <mergeCell ref="B40:C40"/>
    <mergeCell ref="D40:F40"/>
    <mergeCell ref="G40:J40"/>
    <mergeCell ref="K40:O40"/>
    <mergeCell ref="C43:C44"/>
    <mergeCell ref="F59:F60"/>
    <mergeCell ref="A72:A77"/>
    <mergeCell ref="B72:K72"/>
    <mergeCell ref="B73:C73"/>
    <mergeCell ref="D73:E73"/>
    <mergeCell ref="F73:H73"/>
    <mergeCell ref="K73:L73"/>
    <mergeCell ref="A56:A61"/>
    <mergeCell ref="B56:E56"/>
    <mergeCell ref="B57:C57"/>
    <mergeCell ref="D57:E57"/>
    <mergeCell ref="B59:B60"/>
    <mergeCell ref="C59:C60"/>
    <mergeCell ref="E59:E60"/>
    <mergeCell ref="A89:A96"/>
    <mergeCell ref="B89:K89"/>
    <mergeCell ref="B90:C90"/>
    <mergeCell ref="D90:E90"/>
    <mergeCell ref="H90:J90"/>
    <mergeCell ref="K90:K91"/>
    <mergeCell ref="D93:J93"/>
    <mergeCell ref="D94:E94"/>
    <mergeCell ref="J138:K138"/>
    <mergeCell ref="A139:E139"/>
    <mergeCell ref="J139:K139"/>
    <mergeCell ref="A106:A113"/>
    <mergeCell ref="B106:H106"/>
    <mergeCell ref="B107:C107"/>
    <mergeCell ref="F107:H107"/>
    <mergeCell ref="I107:I108"/>
    <mergeCell ref="G138:H138"/>
  </mergeCells>
  <conditionalFormatting sqref="H7:H17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I7:I17">
    <cfRule type="cellIs" dxfId="3" priority="2" operator="greaterThan">
      <formula>1</formula>
    </cfRule>
    <cfRule type="cellIs" dxfId="2" priority="3" operator="greaterThan">
      <formula>100</formula>
    </cfRule>
    <cfRule type="cellIs" dxfId="1" priority="4" operator="lessThan">
      <formula>100</formula>
    </cfRule>
  </conditionalFormatting>
  <conditionalFormatting sqref="I10:I17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Seri-Khane YOLOU</dc:creator>
  <cp:lastModifiedBy>Seri-Khane YOLOU</cp:lastModifiedBy>
  <dcterms:created xsi:type="dcterms:W3CDTF">2026-04-08T14:40:48Z</dcterms:created>
  <dcterms:modified xsi:type="dcterms:W3CDTF">2026-04-09T09:35:39Z</dcterms:modified>
</cp:coreProperties>
</file>