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riecrosne-my.sharepoint.com/personal/stage2_crosne_fr/Documents/Documents/"/>
    </mc:Choice>
  </mc:AlternateContent>
  <xr:revisionPtr revIDLastSave="106" documentId="8_{A7A745CD-40BA-4E1B-A496-C27E652A954C}" xr6:coauthVersionLast="47" xr6:coauthVersionMax="47" xr10:uidLastSave="{4745B620-F021-42D2-B123-F2F5FD10E277}"/>
  <bookViews>
    <workbookView xWindow="0" yWindow="0" windowWidth="16275" windowHeight="15600" xr2:uid="{7604F355-7F9A-4EA6-B681-FC3D4AF648A5}"/>
  </bookViews>
  <sheets>
    <sheet name="Feuil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G14" i="1"/>
  <c r="H13" i="1"/>
  <c r="C43" i="1"/>
  <c r="O43" i="1"/>
  <c r="D29" i="1"/>
  <c r="E88" i="1"/>
  <c r="D88" i="1"/>
  <c r="I87" i="1"/>
  <c r="C87" i="1"/>
  <c r="I86" i="1"/>
  <c r="C86" i="1"/>
  <c r="I85" i="1"/>
  <c r="H85" i="1"/>
  <c r="H88" i="1" s="1"/>
  <c r="G84" i="1"/>
  <c r="G88" i="1" s="1"/>
  <c r="F84" i="1"/>
  <c r="I84" i="1" s="1"/>
  <c r="I88" i="1" s="1"/>
  <c r="C84" i="1"/>
  <c r="C88" i="1" s="1"/>
  <c r="H75" i="1"/>
  <c r="C75" i="1"/>
  <c r="J74" i="1"/>
  <c r="J75" i="1" s="1"/>
  <c r="I74" i="1"/>
  <c r="I75" i="1" s="1"/>
  <c r="F74" i="1"/>
  <c r="D74" i="1"/>
  <c r="K74" i="1" s="1"/>
  <c r="G73" i="1"/>
  <c r="F73" i="1"/>
  <c r="D73" i="1"/>
  <c r="K73" i="1" s="1"/>
  <c r="D72" i="1"/>
  <c r="D75" i="1" s="1"/>
  <c r="H71" i="1"/>
  <c r="G71" i="1"/>
  <c r="G75" i="1" s="1"/>
  <c r="F71" i="1"/>
  <c r="F75" i="1" s="1"/>
  <c r="E71" i="1"/>
  <c r="E75" i="1" s="1"/>
  <c r="D71" i="1"/>
  <c r="K71" i="1" s="1"/>
  <c r="F60" i="1" a="1"/>
  <c r="F60" i="1" s="1"/>
  <c r="F62" i="1" s="1"/>
  <c r="L59" i="1"/>
  <c r="J59" i="1"/>
  <c r="I59" i="1"/>
  <c r="F59" i="1"/>
  <c r="E59" i="1"/>
  <c r="D59" i="1"/>
  <c r="K58" i="1"/>
  <c r="K59" i="1" s="1"/>
  <c r="J58" i="1"/>
  <c r="I58" i="1"/>
  <c r="H58" i="1"/>
  <c r="H59" i="1" s="1"/>
  <c r="G58" i="1"/>
  <c r="G59" i="1" s="1"/>
  <c r="C58" i="1"/>
  <c r="C59" i="1" s="1"/>
  <c r="E52" i="1"/>
  <c r="D52" i="1"/>
  <c r="C50" i="1"/>
  <c r="F50" i="1" s="1"/>
  <c r="F52" i="1" s="1"/>
  <c r="M43" i="1"/>
  <c r="D43" i="1"/>
  <c r="N42" i="1"/>
  <c r="J42" i="1"/>
  <c r="I42" i="1"/>
  <c r="I43" i="1" s="1"/>
  <c r="H42" i="1"/>
  <c r="G42" i="1"/>
  <c r="E42" i="1"/>
  <c r="D42" i="1"/>
  <c r="C42" i="1"/>
  <c r="G41" i="1"/>
  <c r="E41" i="1"/>
  <c r="O41" i="1" s="1"/>
  <c r="N40" i="1"/>
  <c r="N43" i="1" s="1"/>
  <c r="J40" i="1"/>
  <c r="J43" i="1" s="1"/>
  <c r="I40" i="1"/>
  <c r="H40" i="1"/>
  <c r="G40" i="1"/>
  <c r="G43" i="1" s="1"/>
  <c r="F40" i="1"/>
  <c r="F43" i="1" s="1"/>
  <c r="E40" i="1"/>
  <c r="D40" i="1"/>
  <c r="O39" i="1"/>
  <c r="L39" i="1"/>
  <c r="K39" i="1"/>
  <c r="C39" i="1"/>
  <c r="L38" i="1"/>
  <c r="L43" i="1" s="1"/>
  <c r="K38" i="1"/>
  <c r="K43" i="1" s="1"/>
  <c r="H38" i="1"/>
  <c r="C38" i="1"/>
  <c r="I21" i="1"/>
  <c r="C22" i="1"/>
  <c r="I22" i="1" s="1"/>
  <c r="C23" i="1"/>
  <c r="C20" i="1"/>
  <c r="I20" i="1" s="1"/>
  <c r="C21" i="1"/>
  <c r="D22" i="1"/>
  <c r="G22" i="1"/>
  <c r="G29" i="1" s="1"/>
  <c r="D23" i="1"/>
  <c r="G23" i="1"/>
  <c r="I23" i="1"/>
  <c r="D24" i="1"/>
  <c r="I24" i="1" s="1"/>
  <c r="I25" i="1"/>
  <c r="I26" i="1"/>
  <c r="I27" i="1"/>
  <c r="I28" i="1"/>
  <c r="F29" i="1"/>
  <c r="E31" i="1"/>
  <c r="H22" i="1" s="1"/>
  <c r="H29" i="1" s="1"/>
  <c r="D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F88" i="1" l="1"/>
  <c r="K72" i="1"/>
  <c r="K75" i="1" s="1"/>
  <c r="O42" i="1"/>
  <c r="H43" i="1"/>
  <c r="E43" i="1"/>
  <c r="O40" i="1"/>
  <c r="M59" i="1"/>
  <c r="M58" i="1"/>
  <c r="C52" i="1"/>
  <c r="O38" i="1"/>
  <c r="E29" i="1"/>
  <c r="C29" i="1"/>
  <c r="I5" i="1"/>
  <c r="I7" i="1"/>
  <c r="I9" i="1"/>
  <c r="I11" i="1"/>
  <c r="I13" i="1"/>
  <c r="I4" i="1"/>
  <c r="I6" i="1"/>
  <c r="I8" i="1"/>
  <c r="I10" i="1"/>
  <c r="I12" i="1"/>
  <c r="H4" i="1"/>
  <c r="H5" i="1"/>
  <c r="H6" i="1"/>
  <c r="H7" i="1"/>
  <c r="H8" i="1"/>
  <c r="H9" i="1"/>
  <c r="H10" i="1"/>
  <c r="H11" i="1"/>
  <c r="H12" i="1"/>
  <c r="I1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<sst xmlns="http://schemas.openxmlformats.org/spreadsheetml/2006/main" count="156" uniqueCount="114">
  <si>
    <t>Restauration - Données pole enfance</t>
  </si>
  <si>
    <t>Tranches</t>
  </si>
  <si>
    <t>Px repas facturé</t>
  </si>
  <si>
    <t>Nombre d'enfants</t>
  </si>
  <si>
    <t>cout moyen de repas</t>
  </si>
  <si>
    <t>DEPENSE ann. en repas</t>
  </si>
  <si>
    <t>RECETTE ann. en repas</t>
  </si>
  <si>
    <t>Ecarts</t>
  </si>
  <si>
    <t>Taux de couverture</t>
  </si>
  <si>
    <t>EXT</t>
  </si>
  <si>
    <t>Plus de 18 000€</t>
  </si>
  <si>
    <t>A</t>
  </si>
  <si>
    <t>15 000 à 17 999 €</t>
  </si>
  <si>
    <t>B</t>
  </si>
  <si>
    <t>13 000€ à 14 999 €</t>
  </si>
  <si>
    <t>B2</t>
  </si>
  <si>
    <t>11 000€ à 12 999 €</t>
  </si>
  <si>
    <t>C</t>
  </si>
  <si>
    <t>9 000 à 10 999 €</t>
  </si>
  <si>
    <t>D</t>
  </si>
  <si>
    <t>7 000€ à 8 999 €</t>
  </si>
  <si>
    <t>E</t>
  </si>
  <si>
    <t>5 000€ à 6 999 €</t>
  </si>
  <si>
    <t>F</t>
  </si>
  <si>
    <t>3 000€ à 4 999 €</t>
  </si>
  <si>
    <t>F2</t>
  </si>
  <si>
    <t>Moins de 3 000 €</t>
  </si>
  <si>
    <t>G</t>
  </si>
  <si>
    <t>Total</t>
  </si>
  <si>
    <t>RESTAURATION</t>
  </si>
  <si>
    <t>Depenses reelles</t>
  </si>
  <si>
    <t>TOTAL</t>
  </si>
  <si>
    <t>DEP. SCOLAREST 2025</t>
  </si>
  <si>
    <t>PERSONNEL</t>
  </si>
  <si>
    <t>Mat et equip</t>
  </si>
  <si>
    <t>FLUIDES</t>
  </si>
  <si>
    <t>Elements</t>
  </si>
  <si>
    <t>Montant</t>
  </si>
  <si>
    <t>Charges</t>
  </si>
  <si>
    <t>Depenses alimentation</t>
  </si>
  <si>
    <t>Eau</t>
  </si>
  <si>
    <t>Electricité</t>
  </si>
  <si>
    <t>Gaz</t>
  </si>
  <si>
    <t>"vide"</t>
  </si>
  <si>
    <t>RESTCOMM</t>
  </si>
  <si>
    <t>RESTGAV</t>
  </si>
  <si>
    <t>RESTMICH</t>
  </si>
  <si>
    <t>rest JP1</t>
  </si>
  <si>
    <t>BRASSENS</t>
  </si>
  <si>
    <t>SAND</t>
  </si>
  <si>
    <t>CURIE</t>
  </si>
  <si>
    <t>REST SCOLAIRE</t>
  </si>
  <si>
    <t>Total général</t>
  </si>
  <si>
    <t>*Gaz de Gavroche comprend une partie de cl petit prince d'un montant de :</t>
  </si>
  <si>
    <t>De manière approximative, on le divise sur 2</t>
  </si>
  <si>
    <t>ACCUEIL DE LOISIRS</t>
  </si>
  <si>
    <t>DEPENSES REELLES</t>
  </si>
  <si>
    <t>Personnel</t>
  </si>
  <si>
    <t>Matrériel et fournitures</t>
  </si>
  <si>
    <t>Activités</t>
  </si>
  <si>
    <t>Locaux</t>
  </si>
  <si>
    <t>NOMBRE</t>
  </si>
  <si>
    <t>CHARGES</t>
  </si>
  <si>
    <t>Matrériel</t>
  </si>
  <si>
    <t>Fournitures pédagogique (papier, peinture)</t>
  </si>
  <si>
    <t>Matériel sportif</t>
  </si>
  <si>
    <t>prestation (spectacle,ateliers..)</t>
  </si>
  <si>
    <t>alimentation</t>
  </si>
  <si>
    <t>Transport (bus, carburant, chaufeur,amendes)</t>
  </si>
  <si>
    <t>Droits d'entrées( musés/parc…)</t>
  </si>
  <si>
    <t>EAU</t>
  </si>
  <si>
    <t>Restauration</t>
  </si>
  <si>
    <t>Autres</t>
  </si>
  <si>
    <t>MDJ</t>
  </si>
  <si>
    <t>p'tit prince</t>
  </si>
  <si>
    <t>CLGAV</t>
  </si>
  <si>
    <t>CLJP1</t>
  </si>
  <si>
    <t>CLLMICH</t>
  </si>
  <si>
    <t>ETUDES SURVEILLEES</t>
  </si>
  <si>
    <t>Fournitures scolaire</t>
  </si>
  <si>
    <t xml:space="preserve">Matériel (photocopieuse..) </t>
  </si>
  <si>
    <t>personnel</t>
  </si>
  <si>
    <t>ESPACE ADOS</t>
  </si>
  <si>
    <t>Matreriel</t>
  </si>
  <si>
    <t>Alimentation</t>
  </si>
  <si>
    <t>Sorties</t>
  </si>
  <si>
    <t>Charges de personnel</t>
  </si>
  <si>
    <t>GAZ</t>
  </si>
  <si>
    <t>Fournitures</t>
  </si>
  <si>
    <t>Petit materiel</t>
  </si>
  <si>
    <t>Transport (bus, carburant, chaufeur)</t>
  </si>
  <si>
    <t>Elec club ados et regroupé avec celle de maison petite enfance, donc j'ai du faire la moyenne : diviser par 2</t>
  </si>
  <si>
    <t>SEJOURS</t>
  </si>
  <si>
    <t>Transport</t>
  </si>
  <si>
    <t>Hebergement</t>
  </si>
  <si>
    <t>Materiel</t>
  </si>
  <si>
    <t>BUS/MINI BUS</t>
  </si>
  <si>
    <t>PEAGE / PARKING</t>
  </si>
  <si>
    <t>CENTRE DE VACANCES</t>
  </si>
  <si>
    <t xml:space="preserve"> matériel</t>
  </si>
  <si>
    <t>Esapce ADOS</t>
  </si>
  <si>
    <t xml:space="preserve">Curie </t>
  </si>
  <si>
    <t xml:space="preserve">Bressens </t>
  </si>
  <si>
    <t>"VIDE"</t>
  </si>
  <si>
    <t>*Curie: montant d'hebergement inclue transport</t>
  </si>
  <si>
    <t>ACCUEILS PERISCOLAIRE</t>
  </si>
  <si>
    <t xml:space="preserve">FOURNITURES </t>
  </si>
  <si>
    <t>Charges personnel</t>
  </si>
  <si>
    <t>FOURNITURES (papier, feutres, peinture)</t>
  </si>
  <si>
    <t>Restaration</t>
  </si>
  <si>
    <t>JP1</t>
  </si>
  <si>
    <t>Petit Prince</t>
  </si>
  <si>
    <t>JP2</t>
  </si>
  <si>
    <t>Georg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</si>
</sst>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5" tint="-0.249977111117893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4" tint="-0.249977111117893"/>
      <name val="Calibri"/>
      <family val="2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7" tint="0.39997558519241921"/>
        <bgColor theme="8" tint="0.79998168889431442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8" fontId="5" fillId="0" borderId="5" xfId="0" applyNumberFormat="1" applyFont="1" applyBorder="1" applyAlignment="1">
      <alignment horizontal="center" vertical="center"/>
    </xf>
    <xf numFmtId="0" fontId="0" fillId="0" borderId="5" xfId="0" applyBorder="1"/>
    <xf numFmtId="164" fontId="0" fillId="0" borderId="5" xfId="0" applyNumberFormat="1" applyBorder="1" applyAlignment="1">
      <alignment vertical="center"/>
    </xf>
    <xf numFmtId="164" fontId="0" fillId="0" borderId="5" xfId="0" applyNumberFormat="1" applyBorder="1"/>
    <xf numFmtId="8" fontId="0" fillId="0" borderId="5" xfId="0" applyNumberFormat="1" applyBorder="1"/>
    <xf numFmtId="10" fontId="0" fillId="0" borderId="5" xfId="1" applyNumberFormat="1" applyFont="1" applyBorder="1"/>
    <xf numFmtId="0" fontId="6" fillId="0" borderId="5" xfId="0" applyFont="1" applyBorder="1" applyAlignment="1">
      <alignment horizontal="center" vertical="center"/>
    </xf>
    <xf numFmtId="8" fontId="7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8" fontId="5" fillId="0" borderId="6" xfId="0" applyNumberFormat="1" applyFont="1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8" fontId="8" fillId="3" borderId="5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/>
    </xf>
    <xf numFmtId="164" fontId="10" fillId="3" borderId="7" xfId="0" applyNumberFormat="1" applyFont="1" applyFill="1" applyBorder="1"/>
    <xf numFmtId="10" fontId="11" fillId="0" borderId="0" xfId="0" applyNumberFormat="1" applyFont="1"/>
    <xf numFmtId="0" fontId="2" fillId="4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1" fillId="0" borderId="2" xfId="0" applyFont="1" applyBorder="1"/>
    <xf numFmtId="0" fontId="2" fillId="5" borderId="8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6" borderId="5" xfId="0" quotePrefix="1" applyFont="1" applyFill="1" applyBorder="1"/>
    <xf numFmtId="4" fontId="12" fillId="7" borderId="5" xfId="0" applyNumberFormat="1" applyFont="1" applyFill="1" applyBorder="1"/>
    <xf numFmtId="4" fontId="0" fillId="8" borderId="5" xfId="0" applyNumberFormat="1" applyFill="1" applyBorder="1"/>
    <xf numFmtId="0" fontId="13" fillId="6" borderId="5" xfId="0" applyFont="1" applyFill="1" applyBorder="1"/>
    <xf numFmtId="4" fontId="0" fillId="0" borderId="5" xfId="0" applyNumberFormat="1" applyBorder="1"/>
    <xf numFmtId="4" fontId="0" fillId="6" borderId="5" xfId="0" applyNumberFormat="1" applyFill="1" applyBorder="1"/>
    <xf numFmtId="0" fontId="12" fillId="0" borderId="5" xfId="0" applyFont="1" applyBorder="1"/>
    <xf numFmtId="0" fontId="0" fillId="0" borderId="8" xfId="0" applyBorder="1"/>
    <xf numFmtId="0" fontId="13" fillId="6" borderId="8" xfId="0" applyFont="1" applyFill="1" applyBorder="1"/>
    <xf numFmtId="0" fontId="12" fillId="0" borderId="8" xfId="0" applyFont="1" applyBorder="1"/>
    <xf numFmtId="0" fontId="13" fillId="3" borderId="5" xfId="0" applyFont="1" applyFill="1" applyBorder="1"/>
    <xf numFmtId="4" fontId="2" fillId="3" borderId="5" xfId="0" applyNumberFormat="1" applyFont="1" applyFill="1" applyBorder="1"/>
    <xf numFmtId="4" fontId="0" fillId="9" borderId="5" xfId="0" applyNumberFormat="1" applyFill="1" applyBorder="1"/>
    <xf numFmtId="0" fontId="13" fillId="6" borderId="9" xfId="0" applyFont="1" applyFill="1" applyBorder="1"/>
    <xf numFmtId="0" fontId="11" fillId="0" borderId="0" xfId="0" applyFont="1"/>
    <xf numFmtId="0" fontId="0" fillId="0" borderId="10" xfId="0" applyBorder="1"/>
    <xf numFmtId="0" fontId="13" fillId="6" borderId="11" xfId="0" applyFont="1" applyFill="1" applyBorder="1"/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1" fillId="5" borderId="5" xfId="0" applyFont="1" applyFill="1" applyBorder="1" applyAlignment="1">
      <alignment wrapText="1"/>
    </xf>
    <xf numFmtId="0" fontId="11" fillId="5" borderId="5" xfId="0" applyFont="1" applyFill="1" applyBorder="1"/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1" fillId="5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0" fontId="0" fillId="6" borderId="5" xfId="0" applyFill="1" applyBorder="1"/>
    <xf numFmtId="4" fontId="0" fillId="10" borderId="5" xfId="0" applyNumberFormat="1" applyFill="1" applyBorder="1"/>
    <xf numFmtId="4" fontId="12" fillId="7" borderId="6" xfId="0" applyNumberFormat="1" applyFont="1" applyFill="1" applyBorder="1" applyAlignment="1">
      <alignment horizontal="center" vertical="center"/>
    </xf>
    <xf numFmtId="4" fontId="12" fillId="7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4" fontId="2" fillId="11" borderId="5" xfId="0" applyNumberFormat="1" applyFont="1" applyFill="1" applyBorder="1"/>
    <xf numFmtId="0" fontId="2" fillId="6" borderId="14" xfId="0" applyFont="1" applyFill="1" applyBorder="1" applyAlignment="1">
      <alignment vertical="center"/>
    </xf>
    <xf numFmtId="0" fontId="2" fillId="6" borderId="1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6" borderId="6" xfId="0" quotePrefix="1" applyFont="1" applyFill="1" applyBorder="1" applyAlignment="1">
      <alignment horizontal="center"/>
    </xf>
    <xf numFmtId="4" fontId="12" fillId="7" borderId="6" xfId="0" applyNumberFormat="1" applyFont="1" applyFill="1" applyBorder="1" applyAlignment="1">
      <alignment horizontal="right" vertical="center"/>
    </xf>
    <xf numFmtId="4" fontId="12" fillId="7" borderId="14" xfId="0" applyNumberFormat="1" applyFont="1" applyFill="1" applyBorder="1" applyAlignment="1">
      <alignment horizontal="right"/>
    </xf>
    <xf numFmtId="4" fontId="12" fillId="7" borderId="5" xfId="0" applyNumberFormat="1" applyFont="1" applyFill="1" applyBorder="1" applyAlignment="1">
      <alignment horizontal="right"/>
    </xf>
    <xf numFmtId="4" fontId="0" fillId="8" borderId="6" xfId="0" applyNumberFormat="1" applyFill="1" applyBorder="1" applyAlignment="1">
      <alignment horizontal="right"/>
    </xf>
    <xf numFmtId="0" fontId="2" fillId="6" borderId="7" xfId="0" quotePrefix="1" applyFont="1" applyFill="1" applyBorder="1" applyAlignment="1">
      <alignment horizontal="center"/>
    </xf>
    <xf numFmtId="4" fontId="12" fillId="7" borderId="7" xfId="0" applyNumberFormat="1" applyFont="1" applyFill="1" applyBorder="1" applyAlignment="1">
      <alignment horizontal="right" vertical="center"/>
    </xf>
    <xf numFmtId="4" fontId="12" fillId="7" borderId="12" xfId="0" applyNumberFormat="1" applyFont="1" applyFill="1" applyBorder="1" applyAlignment="1">
      <alignment horizontal="right"/>
    </xf>
    <xf numFmtId="4" fontId="0" fillId="8" borderId="7" xfId="0" applyNumberFormat="1" applyFill="1" applyBorder="1" applyAlignment="1">
      <alignment horizontal="right"/>
    </xf>
    <xf numFmtId="1" fontId="2" fillId="3" borderId="5" xfId="0" applyNumberFormat="1" applyFont="1" applyFill="1" applyBorder="1"/>
    <xf numFmtId="4" fontId="0" fillId="12" borderId="5" xfId="0" applyNumberFormat="1" applyFill="1" applyBorder="1"/>
    <xf numFmtId="0" fontId="2" fillId="0" borderId="5" xfId="0" applyFont="1" applyBorder="1" applyAlignment="1">
      <alignment horizontal="center"/>
    </xf>
    <xf numFmtId="4" fontId="12" fillId="13" borderId="5" xfId="0" applyNumberFormat="1" applyFont="1" applyFill="1" applyBorder="1"/>
    <xf numFmtId="0" fontId="2" fillId="6" borderId="0" xfId="0" applyFont="1" applyFill="1" applyAlignment="1">
      <alignment vertical="center"/>
    </xf>
    <xf numFmtId="20" fontId="2" fillId="0" borderId="5" xfId="0" applyNumberFormat="1" applyFont="1" applyBorder="1" applyAlignment="1">
      <alignment horizontal="center"/>
    </xf>
    <xf numFmtId="0" fontId="11" fillId="5" borderId="14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13" fillId="14" borderId="5" xfId="0" applyNumberFormat="1" applyFont="1" applyFill="1" applyBorder="1"/>
    <xf numFmtId="0" fontId="2" fillId="15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4" fontId="12" fillId="6" borderId="5" xfId="0" applyNumberFormat="1" applyFont="1" applyFill="1" applyBorder="1"/>
    <xf numFmtId="0" fontId="2" fillId="6" borderId="0" xfId="0" applyFont="1" applyFill="1" applyAlignment="1">
      <alignment vertical="center" wrapText="1"/>
    </xf>
    <xf numFmtId="0" fontId="0" fillId="6" borderId="0" xfId="0" applyFill="1"/>
  </cellXfs>
  <cellStyles count="2">
    <cellStyle name="Normal" xfId="0" builtinId="0"/>
    <cellStyle name="Pourcentag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agedg2\Downloads\CALC%20DEP%20(1).xlsx" TargetMode="External"/><Relationship Id="rId1" Type="http://schemas.openxmlformats.org/officeDocument/2006/relationships/externalLinkPath" Target="file:///C:\Users\stagedg2\Downloads\CALC%20DEP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Edition_d_un_journal_de_paie_142129.slk" TargetMode="External"/><Relationship Id="rId1" Type="http://schemas.openxmlformats.org/officeDocument/2006/relationships/externalLinkPath" Target="file:///C:\Users\finances1\Downloads\Edition_d_un_journal_de_paie_142129.slk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AppData\Roaming\Microsoft\Windows\Network%20Shortcuts\Suivi%20consos%20et%20facturations%20ELEC%20sur%20BP2024-2025-2026.xlsx" TargetMode="External"/><Relationship Id="rId1" Type="http://schemas.openxmlformats.org/officeDocument/2006/relationships/externalLinkPath" Target="file:///C:\Users\finances1\AppData\Roaming\Microsoft\Windows\Network%20Shortcuts\Suivi%20consos%20et%20facturations%20ELEC%20sur%20BP2024-2025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AppData\Roaming\Microsoft\Windows\Network%20Shortcuts\Suivi%20consos%20et%20facturations%20EAU%20sur%20BP2024-2025-2026.xlsx" TargetMode="External"/><Relationship Id="rId1" Type="http://schemas.openxmlformats.org/officeDocument/2006/relationships/externalLinkPath" Target="file:///C:\Users\finances1\AppData\Roaming\Microsoft\Windows\Network%20Shortcuts\Suivi%20consos%20et%20facturations%20EAU%20sur%20BP2024-2025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depenses%20centre%20de%20loisirs%202025.xlsx" TargetMode="External"/><Relationship Id="rId1" Type="http://schemas.openxmlformats.org/officeDocument/2006/relationships/externalLinkPath" Target="file:///C:\Users\stagedg2\Downloads\depenses%20centre%20de%20loisirs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conso%20elec.xlsx" TargetMode="External"/><Relationship Id="rId1" Type="http://schemas.openxmlformats.org/officeDocument/2006/relationships/externalLinkPath" Target="file:///C:\Users\finances1\Downloads\conso%20elec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ces1\Downloads\_ShowList%20(4).xls.xlsm" TargetMode="External"/><Relationship Id="rId1" Type="http://schemas.openxmlformats.org/officeDocument/2006/relationships/externalLinkPath" Target="file:///C:\Users\finances1\Downloads\_ShowList%20(4).xl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enses restau 2025"/>
      <sheetName val="Depenses,service,RE"/>
      <sheetName val="DEP ALIM"/>
      <sheetName val="DEP ALIM MODIF"/>
      <sheetName val="DEP ALIM TCD"/>
      <sheetName val="CONSO ELEC"/>
      <sheetName val="CONSO GAZ"/>
      <sheetName val="Conso eau"/>
      <sheetName val="Simulation"/>
    </sheetNames>
    <sheetDataSet>
      <sheetData sheetId="0">
        <row r="1">
          <cell r="H1" t="str">
            <v>Montant TTC</v>
          </cell>
        </row>
        <row r="2">
          <cell r="H2">
            <v>576.51</v>
          </cell>
        </row>
        <row r="3">
          <cell r="H3">
            <v>464.26</v>
          </cell>
        </row>
        <row r="4">
          <cell r="H4">
            <v>20581.580000000002</v>
          </cell>
        </row>
        <row r="5">
          <cell r="H5">
            <v>31959.66</v>
          </cell>
        </row>
        <row r="6">
          <cell r="H6">
            <v>65753.279999999999</v>
          </cell>
        </row>
        <row r="7">
          <cell r="H7">
            <v>4665.24</v>
          </cell>
        </row>
        <row r="10">
          <cell r="H10">
            <v>210.34</v>
          </cell>
        </row>
        <row r="11">
          <cell r="H11">
            <v>3765.97</v>
          </cell>
        </row>
        <row r="12">
          <cell r="H12">
            <v>200.99</v>
          </cell>
        </row>
        <row r="14">
          <cell r="H14">
            <v>32717.64</v>
          </cell>
        </row>
        <row r="17">
          <cell r="H17">
            <v>8332.8799999999992</v>
          </cell>
        </row>
        <row r="18">
          <cell r="H18">
            <v>514.15</v>
          </cell>
        </row>
        <row r="19">
          <cell r="H19">
            <v>39569.42</v>
          </cell>
        </row>
        <row r="20">
          <cell r="H20">
            <v>30000</v>
          </cell>
        </row>
        <row r="21">
          <cell r="H21">
            <v>764.95</v>
          </cell>
        </row>
        <row r="22">
          <cell r="H22">
            <v>3514.74</v>
          </cell>
        </row>
        <row r="23">
          <cell r="H23">
            <v>3262.23</v>
          </cell>
        </row>
        <row r="24">
          <cell r="H24">
            <v>393.5</v>
          </cell>
        </row>
        <row r="25">
          <cell r="H25">
            <v>169.87</v>
          </cell>
        </row>
        <row r="29">
          <cell r="H29">
            <v>7626.18</v>
          </cell>
        </row>
        <row r="30">
          <cell r="H30">
            <v>8906.36</v>
          </cell>
        </row>
        <row r="31">
          <cell r="H31">
            <v>32235.05</v>
          </cell>
        </row>
        <row r="32">
          <cell r="H32">
            <v>1363.58</v>
          </cell>
        </row>
        <row r="35">
          <cell r="H35">
            <v>4116.05</v>
          </cell>
        </row>
        <row r="36">
          <cell r="H36">
            <v>3124.42</v>
          </cell>
        </row>
        <row r="37">
          <cell r="H37">
            <v>420</v>
          </cell>
        </row>
        <row r="38">
          <cell r="H38">
            <v>53133.08</v>
          </cell>
        </row>
        <row r="39">
          <cell r="H39">
            <v>864.7</v>
          </cell>
        </row>
        <row r="40">
          <cell r="H40">
            <v>3156.78</v>
          </cell>
        </row>
        <row r="41">
          <cell r="H41">
            <v>1377.27</v>
          </cell>
        </row>
        <row r="42">
          <cell r="H42">
            <v>2000</v>
          </cell>
        </row>
        <row r="43">
          <cell r="H43">
            <v>3495.35</v>
          </cell>
        </row>
        <row r="44">
          <cell r="H44">
            <v>3572.73</v>
          </cell>
        </row>
        <row r="45">
          <cell r="H45">
            <v>127.43</v>
          </cell>
        </row>
        <row r="49">
          <cell r="H49">
            <v>500</v>
          </cell>
        </row>
        <row r="51">
          <cell r="H51">
            <v>60398.07</v>
          </cell>
        </row>
        <row r="52">
          <cell r="H52">
            <v>11949.56</v>
          </cell>
        </row>
        <row r="53">
          <cell r="H53">
            <v>2885.05</v>
          </cell>
        </row>
        <row r="54">
          <cell r="H54">
            <v>231.28</v>
          </cell>
        </row>
        <row r="55">
          <cell r="H55">
            <v>371.99</v>
          </cell>
        </row>
        <row r="56">
          <cell r="H56">
            <v>8961.84</v>
          </cell>
        </row>
        <row r="57">
          <cell r="H57">
            <v>3208.74</v>
          </cell>
        </row>
        <row r="61">
          <cell r="H61">
            <v>13475.81</v>
          </cell>
        </row>
        <row r="67">
          <cell r="H67">
            <v>8636.42</v>
          </cell>
        </row>
        <row r="68">
          <cell r="H68">
            <v>6866.92</v>
          </cell>
        </row>
        <row r="69">
          <cell r="H69">
            <v>754.6</v>
          </cell>
        </row>
        <row r="70">
          <cell r="H70">
            <v>50000</v>
          </cell>
        </row>
        <row r="71">
          <cell r="H71">
            <v>5199.99</v>
          </cell>
        </row>
        <row r="72">
          <cell r="H72">
            <v>415.11</v>
          </cell>
        </row>
        <row r="74">
          <cell r="H74">
            <v>3324.84</v>
          </cell>
        </row>
        <row r="75">
          <cell r="H75">
            <v>10327.44</v>
          </cell>
        </row>
        <row r="76">
          <cell r="H76">
            <v>38731.480000000003</v>
          </cell>
        </row>
        <row r="77">
          <cell r="H77">
            <v>11251.18</v>
          </cell>
        </row>
        <row r="78">
          <cell r="H78">
            <v>1671.58</v>
          </cell>
        </row>
        <row r="79">
          <cell r="H79">
            <v>415.11</v>
          </cell>
        </row>
        <row r="85">
          <cell r="H85">
            <v>64178.79</v>
          </cell>
        </row>
      </sheetData>
      <sheetData sheetId="1"/>
      <sheetData sheetId="2"/>
      <sheetData sheetId="3">
        <row r="1">
          <cell r="N1" t="str">
            <v>Montant TTC</v>
          </cell>
        </row>
        <row r="32">
          <cell r="N32">
            <v>150.38999999999999</v>
          </cell>
        </row>
        <row r="33">
          <cell r="N33">
            <v>24.61</v>
          </cell>
        </row>
        <row r="110">
          <cell r="N110">
            <v>140.28</v>
          </cell>
        </row>
        <row r="112">
          <cell r="N112">
            <v>59.24</v>
          </cell>
        </row>
        <row r="113">
          <cell r="N113">
            <v>148.69999999999999</v>
          </cell>
        </row>
        <row r="114">
          <cell r="N114">
            <v>12.98</v>
          </cell>
        </row>
        <row r="115">
          <cell r="N115">
            <v>74.19</v>
          </cell>
        </row>
        <row r="116">
          <cell r="N116">
            <v>199.45</v>
          </cell>
        </row>
        <row r="117">
          <cell r="N117">
            <v>33.76</v>
          </cell>
        </row>
        <row r="118">
          <cell r="N118">
            <v>96.95</v>
          </cell>
        </row>
        <row r="119">
          <cell r="N119">
            <v>149.88</v>
          </cell>
        </row>
        <row r="120">
          <cell r="N120">
            <v>136.62</v>
          </cell>
        </row>
        <row r="121">
          <cell r="N121">
            <v>187.77</v>
          </cell>
        </row>
        <row r="122">
          <cell r="N122">
            <v>43.67</v>
          </cell>
        </row>
        <row r="123">
          <cell r="N123">
            <v>93.57</v>
          </cell>
        </row>
        <row r="124">
          <cell r="N124">
            <v>79.819999999999993</v>
          </cell>
        </row>
        <row r="177">
          <cell r="N177">
            <v>76.05</v>
          </cell>
        </row>
        <row r="179">
          <cell r="N179">
            <v>130.33000000000001</v>
          </cell>
        </row>
        <row r="180">
          <cell r="N180">
            <v>190.57</v>
          </cell>
        </row>
        <row r="224">
          <cell r="N224">
            <v>40</v>
          </cell>
        </row>
        <row r="252">
          <cell r="N252">
            <v>28.79</v>
          </cell>
        </row>
        <row r="253">
          <cell r="N253">
            <v>49.23</v>
          </cell>
        </row>
        <row r="254">
          <cell r="N254">
            <v>85.08</v>
          </cell>
        </row>
        <row r="261">
          <cell r="N261">
            <v>94.01</v>
          </cell>
        </row>
        <row r="262">
          <cell r="N262">
            <v>244.64</v>
          </cell>
        </row>
        <row r="288">
          <cell r="N288">
            <v>1202.76</v>
          </cell>
        </row>
        <row r="289">
          <cell r="N289">
            <v>60.84</v>
          </cell>
        </row>
        <row r="290">
          <cell r="N290">
            <v>199.96</v>
          </cell>
        </row>
        <row r="291">
          <cell r="N291">
            <v>25</v>
          </cell>
        </row>
        <row r="302">
          <cell r="N302">
            <v>100</v>
          </cell>
        </row>
        <row r="303">
          <cell r="N303">
            <v>100</v>
          </cell>
        </row>
        <row r="304">
          <cell r="N304">
            <v>34.92</v>
          </cell>
        </row>
        <row r="305">
          <cell r="N305">
            <v>30</v>
          </cell>
        </row>
        <row r="306">
          <cell r="N306">
            <v>200</v>
          </cell>
        </row>
        <row r="307">
          <cell r="N307">
            <v>250</v>
          </cell>
        </row>
        <row r="315">
          <cell r="N315">
            <v>30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ition_d_un_journal_de_paie_14"/>
    </sheetNames>
    <sheetDataSet>
      <sheetData sheetId="0" refreshError="1">
        <row r="7">
          <cell r="B7">
            <v>664758.87</v>
          </cell>
        </row>
        <row r="8">
          <cell r="B8">
            <v>661314.32999999996</v>
          </cell>
        </row>
        <row r="9">
          <cell r="B9">
            <v>268883.59000000003</v>
          </cell>
        </row>
        <row r="10">
          <cell r="B10">
            <v>171094.89</v>
          </cell>
        </row>
        <row r="11">
          <cell r="B11">
            <v>157998.9</v>
          </cell>
        </row>
        <row r="12">
          <cell r="B12">
            <v>435474.22</v>
          </cell>
        </row>
        <row r="13">
          <cell r="B13">
            <v>97360.35</v>
          </cell>
        </row>
        <row r="14">
          <cell r="B14">
            <v>518185.07</v>
          </cell>
        </row>
        <row r="15">
          <cell r="B15">
            <v>58598.14</v>
          </cell>
        </row>
        <row r="16">
          <cell r="B16">
            <v>119794.89</v>
          </cell>
        </row>
        <row r="17">
          <cell r="B17">
            <v>102776.17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 consos TOTAL sur BP2025 "/>
      <sheetName val="Etats consos TOTAL sur BP 2026"/>
      <sheetName val="Etat consos EDF sur BP 2024"/>
    </sheetNames>
    <sheetDataSet>
      <sheetData sheetId="0" refreshError="1">
        <row r="11">
          <cell r="K11">
            <v>3295.15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DS11">
            <v>3012.55</v>
          </cell>
        </row>
        <row r="14">
          <cell r="K14">
            <v>2147.6799999999998</v>
          </cell>
          <cell r="O14">
            <v>1384.31</v>
          </cell>
          <cell r="AA14">
            <v>1101.95</v>
          </cell>
          <cell r="AI14">
            <v>756.07</v>
          </cell>
          <cell r="AQ14">
            <v>601.74</v>
          </cell>
          <cell r="AU14">
            <v>753.91</v>
          </cell>
          <cell r="BC14">
            <v>824.47</v>
          </cell>
          <cell r="BK14">
            <v>798.77</v>
          </cell>
          <cell r="BS14">
            <v>1399.69</v>
          </cell>
          <cell r="CI14">
            <v>1836.2</v>
          </cell>
          <cell r="CM14">
            <v>986.99</v>
          </cell>
          <cell r="DS14">
            <v>1717.43</v>
          </cell>
        </row>
        <row r="22">
          <cell r="K22">
            <v>1198.3399999999999</v>
          </cell>
          <cell r="O22">
            <v>880.84</v>
          </cell>
          <cell r="AA22">
            <v>740.26</v>
          </cell>
          <cell r="AI22">
            <v>574.98</v>
          </cell>
          <cell r="AQ22">
            <v>496.99</v>
          </cell>
          <cell r="AU22">
            <v>627.79</v>
          </cell>
          <cell r="BC22">
            <v>608.69000000000005</v>
          </cell>
          <cell r="BK22">
            <v>625.01</v>
          </cell>
          <cell r="BS22">
            <v>961.25</v>
          </cell>
          <cell r="CI22">
            <v>1086.95</v>
          </cell>
          <cell r="CM22">
            <v>831.87</v>
          </cell>
          <cell r="DS22">
            <v>1093.1600000000001</v>
          </cell>
        </row>
        <row r="67">
          <cell r="S67">
            <v>226.91</v>
          </cell>
          <cell r="W67">
            <v>106.18</v>
          </cell>
          <cell r="AE67">
            <v>103.51</v>
          </cell>
          <cell r="AM67">
            <v>90.65</v>
          </cell>
          <cell r="AY67">
            <v>94.61</v>
          </cell>
          <cell r="BG67">
            <v>72.73</v>
          </cell>
          <cell r="BO67">
            <v>94.38</v>
          </cell>
          <cell r="BW67">
            <v>183.31</v>
          </cell>
          <cell r="CA67">
            <v>274.52</v>
          </cell>
          <cell r="CE67">
            <v>391.99</v>
          </cell>
          <cell r="DG67">
            <v>278.08999999999997</v>
          </cell>
        </row>
        <row r="68">
          <cell r="S68">
            <v>567.61</v>
          </cell>
          <cell r="W68">
            <v>38.72</v>
          </cell>
          <cell r="AE68">
            <v>77.34</v>
          </cell>
          <cell r="AM68">
            <v>38.14</v>
          </cell>
          <cell r="AY68">
            <v>33.44</v>
          </cell>
          <cell r="BG68">
            <v>-50.75</v>
          </cell>
          <cell r="BO68">
            <v>-26.21</v>
          </cell>
          <cell r="BW68">
            <v>524.08000000000004</v>
          </cell>
          <cell r="CA68">
            <v>1251.1400000000001</v>
          </cell>
          <cell r="CE68">
            <v>1562.36</v>
          </cell>
          <cell r="DG68">
            <v>1124.03</v>
          </cell>
        </row>
      </sheetData>
      <sheetData sheetId="1" refreshError="1">
        <row r="67">
          <cell r="K67">
            <v>346.66</v>
          </cell>
        </row>
        <row r="68">
          <cell r="K68">
            <v>1500.32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s eau 2026"/>
      <sheetName val="Consos eau 2025"/>
      <sheetName val="Consos eau 2024"/>
    </sheetNames>
    <sheetDataSet>
      <sheetData sheetId="0" refreshError="1">
        <row r="11">
          <cell r="I11">
            <v>1418.78</v>
          </cell>
        </row>
        <row r="15">
          <cell r="I15">
            <v>1709.62</v>
          </cell>
        </row>
        <row r="20">
          <cell r="I20">
            <v>1244.69</v>
          </cell>
        </row>
      </sheetData>
      <sheetData sheetId="1" refreshError="1">
        <row r="11">
          <cell r="S11">
            <v>5530.99</v>
          </cell>
        </row>
        <row r="15">
          <cell r="S15">
            <v>4483.21</v>
          </cell>
        </row>
        <row r="20">
          <cell r="S20">
            <v>1294.3399999999999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10">
          <cell r="N10">
            <v>482</v>
          </cell>
        </row>
        <row r="11">
          <cell r="N11">
            <v>924</v>
          </cell>
        </row>
        <row r="12">
          <cell r="N12">
            <v>149.68</v>
          </cell>
        </row>
        <row r="13">
          <cell r="N13">
            <v>127.34</v>
          </cell>
        </row>
        <row r="14">
          <cell r="N14">
            <v>99.99</v>
          </cell>
        </row>
        <row r="15">
          <cell r="N15">
            <v>29.64</v>
          </cell>
        </row>
        <row r="16">
          <cell r="N16">
            <v>198.79</v>
          </cell>
        </row>
        <row r="17">
          <cell r="N17">
            <v>28.93</v>
          </cell>
        </row>
        <row r="18">
          <cell r="N18">
            <v>27.81</v>
          </cell>
        </row>
        <row r="19">
          <cell r="N19">
            <v>29.08</v>
          </cell>
        </row>
        <row r="20">
          <cell r="N20">
            <v>885.35</v>
          </cell>
        </row>
        <row r="21">
          <cell r="N21">
            <v>30</v>
          </cell>
        </row>
        <row r="22">
          <cell r="N22">
            <v>99.39</v>
          </cell>
        </row>
        <row r="23">
          <cell r="N23">
            <v>150</v>
          </cell>
        </row>
        <row r="24">
          <cell r="N24">
            <v>72.56</v>
          </cell>
        </row>
        <row r="27">
          <cell r="N27">
            <v>502</v>
          </cell>
        </row>
        <row r="28">
          <cell r="N28">
            <v>117.29</v>
          </cell>
        </row>
        <row r="29">
          <cell r="N29">
            <v>83.74</v>
          </cell>
        </row>
        <row r="30">
          <cell r="N30">
            <v>695</v>
          </cell>
        </row>
        <row r="31">
          <cell r="N31">
            <v>81.2</v>
          </cell>
        </row>
        <row r="32">
          <cell r="N32">
            <v>291.5</v>
          </cell>
        </row>
        <row r="33">
          <cell r="N33">
            <v>1021.18</v>
          </cell>
        </row>
        <row r="34">
          <cell r="N34">
            <v>379</v>
          </cell>
        </row>
        <row r="35">
          <cell r="N35">
            <v>183.61</v>
          </cell>
        </row>
        <row r="36">
          <cell r="N36">
            <v>109.7</v>
          </cell>
        </row>
        <row r="37">
          <cell r="N37">
            <v>440</v>
          </cell>
        </row>
        <row r="38">
          <cell r="N38">
            <v>69.599999999999994</v>
          </cell>
        </row>
        <row r="39">
          <cell r="N39">
            <v>29.74</v>
          </cell>
        </row>
        <row r="40">
          <cell r="N40">
            <v>29.41</v>
          </cell>
        </row>
        <row r="41">
          <cell r="N41">
            <v>135.15</v>
          </cell>
        </row>
        <row r="42">
          <cell r="N42">
            <v>400</v>
          </cell>
        </row>
        <row r="43">
          <cell r="N43">
            <v>120</v>
          </cell>
        </row>
        <row r="44">
          <cell r="N44">
            <v>3236.51</v>
          </cell>
        </row>
        <row r="46">
          <cell r="N46">
            <v>19.03</v>
          </cell>
        </row>
        <row r="47">
          <cell r="N47">
            <v>62.15</v>
          </cell>
        </row>
        <row r="48">
          <cell r="N48">
            <v>160.15</v>
          </cell>
        </row>
        <row r="49">
          <cell r="N49">
            <v>142.38999999999999</v>
          </cell>
        </row>
        <row r="50">
          <cell r="N50">
            <v>203.64</v>
          </cell>
        </row>
        <row r="52">
          <cell r="N52">
            <v>149.35</v>
          </cell>
        </row>
        <row r="53">
          <cell r="N53">
            <v>150</v>
          </cell>
        </row>
        <row r="54">
          <cell r="N54">
            <v>99.88</v>
          </cell>
        </row>
        <row r="55">
          <cell r="N55">
            <v>310.63</v>
          </cell>
        </row>
        <row r="56">
          <cell r="N56">
            <v>284.75</v>
          </cell>
        </row>
        <row r="57">
          <cell r="N57">
            <v>29.86</v>
          </cell>
        </row>
        <row r="58">
          <cell r="N58">
            <v>29.93</v>
          </cell>
        </row>
        <row r="59">
          <cell r="N59">
            <v>29.8</v>
          </cell>
        </row>
        <row r="60">
          <cell r="N60">
            <v>149.82</v>
          </cell>
        </row>
        <row r="61">
          <cell r="N61">
            <v>252</v>
          </cell>
        </row>
        <row r="62">
          <cell r="N62">
            <v>1274.3699999999999</v>
          </cell>
        </row>
        <row r="63">
          <cell r="N63">
            <v>132</v>
          </cell>
        </row>
        <row r="64">
          <cell r="N64">
            <v>227.66</v>
          </cell>
        </row>
        <row r="65">
          <cell r="N65">
            <v>391</v>
          </cell>
        </row>
        <row r="66">
          <cell r="N66">
            <v>399</v>
          </cell>
        </row>
        <row r="67">
          <cell r="N67">
            <v>555</v>
          </cell>
        </row>
        <row r="68">
          <cell r="N68">
            <v>405</v>
          </cell>
        </row>
        <row r="70">
          <cell r="N70">
            <v>198</v>
          </cell>
        </row>
        <row r="71">
          <cell r="N71">
            <v>99.99</v>
          </cell>
        </row>
        <row r="72">
          <cell r="N72">
            <v>687.64</v>
          </cell>
        </row>
        <row r="74">
          <cell r="N74">
            <v>28.28</v>
          </cell>
        </row>
        <row r="75">
          <cell r="N75">
            <v>79.41</v>
          </cell>
        </row>
        <row r="76">
          <cell r="N76">
            <v>99.39</v>
          </cell>
        </row>
        <row r="77">
          <cell r="N77">
            <v>29.55</v>
          </cell>
        </row>
        <row r="78">
          <cell r="N78">
            <v>29.67</v>
          </cell>
        </row>
        <row r="79">
          <cell r="N79">
            <v>99.28</v>
          </cell>
        </row>
        <row r="80">
          <cell r="N80">
            <v>29.4</v>
          </cell>
        </row>
        <row r="81">
          <cell r="N81">
            <v>330</v>
          </cell>
        </row>
        <row r="82">
          <cell r="N82">
            <v>29.46</v>
          </cell>
        </row>
        <row r="83">
          <cell r="N83">
            <v>99.24</v>
          </cell>
        </row>
        <row r="84">
          <cell r="N84">
            <v>29.78</v>
          </cell>
        </row>
        <row r="85">
          <cell r="N85">
            <v>29.61</v>
          </cell>
        </row>
        <row r="86">
          <cell r="N86">
            <v>119.5</v>
          </cell>
        </row>
        <row r="87">
          <cell r="N87">
            <v>99.32</v>
          </cell>
        </row>
        <row r="88">
          <cell r="N88">
            <v>149.79</v>
          </cell>
        </row>
        <row r="89">
          <cell r="N89">
            <v>149.65</v>
          </cell>
        </row>
        <row r="90">
          <cell r="N90">
            <v>196.77</v>
          </cell>
        </row>
        <row r="92">
          <cell r="N92">
            <v>149.94</v>
          </cell>
        </row>
        <row r="93">
          <cell r="N93">
            <v>480.13</v>
          </cell>
        </row>
        <row r="94">
          <cell r="N94">
            <v>116.99</v>
          </cell>
        </row>
        <row r="95">
          <cell r="N95">
            <v>379.39</v>
          </cell>
        </row>
        <row r="96">
          <cell r="N96">
            <v>59.24</v>
          </cell>
        </row>
        <row r="97">
          <cell r="N97">
            <v>298.95999999999998</v>
          </cell>
        </row>
        <row r="98">
          <cell r="N98">
            <v>46.4</v>
          </cell>
        </row>
        <row r="99">
          <cell r="N99">
            <v>12.98</v>
          </cell>
        </row>
        <row r="100">
          <cell r="N100">
            <v>190.96</v>
          </cell>
        </row>
        <row r="101">
          <cell r="N101">
            <v>74.19</v>
          </cell>
        </row>
        <row r="102">
          <cell r="N102">
            <v>199.45</v>
          </cell>
        </row>
        <row r="103">
          <cell r="N103">
            <v>33.76</v>
          </cell>
        </row>
        <row r="104">
          <cell r="N104">
            <v>96.95</v>
          </cell>
        </row>
        <row r="105">
          <cell r="N105">
            <v>149.88</v>
          </cell>
        </row>
        <row r="106">
          <cell r="N106">
            <v>136.62</v>
          </cell>
        </row>
        <row r="107">
          <cell r="N107">
            <v>187.77</v>
          </cell>
        </row>
        <row r="108">
          <cell r="N108">
            <v>43.67</v>
          </cell>
        </row>
        <row r="109">
          <cell r="N109">
            <v>17.34</v>
          </cell>
        </row>
        <row r="110">
          <cell r="N110">
            <v>93.57</v>
          </cell>
        </row>
        <row r="112">
          <cell r="N112">
            <v>74.38</v>
          </cell>
        </row>
        <row r="113">
          <cell r="N113">
            <v>79.819999999999993</v>
          </cell>
        </row>
        <row r="114">
          <cell r="N114">
            <v>90</v>
          </cell>
        </row>
        <row r="115">
          <cell r="N115">
            <v>99.67</v>
          </cell>
        </row>
        <row r="116">
          <cell r="N116">
            <v>128.76</v>
          </cell>
        </row>
        <row r="117">
          <cell r="N117">
            <v>298.79000000000002</v>
          </cell>
        </row>
        <row r="118">
          <cell r="N118">
            <v>200</v>
          </cell>
        </row>
        <row r="119">
          <cell r="N119">
            <v>134.41</v>
          </cell>
        </row>
        <row r="120">
          <cell r="N120">
            <v>198.6</v>
          </cell>
        </row>
        <row r="121">
          <cell r="N121">
            <v>570</v>
          </cell>
        </row>
        <row r="122">
          <cell r="N122">
            <v>208</v>
          </cell>
        </row>
        <row r="123">
          <cell r="N123">
            <v>199.5</v>
          </cell>
        </row>
        <row r="124">
          <cell r="N124">
            <v>365.5</v>
          </cell>
        </row>
        <row r="125">
          <cell r="N125">
            <v>159.84</v>
          </cell>
        </row>
        <row r="126">
          <cell r="N126">
            <v>1045.21</v>
          </cell>
        </row>
        <row r="127">
          <cell r="N127">
            <v>129.86000000000001</v>
          </cell>
        </row>
        <row r="128">
          <cell r="N128">
            <v>56.06</v>
          </cell>
        </row>
        <row r="129">
          <cell r="N129">
            <v>853.67</v>
          </cell>
        </row>
        <row r="130">
          <cell r="N130">
            <v>65.62</v>
          </cell>
        </row>
        <row r="131">
          <cell r="N131">
            <v>144.4</v>
          </cell>
        </row>
        <row r="132">
          <cell r="N132">
            <v>508</v>
          </cell>
        </row>
        <row r="133">
          <cell r="N133">
            <v>97</v>
          </cell>
        </row>
        <row r="134">
          <cell r="N134">
            <v>28.6</v>
          </cell>
        </row>
        <row r="136">
          <cell r="N136">
            <v>29.52</v>
          </cell>
        </row>
        <row r="137">
          <cell r="N137">
            <v>149.25</v>
          </cell>
        </row>
        <row r="138">
          <cell r="N138">
            <v>248.27</v>
          </cell>
        </row>
        <row r="139">
          <cell r="N139">
            <v>29.3</v>
          </cell>
        </row>
        <row r="140">
          <cell r="N140">
            <v>1027.3699999999999</v>
          </cell>
        </row>
        <row r="141">
          <cell r="N141">
            <v>89.6</v>
          </cell>
        </row>
        <row r="142">
          <cell r="N142">
            <v>374</v>
          </cell>
        </row>
        <row r="143">
          <cell r="N143">
            <v>344</v>
          </cell>
        </row>
        <row r="144">
          <cell r="N144">
            <v>169.98</v>
          </cell>
        </row>
        <row r="145">
          <cell r="N145">
            <v>97.73</v>
          </cell>
        </row>
        <row r="146">
          <cell r="N146">
            <v>29.62</v>
          </cell>
        </row>
        <row r="147">
          <cell r="N147">
            <v>21.59</v>
          </cell>
        </row>
        <row r="148">
          <cell r="N148">
            <v>30.32</v>
          </cell>
        </row>
        <row r="149">
          <cell r="N149">
            <v>28.19</v>
          </cell>
        </row>
        <row r="150">
          <cell r="N150">
            <v>29.58</v>
          </cell>
        </row>
        <row r="151">
          <cell r="N151">
            <v>29.24</v>
          </cell>
        </row>
        <row r="152">
          <cell r="N152">
            <v>29.21</v>
          </cell>
        </row>
        <row r="153">
          <cell r="N153">
            <v>154</v>
          </cell>
        </row>
        <row r="154">
          <cell r="N154">
            <v>119.86</v>
          </cell>
        </row>
        <row r="155">
          <cell r="N155">
            <v>28.72</v>
          </cell>
        </row>
        <row r="156">
          <cell r="N156">
            <v>29.1</v>
          </cell>
        </row>
        <row r="157">
          <cell r="N157">
            <v>99.3</v>
          </cell>
        </row>
        <row r="158">
          <cell r="N158">
            <v>99.46</v>
          </cell>
        </row>
        <row r="159">
          <cell r="N159">
            <v>368.4</v>
          </cell>
        </row>
        <row r="160">
          <cell r="N160">
            <v>24.97</v>
          </cell>
        </row>
        <row r="161">
          <cell r="N161">
            <v>1934.41</v>
          </cell>
        </row>
        <row r="162">
          <cell r="N162">
            <v>228</v>
          </cell>
        </row>
        <row r="163">
          <cell r="N163">
            <v>99.96</v>
          </cell>
        </row>
        <row r="164">
          <cell r="N164">
            <v>34.200000000000003</v>
          </cell>
        </row>
        <row r="165">
          <cell r="N165">
            <v>34.200000000000003</v>
          </cell>
        </row>
        <row r="166">
          <cell r="N166">
            <v>200</v>
          </cell>
        </row>
        <row r="167">
          <cell r="N167">
            <v>51.8</v>
          </cell>
        </row>
        <row r="168">
          <cell r="N168">
            <v>627</v>
          </cell>
        </row>
        <row r="169">
          <cell r="N169">
            <v>100</v>
          </cell>
        </row>
        <row r="170">
          <cell r="N170">
            <v>124</v>
          </cell>
        </row>
        <row r="171">
          <cell r="N171">
            <v>115.6</v>
          </cell>
        </row>
        <row r="172">
          <cell r="N172">
            <v>92.76</v>
          </cell>
        </row>
        <row r="173">
          <cell r="N173">
            <v>332</v>
          </cell>
        </row>
        <row r="174">
          <cell r="N174">
            <v>620</v>
          </cell>
        </row>
        <row r="175">
          <cell r="N175">
            <v>62</v>
          </cell>
        </row>
        <row r="177">
          <cell r="N177">
            <v>968</v>
          </cell>
        </row>
        <row r="178">
          <cell r="N178">
            <v>440</v>
          </cell>
        </row>
        <row r="179">
          <cell r="N179">
            <v>418</v>
          </cell>
        </row>
        <row r="180">
          <cell r="N180">
            <v>297.2</v>
          </cell>
        </row>
        <row r="181">
          <cell r="N181">
            <v>135.59</v>
          </cell>
        </row>
        <row r="182">
          <cell r="N182">
            <v>500</v>
          </cell>
        </row>
        <row r="183">
          <cell r="N183">
            <v>667.2</v>
          </cell>
        </row>
        <row r="184">
          <cell r="N184">
            <v>539</v>
          </cell>
        </row>
        <row r="185">
          <cell r="N185">
            <v>336</v>
          </cell>
        </row>
        <row r="186">
          <cell r="N186">
            <v>286</v>
          </cell>
        </row>
        <row r="187">
          <cell r="N187">
            <v>103.54</v>
          </cell>
        </row>
        <row r="188">
          <cell r="N188">
            <v>148.96</v>
          </cell>
        </row>
        <row r="189">
          <cell r="N189">
            <v>550</v>
          </cell>
        </row>
        <row r="190">
          <cell r="N190">
            <v>638</v>
          </cell>
        </row>
        <row r="192">
          <cell r="N192">
            <v>53.8</v>
          </cell>
        </row>
        <row r="193">
          <cell r="N193">
            <v>29.99</v>
          </cell>
        </row>
        <row r="194">
          <cell r="N194">
            <v>77.599999999999994</v>
          </cell>
        </row>
        <row r="195">
          <cell r="N195">
            <v>63.6</v>
          </cell>
        </row>
        <row r="196">
          <cell r="N196">
            <v>2.1</v>
          </cell>
        </row>
        <row r="197">
          <cell r="N197">
            <v>338</v>
          </cell>
        </row>
        <row r="198">
          <cell r="N198">
            <v>111</v>
          </cell>
        </row>
        <row r="199">
          <cell r="N199">
            <v>28.57</v>
          </cell>
        </row>
        <row r="200">
          <cell r="N200">
            <v>28.62</v>
          </cell>
        </row>
        <row r="201">
          <cell r="N201">
            <v>29.98</v>
          </cell>
        </row>
        <row r="202">
          <cell r="N202">
            <v>5775</v>
          </cell>
        </row>
        <row r="203">
          <cell r="N203">
            <v>5694.06</v>
          </cell>
        </row>
        <row r="204">
          <cell r="N204">
            <v>4959.97</v>
          </cell>
        </row>
        <row r="205">
          <cell r="N205">
            <v>1934.41</v>
          </cell>
        </row>
        <row r="206">
          <cell r="N206">
            <v>1934.41</v>
          </cell>
        </row>
        <row r="207">
          <cell r="N207">
            <v>539</v>
          </cell>
        </row>
        <row r="208">
          <cell r="N208">
            <v>506</v>
          </cell>
        </row>
        <row r="210">
          <cell r="N210">
            <v>5334.78</v>
          </cell>
        </row>
        <row r="211">
          <cell r="N211">
            <v>35</v>
          </cell>
        </row>
        <row r="212">
          <cell r="N212">
            <v>35</v>
          </cell>
        </row>
        <row r="213">
          <cell r="N213">
            <v>23.76</v>
          </cell>
        </row>
        <row r="214">
          <cell r="N214">
            <v>79.53</v>
          </cell>
        </row>
        <row r="215">
          <cell r="N215">
            <v>29.99</v>
          </cell>
        </row>
        <row r="216">
          <cell r="N216">
            <v>23.83</v>
          </cell>
        </row>
        <row r="217">
          <cell r="N217">
            <v>98.89</v>
          </cell>
        </row>
        <row r="218">
          <cell r="N218">
            <v>160</v>
          </cell>
        </row>
        <row r="219">
          <cell r="N219">
            <v>107</v>
          </cell>
        </row>
        <row r="220">
          <cell r="N220">
            <v>699</v>
          </cell>
        </row>
        <row r="221">
          <cell r="N221">
            <v>405</v>
          </cell>
        </row>
        <row r="222">
          <cell r="N222">
            <v>646</v>
          </cell>
        </row>
        <row r="223">
          <cell r="N223">
            <v>206.62</v>
          </cell>
        </row>
        <row r="224">
          <cell r="N224">
            <v>1078</v>
          </cell>
        </row>
        <row r="225">
          <cell r="N225">
            <v>214.98</v>
          </cell>
        </row>
        <row r="226">
          <cell r="N226">
            <v>400</v>
          </cell>
        </row>
        <row r="227">
          <cell r="N227">
            <v>29.35</v>
          </cell>
        </row>
        <row r="228">
          <cell r="N228">
            <v>29.26</v>
          </cell>
        </row>
        <row r="229">
          <cell r="N229">
            <v>29.31</v>
          </cell>
        </row>
        <row r="230">
          <cell r="N230">
            <v>29.28</v>
          </cell>
        </row>
        <row r="231">
          <cell r="N231">
            <v>29.63</v>
          </cell>
        </row>
        <row r="232">
          <cell r="N232">
            <v>95.64</v>
          </cell>
        </row>
        <row r="233">
          <cell r="N233">
            <v>1590.6</v>
          </cell>
        </row>
        <row r="234">
          <cell r="N234">
            <v>199.97</v>
          </cell>
        </row>
        <row r="237">
          <cell r="N237">
            <v>149.55000000000001</v>
          </cell>
        </row>
        <row r="238">
          <cell r="N238">
            <v>29.88</v>
          </cell>
        </row>
        <row r="239">
          <cell r="N239">
            <v>29.7</v>
          </cell>
        </row>
        <row r="240">
          <cell r="N240">
            <v>29.57</v>
          </cell>
        </row>
        <row r="241">
          <cell r="N241">
            <v>29.74</v>
          </cell>
        </row>
        <row r="242">
          <cell r="N242">
            <v>27.57</v>
          </cell>
        </row>
        <row r="244">
          <cell r="N244">
            <v>28.79</v>
          </cell>
        </row>
        <row r="245">
          <cell r="N245">
            <v>112.38</v>
          </cell>
        </row>
        <row r="246">
          <cell r="N246">
            <v>297</v>
          </cell>
        </row>
        <row r="247">
          <cell r="N247">
            <v>643.5</v>
          </cell>
        </row>
        <row r="248">
          <cell r="N248">
            <v>49.23</v>
          </cell>
        </row>
        <row r="249">
          <cell r="N249">
            <v>85.08</v>
          </cell>
        </row>
        <row r="250">
          <cell r="N250">
            <v>374</v>
          </cell>
        </row>
        <row r="251">
          <cell r="N251">
            <v>199.8</v>
          </cell>
        </row>
        <row r="252">
          <cell r="N252">
            <v>14.26</v>
          </cell>
        </row>
        <row r="253">
          <cell r="N253">
            <v>99.81</v>
          </cell>
        </row>
        <row r="254">
          <cell r="N254">
            <v>62.29</v>
          </cell>
        </row>
        <row r="255">
          <cell r="N255">
            <v>199.72</v>
          </cell>
        </row>
        <row r="256">
          <cell r="N256">
            <v>641.1</v>
          </cell>
        </row>
        <row r="257">
          <cell r="N257">
            <v>267.89999999999998</v>
          </cell>
        </row>
        <row r="258">
          <cell r="N258">
            <v>342</v>
          </cell>
        </row>
        <row r="259">
          <cell r="N259">
            <v>496.15</v>
          </cell>
        </row>
        <row r="260">
          <cell r="N260">
            <v>29.14</v>
          </cell>
        </row>
        <row r="261">
          <cell r="N261">
            <v>587.52</v>
          </cell>
        </row>
        <row r="263">
          <cell r="N263">
            <v>348.61</v>
          </cell>
        </row>
        <row r="264">
          <cell r="N264">
            <v>232.85</v>
          </cell>
        </row>
        <row r="266">
          <cell r="N266">
            <v>890.15</v>
          </cell>
        </row>
        <row r="267">
          <cell r="N267">
            <v>650</v>
          </cell>
        </row>
        <row r="270">
          <cell r="N270">
            <v>48.25</v>
          </cell>
        </row>
        <row r="271">
          <cell r="N271">
            <v>140.08000000000001</v>
          </cell>
        </row>
        <row r="272">
          <cell r="N272">
            <v>248.92</v>
          </cell>
        </row>
        <row r="273">
          <cell r="N273">
            <v>697.18</v>
          </cell>
        </row>
        <row r="274">
          <cell r="N274">
            <v>250.05</v>
          </cell>
        </row>
        <row r="275">
          <cell r="N275">
            <v>300.35000000000002</v>
          </cell>
        </row>
        <row r="276">
          <cell r="N276">
            <v>500.16</v>
          </cell>
        </row>
        <row r="277">
          <cell r="N277">
            <v>462</v>
          </cell>
        </row>
        <row r="278">
          <cell r="N278">
            <v>722.96</v>
          </cell>
        </row>
        <row r="279">
          <cell r="N279">
            <v>522.39</v>
          </cell>
        </row>
        <row r="280">
          <cell r="N280">
            <v>476.5</v>
          </cell>
        </row>
        <row r="281">
          <cell r="N281">
            <v>636.74</v>
          </cell>
        </row>
        <row r="282">
          <cell r="N282">
            <v>160</v>
          </cell>
        </row>
        <row r="283">
          <cell r="N283">
            <v>785</v>
          </cell>
        </row>
        <row r="284">
          <cell r="N284">
            <v>94.7</v>
          </cell>
        </row>
        <row r="286">
          <cell r="N286">
            <v>15</v>
          </cell>
        </row>
        <row r="288">
          <cell r="N288">
            <v>150</v>
          </cell>
        </row>
        <row r="289">
          <cell r="N289">
            <v>150</v>
          </cell>
        </row>
        <row r="290">
          <cell r="N290">
            <v>100</v>
          </cell>
        </row>
        <row r="291">
          <cell r="N291">
            <v>100</v>
          </cell>
        </row>
        <row r="292">
          <cell r="N292">
            <v>144</v>
          </cell>
        </row>
        <row r="293">
          <cell r="N293">
            <v>139.19999999999999</v>
          </cell>
        </row>
        <row r="294">
          <cell r="N294">
            <v>34.92</v>
          </cell>
        </row>
        <row r="295">
          <cell r="N295">
            <v>30</v>
          </cell>
        </row>
        <row r="296">
          <cell r="N296">
            <v>200</v>
          </cell>
        </row>
        <row r="297">
          <cell r="N297">
            <v>250</v>
          </cell>
        </row>
        <row r="298">
          <cell r="N298">
            <v>100</v>
          </cell>
        </row>
        <row r="299">
          <cell r="N299">
            <v>18.02</v>
          </cell>
        </row>
        <row r="300">
          <cell r="N300">
            <v>100</v>
          </cell>
        </row>
        <row r="301">
          <cell r="N301">
            <v>400</v>
          </cell>
        </row>
        <row r="302">
          <cell r="N302">
            <v>300</v>
          </cell>
        </row>
        <row r="303">
          <cell r="N303">
            <v>370</v>
          </cell>
        </row>
        <row r="304">
          <cell r="N304">
            <v>340</v>
          </cell>
        </row>
        <row r="305">
          <cell r="N305">
            <v>992</v>
          </cell>
        </row>
        <row r="306">
          <cell r="N306">
            <v>30</v>
          </cell>
        </row>
        <row r="307">
          <cell r="N307">
            <v>30</v>
          </cell>
        </row>
        <row r="308">
          <cell r="N308">
            <v>30</v>
          </cell>
        </row>
        <row r="309">
          <cell r="N309">
            <v>30</v>
          </cell>
        </row>
        <row r="310">
          <cell r="N310">
            <v>80</v>
          </cell>
        </row>
        <row r="311">
          <cell r="N311">
            <v>80</v>
          </cell>
        </row>
        <row r="312">
          <cell r="N312">
            <v>100</v>
          </cell>
        </row>
        <row r="313">
          <cell r="N313">
            <v>100</v>
          </cell>
        </row>
        <row r="314">
          <cell r="N314">
            <v>374</v>
          </cell>
        </row>
        <row r="315">
          <cell r="N315">
            <v>374</v>
          </cell>
        </row>
        <row r="316">
          <cell r="N316">
            <v>374</v>
          </cell>
        </row>
        <row r="317">
          <cell r="N317">
            <v>374</v>
          </cell>
        </row>
        <row r="318">
          <cell r="N318">
            <v>695</v>
          </cell>
        </row>
        <row r="319">
          <cell r="N319">
            <v>478.61</v>
          </cell>
        </row>
        <row r="320">
          <cell r="N320">
            <v>400</v>
          </cell>
        </row>
        <row r="321">
          <cell r="N321">
            <v>700</v>
          </cell>
        </row>
        <row r="322">
          <cell r="N322">
            <v>1176</v>
          </cell>
        </row>
        <row r="323">
          <cell r="N323">
            <v>400</v>
          </cell>
        </row>
        <row r="324">
          <cell r="N324">
            <v>840</v>
          </cell>
        </row>
        <row r="325">
          <cell r="N325">
            <v>600</v>
          </cell>
        </row>
        <row r="326">
          <cell r="N326">
            <v>540</v>
          </cell>
        </row>
        <row r="327">
          <cell r="N327">
            <v>150</v>
          </cell>
        </row>
        <row r="328">
          <cell r="N328">
            <v>100</v>
          </cell>
        </row>
        <row r="329">
          <cell r="N329">
            <v>200</v>
          </cell>
        </row>
        <row r="330">
          <cell r="N330">
            <v>643.5</v>
          </cell>
        </row>
        <row r="331">
          <cell r="N331">
            <v>418</v>
          </cell>
        </row>
        <row r="332">
          <cell r="N332">
            <v>479</v>
          </cell>
        </row>
        <row r="333">
          <cell r="N333">
            <v>500</v>
          </cell>
        </row>
        <row r="334">
          <cell r="N334">
            <v>240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at consos TOTAL sur BP2025 "/>
      <sheetName val="Etats consos TOTAL sur BP 2026"/>
      <sheetName val="Etat consos EDF sur BP 2024"/>
    </sheetNames>
    <sheetDataSet>
      <sheetData sheetId="0" refreshError="1">
        <row r="17">
          <cell r="K17">
            <v>3440.84</v>
          </cell>
          <cell r="O17">
            <v>1726.13</v>
          </cell>
          <cell r="AA17">
            <v>1049.46</v>
          </cell>
          <cell r="AI17">
            <v>854.57</v>
          </cell>
          <cell r="AQ17">
            <v>784.92</v>
          </cell>
          <cell r="AU17">
            <v>1381.87</v>
          </cell>
          <cell r="BC17">
            <v>791.34</v>
          </cell>
          <cell r="BK17">
            <v>926.54</v>
          </cell>
          <cell r="BS17">
            <v>1623.26</v>
          </cell>
          <cell r="CI17">
            <v>3702.78</v>
          </cell>
          <cell r="CM17">
            <v>2371.4499999999998</v>
          </cell>
          <cell r="DS17">
            <v>3184.79</v>
          </cell>
        </row>
        <row r="18">
          <cell r="K18"/>
          <cell r="O18"/>
          <cell r="AA18"/>
          <cell r="AI18"/>
          <cell r="AQ18"/>
          <cell r="AU18"/>
          <cell r="BC18"/>
          <cell r="BK18"/>
          <cell r="BS18"/>
          <cell r="CI18"/>
          <cell r="CM18"/>
          <cell r="DS18"/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 refreshError="1">
        <row r="2">
          <cell r="H2">
            <v>29454</v>
          </cell>
        </row>
        <row r="3">
          <cell r="H3">
            <v>14415</v>
          </cell>
        </row>
        <row r="4">
          <cell r="H4">
            <v>8160</v>
          </cell>
        </row>
        <row r="5">
          <cell r="H5">
            <v>9900</v>
          </cell>
        </row>
        <row r="6">
          <cell r="H6">
            <v>59.24</v>
          </cell>
        </row>
        <row r="7">
          <cell r="H7">
            <v>298.95999999999998</v>
          </cell>
        </row>
        <row r="8">
          <cell r="H8">
            <v>129.86000000000001</v>
          </cell>
        </row>
        <row r="9">
          <cell r="H9">
            <v>23.48</v>
          </cell>
        </row>
        <row r="10">
          <cell r="H10">
            <v>53.8</v>
          </cell>
        </row>
        <row r="11">
          <cell r="H11">
            <v>29.99</v>
          </cell>
        </row>
        <row r="12">
          <cell r="H12">
            <v>77.599999999999994</v>
          </cell>
        </row>
        <row r="13">
          <cell r="H13">
            <v>5775</v>
          </cell>
        </row>
        <row r="14">
          <cell r="H14">
            <v>5694.06</v>
          </cell>
        </row>
        <row r="15">
          <cell r="H15">
            <v>4959.97</v>
          </cell>
        </row>
        <row r="16">
          <cell r="H16">
            <v>28.57</v>
          </cell>
        </row>
        <row r="17">
          <cell r="H17">
            <v>28.62</v>
          </cell>
        </row>
        <row r="18">
          <cell r="H18">
            <v>29.98</v>
          </cell>
        </row>
        <row r="19">
          <cell r="H19">
            <v>1934.41</v>
          </cell>
        </row>
        <row r="20">
          <cell r="H20">
            <v>1934.41</v>
          </cell>
        </row>
        <row r="22">
          <cell r="H22">
            <v>29.14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8BB2-12F3-4EBB-846E-E531805C08C9}">
  <dimension ref="A1:O90"/>
  <sheetViews>
    <sheetView tabSelected="1" topLeftCell="A68" zoomScale="145" zoomScaleNormal="145" workbookViewId="0">
      <selection activeCell="C90" sqref="C90:C91"/>
    </sheetView>
  </sheetViews>
  <sheetFormatPr baseColWidth="10" defaultRowHeight="15" x14ac:dyDescent="0.25"/>
  <cols>
    <col min="3" max="3" width="12" bestFit="1" customWidth="1"/>
    <col min="4" max="4" width="12.140625" bestFit="1" customWidth="1"/>
    <col min="6" max="7" width="12" bestFit="1" customWidth="1"/>
    <col min="8" max="8" width="12.140625" bestFit="1" customWidth="1"/>
    <col min="15" max="15" width="12.140625" bestFit="1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x14ac:dyDescent="0.25">
      <c r="A2" s="4" t="s">
        <v>1</v>
      </c>
      <c r="B2" s="4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</row>
    <row r="3" spans="1:9" x14ac:dyDescent="0.25">
      <c r="A3" s="4"/>
      <c r="B3" s="4"/>
      <c r="C3" s="4"/>
      <c r="D3" s="4"/>
      <c r="E3" s="4"/>
      <c r="F3" s="6"/>
      <c r="G3" s="6"/>
      <c r="H3" s="6"/>
      <c r="I3" s="5"/>
    </row>
    <row r="4" spans="1:9" x14ac:dyDescent="0.25">
      <c r="A4" s="7" t="s">
        <v>9</v>
      </c>
      <c r="B4" s="7"/>
      <c r="C4" s="8">
        <v>5.54</v>
      </c>
      <c r="D4" s="9">
        <v>11</v>
      </c>
      <c r="E4" s="10">
        <v>4.42</v>
      </c>
      <c r="F4" s="11">
        <f t="shared" ref="F4:F13" si="0">(E4*D4)*140</f>
        <v>6806.7999999999993</v>
      </c>
      <c r="G4" s="11">
        <f>(C4*D4)*140</f>
        <v>8531.6</v>
      </c>
      <c r="H4" s="12">
        <f>G4-F4</f>
        <v>1724.8000000000011</v>
      </c>
      <c r="I4" s="13">
        <f>(G4/F4)</f>
        <v>1.2533936651583713</v>
      </c>
    </row>
    <row r="5" spans="1:9" x14ac:dyDescent="0.25">
      <c r="A5" s="7" t="s">
        <v>10</v>
      </c>
      <c r="B5" s="7" t="s">
        <v>11</v>
      </c>
      <c r="C5" s="8">
        <v>5.13</v>
      </c>
      <c r="D5" s="9">
        <v>429</v>
      </c>
      <c r="E5" s="10">
        <v>4.42</v>
      </c>
      <c r="F5" s="11">
        <f t="shared" si="0"/>
        <v>265465.2</v>
      </c>
      <c r="G5" s="11">
        <f t="shared" ref="G5:G13" si="1">(C5*D5)*140</f>
        <v>308107.8</v>
      </c>
      <c r="H5" s="12">
        <f t="shared" ref="H5:H13" si="2">G5-F5</f>
        <v>42642.599999999977</v>
      </c>
      <c r="I5" s="13">
        <f t="shared" ref="I5:I14" si="3">(G5/F5)</f>
        <v>1.1606334841628958</v>
      </c>
    </row>
    <row r="6" spans="1:9" x14ac:dyDescent="0.25">
      <c r="A6" s="7" t="s">
        <v>12</v>
      </c>
      <c r="B6" s="7" t="s">
        <v>13</v>
      </c>
      <c r="C6" s="8">
        <v>4.53</v>
      </c>
      <c r="D6" s="9">
        <v>90</v>
      </c>
      <c r="E6" s="10">
        <v>4.42</v>
      </c>
      <c r="F6" s="11">
        <f t="shared" si="0"/>
        <v>55692</v>
      </c>
      <c r="G6" s="11">
        <f t="shared" si="1"/>
        <v>57078.000000000007</v>
      </c>
      <c r="H6" s="12">
        <f t="shared" si="2"/>
        <v>1386.0000000000073</v>
      </c>
      <c r="I6" s="13">
        <f t="shared" si="3"/>
        <v>1.0248868778280544</v>
      </c>
    </row>
    <row r="7" spans="1:9" x14ac:dyDescent="0.25">
      <c r="A7" s="14" t="s">
        <v>14</v>
      </c>
      <c r="B7" s="14" t="s">
        <v>15</v>
      </c>
      <c r="C7" s="15">
        <v>4</v>
      </c>
      <c r="D7" s="9">
        <v>90</v>
      </c>
      <c r="E7" s="10">
        <v>4.42</v>
      </c>
      <c r="F7" s="11">
        <f t="shared" si="0"/>
        <v>55692</v>
      </c>
      <c r="G7" s="11">
        <f t="shared" si="1"/>
        <v>50400</v>
      </c>
      <c r="H7" s="12">
        <f t="shared" si="2"/>
        <v>-5292</v>
      </c>
      <c r="I7" s="13">
        <f t="shared" si="3"/>
        <v>0.90497737556561086</v>
      </c>
    </row>
    <row r="8" spans="1:9" x14ac:dyDescent="0.25">
      <c r="A8" s="7" t="s">
        <v>16</v>
      </c>
      <c r="B8" s="7" t="s">
        <v>17</v>
      </c>
      <c r="C8" s="8">
        <v>3.86</v>
      </c>
      <c r="D8" s="9">
        <v>79</v>
      </c>
      <c r="E8" s="10">
        <v>4.42</v>
      </c>
      <c r="F8" s="11">
        <f t="shared" si="0"/>
        <v>48885.200000000004</v>
      </c>
      <c r="G8" s="11">
        <f t="shared" si="1"/>
        <v>42691.6</v>
      </c>
      <c r="H8" s="12">
        <f t="shared" si="2"/>
        <v>-6193.6000000000058</v>
      </c>
      <c r="I8" s="13">
        <f t="shared" si="3"/>
        <v>0.87330316742081437</v>
      </c>
    </row>
    <row r="9" spans="1:9" x14ac:dyDescent="0.25">
      <c r="A9" s="7" t="s">
        <v>18</v>
      </c>
      <c r="B9" s="7" t="s">
        <v>19</v>
      </c>
      <c r="C9" s="8">
        <v>3.25</v>
      </c>
      <c r="D9" s="9">
        <v>79</v>
      </c>
      <c r="E9" s="10">
        <v>4.42</v>
      </c>
      <c r="F9" s="11">
        <f t="shared" si="0"/>
        <v>48885.200000000004</v>
      </c>
      <c r="G9" s="11">
        <f t="shared" si="1"/>
        <v>35945</v>
      </c>
      <c r="H9" s="12">
        <f t="shared" si="2"/>
        <v>-12940.200000000004</v>
      </c>
      <c r="I9" s="13">
        <f t="shared" si="3"/>
        <v>0.73529411764705876</v>
      </c>
    </row>
    <row r="10" spans="1:9" x14ac:dyDescent="0.25">
      <c r="A10" s="7" t="s">
        <v>20</v>
      </c>
      <c r="B10" s="7" t="s">
        <v>21</v>
      </c>
      <c r="C10" s="8">
        <v>2.7</v>
      </c>
      <c r="D10" s="9">
        <v>90</v>
      </c>
      <c r="E10" s="10">
        <v>4.42</v>
      </c>
      <c r="F10" s="11">
        <f t="shared" si="0"/>
        <v>55692</v>
      </c>
      <c r="G10" s="11">
        <f t="shared" si="1"/>
        <v>34020.000000000007</v>
      </c>
      <c r="H10" s="12">
        <f t="shared" si="2"/>
        <v>-21671.999999999993</v>
      </c>
      <c r="I10" s="13">
        <f t="shared" si="3"/>
        <v>0.61085972850678749</v>
      </c>
    </row>
    <row r="11" spans="1:9" x14ac:dyDescent="0.25">
      <c r="A11" s="7" t="s">
        <v>22</v>
      </c>
      <c r="B11" s="7" t="s">
        <v>23</v>
      </c>
      <c r="C11" s="8">
        <v>2</v>
      </c>
      <c r="D11" s="9">
        <v>79</v>
      </c>
      <c r="E11" s="10">
        <v>4.42</v>
      </c>
      <c r="F11" s="11">
        <f t="shared" si="0"/>
        <v>48885.200000000004</v>
      </c>
      <c r="G11" s="11">
        <f t="shared" si="1"/>
        <v>22120</v>
      </c>
      <c r="H11" s="12">
        <f t="shared" si="2"/>
        <v>-26765.200000000004</v>
      </c>
      <c r="I11" s="13">
        <f t="shared" si="3"/>
        <v>0.45248868778280538</v>
      </c>
    </row>
    <row r="12" spans="1:9" x14ac:dyDescent="0.25">
      <c r="A12" s="14" t="s">
        <v>24</v>
      </c>
      <c r="B12" s="14" t="s">
        <v>25</v>
      </c>
      <c r="C12" s="15">
        <v>1.45</v>
      </c>
      <c r="D12" s="9">
        <v>57</v>
      </c>
      <c r="E12" s="10">
        <v>4.42</v>
      </c>
      <c r="F12" s="11">
        <f t="shared" si="0"/>
        <v>35271.599999999999</v>
      </c>
      <c r="G12" s="11">
        <f t="shared" si="1"/>
        <v>11570.999999999998</v>
      </c>
      <c r="H12" s="12">
        <f t="shared" si="2"/>
        <v>-23700.6</v>
      </c>
      <c r="I12" s="13">
        <f t="shared" si="3"/>
        <v>0.32805429864253388</v>
      </c>
    </row>
    <row r="13" spans="1:9" x14ac:dyDescent="0.25">
      <c r="A13" s="16" t="s">
        <v>26</v>
      </c>
      <c r="B13" s="16" t="s">
        <v>27</v>
      </c>
      <c r="C13" s="17">
        <v>1.32</v>
      </c>
      <c r="D13" s="18">
        <v>124</v>
      </c>
      <c r="E13" s="19">
        <v>4.42</v>
      </c>
      <c r="F13" s="11">
        <f t="shared" si="0"/>
        <v>76731.200000000012</v>
      </c>
      <c r="G13" s="11">
        <f t="shared" si="1"/>
        <v>22915.200000000001</v>
      </c>
      <c r="H13" s="12">
        <f>G13-F13</f>
        <v>-53816.000000000015</v>
      </c>
      <c r="I13" s="13">
        <f t="shared" si="3"/>
        <v>0.29864253393665152</v>
      </c>
    </row>
    <row r="14" spans="1:9" x14ac:dyDescent="0.25">
      <c r="A14" s="20" t="s">
        <v>28</v>
      </c>
      <c r="B14" s="20"/>
      <c r="C14" s="21"/>
      <c r="D14" s="20">
        <f>SUM(D4:D13)</f>
        <v>1128</v>
      </c>
      <c r="E14" s="22"/>
      <c r="F14" s="23">
        <f>SUM(F4:F13)</f>
        <v>698006.39999999991</v>
      </c>
      <c r="G14" s="23">
        <f>SUM(G4:G13)</f>
        <v>593380.19999999995</v>
      </c>
      <c r="H14" s="12">
        <v>-104626.2</v>
      </c>
      <c r="I14" s="13">
        <f t="shared" si="3"/>
        <v>0.85010710503514009</v>
      </c>
    </row>
    <row r="15" spans="1:9" x14ac:dyDescent="0.25">
      <c r="H15" s="24"/>
    </row>
    <row r="17" spans="1:9" x14ac:dyDescent="0.25">
      <c r="A17" s="54" t="s">
        <v>29</v>
      </c>
      <c r="B17" s="26" t="s">
        <v>30</v>
      </c>
      <c r="C17" s="27"/>
      <c r="D17" s="27"/>
      <c r="E17" s="27"/>
      <c r="F17" s="27"/>
      <c r="G17" s="27"/>
      <c r="H17" s="28"/>
      <c r="I17" s="29" t="s">
        <v>31</v>
      </c>
    </row>
    <row r="18" spans="1:9" x14ac:dyDescent="0.25">
      <c r="A18" s="55"/>
      <c r="B18" s="26" t="s">
        <v>32</v>
      </c>
      <c r="C18" s="28"/>
      <c r="D18" s="31" t="s">
        <v>33</v>
      </c>
      <c r="E18" s="32" t="s">
        <v>34</v>
      </c>
      <c r="F18" s="27" t="s">
        <v>35</v>
      </c>
      <c r="G18" s="27"/>
      <c r="H18" s="28"/>
      <c r="I18" s="33"/>
    </row>
    <row r="19" spans="1:9" x14ac:dyDescent="0.25">
      <c r="A19" s="55"/>
      <c r="B19" s="34" t="s">
        <v>36</v>
      </c>
      <c r="C19" s="34" t="s">
        <v>37</v>
      </c>
      <c r="D19" s="34" t="s">
        <v>38</v>
      </c>
      <c r="E19" s="35" t="s">
        <v>39</v>
      </c>
      <c r="F19" s="35" t="s">
        <v>40</v>
      </c>
      <c r="G19" s="35" t="s">
        <v>41</v>
      </c>
      <c r="H19" s="35" t="s">
        <v>42</v>
      </c>
      <c r="I19" s="36"/>
    </row>
    <row r="20" spans="1:9" x14ac:dyDescent="0.25">
      <c r="A20" s="55"/>
      <c r="B20" s="37" t="s">
        <v>43</v>
      </c>
      <c r="C20" s="38">
        <f>'[1]Depenses restau 2025'!H2+'[1]Depenses restau 2025'!H3+'[1]Depenses restau 2025'!H4+'[1]Depenses restau 2025'!H5+'[1]Depenses restau 2025'!H6+'[1]Depenses restau 2025'!H14+'[1]Depenses restau 2025'!H19+'[1]Depenses restau 2025'!H20+'[1]Depenses restau 2025'!H21+'[1]Depenses restau 2025'!H31+'[1]Depenses restau 2025'!H32+'[1]Depenses restau 2025'!H38+'[1]Depenses restau 2025'!H51+'[1]Depenses restau 2025'!H52+'[1]Depenses restau 2025'!H67+'[1]Depenses restau 2025'!H68+'[1]Depenses restau 2025'!H69+'[1]Depenses restau 2025'!H70+'[1]Depenses restau 2025'!H71+'[1]Depenses restau 2025'!H76+'[1]Depenses restau 2025'!H85</f>
        <v>555834.83999999985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39">
        <f t="shared" ref="I20:I28" si="4">SUM(C20:H20)</f>
        <v>555834.83999999985</v>
      </c>
    </row>
    <row r="21" spans="1:9" x14ac:dyDescent="0.25">
      <c r="A21" s="55"/>
      <c r="B21" s="40" t="s">
        <v>44</v>
      </c>
      <c r="C21" s="38">
        <f>'[1]Depenses restau 2025'!H3+'[1]Depenses restau 2025'!H7+'[1]Depenses restau 2025'!H11+'[1]Depenses restau 2025'!H19+'[1]Depenses restau 2025'!H20+'[1]Depenses restau 2025'!H22+'[1]Depenses restau 2025'!H23+'[1]Depenses restau 2025'!H32+'[1]Depenses restau 2025'!H44+'[1]Depenses restau 2025'!H45+'[1]Depenses restau 2025'!H49+'[1]Depenses restau 2025'!H53+'[1]Depenses restau 2025'!H55+'[1]Depenses restau 2025'!H67+'[1]Depenses restau 2025'!H74+'[1]Depenses restau 2025'!H79</f>
        <v>106439.01</v>
      </c>
      <c r="D21" s="9">
        <v>0</v>
      </c>
      <c r="E21" s="41">
        <v>7464.25</v>
      </c>
      <c r="F21" s="9">
        <v>0</v>
      </c>
      <c r="G21" s="9">
        <v>0</v>
      </c>
      <c r="H21" s="9">
        <v>0</v>
      </c>
      <c r="I21" s="39">
        <f t="shared" si="4"/>
        <v>113903.26</v>
      </c>
    </row>
    <row r="22" spans="1:9" x14ac:dyDescent="0.25">
      <c r="A22" s="55"/>
      <c r="B22" s="40" t="s">
        <v>45</v>
      </c>
      <c r="C22" s="38">
        <f>'[1]Depenses restau 2025'!H4+'[1]Depenses restau 2025'!H12+'[1]Depenses restau 2025'!H18+'[1]Depenses restau 2025'!H24+'[1]Depenses restau 2025'!H30+'[1]Depenses restau 2025'!H35+'[1]Depenses restau 2025'!H36+'[1]Depenses restau 2025'!H37+'[1]Depenses restau 2025'!H51+'[1]Depenses restau 2025'!H56+'[1]Depenses restau 2025'!H68+'[1]Depenses restau 2025'!H72+'[1]Depenses restau 2025'!H75+'[1]Depenses restau 2025'!H76+'[1]Depenses restau 2025'!H77</f>
        <v>175209.09</v>
      </c>
      <c r="D22" s="42">
        <f>[2]Edition_d_un_journal_de_paie_14!$B$14</f>
        <v>518185.07</v>
      </c>
      <c r="E22" s="41">
        <v>18104.64</v>
      </c>
      <c r="F22" s="9">
        <v>0</v>
      </c>
      <c r="G22">
        <f>'[3]Etat consos TOTAL sur BP2025 '!$DS$11+'[3]Etat consos TOTAL sur BP2025 '!$CM$11+'[3]Etat consos TOTAL sur BP2025 '!$BS$11+'[3]Etat consos TOTAL sur BP2025 '!$BC$11</f>
        <v>7464.2500000000009</v>
      </c>
      <c r="H22">
        <f>E31</f>
        <v>8159</v>
      </c>
      <c r="I22" s="39">
        <f>SUM(C22:H22)</f>
        <v>727122.05</v>
      </c>
    </row>
    <row r="23" spans="1:9" x14ac:dyDescent="0.25">
      <c r="A23" s="55"/>
      <c r="B23" s="40" t="s">
        <v>46</v>
      </c>
      <c r="C23" s="38">
        <f>'[1]Depenses restau 2025'!H2+'[1]Depenses restau 2025'!H10+'[1]Depenses restau 2025'!H17+'[1]Depenses restau 2025'!H25+'[1]Depenses restau 2025'!H29+'[1]Depenses restau 2025'!H39+'[1]Depenses restau 2025'!H40+'[1]Depenses restau 2025'!H41+'[1]Depenses restau 2025'!H42+'[1]Depenses restau 2025'!H43+'[1]Depenses restau 2025'!H54+'[1]Depenses restau 2025'!H57+'[1]Depenses restau 2025'!H61+'[1]Depenses restau 2025'!H70+'[1]Depenses restau 2025'!H78</f>
        <v>96397.29</v>
      </c>
      <c r="D23" s="42">
        <f>[2]Edition_d_un_journal_de_paie_14!$B$12</f>
        <v>435474.22</v>
      </c>
      <c r="E23" s="41">
        <v>0</v>
      </c>
      <c r="F23" s="9">
        <v>0</v>
      </c>
      <c r="G23" s="9">
        <f>'[3]Etat consos TOTAL sur BP2025 '!$K$11+'[3]Etat consos TOTAL sur BP2025 '!$AA$11+'[3]Etat consos TOTAL sur BP2025 '!$AI$11+'[3]Etat consos TOTAL sur BP2025 '!$AQ$11+'[3]Etat consos TOTAL sur BP2025 '!$AU$11+'[3]Etat consos TOTAL sur BP2025 '!$BC$11+'[3]Etat consos TOTAL sur BP2025 '!$BK$11+'[3]Etat consos TOTAL sur BP2025 '!$BS$11+'[3]Etat consos TOTAL sur BP2025 '!$CI$11+'[3]Etat consos TOTAL sur BP2025 '!$CM$11+'[3]Etat consos TOTAL sur BP2025 '!$DS$11</f>
        <v>18104.64</v>
      </c>
      <c r="H23" s="9">
        <v>0</v>
      </c>
      <c r="I23" s="39">
        <f>SUM(C23:H23)</f>
        <v>549976.15</v>
      </c>
    </row>
    <row r="24" spans="1:9" x14ac:dyDescent="0.25">
      <c r="A24" s="55"/>
      <c r="B24" s="40" t="s">
        <v>47</v>
      </c>
      <c r="C24" s="43">
        <v>0</v>
      </c>
      <c r="D24" s="42">
        <f>[2]Edition_d_un_journal_de_paie_14!$B$13</f>
        <v>97360.35</v>
      </c>
      <c r="E24" s="9">
        <v>0</v>
      </c>
      <c r="F24" s="9">
        <v>0</v>
      </c>
      <c r="G24" s="9">
        <v>0</v>
      </c>
      <c r="H24" s="9">
        <v>0</v>
      </c>
      <c r="I24" s="39">
        <f t="shared" si="4"/>
        <v>97360.35</v>
      </c>
    </row>
    <row r="25" spans="1:9" x14ac:dyDescent="0.25">
      <c r="A25" s="55"/>
      <c r="B25" s="40" t="s">
        <v>48</v>
      </c>
      <c r="C25" s="43">
        <v>0</v>
      </c>
      <c r="D25" s="9">
        <v>0</v>
      </c>
      <c r="E25" s="9">
        <v>0</v>
      </c>
      <c r="F25" s="44">
        <v>0</v>
      </c>
      <c r="G25" s="9">
        <v>0</v>
      </c>
      <c r="H25" s="9">
        <v>0</v>
      </c>
      <c r="I25" s="39">
        <f t="shared" si="4"/>
        <v>0</v>
      </c>
    </row>
    <row r="26" spans="1:9" x14ac:dyDescent="0.25">
      <c r="A26" s="55"/>
      <c r="B26" s="40" t="s">
        <v>49</v>
      </c>
      <c r="C26" s="43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39">
        <f t="shared" si="4"/>
        <v>0</v>
      </c>
    </row>
    <row r="27" spans="1:9" x14ac:dyDescent="0.25">
      <c r="A27" s="55"/>
      <c r="B27" s="40" t="s">
        <v>50</v>
      </c>
      <c r="C27" s="43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39">
        <f t="shared" si="4"/>
        <v>0</v>
      </c>
    </row>
    <row r="28" spans="1:9" x14ac:dyDescent="0.25">
      <c r="A28" s="55"/>
      <c r="B28" s="45" t="s">
        <v>51</v>
      </c>
      <c r="C28" s="46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39">
        <f t="shared" si="4"/>
        <v>0</v>
      </c>
    </row>
    <row r="29" spans="1:9" x14ac:dyDescent="0.25">
      <c r="A29" s="70"/>
      <c r="B29" s="47" t="s">
        <v>52</v>
      </c>
      <c r="C29" s="48">
        <f>SUM(C20:C28)</f>
        <v>933880.22999999986</v>
      </c>
      <c r="D29" s="48">
        <f>SUM(D20:D28)</f>
        <v>1051019.6400000001</v>
      </c>
      <c r="E29" s="48">
        <f t="shared" ref="E29:H29" si="5">SUM(E20:E28)</f>
        <v>25568.89</v>
      </c>
      <c r="F29" s="48">
        <f t="shared" si="5"/>
        <v>0</v>
      </c>
      <c r="G29" s="48">
        <f t="shared" si="5"/>
        <v>25568.89</v>
      </c>
      <c r="H29" s="48">
        <f t="shared" si="5"/>
        <v>8159</v>
      </c>
      <c r="I29" s="49">
        <v>650267</v>
      </c>
    </row>
    <row r="30" spans="1:9" x14ac:dyDescent="0.25">
      <c r="B30" s="50" t="s">
        <v>53</v>
      </c>
      <c r="C30" s="51"/>
      <c r="D30" s="52"/>
      <c r="E30" s="52">
        <v>16318</v>
      </c>
      <c r="F30" s="52"/>
    </row>
    <row r="31" spans="1:9" x14ac:dyDescent="0.25">
      <c r="B31" s="53" t="s">
        <v>54</v>
      </c>
      <c r="E31">
        <f>16318/2</f>
        <v>8159</v>
      </c>
    </row>
    <row r="35" spans="1:15" x14ac:dyDescent="0.25">
      <c r="A35" s="54" t="s">
        <v>55</v>
      </c>
      <c r="B35" s="26" t="s">
        <v>56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8"/>
    </row>
    <row r="36" spans="1:15" x14ac:dyDescent="0.25">
      <c r="A36" s="55"/>
      <c r="B36" s="56" t="s">
        <v>57</v>
      </c>
      <c r="C36" s="57"/>
      <c r="D36" s="56" t="s">
        <v>58</v>
      </c>
      <c r="E36" s="58"/>
      <c r="F36" s="57"/>
      <c r="G36" s="30" t="s">
        <v>59</v>
      </c>
      <c r="H36" s="30"/>
      <c r="I36" s="30"/>
      <c r="J36" s="30"/>
      <c r="K36" s="59" t="s">
        <v>60</v>
      </c>
      <c r="L36" s="59"/>
      <c r="M36" s="59"/>
      <c r="N36" s="59"/>
      <c r="O36" s="59"/>
    </row>
    <row r="37" spans="1:15" ht="64.5" x14ac:dyDescent="0.25">
      <c r="A37" s="55"/>
      <c r="B37" s="34" t="s">
        <v>61</v>
      </c>
      <c r="C37" s="34" t="s">
        <v>62</v>
      </c>
      <c r="D37" s="35" t="s">
        <v>63</v>
      </c>
      <c r="E37" s="60" t="s">
        <v>64</v>
      </c>
      <c r="F37" s="61" t="s">
        <v>65</v>
      </c>
      <c r="G37" s="62" t="s">
        <v>66</v>
      </c>
      <c r="H37" s="63" t="s">
        <v>67</v>
      </c>
      <c r="I37" s="64" t="s">
        <v>68</v>
      </c>
      <c r="J37" s="64" t="s">
        <v>69</v>
      </c>
      <c r="K37" s="35" t="s">
        <v>41</v>
      </c>
      <c r="L37" s="35" t="s">
        <v>70</v>
      </c>
      <c r="M37" s="35" t="s">
        <v>71</v>
      </c>
      <c r="N37" s="35" t="s">
        <v>72</v>
      </c>
      <c r="O37" s="65" t="s">
        <v>28</v>
      </c>
    </row>
    <row r="38" spans="1:15" x14ac:dyDescent="0.25">
      <c r="A38" s="55"/>
      <c r="B38" s="40" t="s">
        <v>73</v>
      </c>
      <c r="C38" s="38">
        <f>[2]Edition_d_un_journal_de_paie_14!$B$17</f>
        <v>102776.17</v>
      </c>
      <c r="D38" s="38">
        <v>0</v>
      </c>
      <c r="E38" s="9">
        <v>0</v>
      </c>
      <c r="F38" s="9">
        <v>0</v>
      </c>
      <c r="G38" s="38">
        <v>0</v>
      </c>
      <c r="H38" s="38">
        <f>'[1]DEP ALIM MODIF'!N1036127</f>
        <v>0</v>
      </c>
      <c r="I38" s="38">
        <v>0</v>
      </c>
      <c r="J38" s="38">
        <v>0</v>
      </c>
      <c r="K38" s="38">
        <f>'[3]Etat consos TOTAL sur BP2025 '!$S$67+'[3]Etat consos TOTAL sur BP2025 '!$S$68+'[3]Etat consos TOTAL sur BP2025 '!$W$67+'[3]Etat consos TOTAL sur BP2025 '!$W$68+'[3]Etat consos TOTAL sur BP2025 '!$AE$67+'[3]Etat consos TOTAL sur BP2025 '!$AE$68+'[3]Etat consos TOTAL sur BP2025 '!$AM$67+'[3]Etat consos TOTAL sur BP2025 '!$AM$68+'[3]Etat consos TOTAL sur BP2025 '!$AY$67+'[3]Etat consos TOTAL sur BP2025 '!$AY$68+'[3]Etat consos TOTAL sur BP2025 '!$BG$67+'[3]Etat consos TOTAL sur BP2025 '!$BG$68+'[3]Etat consos TOTAL sur BP2025 '!$BO$67+'[3]Etat consos TOTAL sur BP2025 '!$BO$68+'[3]Etat consos TOTAL sur BP2025 '!$BW$67+'[3]Etat consos TOTAL sur BP2025 '!$BW$68+'[3]Etat consos TOTAL sur BP2025 '!$CA$67+'[3]Etat consos TOTAL sur BP2025 '!$CA$68+'[3]Etat consos TOTAL sur BP2025 '!$CE$67+'[3]Etat consos TOTAL sur BP2025 '!$CE$68+'[3]Etat consos TOTAL sur BP2025 '!$DG$67+'[3]Etat consos TOTAL sur BP2025 '!$DG$68+'[3]Etats consos TOTAL sur BP 2026'!$K$67+'[3]Etats consos TOTAL sur BP 2026'!$K$68</f>
        <v>8903.76</v>
      </c>
      <c r="L38" s="38">
        <f>'[4]Consos eau 2025'!$S$11+'[4]Consos eau 2026'!$I$11</f>
        <v>6949.7699999999995</v>
      </c>
      <c r="M38" s="66">
        <v>27471.64</v>
      </c>
      <c r="N38" s="66"/>
      <c r="O38" s="67">
        <f>SUM(C38:N38)</f>
        <v>146101.34</v>
      </c>
    </row>
    <row r="39" spans="1:15" x14ac:dyDescent="0.25">
      <c r="A39" s="55"/>
      <c r="B39" s="40" t="s">
        <v>74</v>
      </c>
      <c r="C39" s="68">
        <f>[2]Edition_d_un_journal_de_paie_14!$B$8</f>
        <v>661314.32999999996</v>
      </c>
      <c r="D39" s="38">
        <v>0</v>
      </c>
      <c r="E39" s="9">
        <v>0</v>
      </c>
      <c r="F39" s="9">
        <v>0</v>
      </c>
      <c r="G39" s="38">
        <v>0</v>
      </c>
      <c r="H39" s="38">
        <v>0</v>
      </c>
      <c r="I39" s="38">
        <v>0</v>
      </c>
      <c r="J39" s="38">
        <v>0</v>
      </c>
      <c r="K39" s="38">
        <f>'[3]Etat consos TOTAL sur BP2025 '!$K$14+'[3]Etat consos TOTAL sur BP2025 '!$O$14+'[3]Etat consos TOTAL sur BP2025 '!$AA$14+'[3]Etat consos TOTAL sur BP2025 '!$AI$14+'[3]Etat consos TOTAL sur BP2025 '!$AQ$14+'[3]Etat consos TOTAL sur BP2025 '!$AU$14+'[3]Etat consos TOTAL sur BP2025 '!$BC$14+'[3]Etat consos TOTAL sur BP2025 '!$BK$14+'[3]Etat consos TOTAL sur BP2025 '!$BS$14+'[3]Etat consos TOTAL sur BP2025 '!$CI$14+'[3]Etat consos TOTAL sur BP2025 '!$CM$14+'[3]Etat consos TOTAL sur BP2025 '!$DS$14</f>
        <v>14309.210000000001</v>
      </c>
      <c r="L39" s="38">
        <f>'[4]Consos eau 2026'!$I$15+'[4]Consos eau 2025'!$S$15</f>
        <v>6192.83</v>
      </c>
      <c r="M39" s="9"/>
      <c r="N39" s="9"/>
      <c r="O39" s="67">
        <f>SUM(C39:N39)</f>
        <v>681816.36999999988</v>
      </c>
    </row>
    <row r="40" spans="1:15" x14ac:dyDescent="0.25">
      <c r="A40" s="55"/>
      <c r="B40" s="40" t="s">
        <v>75</v>
      </c>
      <c r="C40" s="69"/>
      <c r="D40" s="38">
        <f>[5]Feuil1!$N$36+[5]Feuil1!$N$126</f>
        <v>1154.9100000000001</v>
      </c>
      <c r="E40" s="41">
        <f>[5]Feuil1!$N$46+[5]Feuil1!$N$47+[5]Feuil1!$N$48+[5]Feuil1!$N$49+[5]Feuil1!$N$50+[5]Feuil1!$N$64+[5]Feuil1!$N$112+[5]Feuil1!$N$116+[5]Feuil1!$N$129+[5]Feuil1!$N$234+[5]Feuil1!$N$256+[5]Feuil1!$N$278+[5]Feuil1!$N$279+[5]Feuil1!$N$280+[5]Feuil1!$N$281+[5]Feuil1!$N$321+[5]Feuil1!$N$323+[5]Feuil1!$N$324</f>
        <v>7011.49</v>
      </c>
      <c r="F40" s="41">
        <f>[5]Feuil1!$N$319</f>
        <v>478.61</v>
      </c>
      <c r="G40" s="38">
        <f>[5]Feuil1!$N$106+[5]Feuil1!$N$283+[5]Feuil1!$N$318+[5]Feuil1!$N$320</f>
        <v>2016.62</v>
      </c>
      <c r="H40" s="38">
        <f>[5]Feuil1!$N$33+[5]Feuil1!$N$35+[5]Feuil1!$N$102+[5]Feuil1!$N$103+[5]Feuil1!$N$104+[5]Feuil1!$N$105+[5]Feuil1!$N$107+[5]Feuil1!$N$108+[5]Feuil1!$N$109+[5]Feuil1!$N$110+[5]Feuil1!$N$113+[5]Feuil1!$N$115+[5]Feuil1!$N$117+[5]Feuil1!$N$118+[5]Feuil1!$N$119+[5]Feuil1!$N$120+[5]Feuil1!$N$123+[5]Feuil1!$N$125+[5]Feuil1!$N$181+[5]Feuil1!$N$187+[5]Feuil1!$N$188+[5]Feuil1!$N$223+[5]Feuil1!$N$251+[5]Feuil1!$N$252+[5]Feuil1!$N$253+[5]Feuil1!$N$254+[5]Feuil1!$N$255+[5]Feuil1!$N$272+[5]Feuil1!$N$273+[5]Feuil1!$N$274+[5]Feuil1!$N$275+[5]Feuil1!$N$296+[5]Feuil1!$N$297+[5]Feuil1!$N$298+[5]Feuil1!$N$300+[5]Feuil1!$N$301+[5]Feuil1!$N$302+[5]Feuil1!$N$313+'[1]DEP ALIM MODIF'!N32+'[1]DEP ALIM MODIF'!N33+'[1]DEP ALIM MODIF'!N110+'[1]DEP ALIM MODIF'!N112+'[1]DEP ALIM MODIF'!N113+'[1]DEP ALIM MODIF'!N114+'[1]DEP ALIM MODIF'!N115+'[1]DEP ALIM MODIF'!N116+'[1]DEP ALIM MODIF'!N117+'[1]DEP ALIM MODIF'!N118+'[1]DEP ALIM MODIF'!N119+'[1]DEP ALIM MODIF'!N120+'[1]DEP ALIM MODIF'!N121+'[1]DEP ALIM MODIF'!N122+'[1]DEP ALIM MODIF'!N123+'[1]DEP ALIM MODIF'!N124+'[1]DEP ALIM MODIF'!N177+'[1]DEP ALIM MODIF'!N179+'[1]DEP ALIM MODIF'!N180+'[1]DEP ALIM MODIF'!N224+'[1]DEP ALIM MODIF'!N252+'[1]DEP ALIM MODIF'!N253+'[1]DEP ALIM MODIF'!N254+'[1]DEP ALIM MODIF'!N261+'[1]DEP ALIM MODIF'!N262+'[1]DEP ALIM MODIF'!N288+'[1]DEP ALIM MODIF'!N289+'[1]DEP ALIM MODIF'!N290+'[1]DEP ALIM MODIF'!N291+'[1]DEP ALIM MODIF'!N302+'[1]DEP ALIM MODIF'!N303+'[1]DEP ALIM MODIF'!N304+'[1]DEP ALIM MODIF'!N305+'[1]DEP ALIM MODIF'!N306+'[1]DEP ALIM MODIF'!N307+'[1]DEP ALIM MODIF'!N315</f>
        <v>12318.96</v>
      </c>
      <c r="I40" s="38">
        <f>[5]Feuil1!$N$34+[5]Feuil1!$N$177+[5]Feuil1!$N$178+[5]Feuil1!$N$179+[5]Feuil1!$N$184+[5]Feuil1!$N$189+[5]Feuil1!$N$190+[5]Feuil1!$N$207+[5]Feuil1!$N$208+[5]Feuil1!$N$220+[5]Feuil1!$N$221+[5]Feuil1!$N$224+[5]Feuil1!$N$233</f>
        <v>8749.6</v>
      </c>
      <c r="J40" s="38">
        <f>[5]Feuil1!$N$37+[5]Feuil1!$N$65+[5]Feuil1!$N$114+[5]Feuil1!$N$121+[5]Feuil1!$N$122+[5]Feuil1!$N$124+[5]Feuil1!$N$159+[5]Feuil1!$N$180+[5]Feuil1!$N$182+[5]Feuil1!$N$183+[5]Feuil1!$N$185+[5]Feuil1!$N$186+[5]Feuil1!$N$222+[5]Feuil1!$N$257+[5]Feuil1!$N$258+[5]Feuil1!$N$277</f>
        <v>6237.2</v>
      </c>
      <c r="K40" s="38">
        <v>0</v>
      </c>
      <c r="L40" s="38">
        <v>0</v>
      </c>
      <c r="M40" s="66"/>
      <c r="N40" s="41">
        <f>[5]Feuil1!$N$98+[5]Feuil1!$N$99+[5]Feuil1!$N$128</f>
        <v>115.44</v>
      </c>
      <c r="O40" s="67">
        <f>SUM(C40:N40)</f>
        <v>38082.83</v>
      </c>
    </row>
    <row r="41" spans="1:15" x14ac:dyDescent="0.25">
      <c r="A41" s="55"/>
      <c r="B41" s="40" t="s">
        <v>76</v>
      </c>
      <c r="C41" s="9">
        <v>0</v>
      </c>
      <c r="D41" s="38">
        <v>0</v>
      </c>
      <c r="E41" s="41">
        <f>[5]Feuil1!$N$71+[5]Feuil1!$N$72+[5]Feuil1!$N$263+[5]Feuil1!$N$276</f>
        <v>1636.4</v>
      </c>
      <c r="F41" s="9">
        <v>0</v>
      </c>
      <c r="G41" s="38">
        <f>[5]Feuil1!$N$267</f>
        <v>650</v>
      </c>
      <c r="H41" s="38">
        <v>5392.09</v>
      </c>
      <c r="I41" s="38">
        <v>0</v>
      </c>
      <c r="J41" s="38">
        <v>0</v>
      </c>
      <c r="K41" s="38">
        <v>0</v>
      </c>
      <c r="L41" s="38">
        <v>0</v>
      </c>
      <c r="M41" s="9"/>
      <c r="N41" s="66"/>
      <c r="O41" s="67">
        <f>SUM(C41:N41)</f>
        <v>7678.49</v>
      </c>
    </row>
    <row r="42" spans="1:15" x14ac:dyDescent="0.25">
      <c r="A42" s="55"/>
      <c r="B42" s="40" t="s">
        <v>77</v>
      </c>
      <c r="C42" s="41">
        <f>[2]Edition_d_un_journal_de_paie_14!$B$7</f>
        <v>664758.87</v>
      </c>
      <c r="D42" s="38">
        <f>[5]Feuil1!$N$16+[5]Feuil1!$N$90+[5]Feuil1!$N$168</f>
        <v>1022.56</v>
      </c>
      <c r="E42" s="41">
        <f>[5]Feuil1!$N$20+[5]Feuil1!$N$55+[5]Feuil1!$N$56+[5]Feuil1!$N$62+[5]Feuil1!$N$140+[5]Feuil1!$N$245+[5]Feuil1!$N$266+[5]Feuil1!$N$299+[5]Feuil1!$N$325+[5]Feuil1!$N$326+[5]Feuil1!$N$329</f>
        <v>6143.02</v>
      </c>
      <c r="F42" s="9">
        <v>0</v>
      </c>
      <c r="G42" s="38">
        <f>[5]Feuil1!$N$292+[5]Feuil1!$N$282+[5]Feuil1!$N$239+[5]Feuil1!$N$231+[5]Feuil1!$N$230+[5]Feuil1!$N$229+[5]Feuil1!$N$228+[5]Feuil1!$N$227+[5]Feuil1!$N$226+[5]Feuil1!$N$216+[5]Feuil1!$N$215+[5]Feuil1!$N$173+[5]Feuil1!$N$169+[5]Feuil1!$N$160+[5]Feuil1!$N$156+[5]Feuil1!$N$155+[5]Feuil1!$N$152+[5]Feuil1!$N$149+[5]Feuil1!$N$148+[5]Feuil1!$N$146+[5]Feuil1!$N$134+[5]Feuil1!$N$132+[5]Feuil1!$N$43</f>
        <v>2223.08</v>
      </c>
      <c r="H42" s="38">
        <f>[5]Feuil1!$N$12+[5]Feuil1!$N$13+[5]Feuil1!$N$14+[5]Feuil1!$N$15+[5]Feuil1!$N$17+[5]Feuil1!$N$18+[5]Feuil1!$N$19+[5]Feuil1!$N$21+[5]Feuil1!$N$22+[5]Feuil1!$N$28+[5]Feuil1!$N$29+[5]Feuil1!$N$39+[5]Feuil1!$N$40+[5]Feuil1!$N$41+[5]Feuil1!$N$42+[5]Feuil1!$N$52+[5]Feuil1!$N$53+[5]Feuil1!$N$54+[5]Feuil1!$N$57+[5]Feuil1!$N$58+[5]Feuil1!$N$59+[5]Feuil1!$N$60+[5]Feuil1!$N$74+[5]Feuil1!$N$75+[5]Feuil1!$N$76+[5]Feuil1!$N$77+[5]Feuil1!$N$78+[5]Feuil1!$N$79+[5]Feuil1!$N$80+[5]Feuil1!$N$82+[5]Feuil1!$N$84+[5]Feuil1!$N$85+[5]Feuil1!$N$86+[5]Feuil1!$N$87+[5]Feuil1!$N$88+[5]Feuil1!$N$89+[5]Feuil1!$N$92+[5]Feuil1!$N$136+[5]Feuil1!$N$137+[5]Feuil1!$N$138+[5]Feuil1!$N$139+[5]Feuil1!$N$141+[5]Feuil1!$N$145+[5]Feuil1!$N$147+[5]Feuil1!$N$150+[5]Feuil1!$N$151+[5]Feuil1!$N$154+[5]Feuil1!$N$157+[5]Feuil1!$N$158+[5]Feuil1!$N$163+[5]Feuil1!$N$172+[5]Feuil1!$N$213+[5]Feuil1!$N$214+[5]Feuil1!$N$217+[5]Feuil1!$N$237+[5]Feuil1!$N$238+[5]Feuil1!$N$240+[5]Feuil1!$N$241+[5]Feuil1!$N$242+[5]Feuil1!$N$244+[5]Feuil1!$N$248+[5]Feuil1!$N$249+[5]Feuil1!$N$288+[5]Feuil1!$N$289+[5]Feuil1!$N$290+[5]Feuil1!$N$291+[5]Feuil1!$N$294+[5]Feuil1!$N$295+[5]Feuil1!$N$306+[5]Feuil1!$N$307+[5]Feuil1!$N$308+[5]Feuil1!$N$309+[5]Feuil1!$N$310+[5]Feuil1!$N$311+[5]Feuil1!$N$312+[5]Feuil1!$N$327+[5]Feuil1!$N$328+[5]Feuil1!$N$333+[5]Feuil1!$N$334+'[1]DEP ALIM MODIF'!N1036126</f>
        <v>7009.7900000000009</v>
      </c>
      <c r="I42" s="38">
        <f>[5]Feuil1!$N$10+[5]Feuil1!$N$66+[5]Feuil1!$N$142+[5]Feuil1!$N$161+[5]Feuil1!$N$198+[5]Feuil1!$N$225+[5]Feuil1!$N$250+[5]Feuil1!$N$314+[5]Feuil1!$N$315+[5]Feuil1!$N$316+[5]Feuil1!$N$317+[5]Feuil1!$N$331</f>
        <v>5803.3899999999994</v>
      </c>
      <c r="J42" s="38">
        <f>[5]Feuil1!$N$11+[5]Feuil1!$N$23+[5]Feuil1!$N$27+[5]Feuil1!$N$30+[5]Feuil1!$N$31+[5]Feuil1!$N$32+[5]Feuil1!$N$38+[5]Feuil1!$N$61+[5]Feuil1!$N$63+[5]Feuil1!$N$67+[5]Feuil1!$N$68+[5]Feuil1!$N$70+[5]Feuil1!$N$81+[5]Feuil1!$N$83+[5]Feuil1!$N$133+[5]Feuil1!$N$143+[5]Feuil1!$N$144+[5]Feuil1!$N$153+[5]Feuil1!$N$162+[5]Feuil1!$N$164+[5]Feuil1!$N$165+[5]Feuil1!$N$166+[5]Feuil1!$N$167+[5]Feuil1!$N$170+[5]Feuil1!$N$171+[5]Feuil1!$N$174+[5]Feuil1!$N$175+[5]Feuil1!$N$218+[5]Feuil1!$N$219+[5]Feuil1!$N$246+[5]Feuil1!$N$247+[5]Feuil1!$N$264+[5]Feuil1!$N$284+[5]Feuil1!$N$286+[5]Feuil1!$N$293+[5]Feuil1!$N$303+[5]Feuil1!$N$304+[5]Feuil1!$N$305+[5]Feuil1!$N$322+[5]Feuil1!$N$330+[5]Feuil1!$N$332</f>
        <v>12609.07</v>
      </c>
      <c r="K42" s="38">
        <v>0</v>
      </c>
      <c r="L42" s="38">
        <v>0</v>
      </c>
      <c r="M42" s="9"/>
      <c r="N42" s="42">
        <f>[5]Feuil1!$N$24+[5]Feuil1!$N$44+[5]Feuil1!$N$93+[5]Feuil1!$N$100+[5]Feuil1!$N$101+[5]Feuil1!$N$232+[5]Feuil1!$N$259+[5]Feuil1!$N$270+[5]Feuil1!$N$271</f>
        <v>4834.47</v>
      </c>
      <c r="O42" s="67">
        <f>SUM(C42:N42)</f>
        <v>704404.25</v>
      </c>
    </row>
    <row r="43" spans="1:15" x14ac:dyDescent="0.25">
      <c r="A43" s="70"/>
      <c r="B43" s="47" t="s">
        <v>52</v>
      </c>
      <c r="C43" s="48">
        <f>SUM(C38:C42)</f>
        <v>1428849.37</v>
      </c>
      <c r="D43" s="48">
        <f t="shared" ref="C43:O43" si="6">SUM(D38:D42)</f>
        <v>2177.4700000000003</v>
      </c>
      <c r="E43" s="48">
        <f t="shared" si="6"/>
        <v>14790.91</v>
      </c>
      <c r="F43" s="48">
        <f t="shared" si="6"/>
        <v>478.61</v>
      </c>
      <c r="G43" s="48">
        <f t="shared" si="6"/>
        <v>4889.7</v>
      </c>
      <c r="H43" s="48">
        <f t="shared" si="6"/>
        <v>24720.84</v>
      </c>
      <c r="I43" s="48">
        <f t="shared" si="6"/>
        <v>14552.99</v>
      </c>
      <c r="J43" s="48">
        <f t="shared" si="6"/>
        <v>18846.27</v>
      </c>
      <c r="K43" s="48">
        <f t="shared" si="6"/>
        <v>23212.97</v>
      </c>
      <c r="L43" s="48">
        <f t="shared" si="6"/>
        <v>13142.599999999999</v>
      </c>
      <c r="M43" s="48">
        <f t="shared" si="6"/>
        <v>27471.64</v>
      </c>
      <c r="N43" s="48">
        <f t="shared" si="6"/>
        <v>4949.91</v>
      </c>
      <c r="O43" s="71">
        <f>SUM(O38:O42)</f>
        <v>1578083.2799999998</v>
      </c>
    </row>
    <row r="44" spans="1:15" x14ac:dyDescent="0.25">
      <c r="A44" s="72"/>
      <c r="B44" s="52"/>
    </row>
    <row r="45" spans="1:15" x14ac:dyDescent="0.25">
      <c r="A45" s="73"/>
    </row>
    <row r="46" spans="1:15" x14ac:dyDescent="0.25">
      <c r="A46" s="73"/>
    </row>
    <row r="47" spans="1:15" x14ac:dyDescent="0.25">
      <c r="A47" s="74" t="s">
        <v>78</v>
      </c>
      <c r="B47" s="1" t="s">
        <v>56</v>
      </c>
      <c r="C47" s="2"/>
      <c r="D47" s="2"/>
      <c r="E47" s="3"/>
      <c r="F47" s="75"/>
      <c r="G47" s="101"/>
    </row>
    <row r="48" spans="1:15" x14ac:dyDescent="0.25">
      <c r="A48" s="74"/>
      <c r="B48" s="76" t="s">
        <v>57</v>
      </c>
      <c r="C48" s="77"/>
      <c r="D48" s="76" t="s">
        <v>63</v>
      </c>
      <c r="E48" s="76"/>
      <c r="F48" s="78"/>
    </row>
    <row r="49" spans="1:13" ht="39" x14ac:dyDescent="0.25">
      <c r="A49" s="74"/>
      <c r="B49" s="34" t="s">
        <v>61</v>
      </c>
      <c r="C49" s="34" t="s">
        <v>62</v>
      </c>
      <c r="D49" s="60" t="s">
        <v>79</v>
      </c>
      <c r="E49" s="60" t="s">
        <v>80</v>
      </c>
      <c r="F49" s="35" t="s">
        <v>28</v>
      </c>
    </row>
    <row r="50" spans="1:13" x14ac:dyDescent="0.25">
      <c r="A50" s="74"/>
      <c r="B50" s="79" t="s">
        <v>81</v>
      </c>
      <c r="C50" s="80">
        <f>[2]Edition_d_un_journal_de_paie_14!$B$15</f>
        <v>58598.14</v>
      </c>
      <c r="D50" s="81"/>
      <c r="E50" s="82">
        <v>0</v>
      </c>
      <c r="F50" s="83">
        <f>SUM(C50:E51)</f>
        <v>58598.14</v>
      </c>
    </row>
    <row r="51" spans="1:13" x14ac:dyDescent="0.25">
      <c r="A51" s="74"/>
      <c r="B51" s="84"/>
      <c r="C51" s="85"/>
      <c r="D51" s="86">
        <v>0</v>
      </c>
      <c r="E51" s="82"/>
      <c r="F51" s="87"/>
    </row>
    <row r="52" spans="1:13" x14ac:dyDescent="0.25">
      <c r="A52" s="74"/>
      <c r="B52" s="47" t="s">
        <v>52</v>
      </c>
      <c r="C52" s="48">
        <f>SUM(C50:C51)</f>
        <v>58598.14</v>
      </c>
      <c r="D52" s="88">
        <f>SUM(D50:D51)</f>
        <v>0</v>
      </c>
      <c r="E52" s="48">
        <f>SUM(E50)</f>
        <v>0</v>
      </c>
      <c r="F52" s="89">
        <f>SUM(F50)</f>
        <v>58598.14</v>
      </c>
    </row>
    <row r="53" spans="1:13" x14ac:dyDescent="0.25">
      <c r="A53" s="108"/>
    </row>
    <row r="54" spans="1:13" x14ac:dyDescent="0.25">
      <c r="A54" s="108"/>
    </row>
    <row r="55" spans="1:13" x14ac:dyDescent="0.25">
      <c r="A55" s="25" t="s">
        <v>82</v>
      </c>
      <c r="B55" s="26" t="s">
        <v>56</v>
      </c>
      <c r="C55" s="27"/>
      <c r="D55" s="27"/>
      <c r="E55" s="27"/>
      <c r="F55" s="27"/>
      <c r="G55" s="27"/>
      <c r="H55" s="27"/>
      <c r="I55" s="27"/>
      <c r="J55" s="27"/>
      <c r="K55" s="28"/>
    </row>
    <row r="56" spans="1:13" x14ac:dyDescent="0.25">
      <c r="A56" s="25"/>
      <c r="B56" s="76" t="s">
        <v>57</v>
      </c>
      <c r="C56" s="77"/>
      <c r="D56" s="26" t="s">
        <v>60</v>
      </c>
      <c r="E56" s="27"/>
      <c r="F56" s="27" t="s">
        <v>83</v>
      </c>
      <c r="G56" s="27"/>
      <c r="H56" s="28"/>
      <c r="I56" s="90" t="s">
        <v>84</v>
      </c>
      <c r="J56" s="75"/>
      <c r="K56" s="26" t="s">
        <v>85</v>
      </c>
      <c r="L56" s="28"/>
    </row>
    <row r="57" spans="1:13" ht="51.75" x14ac:dyDescent="0.25">
      <c r="A57" s="25"/>
      <c r="B57" s="35" t="s">
        <v>36</v>
      </c>
      <c r="C57" s="35" t="s">
        <v>86</v>
      </c>
      <c r="D57" s="35" t="s">
        <v>41</v>
      </c>
      <c r="E57" s="35" t="s">
        <v>87</v>
      </c>
      <c r="F57" s="35" t="s">
        <v>83</v>
      </c>
      <c r="G57" s="35" t="s">
        <v>88</v>
      </c>
      <c r="H57" s="35" t="s">
        <v>89</v>
      </c>
      <c r="I57" s="35" t="s">
        <v>84</v>
      </c>
      <c r="J57" s="35" t="s">
        <v>72</v>
      </c>
      <c r="K57" s="64" t="s">
        <v>90</v>
      </c>
      <c r="L57" s="64" t="s">
        <v>69</v>
      </c>
      <c r="M57" s="64" t="s">
        <v>31</v>
      </c>
    </row>
    <row r="58" spans="1:13" x14ac:dyDescent="0.25">
      <c r="A58" s="25"/>
      <c r="B58" s="40" t="s">
        <v>82</v>
      </c>
      <c r="C58" s="38">
        <f>[2]Edition_d_un_journal_de_paie_14!$B$16</f>
        <v>119794.89</v>
      </c>
      <c r="D58">
        <v>10918.975</v>
      </c>
      <c r="E58" s="38">
        <v>426</v>
      </c>
      <c r="F58" s="38">
        <v>0</v>
      </c>
      <c r="G58" s="38">
        <f>[5]Feuil1!$N$261+[5]Feuil1!$N$97+[5]Feuil1!$N$95</f>
        <v>1265.8699999999999</v>
      </c>
      <c r="H58" s="38">
        <f>[5]Feuil1!$N$127+[5]Feuil1!$N$197</f>
        <v>467.86</v>
      </c>
      <c r="I58" s="38">
        <f>[5]Feuil1!$N$96</f>
        <v>59.24</v>
      </c>
      <c r="J58" s="38">
        <f>[5]Feuil1!$N$94+[5]Feuil1!$N$130+[5]Feuil1!$N$131</f>
        <v>327.01</v>
      </c>
      <c r="K58" s="38">
        <f>[5]Feuil1!$N$194+[5]Feuil1!$N$205+[5]Feuil1!$N$206+[5]Feuil1!$N$211+[5]Feuil1!$N$212</f>
        <v>4016.42</v>
      </c>
      <c r="L58" s="38">
        <v>0</v>
      </c>
      <c r="M58" s="91">
        <f>SUM(C58:L58)</f>
        <v>137276.26499999998</v>
      </c>
    </row>
    <row r="59" spans="1:13" x14ac:dyDescent="0.25">
      <c r="A59" s="25"/>
      <c r="B59" s="47" t="s">
        <v>52</v>
      </c>
      <c r="C59" s="48">
        <f>SUM(C58:C58)</f>
        <v>119794.89</v>
      </c>
      <c r="D59" s="48">
        <f>SUM(D58)</f>
        <v>10918.975</v>
      </c>
      <c r="E59" s="48">
        <f t="shared" ref="E59:L59" si="7">SUM(E58:E58)</f>
        <v>426</v>
      </c>
      <c r="F59" s="48">
        <f t="shared" si="7"/>
        <v>0</v>
      </c>
      <c r="G59" s="48">
        <f t="shared" si="7"/>
        <v>1265.8699999999999</v>
      </c>
      <c r="H59" s="48">
        <f t="shared" si="7"/>
        <v>467.86</v>
      </c>
      <c r="I59" s="48">
        <f t="shared" si="7"/>
        <v>59.24</v>
      </c>
      <c r="J59" s="48">
        <f t="shared" si="7"/>
        <v>327.01</v>
      </c>
      <c r="K59" s="48">
        <f t="shared" si="7"/>
        <v>4016.42</v>
      </c>
      <c r="L59" s="48">
        <f t="shared" si="7"/>
        <v>0</v>
      </c>
      <c r="M59" s="71">
        <f>SUM(C59:L59)</f>
        <v>137276.26499999998</v>
      </c>
    </row>
    <row r="60" spans="1:13" x14ac:dyDescent="0.25">
      <c r="A60" s="25"/>
      <c r="B60" s="51" t="s">
        <v>91</v>
      </c>
      <c r="F60" cm="1">
        <f t="array" ref="F60:F61">'[6]Etat consos TOTAL sur BP2025 '!$K$17:$K$18+'[6]Etat consos TOTAL sur BP2025 '!$O$17:$O$18+'[6]Etat consos TOTAL sur BP2025 '!$AA$17:$AA$18+'[6]Etat consos TOTAL sur BP2025 '!$AI$17:$AI$18+'[6]Etat consos TOTAL sur BP2025 '!$AQ$17:$AQ$18+'[6]Etat consos TOTAL sur BP2025 '!$AU$17:$AU$18+'[6]Etat consos TOTAL sur BP2025 '!$BC$17:$BC$18+'[6]Etat consos TOTAL sur BP2025 '!$BK$17:$BK$18+'[6]Etat consos TOTAL sur BP2025 '!$BS$17:$BS$18+'[6]Etat consos TOTAL sur BP2025 '!$CI$17:$CI$18+'[6]Etat consos TOTAL sur BP2025 '!$CM$17:$CM$18+'[6]Etat consos TOTAL sur BP2025 '!$DS$17:$DS$18</f>
        <v>21837.950000000004</v>
      </c>
    </row>
    <row r="61" spans="1:13" x14ac:dyDescent="0.25">
      <c r="A61" s="73"/>
      <c r="F61">
        <v>0</v>
      </c>
    </row>
    <row r="62" spans="1:13" x14ac:dyDescent="0.25">
      <c r="A62" s="92"/>
      <c r="F62">
        <f>F60/2</f>
        <v>10918.975000000002</v>
      </c>
    </row>
    <row r="63" spans="1:13" x14ac:dyDescent="0.25">
      <c r="A63" s="92"/>
    </row>
    <row r="64" spans="1:13" x14ac:dyDescent="0.25">
      <c r="A64" s="92"/>
    </row>
    <row r="65" spans="1:11" x14ac:dyDescent="0.25">
      <c r="A65" s="109"/>
    </row>
    <row r="67" spans="1:11" x14ac:dyDescent="0.25">
      <c r="B67" s="109"/>
    </row>
    <row r="68" spans="1:11" x14ac:dyDescent="0.25">
      <c r="A68" s="25" t="s">
        <v>92</v>
      </c>
      <c r="B68" s="76" t="s">
        <v>56</v>
      </c>
      <c r="C68" s="76"/>
      <c r="D68" s="76"/>
      <c r="E68" s="76"/>
      <c r="F68" s="76"/>
      <c r="G68" s="76"/>
      <c r="H68" s="76"/>
      <c r="I68" s="76"/>
      <c r="J68" s="76"/>
      <c r="K68" s="76"/>
    </row>
    <row r="69" spans="1:11" x14ac:dyDescent="0.25">
      <c r="A69" s="25"/>
      <c r="B69" s="76" t="s">
        <v>57</v>
      </c>
      <c r="C69" s="77"/>
      <c r="D69" s="76" t="s">
        <v>93</v>
      </c>
      <c r="E69" s="76"/>
      <c r="F69" s="93" t="s">
        <v>94</v>
      </c>
      <c r="G69" s="90" t="s">
        <v>71</v>
      </c>
      <c r="H69" s="76" t="s">
        <v>95</v>
      </c>
      <c r="I69" s="76"/>
      <c r="J69" s="76"/>
      <c r="K69" s="94" t="s">
        <v>31</v>
      </c>
    </row>
    <row r="70" spans="1:11" ht="26.25" x14ac:dyDescent="0.25">
      <c r="A70" s="25"/>
      <c r="B70" s="34" t="s">
        <v>61</v>
      </c>
      <c r="C70" s="34" t="s">
        <v>62</v>
      </c>
      <c r="D70" s="64" t="s">
        <v>96</v>
      </c>
      <c r="E70" s="35" t="s">
        <v>97</v>
      </c>
      <c r="F70" s="35" t="s">
        <v>98</v>
      </c>
      <c r="G70" s="35" t="s">
        <v>71</v>
      </c>
      <c r="H70" s="35" t="s">
        <v>99</v>
      </c>
      <c r="I70" s="35" t="s">
        <v>88</v>
      </c>
      <c r="J70" s="35" t="s">
        <v>72</v>
      </c>
      <c r="K70" s="95"/>
    </row>
    <row r="71" spans="1:11" x14ac:dyDescent="0.25">
      <c r="A71" s="25"/>
      <c r="B71" s="37" t="s">
        <v>100</v>
      </c>
      <c r="C71" s="38"/>
      <c r="D71" s="38">
        <f>[5]Feuil1!$N$205</f>
        <v>1934.41</v>
      </c>
      <c r="E71" s="38">
        <f>[5]Feuil1!$N$194+[5]Feuil1!$N$211+[5]Feuil1!$N$212</f>
        <v>147.6</v>
      </c>
      <c r="F71" s="38">
        <f>[5]Feuil1!$N$196+[5]Feuil1!$N$202+[5]Feuil1!$N$203+[5]Feuil1!$N$204+[5]Feuil1!$N$210</f>
        <v>21765.91</v>
      </c>
      <c r="G71" s="38">
        <f>[5]Feuil1!$N$195+[5]Feuil1!$N$199+[5]Feuil1!$N$200+[5]Feuil1!$N$260+[5]Feuil1!$N$201</f>
        <v>179.91</v>
      </c>
      <c r="H71" s="38">
        <f>[5]Feuil1!$N$192+[5]Feuil1!$N$193</f>
        <v>83.789999999999992</v>
      </c>
      <c r="I71" s="38"/>
      <c r="J71" s="38"/>
      <c r="K71" s="91">
        <f>SUM(C71:J71)</f>
        <v>24111.62</v>
      </c>
    </row>
    <row r="72" spans="1:11" x14ac:dyDescent="0.25">
      <c r="A72" s="25"/>
      <c r="B72" s="40" t="s">
        <v>101</v>
      </c>
      <c r="C72" s="38"/>
      <c r="D72" s="96">
        <f>[7]Feuil1!$H$2</f>
        <v>29454</v>
      </c>
      <c r="E72" s="97"/>
      <c r="F72" s="97"/>
      <c r="G72" s="97"/>
      <c r="H72" s="97"/>
      <c r="I72" s="97"/>
      <c r="J72" s="98"/>
      <c r="K72" s="91">
        <f t="shared" ref="K72:K74" si="8">SUM(C72:J72)</f>
        <v>29454</v>
      </c>
    </row>
    <row r="73" spans="1:11" x14ac:dyDescent="0.25">
      <c r="A73" s="25"/>
      <c r="B73" s="40" t="s">
        <v>102</v>
      </c>
      <c r="C73" s="38"/>
      <c r="D73" s="96">
        <f>[7]Feuil1!$H$5</f>
        <v>9900</v>
      </c>
      <c r="E73" s="98"/>
      <c r="F73" s="38">
        <f>[7]Feuil1!$H$3+[7]Feuil1!$H$4</f>
        <v>22575</v>
      </c>
      <c r="G73" s="38">
        <f>[7]Feuil1!$H$6+[7]Feuil1!$H$16+[7]Feuil1!$H$17+[7]Feuil1!$H$18+[7]Feuil1!$H$22</f>
        <v>175.55</v>
      </c>
      <c r="H73" s="38"/>
      <c r="I73" s="38"/>
      <c r="J73" s="38"/>
      <c r="K73" s="91">
        <f t="shared" si="8"/>
        <v>32650.55</v>
      </c>
    </row>
    <row r="74" spans="1:11" x14ac:dyDescent="0.25">
      <c r="A74" s="25"/>
      <c r="B74" s="40" t="s">
        <v>103</v>
      </c>
      <c r="C74" s="38"/>
      <c r="D74" s="41">
        <f>[7]Feuil1!$H$19+[7]Feuil1!$H$20</f>
        <v>3868.82</v>
      </c>
      <c r="E74" s="66"/>
      <c r="F74" s="38">
        <f>[7]Feuil1!$H$13+[7]Feuil1!$H$14+[7]Feuil1!$H$15</f>
        <v>16429.030000000002</v>
      </c>
      <c r="G74" s="38"/>
      <c r="H74" s="38"/>
      <c r="I74" s="38">
        <f>[7]Feuil1!$H$7</f>
        <v>298.95999999999998</v>
      </c>
      <c r="J74" s="38">
        <f>[7]Feuil1!$H$8+[7]Feuil1!$H$9+[7]Feuil1!$H$10+[7]Feuil1!$H$11+[7]Feuil1!$H$12</f>
        <v>314.73</v>
      </c>
      <c r="K74" s="91">
        <f t="shared" si="8"/>
        <v>20911.54</v>
      </c>
    </row>
    <row r="75" spans="1:11" x14ac:dyDescent="0.25">
      <c r="A75" s="25"/>
      <c r="B75" s="47" t="s">
        <v>52</v>
      </c>
      <c r="C75" s="48">
        <f>SUM(C71:C74)</f>
        <v>0</v>
      </c>
      <c r="D75" s="48">
        <f>SUM(D71:D74)</f>
        <v>45157.23</v>
      </c>
      <c r="E75" s="48">
        <f>SUM(E71)</f>
        <v>147.6</v>
      </c>
      <c r="F75" s="48">
        <f>SUM(F71:F74)</f>
        <v>60769.94</v>
      </c>
      <c r="G75" s="48">
        <f>SUM(G71:G74)</f>
        <v>355.46000000000004</v>
      </c>
      <c r="H75" s="48">
        <f t="shared" ref="H75:J75" si="9">SUM(H71:H74)</f>
        <v>83.789999999999992</v>
      </c>
      <c r="I75" s="48">
        <f t="shared" si="9"/>
        <v>298.95999999999998</v>
      </c>
      <c r="J75" s="48">
        <f t="shared" si="9"/>
        <v>314.73</v>
      </c>
      <c r="K75" s="99">
        <f>SUM(K71:K74)</f>
        <v>107127.70999999999</v>
      </c>
    </row>
    <row r="76" spans="1:11" x14ac:dyDescent="0.25">
      <c r="A76" s="73"/>
      <c r="B76" s="52" t="s">
        <v>104</v>
      </c>
    </row>
    <row r="77" spans="1:11" x14ac:dyDescent="0.25">
      <c r="A77" s="92"/>
    </row>
    <row r="78" spans="1:11" x14ac:dyDescent="0.25">
      <c r="A78" s="92"/>
    </row>
    <row r="79" spans="1:11" x14ac:dyDescent="0.25">
      <c r="A79" s="92"/>
    </row>
    <row r="81" spans="1:10" x14ac:dyDescent="0.25">
      <c r="A81" s="100" t="s">
        <v>105</v>
      </c>
      <c r="B81" s="76" t="s">
        <v>56</v>
      </c>
      <c r="C81" s="76"/>
      <c r="D81" s="76"/>
      <c r="E81" s="76"/>
      <c r="F81" s="76"/>
      <c r="G81" s="76"/>
      <c r="H81" s="76"/>
      <c r="I81" s="101"/>
      <c r="J81" s="101"/>
    </row>
    <row r="82" spans="1:10" x14ac:dyDescent="0.25">
      <c r="A82" s="100"/>
      <c r="B82" s="76" t="s">
        <v>57</v>
      </c>
      <c r="C82" s="77"/>
      <c r="D82" s="90" t="s">
        <v>106</v>
      </c>
      <c r="E82" s="102" t="s">
        <v>71</v>
      </c>
      <c r="F82" s="103" t="s">
        <v>60</v>
      </c>
      <c r="G82" s="103"/>
      <c r="H82" s="103"/>
      <c r="I82" s="104" t="s">
        <v>31</v>
      </c>
    </row>
    <row r="83" spans="1:10" ht="51" x14ac:dyDescent="0.25">
      <c r="A83" s="100"/>
      <c r="B83" s="105" t="s">
        <v>36</v>
      </c>
      <c r="C83" s="105" t="s">
        <v>107</v>
      </c>
      <c r="D83" s="106" t="s">
        <v>108</v>
      </c>
      <c r="E83" s="106" t="s">
        <v>109</v>
      </c>
      <c r="F83" s="106" t="s">
        <v>40</v>
      </c>
      <c r="G83" s="106" t="s">
        <v>41</v>
      </c>
      <c r="H83" s="106" t="s">
        <v>42</v>
      </c>
      <c r="I83" s="104"/>
    </row>
    <row r="84" spans="1:10" x14ac:dyDescent="0.25">
      <c r="A84" s="100"/>
      <c r="B84" s="37" t="s">
        <v>110</v>
      </c>
      <c r="C84" s="38">
        <f>[2]Edition_d_un_journal_de_paie_14!$B$10</f>
        <v>171094.89</v>
      </c>
      <c r="D84" s="38"/>
      <c r="E84" s="43">
        <v>5810.47</v>
      </c>
      <c r="F84" s="9">
        <f>'[4]Consos eau 2026'!$I$20+'[4]Consos eau 2025'!$S$20</f>
        <v>2539.0299999999997</v>
      </c>
      <c r="G84" s="9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'!$DS$22</f>
        <v>9726.1299999999992</v>
      </c>
      <c r="H84" s="9">
        <v>16055</v>
      </c>
      <c r="I84" s="91">
        <f>SUM(C84:H84)</f>
        <v>205225.52000000002</v>
      </c>
    </row>
    <row r="85" spans="1:10" x14ac:dyDescent="0.25">
      <c r="A85" s="100"/>
      <c r="B85" s="40" t="s">
        <v>111</v>
      </c>
      <c r="C85" s="38">
        <v>0</v>
      </c>
      <c r="D85" s="38"/>
      <c r="E85" s="38"/>
      <c r="F85" s="38"/>
      <c r="G85" s="38"/>
      <c r="H85" s="38">
        <f>E11</f>
        <v>4.42</v>
      </c>
      <c r="I85" s="91">
        <f>SUM(C85:H85)</f>
        <v>4.42</v>
      </c>
    </row>
    <row r="86" spans="1:10" x14ac:dyDescent="0.25">
      <c r="A86" s="100"/>
      <c r="B86" s="40" t="s">
        <v>112</v>
      </c>
      <c r="C86" s="38">
        <f>[2]Edition_d_un_journal_de_paie_14!$B$11</f>
        <v>157998.9</v>
      </c>
      <c r="D86" s="38"/>
      <c r="E86" s="38"/>
      <c r="F86" s="38"/>
      <c r="G86" s="38"/>
      <c r="H86" s="38"/>
      <c r="I86" s="91">
        <f>SUM(C86:H86)</f>
        <v>157998.9</v>
      </c>
    </row>
    <row r="87" spans="1:10" x14ac:dyDescent="0.25">
      <c r="A87" s="100"/>
      <c r="B87" s="40" t="s">
        <v>113</v>
      </c>
      <c r="C87" s="107">
        <f>[2]Edition_d_un_journal_de_paie_14!$B$9</f>
        <v>268883.59000000003</v>
      </c>
      <c r="D87" s="40"/>
      <c r="E87" s="40"/>
      <c r="F87" s="40"/>
      <c r="G87" s="40"/>
      <c r="H87" s="40"/>
      <c r="I87" s="91">
        <f>SUM(C87:H87)</f>
        <v>268883.59000000003</v>
      </c>
    </row>
    <row r="88" spans="1:10" x14ac:dyDescent="0.25">
      <c r="A88" s="100"/>
      <c r="B88" s="47" t="s">
        <v>52</v>
      </c>
      <c r="C88" s="48">
        <f>SUM(C84:C87)</f>
        <v>597977.38000000012</v>
      </c>
      <c r="D88" s="48">
        <f t="shared" ref="D88:H88" si="10">SUM(D84:D87)</f>
        <v>0</v>
      </c>
      <c r="E88" s="48">
        <f t="shared" si="10"/>
        <v>5810.47</v>
      </c>
      <c r="F88" s="48">
        <f t="shared" si="10"/>
        <v>2539.0299999999997</v>
      </c>
      <c r="G88" s="48">
        <f t="shared" si="10"/>
        <v>9726.1299999999992</v>
      </c>
      <c r="H88" s="48">
        <f t="shared" si="10"/>
        <v>16059.42</v>
      </c>
      <c r="I88" s="71">
        <f>SUM(I84:I87)</f>
        <v>632112.43000000005</v>
      </c>
    </row>
    <row r="89" spans="1:10" x14ac:dyDescent="0.25">
      <c r="A89" s="108"/>
    </row>
    <row r="90" spans="1:10" x14ac:dyDescent="0.25">
      <c r="A90" s="108"/>
    </row>
  </sheetData>
  <mergeCells count="47">
    <mergeCell ref="A81:A88"/>
    <mergeCell ref="B81:H81"/>
    <mergeCell ref="B82:C82"/>
    <mergeCell ref="F82:H82"/>
    <mergeCell ref="I82:I83"/>
    <mergeCell ref="A68:A75"/>
    <mergeCell ref="B68:K68"/>
    <mergeCell ref="B69:C69"/>
    <mergeCell ref="D69:E69"/>
    <mergeCell ref="H69:J69"/>
    <mergeCell ref="K69:K70"/>
    <mergeCell ref="D72:J72"/>
    <mergeCell ref="D73:E73"/>
    <mergeCell ref="F56:H56"/>
    <mergeCell ref="K56:L56"/>
    <mergeCell ref="K36:O36"/>
    <mergeCell ref="C39:C40"/>
    <mergeCell ref="A47:A52"/>
    <mergeCell ref="B47:E47"/>
    <mergeCell ref="B48:C48"/>
    <mergeCell ref="D48:E48"/>
    <mergeCell ref="B50:B51"/>
    <mergeCell ref="C50:C51"/>
    <mergeCell ref="E50:E51"/>
    <mergeCell ref="F50:F51"/>
    <mergeCell ref="A35:A43"/>
    <mergeCell ref="B35:O35"/>
    <mergeCell ref="B36:C36"/>
    <mergeCell ref="D36:F36"/>
    <mergeCell ref="G36:J36"/>
    <mergeCell ref="A55:A60"/>
    <mergeCell ref="B55:K55"/>
    <mergeCell ref="B56:C56"/>
    <mergeCell ref="D56:E56"/>
    <mergeCell ref="A17:A29"/>
    <mergeCell ref="B17:H17"/>
    <mergeCell ref="I17:I19"/>
    <mergeCell ref="B18:C18"/>
    <mergeCell ref="F18:H18"/>
    <mergeCell ref="A1:I1"/>
    <mergeCell ref="A2:B3"/>
    <mergeCell ref="C2:C3"/>
    <mergeCell ref="D2:D3"/>
    <mergeCell ref="E2:E3"/>
    <mergeCell ref="F2:F3"/>
    <mergeCell ref="G2:G3"/>
    <mergeCell ref="H2:H3"/>
  </mergeCells>
  <conditionalFormatting sqref="H4:H14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I4:I14">
    <cfRule type="cellIs" dxfId="3" priority="2" operator="greaterThan">
      <formula>1</formula>
    </cfRule>
    <cfRule type="cellIs" dxfId="2" priority="3" operator="greaterThan">
      <formula>100</formula>
    </cfRule>
    <cfRule type="cellIs" dxfId="1" priority="4" operator="lessThan">
      <formula>100</formula>
    </cfRule>
  </conditionalFormatting>
  <conditionalFormatting sqref="I7:I14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Seri-Khane YOLOU</dc:creator>
  <cp:lastModifiedBy>Seri-Khane YOLOU</cp:lastModifiedBy>
  <dcterms:created xsi:type="dcterms:W3CDTF">2026-04-08T13:27:00Z</dcterms:created>
  <dcterms:modified xsi:type="dcterms:W3CDTF">2026-04-09T09:55:40Z</dcterms:modified>
</cp:coreProperties>
</file>