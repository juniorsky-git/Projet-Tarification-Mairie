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tagedg2\Downloads\"/>
    </mc:Choice>
  </mc:AlternateContent>
  <xr:revisionPtr revIDLastSave="0" documentId="13_ncr:1_{D5E04DEE-565E-477C-86B2-B6A9F752F5A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trice tarifaire" sheetId="1" r:id="rId1"/>
    <sheet name="Mode d'emplo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I6" i="1"/>
  <c r="I5" i="1"/>
  <c r="H6" i="1"/>
  <c r="H7" i="1"/>
  <c r="H5" i="1"/>
  <c r="H34" i="1"/>
  <c r="D34" i="1"/>
  <c r="I34" i="1" s="1"/>
  <c r="H33" i="1"/>
  <c r="F33" i="1"/>
  <c r="D33" i="1"/>
  <c r="I33" i="1" s="1"/>
  <c r="H32" i="1"/>
  <c r="G32" i="1"/>
  <c r="F32" i="1"/>
  <c r="D32" i="1"/>
  <c r="I32" i="1" s="1"/>
  <c r="H31" i="1"/>
  <c r="D31" i="1"/>
  <c r="G31" i="1" s="1"/>
  <c r="H30" i="1"/>
  <c r="F30" i="1"/>
  <c r="D30" i="1"/>
  <c r="I30" i="1" s="1"/>
  <c r="H29" i="1"/>
  <c r="G29" i="1"/>
  <c r="F29" i="1"/>
  <c r="D29" i="1"/>
  <c r="I29" i="1" s="1"/>
  <c r="H28" i="1"/>
  <c r="G28" i="1"/>
  <c r="F28" i="1"/>
  <c r="D28" i="1"/>
  <c r="I28" i="1" s="1"/>
  <c r="H27" i="1"/>
  <c r="D27" i="1"/>
  <c r="G27" i="1" s="1"/>
  <c r="H26" i="1"/>
  <c r="F26" i="1"/>
  <c r="D26" i="1"/>
  <c r="I26" i="1" s="1"/>
  <c r="H25" i="1"/>
  <c r="G25" i="1"/>
  <c r="F25" i="1"/>
  <c r="D25" i="1"/>
  <c r="I25" i="1" s="1"/>
  <c r="H24" i="1"/>
  <c r="G24" i="1"/>
  <c r="F24" i="1"/>
  <c r="D24" i="1"/>
  <c r="I24" i="1" s="1"/>
  <c r="H23" i="1"/>
  <c r="D23" i="1"/>
  <c r="G23" i="1" s="1"/>
  <c r="H22" i="1"/>
  <c r="F22" i="1"/>
  <c r="D22" i="1"/>
  <c r="I22" i="1" s="1"/>
  <c r="H21" i="1"/>
  <c r="G21" i="1"/>
  <c r="F21" i="1"/>
  <c r="D21" i="1"/>
  <c r="I21" i="1" s="1"/>
  <c r="H20" i="1"/>
  <c r="G20" i="1"/>
  <c r="F20" i="1"/>
  <c r="D20" i="1"/>
  <c r="I20" i="1" s="1"/>
  <c r="H19" i="1"/>
  <c r="D19" i="1"/>
  <c r="G19" i="1" s="1"/>
  <c r="H18" i="1"/>
  <c r="F18" i="1"/>
  <c r="D18" i="1"/>
  <c r="I18" i="1" s="1"/>
  <c r="H17" i="1"/>
  <c r="G17" i="1"/>
  <c r="F17" i="1"/>
  <c r="D17" i="1"/>
  <c r="I17" i="1" s="1"/>
  <c r="H16" i="1"/>
  <c r="G16" i="1"/>
  <c r="F16" i="1"/>
  <c r="D16" i="1"/>
  <c r="I16" i="1" s="1"/>
  <c r="H15" i="1"/>
  <c r="D15" i="1"/>
  <c r="I15" i="1" s="1"/>
  <c r="H14" i="1"/>
  <c r="F14" i="1"/>
  <c r="D14" i="1"/>
  <c r="I14" i="1" s="1"/>
  <c r="H13" i="1"/>
  <c r="G13" i="1"/>
  <c r="F13" i="1"/>
  <c r="D13" i="1"/>
  <c r="I13" i="1" s="1"/>
  <c r="H12" i="1"/>
  <c r="G12" i="1"/>
  <c r="F12" i="1"/>
  <c r="D12" i="1"/>
  <c r="I12" i="1" s="1"/>
  <c r="H11" i="1"/>
  <c r="D11" i="1"/>
  <c r="G11" i="1" s="1"/>
  <c r="H10" i="1"/>
  <c r="F10" i="1"/>
  <c r="D10" i="1"/>
  <c r="I10" i="1" s="1"/>
  <c r="H9" i="1"/>
  <c r="G9" i="1"/>
  <c r="F9" i="1"/>
  <c r="D9" i="1"/>
  <c r="I9" i="1" s="1"/>
  <c r="H8" i="1"/>
  <c r="G8" i="1"/>
  <c r="F8" i="1"/>
  <c r="D8" i="1"/>
  <c r="I8" i="1" s="1"/>
  <c r="D7" i="1"/>
  <c r="G7" i="1" s="1"/>
  <c r="F6" i="1"/>
  <c r="D6" i="1"/>
  <c r="G5" i="1"/>
  <c r="F5" i="1"/>
  <c r="D5" i="1"/>
  <c r="I31" i="1" l="1"/>
  <c r="G33" i="1"/>
  <c r="F34" i="1"/>
  <c r="I23" i="1"/>
  <c r="G6" i="1"/>
  <c r="F7" i="1"/>
  <c r="G10" i="1"/>
  <c r="F11" i="1"/>
  <c r="G14" i="1"/>
  <c r="F15" i="1"/>
  <c r="G18" i="1"/>
  <c r="F19" i="1"/>
  <c r="G22" i="1"/>
  <c r="F23" i="1"/>
  <c r="G26" i="1"/>
  <c r="F27" i="1"/>
  <c r="G30" i="1"/>
  <c r="F31" i="1"/>
  <c r="G34" i="1"/>
  <c r="I11" i="1"/>
  <c r="I19" i="1"/>
  <c r="I27" i="1"/>
  <c r="G15" i="1"/>
</calcChain>
</file>

<file path=xl/sharedStrings.xml><?xml version="1.0" encoding="utf-8"?>
<sst xmlns="http://schemas.openxmlformats.org/spreadsheetml/2006/main" count="35" uniqueCount="32">
  <si>
    <t>Matrice de tarification - modèle de travail</t>
  </si>
  <si>
    <t>Service</t>
  </si>
  <si>
    <t>Coût total (€)</t>
  </si>
  <si>
    <t>Nombre d'usagers</t>
  </si>
  <si>
    <t>Coût par usager (€)</t>
  </si>
  <si>
    <t>Tarif actuel (€)</t>
  </si>
  <si>
    <t>Différence (€)</t>
  </si>
  <si>
    <t>% couverture</t>
  </si>
  <si>
    <t>Nouveau tarif (€)</t>
  </si>
  <si>
    <t>Part mairie (€)</t>
  </si>
  <si>
    <t>Notes / source</t>
  </si>
  <si>
    <t>Restauration scolaire</t>
  </si>
  <si>
    <t>Centre de loisirs</t>
  </si>
  <si>
    <t>Périscolaire</t>
  </si>
  <si>
    <t>Comment utiliser ce fichier</t>
  </si>
  <si>
    <t>1. Remplir une ligne par service municipal.</t>
  </si>
  <si>
    <t>2. Saisir le coût total annuel en colonne B.</t>
  </si>
  <si>
    <t>3. Saisir le nombre d'usagers ou d'usages en colonne C.</t>
  </si>
  <si>
    <t>4. Saisir le tarif actuel en colonne E.</t>
  </si>
  <si>
    <t>5. Les calculs se font automatiquement.</t>
  </si>
  <si>
    <t>6. Modifier la formule de la colonne H si vous voulez tester une autre hausse.</t>
  </si>
  <si>
    <t>7. Ajouter vos sources ou remarques en colonne J.</t>
  </si>
  <si>
    <t>8. Utiliser ce tableau comme base avant une automatisation VBA / Java / IHM.</t>
  </si>
  <si>
    <t xml:space="preserve"> Usagers</t>
  </si>
  <si>
    <t xml:space="preserve"> Coût total</t>
  </si>
  <si>
    <t>Coût/usager</t>
  </si>
  <si>
    <t>Tarif actuel</t>
  </si>
  <si>
    <t>Différence</t>
  </si>
  <si>
    <t>Nouveau tarif</t>
  </si>
  <si>
    <t>Part mairie</t>
  </si>
  <si>
    <t xml:space="preserve">Exemple </t>
  </si>
  <si>
    <t>Exemple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</si>
</sst>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 \€"/>
  </numFmts>
  <fonts count="5">
    <font>
      <sz val="11"/>
      <name val="Carlito"/>
    </font>
    <font>
      <b/>
      <sz val="15"/>
      <color rgb="FFFFFFFF"/>
      <name val="Carlito"/>
    </font>
    <font>
      <i/>
      <sz val="10"/>
      <name val="Carlito"/>
    </font>
    <font>
      <b/>
      <sz val="11"/>
      <color rgb="FFFFFFFF"/>
      <name val="Carlito"/>
    </font>
    <font>
      <b/>
      <sz val="14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164" fontId="0" fillId="0" borderId="0" xfId="0" applyNumberFormat="1"/>
    <xf numFmtId="9" fontId="0" fillId="0" borderId="0" xfId="0" applyNumberFormat="1"/>
    <xf numFmtId="0" fontId="4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workbookViewId="0">
      <selection activeCell="E6" sqref="E6"/>
    </sheetView>
  </sheetViews>
  <sheetFormatPr baseColWidth="10" defaultColWidth="9" defaultRowHeight="14.25"/>
  <cols>
    <col min="1" max="1" width="24" customWidth="1"/>
    <col min="2" max="2" width="14" customWidth="1"/>
    <col min="3" max="3" width="17" customWidth="1"/>
    <col min="4" max="4" width="18" customWidth="1"/>
    <col min="5" max="6" width="14" customWidth="1"/>
    <col min="7" max="7" width="12" customWidth="1"/>
    <col min="8" max="8" width="16" customWidth="1"/>
    <col min="9" max="9" width="14" customWidth="1"/>
    <col min="10" max="10" width="24" customWidth="1"/>
  </cols>
  <sheetData>
    <row r="1" spans="1:10" ht="19.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0">
      <c r="A2" s="2" t="s">
        <v>1</v>
      </c>
      <c r="B2" s="2" t="s">
        <v>24</v>
      </c>
      <c r="C2" s="2" t="s">
        <v>23</v>
      </c>
      <c r="D2" s="2" t="s">
        <v>25</v>
      </c>
      <c r="E2" s="2" t="s">
        <v>26</v>
      </c>
      <c r="F2" s="2" t="s">
        <v>27</v>
      </c>
      <c r="G2" s="2" t="s">
        <v>7</v>
      </c>
      <c r="H2" s="2" t="s">
        <v>28</v>
      </c>
      <c r="I2" s="2" t="s">
        <v>29</v>
      </c>
      <c r="J2" s="2"/>
    </row>
    <row r="4" spans="1:10" ht="1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</row>
    <row r="5" spans="1:10">
      <c r="A5" t="s">
        <v>11</v>
      </c>
      <c r="B5" s="4">
        <v>410000</v>
      </c>
      <c r="C5">
        <v>50000</v>
      </c>
      <c r="D5" s="4">
        <f t="shared" ref="D5:D34" si="0">IF(OR(B5="",C5="",C5=0),"",B5/C5)</f>
        <v>8.1999999999999993</v>
      </c>
      <c r="E5" s="4">
        <v>2.5</v>
      </c>
      <c r="F5" s="4">
        <f t="shared" ref="F5:F34" si="1">IF(OR(E5="",D5=""),"",E5-D5)</f>
        <v>-5.6999999999999993</v>
      </c>
      <c r="G5" s="5">
        <f t="shared" ref="G5:G34" si="2">IF(OR(E5="",D5="",D5=0),"",E5/D5)</f>
        <v>0.30487804878048785</v>
      </c>
      <c r="H5" s="4">
        <f>IF(E5="","",E5*(1+8%))</f>
        <v>2.7</v>
      </c>
      <c r="I5" s="4">
        <f>IF(OR(D5="",H5=""),"",D5-H5)</f>
        <v>5.4999999999999991</v>
      </c>
      <c r="J5" t="s">
        <v>30</v>
      </c>
    </row>
    <row r="6" spans="1:10">
      <c r="A6" t="s">
        <v>12</v>
      </c>
      <c r="B6" s="4">
        <v>120000</v>
      </c>
      <c r="C6">
        <v>6000</v>
      </c>
      <c r="D6" s="4">
        <f t="shared" si="0"/>
        <v>20</v>
      </c>
      <c r="E6" s="4">
        <v>8</v>
      </c>
      <c r="F6" s="4">
        <f t="shared" si="1"/>
        <v>-12</v>
      </c>
      <c r="G6" s="5">
        <f t="shared" si="2"/>
        <v>0.4</v>
      </c>
      <c r="H6" s="4">
        <f t="shared" ref="H6:H7" si="3">IF(E6="","",E6*(1+8%))</f>
        <v>8.64</v>
      </c>
      <c r="I6" s="4">
        <f>IF(OR(D6="",H6=""),"",D6-H6)</f>
        <v>11.36</v>
      </c>
      <c r="J6" t="s">
        <v>30</v>
      </c>
    </row>
    <row r="7" spans="1:10">
      <c r="A7" t="s">
        <v>13</v>
      </c>
      <c r="B7" s="4">
        <v>90000</v>
      </c>
      <c r="C7">
        <v>10000</v>
      </c>
      <c r="D7" s="4">
        <f t="shared" si="0"/>
        <v>9</v>
      </c>
      <c r="E7" s="4">
        <v>3.5</v>
      </c>
      <c r="F7" s="4">
        <f t="shared" si="1"/>
        <v>-5.5</v>
      </c>
      <c r="G7" s="5">
        <f t="shared" si="2"/>
        <v>0.3888888888888889</v>
      </c>
      <c r="H7" s="4">
        <f t="shared" si="3"/>
        <v>3.7800000000000002</v>
      </c>
      <c r="I7" s="4">
        <f>IF(OR(D7="",H7=""),"",D7-H7)</f>
        <v>5.22</v>
      </c>
      <c r="J7" t="s">
        <v>31</v>
      </c>
    </row>
    <row r="8" spans="1:10">
      <c r="B8" s="4"/>
      <c r="D8" s="4" t="str">
        <f t="shared" si="0"/>
        <v/>
      </c>
      <c r="E8" s="4"/>
      <c r="F8" s="4" t="str">
        <f t="shared" si="1"/>
        <v/>
      </c>
      <c r="G8" s="5" t="str">
        <f t="shared" si="2"/>
        <v/>
      </c>
      <c r="H8" s="4" t="str">
        <f t="shared" ref="H5:H34" si="4">IF(E8="","",E8*(1+10%))</f>
        <v/>
      </c>
      <c r="I8" s="4" t="str">
        <f t="shared" ref="I5:I34" si="5">IF(OR(D8="",H8=""),"",D8-H8)</f>
        <v/>
      </c>
    </row>
    <row r="9" spans="1:10">
      <c r="B9" s="4"/>
      <c r="D9" s="4" t="str">
        <f t="shared" si="0"/>
        <v/>
      </c>
      <c r="E9" s="4"/>
      <c r="F9" s="4" t="str">
        <f t="shared" si="1"/>
        <v/>
      </c>
      <c r="G9" s="5" t="str">
        <f t="shared" si="2"/>
        <v/>
      </c>
      <c r="H9" s="4" t="str">
        <f t="shared" si="4"/>
        <v/>
      </c>
      <c r="I9" s="4" t="str">
        <f t="shared" si="5"/>
        <v/>
      </c>
    </row>
    <row r="10" spans="1:10">
      <c r="B10" s="4"/>
      <c r="D10" s="4" t="str">
        <f t="shared" si="0"/>
        <v/>
      </c>
      <c r="E10" s="4"/>
      <c r="F10" s="4" t="str">
        <f t="shared" si="1"/>
        <v/>
      </c>
      <c r="G10" s="5" t="str">
        <f t="shared" si="2"/>
        <v/>
      </c>
      <c r="H10" s="4" t="str">
        <f t="shared" si="4"/>
        <v/>
      </c>
      <c r="I10" s="4" t="str">
        <f t="shared" si="5"/>
        <v/>
      </c>
    </row>
    <row r="11" spans="1:10">
      <c r="B11" s="4"/>
      <c r="D11" s="4" t="str">
        <f t="shared" si="0"/>
        <v/>
      </c>
      <c r="E11" s="4"/>
      <c r="F11" s="4" t="str">
        <f t="shared" si="1"/>
        <v/>
      </c>
      <c r="G11" s="5" t="str">
        <f t="shared" si="2"/>
        <v/>
      </c>
      <c r="H11" s="4" t="str">
        <f t="shared" si="4"/>
        <v/>
      </c>
      <c r="I11" s="4" t="str">
        <f t="shared" si="5"/>
        <v/>
      </c>
    </row>
    <row r="12" spans="1:10">
      <c r="B12" s="4"/>
      <c r="D12" s="4" t="str">
        <f t="shared" si="0"/>
        <v/>
      </c>
      <c r="E12" s="4"/>
      <c r="F12" s="4" t="str">
        <f t="shared" si="1"/>
        <v/>
      </c>
      <c r="G12" s="5" t="str">
        <f t="shared" si="2"/>
        <v/>
      </c>
      <c r="H12" s="4" t="str">
        <f t="shared" si="4"/>
        <v/>
      </c>
      <c r="I12" s="4" t="str">
        <f t="shared" si="5"/>
        <v/>
      </c>
    </row>
    <row r="13" spans="1:10">
      <c r="B13" s="4"/>
      <c r="D13" s="4" t="str">
        <f t="shared" si="0"/>
        <v/>
      </c>
      <c r="E13" s="4"/>
      <c r="F13" s="4" t="str">
        <f t="shared" si="1"/>
        <v/>
      </c>
      <c r="G13" s="5" t="str">
        <f t="shared" si="2"/>
        <v/>
      </c>
      <c r="H13" s="4" t="str">
        <f t="shared" si="4"/>
        <v/>
      </c>
      <c r="I13" s="4" t="str">
        <f t="shared" si="5"/>
        <v/>
      </c>
    </row>
    <row r="14" spans="1:10">
      <c r="B14" s="4"/>
      <c r="D14" s="4" t="str">
        <f t="shared" si="0"/>
        <v/>
      </c>
      <c r="E14" s="4"/>
      <c r="F14" s="4" t="str">
        <f t="shared" si="1"/>
        <v/>
      </c>
      <c r="G14" s="5" t="str">
        <f t="shared" si="2"/>
        <v/>
      </c>
      <c r="H14" s="4" t="str">
        <f t="shared" si="4"/>
        <v/>
      </c>
      <c r="I14" s="4" t="str">
        <f t="shared" si="5"/>
        <v/>
      </c>
    </row>
    <row r="15" spans="1:10">
      <c r="B15" s="4"/>
      <c r="D15" s="4" t="str">
        <f t="shared" si="0"/>
        <v/>
      </c>
      <c r="E15" s="4"/>
      <c r="F15" s="4" t="str">
        <f t="shared" si="1"/>
        <v/>
      </c>
      <c r="G15" s="5" t="str">
        <f t="shared" si="2"/>
        <v/>
      </c>
      <c r="H15" s="4" t="str">
        <f t="shared" si="4"/>
        <v/>
      </c>
      <c r="I15" s="4" t="str">
        <f t="shared" si="5"/>
        <v/>
      </c>
    </row>
    <row r="16" spans="1:10">
      <c r="B16" s="4"/>
      <c r="D16" s="4" t="str">
        <f t="shared" si="0"/>
        <v/>
      </c>
      <c r="E16" s="4"/>
      <c r="F16" s="4" t="str">
        <f t="shared" si="1"/>
        <v/>
      </c>
      <c r="G16" s="5" t="str">
        <f t="shared" si="2"/>
        <v/>
      </c>
      <c r="H16" s="4" t="str">
        <f t="shared" si="4"/>
        <v/>
      </c>
      <c r="I16" s="4" t="str">
        <f t="shared" si="5"/>
        <v/>
      </c>
    </row>
    <row r="17" spans="2:9">
      <c r="B17" s="4"/>
      <c r="D17" s="4" t="str">
        <f t="shared" si="0"/>
        <v/>
      </c>
      <c r="E17" s="4"/>
      <c r="F17" s="4" t="str">
        <f t="shared" si="1"/>
        <v/>
      </c>
      <c r="G17" s="5" t="str">
        <f t="shared" si="2"/>
        <v/>
      </c>
      <c r="H17" s="4" t="str">
        <f t="shared" si="4"/>
        <v/>
      </c>
      <c r="I17" s="4" t="str">
        <f t="shared" si="5"/>
        <v/>
      </c>
    </row>
    <row r="18" spans="2:9">
      <c r="B18" s="4"/>
      <c r="D18" s="4" t="str">
        <f t="shared" si="0"/>
        <v/>
      </c>
      <c r="E18" s="4"/>
      <c r="F18" s="4" t="str">
        <f t="shared" si="1"/>
        <v/>
      </c>
      <c r="G18" s="5" t="str">
        <f t="shared" si="2"/>
        <v/>
      </c>
      <c r="H18" s="4" t="str">
        <f t="shared" si="4"/>
        <v/>
      </c>
      <c r="I18" s="4" t="str">
        <f t="shared" si="5"/>
        <v/>
      </c>
    </row>
    <row r="19" spans="2:9">
      <c r="B19" s="4"/>
      <c r="D19" s="4" t="str">
        <f t="shared" si="0"/>
        <v/>
      </c>
      <c r="E19" s="4"/>
      <c r="F19" s="4" t="str">
        <f t="shared" si="1"/>
        <v/>
      </c>
      <c r="G19" s="5" t="str">
        <f t="shared" si="2"/>
        <v/>
      </c>
      <c r="H19" s="4" t="str">
        <f t="shared" si="4"/>
        <v/>
      </c>
      <c r="I19" s="4" t="str">
        <f t="shared" si="5"/>
        <v/>
      </c>
    </row>
    <row r="20" spans="2:9">
      <c r="B20" s="4"/>
      <c r="D20" s="4" t="str">
        <f t="shared" si="0"/>
        <v/>
      </c>
      <c r="E20" s="4"/>
      <c r="F20" s="4" t="str">
        <f t="shared" si="1"/>
        <v/>
      </c>
      <c r="G20" s="5" t="str">
        <f t="shared" si="2"/>
        <v/>
      </c>
      <c r="H20" s="4" t="str">
        <f t="shared" si="4"/>
        <v/>
      </c>
      <c r="I20" s="4" t="str">
        <f t="shared" si="5"/>
        <v/>
      </c>
    </row>
    <row r="21" spans="2:9">
      <c r="B21" s="4"/>
      <c r="D21" s="4" t="str">
        <f t="shared" si="0"/>
        <v/>
      </c>
      <c r="E21" s="4"/>
      <c r="F21" s="4" t="str">
        <f t="shared" si="1"/>
        <v/>
      </c>
      <c r="G21" s="5" t="str">
        <f t="shared" si="2"/>
        <v/>
      </c>
      <c r="H21" s="4" t="str">
        <f t="shared" si="4"/>
        <v/>
      </c>
      <c r="I21" s="4" t="str">
        <f t="shared" si="5"/>
        <v/>
      </c>
    </row>
    <row r="22" spans="2:9">
      <c r="B22" s="4"/>
      <c r="D22" s="4" t="str">
        <f t="shared" si="0"/>
        <v/>
      </c>
      <c r="E22" s="4"/>
      <c r="F22" s="4" t="str">
        <f t="shared" si="1"/>
        <v/>
      </c>
      <c r="G22" s="5" t="str">
        <f t="shared" si="2"/>
        <v/>
      </c>
      <c r="H22" s="4" t="str">
        <f t="shared" si="4"/>
        <v/>
      </c>
      <c r="I22" s="4" t="str">
        <f t="shared" si="5"/>
        <v/>
      </c>
    </row>
    <row r="23" spans="2:9">
      <c r="B23" s="4"/>
      <c r="D23" s="4" t="str">
        <f t="shared" si="0"/>
        <v/>
      </c>
      <c r="E23" s="4"/>
      <c r="F23" s="4" t="str">
        <f t="shared" si="1"/>
        <v/>
      </c>
      <c r="G23" s="5" t="str">
        <f t="shared" si="2"/>
        <v/>
      </c>
      <c r="H23" s="4" t="str">
        <f t="shared" si="4"/>
        <v/>
      </c>
      <c r="I23" s="4" t="str">
        <f t="shared" si="5"/>
        <v/>
      </c>
    </row>
    <row r="24" spans="2:9">
      <c r="B24" s="4"/>
      <c r="D24" s="4" t="str">
        <f t="shared" si="0"/>
        <v/>
      </c>
      <c r="E24" s="4"/>
      <c r="F24" s="4" t="str">
        <f t="shared" si="1"/>
        <v/>
      </c>
      <c r="G24" s="5" t="str">
        <f t="shared" si="2"/>
        <v/>
      </c>
      <c r="H24" s="4" t="str">
        <f t="shared" si="4"/>
        <v/>
      </c>
      <c r="I24" s="4" t="str">
        <f t="shared" si="5"/>
        <v/>
      </c>
    </row>
    <row r="25" spans="2:9">
      <c r="B25" s="4"/>
      <c r="D25" s="4" t="str">
        <f t="shared" si="0"/>
        <v/>
      </c>
      <c r="E25" s="4"/>
      <c r="F25" s="4" t="str">
        <f t="shared" si="1"/>
        <v/>
      </c>
      <c r="G25" s="5" t="str">
        <f t="shared" si="2"/>
        <v/>
      </c>
      <c r="H25" s="4" t="str">
        <f t="shared" si="4"/>
        <v/>
      </c>
      <c r="I25" s="4" t="str">
        <f t="shared" si="5"/>
        <v/>
      </c>
    </row>
    <row r="26" spans="2:9">
      <c r="B26" s="4"/>
      <c r="D26" s="4" t="str">
        <f t="shared" si="0"/>
        <v/>
      </c>
      <c r="E26" s="4"/>
      <c r="F26" s="4" t="str">
        <f t="shared" si="1"/>
        <v/>
      </c>
      <c r="G26" s="5" t="str">
        <f t="shared" si="2"/>
        <v/>
      </c>
      <c r="H26" s="4" t="str">
        <f t="shared" si="4"/>
        <v/>
      </c>
      <c r="I26" s="4" t="str">
        <f t="shared" si="5"/>
        <v/>
      </c>
    </row>
    <row r="27" spans="2:9">
      <c r="B27" s="4"/>
      <c r="D27" s="4" t="str">
        <f t="shared" si="0"/>
        <v/>
      </c>
      <c r="E27" s="4"/>
      <c r="F27" s="4" t="str">
        <f t="shared" si="1"/>
        <v/>
      </c>
      <c r="G27" s="5" t="str">
        <f t="shared" si="2"/>
        <v/>
      </c>
      <c r="H27" s="4" t="str">
        <f t="shared" si="4"/>
        <v/>
      </c>
      <c r="I27" s="4" t="str">
        <f t="shared" si="5"/>
        <v/>
      </c>
    </row>
    <row r="28" spans="2:9">
      <c r="B28" s="4"/>
      <c r="D28" s="4" t="str">
        <f t="shared" si="0"/>
        <v/>
      </c>
      <c r="E28" s="4"/>
      <c r="F28" s="4" t="str">
        <f t="shared" si="1"/>
        <v/>
      </c>
      <c r="G28" s="5" t="str">
        <f t="shared" si="2"/>
        <v/>
      </c>
      <c r="H28" s="4" t="str">
        <f t="shared" si="4"/>
        <v/>
      </c>
      <c r="I28" s="4" t="str">
        <f t="shared" si="5"/>
        <v/>
      </c>
    </row>
    <row r="29" spans="2:9">
      <c r="B29" s="4"/>
      <c r="D29" s="4" t="str">
        <f t="shared" si="0"/>
        <v/>
      </c>
      <c r="E29" s="4"/>
      <c r="F29" s="4" t="str">
        <f t="shared" si="1"/>
        <v/>
      </c>
      <c r="G29" s="5" t="str">
        <f t="shared" si="2"/>
        <v/>
      </c>
      <c r="H29" s="4" t="str">
        <f t="shared" si="4"/>
        <v/>
      </c>
      <c r="I29" s="4" t="str">
        <f t="shared" si="5"/>
        <v/>
      </c>
    </row>
    <row r="30" spans="2:9">
      <c r="B30" s="4"/>
      <c r="D30" s="4" t="str">
        <f t="shared" si="0"/>
        <v/>
      </c>
      <c r="E30" s="4"/>
      <c r="F30" s="4" t="str">
        <f t="shared" si="1"/>
        <v/>
      </c>
      <c r="G30" s="5" t="str">
        <f t="shared" si="2"/>
        <v/>
      </c>
      <c r="H30" s="4" t="str">
        <f t="shared" si="4"/>
        <v/>
      </c>
      <c r="I30" s="4" t="str">
        <f t="shared" si="5"/>
        <v/>
      </c>
    </row>
    <row r="31" spans="2:9">
      <c r="B31" s="4"/>
      <c r="D31" s="4" t="str">
        <f t="shared" si="0"/>
        <v/>
      </c>
      <c r="E31" s="4"/>
      <c r="F31" s="4" t="str">
        <f t="shared" si="1"/>
        <v/>
      </c>
      <c r="G31" s="5" t="str">
        <f t="shared" si="2"/>
        <v/>
      </c>
      <c r="H31" s="4" t="str">
        <f t="shared" si="4"/>
        <v/>
      </c>
      <c r="I31" s="4" t="str">
        <f t="shared" si="5"/>
        <v/>
      </c>
    </row>
    <row r="32" spans="2:9">
      <c r="B32" s="4"/>
      <c r="D32" s="4" t="str">
        <f t="shared" si="0"/>
        <v/>
      </c>
      <c r="E32" s="4"/>
      <c r="F32" s="4" t="str">
        <f t="shared" si="1"/>
        <v/>
      </c>
      <c r="G32" s="5" t="str">
        <f t="shared" si="2"/>
        <v/>
      </c>
      <c r="H32" s="4" t="str">
        <f t="shared" si="4"/>
        <v/>
      </c>
      <c r="I32" s="4" t="str">
        <f t="shared" si="5"/>
        <v/>
      </c>
    </row>
    <row r="33" spans="2:9">
      <c r="B33" s="4"/>
      <c r="D33" s="4" t="str">
        <f t="shared" si="0"/>
        <v/>
      </c>
      <c r="E33" s="4"/>
      <c r="F33" s="4" t="str">
        <f t="shared" si="1"/>
        <v/>
      </c>
      <c r="G33" s="5" t="str">
        <f t="shared" si="2"/>
        <v/>
      </c>
      <c r="H33" s="4" t="str">
        <f t="shared" si="4"/>
        <v/>
      </c>
      <c r="I33" s="4" t="str">
        <f t="shared" si="5"/>
        <v/>
      </c>
    </row>
    <row r="34" spans="2:9">
      <c r="B34" s="4"/>
      <c r="D34" s="4" t="str">
        <f t="shared" si="0"/>
        <v/>
      </c>
      <c r="E34" s="4"/>
      <c r="F34" s="4" t="str">
        <f t="shared" si="1"/>
        <v/>
      </c>
      <c r="G34" s="5" t="str">
        <f t="shared" si="2"/>
        <v/>
      </c>
      <c r="H34" s="4" t="str">
        <f t="shared" si="4"/>
        <v/>
      </c>
      <c r="I34" s="4" t="str">
        <f t="shared" si="5"/>
        <v/>
      </c>
    </row>
  </sheetData>
  <mergeCells count="1">
    <mergeCell ref="A1:J1"/>
  </mergeCells>
  <conditionalFormatting sqref="G5:G34">
    <cfRule type="cellIs" priority="1" operator="lessThan">
      <formula>0.3</formula>
    </cfRule>
    <cfRule type="cellIs" priority="2" operator="greaterThanOrEqual">
      <formula>0.7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baseColWidth="10" defaultColWidth="9" defaultRowHeight="14.25"/>
  <cols>
    <col min="1" max="1" width="85" customWidth="1"/>
  </cols>
  <sheetData>
    <row r="1" spans="1:1" ht="18">
      <c r="A1" s="6" t="s">
        <v>14</v>
      </c>
    </row>
    <row r="3" spans="1:1">
      <c r="A3" s="1" t="s">
        <v>15</v>
      </c>
    </row>
    <row r="4" spans="1:1">
      <c r="A4" s="1" t="s">
        <v>16</v>
      </c>
    </row>
    <row r="5" spans="1:1">
      <c r="A5" s="1" t="s">
        <v>17</v>
      </c>
    </row>
    <row r="6" spans="1:1">
      <c r="A6" s="1" t="s">
        <v>18</v>
      </c>
    </row>
    <row r="7" spans="1:1">
      <c r="A7" s="1" t="s">
        <v>19</v>
      </c>
    </row>
    <row r="8" spans="1:1">
      <c r="A8" s="1" t="s">
        <v>20</v>
      </c>
    </row>
    <row r="9" spans="1:1">
      <c r="A9" s="1" t="s">
        <v>21</v>
      </c>
    </row>
    <row r="10" spans="1:1">
      <c r="A10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Matrice tarifaire</vt:lpstr>
      <vt:lpstr>Mode d'emploi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Seri-Khane YOLOU</cp:lastModifiedBy>
  <dcterms:modified xsi:type="dcterms:W3CDTF">2026-04-09T08:29:27Z</dcterms:modified>
</cp:coreProperties>
</file>