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colorstyle+xml" PartName="/xl/charts/colors3.xml"/>
  <Override ContentType="application/vnd.ms-office.chartstyle+xml" PartName="/xl/charts/style1.xml"/>
  <Override ContentType="application/vnd.ms-office.chartstyle+xml" PartName="/xl/charts/style2.xml"/>
  <Override ContentType="application/vnd.ms-office.chartstyle+xml" PartName="/xl/charts/style3.xml"/>
  <Override ContentType="application/vnd.openxmlformats-officedocument.drawing+xml" PartName="/xl/drawings/drawing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8.xml"/>
  <Override ContentType="application/vnd.openxmlformats-officedocument.spreadsheetml.sheetMetadata+xml" PartName="/xl/metadata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pivotCacheRecords+xml" PartName="/xl/pivotCache/pivotCacheRecords1.xml"/>
  <Override ContentType="application/vnd.openxmlformats-officedocument.spreadsheetml.pivotCacheRecords+xml" PartName="/xl/pivotCache/pivotCacheRecords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tagedg2\Downloads\"/>
    </mc:Choice>
  </mc:AlternateContent>
  <xr:revisionPtr revIDLastSave="0" documentId="8_{3A446AF3-C6FB-4D06-870A-466C09F5AD12}" xr6:coauthVersionLast="47" xr6:coauthVersionMax="47" xr10:uidLastSave="{00000000-0000-0000-0000-000000000000}"/>
  <bookViews>
    <workbookView xWindow="-120" yWindow="-120" windowWidth="29040" windowHeight="15840" firstSheet="6" activeTab="8" xr2:uid="{E44DBABD-987D-42A9-B84F-035B1BD3C3F0}"/>
  </bookViews>
  <sheets>
    <sheet name="Depenses restau 2025" sheetId="1" r:id="rId1"/>
    <sheet name="Depenses,service,RE" sheetId="4" r:id="rId2"/>
    <sheet name="DEP ALIM" sheetId="5" r:id="rId3"/>
    <sheet name="DEP ALIM MODIF" sheetId="6" r:id="rId4"/>
    <sheet name="DEP ALIM TCD" sheetId="7" r:id="rId5"/>
    <sheet name="CONSO ELEC" sheetId="9" r:id="rId6"/>
    <sheet name="CONSO GAZ" sheetId="10" r:id="rId7"/>
    <sheet name="Conso eau" sheetId="11" r:id="rId8"/>
    <sheet name="CALC DEP(4)" sheetId="8" r:id="rId9"/>
    <sheet name="syntheses charges" sheetId="12" r:id="rId10"/>
    <sheet name="tcd" sheetId="16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2" hidden="1">'DEP ALIM'!$A$1:$BQ$360</definedName>
    <definedName name="_xlnm._FilterDatabase" localSheetId="3" hidden="1">'DEP ALIM MODIF'!$A$1:$AQ$1036127</definedName>
    <definedName name="_xlnm._FilterDatabase" localSheetId="0" hidden="1">'Depenses restau 2025'!$A$1:$Y$88</definedName>
    <definedName name="Data">'DEP ALIM MODIF'!$A$1:$AQ$347</definedName>
  </definedNames>
  <calcPr calcId="191029" refMode="R1C1"/>
  <pivotCaches>
    <pivotCache cacheId="0" r:id="rId20"/>
    <pivotCache cacheId="1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2" l="1"/>
  <c r="Q5" i="16"/>
  <c r="O40" i="12"/>
  <c r="N39" i="12"/>
  <c r="O39" i="12" s="1"/>
  <c r="L39" i="12"/>
  <c r="N38" i="12"/>
  <c r="L38" i="12"/>
  <c r="O38" i="12" s="1"/>
  <c r="N37" i="12"/>
  <c r="O37" i="12" s="1"/>
  <c r="L37" i="12"/>
  <c r="N36" i="12"/>
  <c r="L36" i="12"/>
  <c r="O36" i="12" s="1"/>
  <c r="N35" i="12"/>
  <c r="O35" i="12" s="1"/>
  <c r="L35" i="12"/>
  <c r="N34" i="12"/>
  <c r="L34" i="12"/>
  <c r="O34" i="12" s="1"/>
  <c r="N33" i="12"/>
  <c r="O33" i="12" s="1"/>
  <c r="L33" i="12"/>
  <c r="N32" i="12"/>
  <c r="L32" i="12"/>
  <c r="O32" i="12" s="1"/>
  <c r="N31" i="12"/>
  <c r="O31" i="12" s="1"/>
  <c r="L31" i="12"/>
  <c r="N30" i="12"/>
  <c r="L30" i="12"/>
  <c r="O30" i="12" s="1"/>
  <c r="D42" i="12"/>
  <c r="E12" i="16"/>
  <c r="D12" i="16"/>
  <c r="B12" i="16"/>
  <c r="G11" i="16"/>
  <c r="F11" i="16"/>
  <c r="E11" i="16"/>
  <c r="D11" i="16"/>
  <c r="B11" i="16"/>
  <c r="D10" i="16"/>
  <c r="C10" i="16"/>
  <c r="B10" i="16"/>
  <c r="E9" i="16"/>
  <c r="D9" i="16"/>
  <c r="G9" i="12"/>
  <c r="E7" i="16"/>
  <c r="B9" i="16"/>
  <c r="G8" i="16"/>
  <c r="E8" i="16"/>
  <c r="D8" i="16"/>
  <c r="B8" i="16"/>
  <c r="D7" i="16"/>
  <c r="B7" i="16"/>
  <c r="G6" i="16"/>
  <c r="E6" i="16"/>
  <c r="E5" i="16"/>
  <c r="D5" i="16"/>
  <c r="B5" i="16"/>
  <c r="D41" i="12"/>
  <c r="J23" i="12"/>
  <c r="I26" i="8"/>
  <c r="I25" i="8"/>
  <c r="M35" i="8"/>
  <c r="M36" i="8" s="1"/>
  <c r="E13" i="16" l="1"/>
  <c r="O43" i="8"/>
  <c r="H27" i="8"/>
  <c r="K53" i="8"/>
  <c r="K54" i="8" s="1"/>
  <c r="O45" i="8" s="1"/>
  <c r="F121" i="8"/>
  <c r="F122" i="8" s="1"/>
  <c r="H109" i="8" s="1"/>
  <c r="F119" i="8"/>
  <c r="F120" i="8" s="1"/>
  <c r="L45" i="8" l="1"/>
  <c r="F111" i="8"/>
  <c r="M47" i="8" l="1"/>
  <c r="H34" i="8"/>
  <c r="F53" i="8"/>
  <c r="F54" i="8" s="1"/>
  <c r="K45" i="8" s="1"/>
  <c r="F117" i="8"/>
  <c r="F118" i="8" s="1"/>
  <c r="G109" i="8" s="1"/>
  <c r="H50" i="8"/>
  <c r="H51" i="8" s="1"/>
  <c r="H116" i="8" s="1"/>
  <c r="G110" i="8" s="1"/>
  <c r="G35" i="8"/>
  <c r="G36" i="8" s="1"/>
  <c r="G111" i="8" l="1"/>
  <c r="G27" i="8"/>
  <c r="I27" i="8" s="1"/>
  <c r="H52" i="8"/>
  <c r="K43" i="8" s="1"/>
  <c r="K47" i="8" s="1"/>
  <c r="F112" i="8"/>
  <c r="F80" i="8"/>
  <c r="F81" i="8" s="1"/>
  <c r="F75" i="8" s="1"/>
  <c r="F77" i="8" a="1"/>
  <c r="F77" i="8" s="1"/>
  <c r="L43" i="8"/>
  <c r="G48" i="8"/>
  <c r="G49" i="8" s="1"/>
  <c r="L42" i="8" s="1"/>
  <c r="F76" i="8" l="1"/>
  <c r="H6" i="12" s="1"/>
  <c r="F6" i="16" s="1"/>
  <c r="C41" i="12"/>
  <c r="J39" i="12"/>
  <c r="J38" i="12"/>
  <c r="J37" i="12"/>
  <c r="J36" i="12"/>
  <c r="J35" i="12"/>
  <c r="J34" i="12"/>
  <c r="J33" i="12"/>
  <c r="J32" i="12"/>
  <c r="J31" i="12"/>
  <c r="J30" i="12"/>
  <c r="H39" i="12"/>
  <c r="H38" i="12"/>
  <c r="H37" i="12"/>
  <c r="H36" i="12"/>
  <c r="H35" i="12"/>
  <c r="H34" i="12"/>
  <c r="H33" i="12"/>
  <c r="H32" i="12"/>
  <c r="H31" i="12"/>
  <c r="H30" i="12"/>
  <c r="F39" i="12"/>
  <c r="F38" i="12"/>
  <c r="F37" i="12"/>
  <c r="F36" i="12"/>
  <c r="F35" i="12"/>
  <c r="F34" i="12"/>
  <c r="F33" i="12"/>
  <c r="F32" i="12"/>
  <c r="F31" i="12"/>
  <c r="F30" i="12"/>
  <c r="D24" i="12"/>
  <c r="D7" i="12"/>
  <c r="D113" i="8"/>
  <c r="F10" i="12" s="1"/>
  <c r="E113" i="8"/>
  <c r="F5" i="12" s="1"/>
  <c r="C112" i="8"/>
  <c r="I112" i="8" s="1"/>
  <c r="C111" i="8"/>
  <c r="I111" i="8" s="1"/>
  <c r="C109" i="8"/>
  <c r="E36" i="8"/>
  <c r="H110" i="8" s="1"/>
  <c r="E61" i="8"/>
  <c r="D61" i="8"/>
  <c r="G10" i="12" s="1"/>
  <c r="E4" i="12"/>
  <c r="I33" i="8"/>
  <c r="I32" i="8"/>
  <c r="I31" i="8"/>
  <c r="I30" i="8"/>
  <c r="L75" i="8"/>
  <c r="F94" i="8"/>
  <c r="H46" i="8"/>
  <c r="C75" i="8"/>
  <c r="C76" i="8" s="1"/>
  <c r="H20" i="12" s="1"/>
  <c r="H42" i="8"/>
  <c r="N1036131" i="6"/>
  <c r="C59" i="8"/>
  <c r="F59" i="8" s="1"/>
  <c r="F61" i="8" s="1"/>
  <c r="N1036130" i="6"/>
  <c r="C46" i="8"/>
  <c r="C42" i="8"/>
  <c r="H45" i="8"/>
  <c r="C43" i="8"/>
  <c r="H44" i="8"/>
  <c r="E28" i="8"/>
  <c r="E27" i="8"/>
  <c r="E26" i="8"/>
  <c r="E34" i="8" s="1"/>
  <c r="D5" i="12" s="1"/>
  <c r="D29" i="8"/>
  <c r="I29" i="8" s="1"/>
  <c r="D27" i="8"/>
  <c r="D28" i="8"/>
  <c r="C26" i="8"/>
  <c r="C27" i="8"/>
  <c r="C28" i="8"/>
  <c r="C25" i="8"/>
  <c r="S44" i="11"/>
  <c r="I44" i="11"/>
  <c r="F27" i="8" l="1"/>
  <c r="C34" i="8"/>
  <c r="D4" i="12" s="1"/>
  <c r="J4" i="12" s="1"/>
  <c r="D34" i="8"/>
  <c r="D20" i="12" s="1"/>
  <c r="C113" i="8"/>
  <c r="F20" i="12" s="1"/>
  <c r="H113" i="8"/>
  <c r="F7" i="12" s="1"/>
  <c r="I110" i="8"/>
  <c r="C61" i="8"/>
  <c r="G20" i="12" s="1"/>
  <c r="G22" i="12" s="1"/>
  <c r="H47" i="8"/>
  <c r="E5" i="12" s="1"/>
  <c r="C5" i="16" s="1"/>
  <c r="C47" i="8"/>
  <c r="E20" i="12" s="1"/>
  <c r="C11" i="16" s="1"/>
  <c r="H11" i="16" s="1"/>
  <c r="HL25" i="10"/>
  <c r="HD25" i="10"/>
  <c r="GZ25" i="10"/>
  <c r="GV25" i="10"/>
  <c r="GN25" i="10"/>
  <c r="GJ25" i="10"/>
  <c r="GF25" i="10"/>
  <c r="GB25" i="10"/>
  <c r="FX25" i="10"/>
  <c r="FT25" i="10"/>
  <c r="FP25" i="10"/>
  <c r="FL25" i="10"/>
  <c r="FH25" i="10"/>
  <c r="FD25" i="10"/>
  <c r="EZ25" i="10"/>
  <c r="EV25" i="10"/>
  <c r="ER25" i="10"/>
  <c r="EN25" i="10"/>
  <c r="EF25" i="10"/>
  <c r="EB25" i="10"/>
  <c r="DX25" i="10"/>
  <c r="C26" i="10" s="1"/>
  <c r="DT25" i="10"/>
  <c r="DP25" i="10"/>
  <c r="DL25" i="10"/>
  <c r="DH25" i="10"/>
  <c r="DD25" i="10"/>
  <c r="CZ25" i="10"/>
  <c r="CV25" i="10"/>
  <c r="CR25" i="10"/>
  <c r="CN25" i="10"/>
  <c r="CJ25" i="10"/>
  <c r="CF25" i="10"/>
  <c r="CB25" i="10"/>
  <c r="BX25" i="10"/>
  <c r="BT25" i="10"/>
  <c r="BP25" i="10"/>
  <c r="BL25" i="10"/>
  <c r="BH25" i="10"/>
  <c r="BD25" i="10"/>
  <c r="AZ25" i="10"/>
  <c r="AV25" i="10"/>
  <c r="AR25" i="10"/>
  <c r="AN25" i="10"/>
  <c r="AJ25" i="10"/>
  <c r="AF25" i="10"/>
  <c r="AB25" i="10"/>
  <c r="X25" i="10"/>
  <c r="T25" i="10"/>
  <c r="P25" i="10"/>
  <c r="L25" i="10"/>
  <c r="H25" i="10"/>
  <c r="HN22" i="10"/>
  <c r="HU22" i="10" s="1"/>
  <c r="HH22" i="10"/>
  <c r="HH25" i="10" s="1"/>
  <c r="HG22" i="10"/>
  <c r="HU21" i="10"/>
  <c r="HS21" i="10"/>
  <c r="HN21" i="10"/>
  <c r="HU19" i="10"/>
  <c r="HN19" i="10"/>
  <c r="GF19" i="10"/>
  <c r="HS19" i="10" s="1"/>
  <c r="HS18" i="10"/>
  <c r="HN18" i="10"/>
  <c r="HU18" i="10" s="1"/>
  <c r="HG18" i="10"/>
  <c r="GQ18" i="10"/>
  <c r="FW18" i="10"/>
  <c r="EA18" i="10"/>
  <c r="HS17" i="10"/>
  <c r="HN17" i="10"/>
  <c r="HU17" i="10" s="1"/>
  <c r="HS16" i="10"/>
  <c r="HG16" i="10"/>
  <c r="GQ16" i="10"/>
  <c r="HN16" i="10" s="1"/>
  <c r="HU16" i="10" s="1"/>
  <c r="FW16" i="10"/>
  <c r="HS15" i="10"/>
  <c r="GR15" i="10"/>
  <c r="GR25" i="10" s="1"/>
  <c r="FG15" i="10"/>
  <c r="HN15" i="10" s="1"/>
  <c r="HU15" i="10" s="1"/>
  <c r="EQ15" i="10"/>
  <c r="HS14" i="10"/>
  <c r="HG14" i="10"/>
  <c r="GQ14" i="10"/>
  <c r="FW14" i="10"/>
  <c r="FG14" i="10"/>
  <c r="EQ14" i="10"/>
  <c r="EA14" i="10"/>
  <c r="HN14" i="10" s="1"/>
  <c r="HU14" i="10" s="1"/>
  <c r="HS13" i="10"/>
  <c r="HG13" i="10"/>
  <c r="GQ13" i="10"/>
  <c r="FW13" i="10"/>
  <c r="FG13" i="10"/>
  <c r="EJ13" i="10"/>
  <c r="EJ25" i="10" s="1"/>
  <c r="EI13" i="10"/>
  <c r="EA13" i="10"/>
  <c r="HN13" i="10" s="1"/>
  <c r="HU13" i="10" s="1"/>
  <c r="HU12" i="10"/>
  <c r="HS12" i="10"/>
  <c r="HN12" i="10"/>
  <c r="HU11" i="10"/>
  <c r="HS11" i="10"/>
  <c r="HN11" i="10"/>
  <c r="HU10" i="10"/>
  <c r="HS10" i="10"/>
  <c r="HN10" i="10"/>
  <c r="HN25" i="10" l="1"/>
  <c r="HS22" i="10"/>
  <c r="HS25" i="10" s="1"/>
  <c r="G77" i="9" l="1"/>
  <c r="G81" i="9" s="1"/>
  <c r="G75" i="9"/>
  <c r="EA73" i="9"/>
  <c r="DW73" i="9"/>
  <c r="DS73" i="9"/>
  <c r="DO73" i="9"/>
  <c r="DK73" i="9"/>
  <c r="DG73" i="9"/>
  <c r="DC73" i="9"/>
  <c r="CY73" i="9"/>
  <c r="CU73" i="9"/>
  <c r="CQ73" i="9"/>
  <c r="CM73" i="9"/>
  <c r="CI73" i="9"/>
  <c r="CE73" i="9"/>
  <c r="CA73" i="9"/>
  <c r="BW73" i="9"/>
  <c r="BS73" i="9"/>
  <c r="BO73" i="9"/>
  <c r="BK73" i="9"/>
  <c r="BG73" i="9"/>
  <c r="BC73" i="9"/>
  <c r="AY73" i="9"/>
  <c r="AU73" i="9"/>
  <c r="AQ73" i="9"/>
  <c r="AM73" i="9"/>
  <c r="AI73" i="9"/>
  <c r="AE73" i="9"/>
  <c r="AA73" i="9"/>
  <c r="W73" i="9"/>
  <c r="S73" i="9"/>
  <c r="O73" i="9"/>
  <c r="K73" i="9"/>
  <c r="D76" i="8" l="1"/>
  <c r="H8" i="12" s="1"/>
  <c r="G113" i="8"/>
  <c r="F8" i="12" s="1"/>
  <c r="F109" i="8"/>
  <c r="F79" i="8"/>
  <c r="D93" i="8"/>
  <c r="K93" i="8" s="1"/>
  <c r="I109" i="8" l="1"/>
  <c r="I113" i="8" s="1"/>
  <c r="F113" i="8"/>
  <c r="F6" i="12" s="1"/>
  <c r="G8" i="8"/>
  <c r="G9" i="8"/>
  <c r="G10" i="8"/>
  <c r="G11" i="8"/>
  <c r="G12" i="8"/>
  <c r="G13" i="8"/>
  <c r="G14" i="8"/>
  <c r="G15" i="8"/>
  <c r="G16" i="8"/>
  <c r="G7" i="8"/>
  <c r="J95" i="8"/>
  <c r="F95" i="8"/>
  <c r="G94" i="8"/>
  <c r="I95" i="8"/>
  <c r="D94" i="8"/>
  <c r="H92" i="8"/>
  <c r="G92" i="8"/>
  <c r="F92" i="8"/>
  <c r="F96" i="8" s="1"/>
  <c r="I19" i="12" s="1"/>
  <c r="E92" i="8"/>
  <c r="E96" i="8" s="1"/>
  <c r="D95" i="8"/>
  <c r="D92" i="8"/>
  <c r="J75" i="8"/>
  <c r="J76" i="8" s="1"/>
  <c r="H5" i="12" s="1"/>
  <c r="F5" i="16" s="1"/>
  <c r="I75" i="8"/>
  <c r="I76" i="8" s="1"/>
  <c r="H11" i="12" s="1"/>
  <c r="J11" i="12" s="1"/>
  <c r="H75" i="8"/>
  <c r="P34" i="8"/>
  <c r="K75" i="8"/>
  <c r="K76" i="8" s="1"/>
  <c r="H21" i="12" s="1"/>
  <c r="F12" i="16" s="1"/>
  <c r="G76" i="8"/>
  <c r="H9" i="12" s="1"/>
  <c r="N46" i="8"/>
  <c r="J46" i="8"/>
  <c r="I46" i="8"/>
  <c r="G46" i="8"/>
  <c r="E46" i="8"/>
  <c r="D46" i="8"/>
  <c r="G45" i="8"/>
  <c r="E45" i="8"/>
  <c r="N44" i="8"/>
  <c r="F22" i="12" l="1"/>
  <c r="F25" i="12" s="1"/>
  <c r="Q4" i="16" s="1"/>
  <c r="D6" i="16"/>
  <c r="D13" i="16" s="1"/>
  <c r="J19" i="12"/>
  <c r="G10" i="16"/>
  <c r="H10" i="16" s="1"/>
  <c r="N75" i="8"/>
  <c r="N76" i="8" s="1"/>
  <c r="G96" i="8"/>
  <c r="I5" i="12" s="1"/>
  <c r="K94" i="8"/>
  <c r="K92" i="8"/>
  <c r="K95" i="8"/>
  <c r="N47" i="8"/>
  <c r="E21" i="12" s="1"/>
  <c r="C12" i="16" s="1"/>
  <c r="P45" i="8"/>
  <c r="P46" i="8"/>
  <c r="G17" i="8"/>
  <c r="H76" i="8"/>
  <c r="H10" i="12" s="1"/>
  <c r="F7" i="16" s="1"/>
  <c r="J44" i="8"/>
  <c r="J47" i="8" s="1"/>
  <c r="E14" i="12" s="1"/>
  <c r="I44" i="8"/>
  <c r="I47" i="8" s="1"/>
  <c r="E15" i="12" s="1"/>
  <c r="C9" i="16" s="1"/>
  <c r="H9" i="16" s="1"/>
  <c r="D44" i="8"/>
  <c r="D47" i="8" s="1"/>
  <c r="E9" i="12" s="1"/>
  <c r="G44" i="8"/>
  <c r="G47" i="8" s="1"/>
  <c r="E13" i="12" s="1"/>
  <c r="F44" i="8"/>
  <c r="F47" i="8" s="1"/>
  <c r="E12" i="12" s="1"/>
  <c r="J12" i="12" s="1"/>
  <c r="E44" i="8"/>
  <c r="E47" i="8" s="1"/>
  <c r="E10" i="12" s="1"/>
  <c r="D96" i="8"/>
  <c r="I15" i="12" s="1"/>
  <c r="H96" i="8"/>
  <c r="I9" i="12" s="1"/>
  <c r="I96" i="8"/>
  <c r="I10" i="12" s="1"/>
  <c r="J96" i="8"/>
  <c r="I21" i="12" s="1"/>
  <c r="G12" i="16" s="1"/>
  <c r="C96" i="8"/>
  <c r="I20" i="12" s="1"/>
  <c r="J20" i="12" s="1"/>
  <c r="L76" i="8"/>
  <c r="H15" i="12" s="1"/>
  <c r="M76" i="8"/>
  <c r="H14" i="12" s="1"/>
  <c r="F8" i="16" s="1"/>
  <c r="E76" i="8"/>
  <c r="H7" i="12" s="1"/>
  <c r="J7" i="12" s="1"/>
  <c r="F13" i="16" l="1"/>
  <c r="J13" i="12"/>
  <c r="C8" i="16"/>
  <c r="H8" i="16" s="1"/>
  <c r="J5" i="12"/>
  <c r="G5" i="16"/>
  <c r="G7" i="16"/>
  <c r="H12" i="16"/>
  <c r="C7" i="16"/>
  <c r="H7" i="16" s="1"/>
  <c r="J9" i="12"/>
  <c r="J21" i="12"/>
  <c r="J15" i="12"/>
  <c r="H22" i="12"/>
  <c r="H25" i="12" s="1"/>
  <c r="Q6" i="16" s="1"/>
  <c r="J14" i="12"/>
  <c r="I22" i="12"/>
  <c r="I25" i="12" s="1"/>
  <c r="Q7" i="16" s="1"/>
  <c r="J10" i="12"/>
  <c r="K96" i="8"/>
  <c r="P44" i="8"/>
  <c r="G13" i="16" l="1"/>
  <c r="H5" i="16"/>
  <c r="L47" i="8"/>
  <c r="E6" i="12" s="1"/>
  <c r="P42" i="8"/>
  <c r="G28" i="8"/>
  <c r="I28" i="8" l="1"/>
  <c r="I34" i="8" s="1"/>
  <c r="G34" i="8"/>
  <c r="D8" i="12" s="1"/>
  <c r="B6" i="16" s="1"/>
  <c r="P43" i="8"/>
  <c r="E8" i="12"/>
  <c r="E22" i="12" s="1"/>
  <c r="E25" i="12" s="1"/>
  <c r="Q3" i="16" s="1"/>
  <c r="F34" i="8"/>
  <c r="D6" i="12" s="1"/>
  <c r="J6" i="12" s="1"/>
  <c r="C6" i="16" l="1"/>
  <c r="C13" i="16" s="1"/>
  <c r="B13" i="16"/>
  <c r="J8" i="12"/>
  <c r="J22" i="12" s="1"/>
  <c r="D22" i="12"/>
  <c r="D25" i="12" s="1"/>
  <c r="P47" i="8"/>
  <c r="J149" i="8"/>
  <c r="K149" i="8"/>
  <c r="H13" i="16" l="1"/>
  <c r="H6" i="16"/>
  <c r="J25" i="12"/>
  <c r="Q2" i="16"/>
  <c r="Q34" i="8"/>
  <c r="R34" i="8"/>
  <c r="F8" i="8"/>
  <c r="F9" i="8"/>
  <c r="F10" i="8"/>
  <c r="F11" i="8"/>
  <c r="F12" i="8"/>
  <c r="F13" i="8"/>
  <c r="F14" i="8"/>
  <c r="F15" i="8"/>
  <c r="F16" i="8"/>
  <c r="F7" i="8"/>
  <c r="D17" i="8"/>
  <c r="J25" i="8" s="1"/>
  <c r="H13" i="8" l="1"/>
  <c r="I13" i="8"/>
  <c r="H7" i="8"/>
  <c r="I7" i="8"/>
  <c r="H11" i="8"/>
  <c r="I11" i="8"/>
  <c r="I16" i="8"/>
  <c r="H16" i="8"/>
  <c r="I10" i="8"/>
  <c r="H10" i="8"/>
  <c r="H15" i="8"/>
  <c r="I15" i="8"/>
  <c r="H9" i="8"/>
  <c r="I9" i="8"/>
  <c r="I14" i="8"/>
  <c r="H14" i="8"/>
  <c r="I8" i="8"/>
  <c r="H8" i="8"/>
  <c r="H12" i="8"/>
  <c r="I12" i="8"/>
  <c r="F17" i="8"/>
  <c r="I17" i="8" l="1"/>
  <c r="H17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<sst xmlns="http://schemas.openxmlformats.org/spreadsheetml/2006/main" count="17699" uniqueCount="2090">
  <si>
    <t>Numéro</t>
  </si>
  <si>
    <t>N° bordereau</t>
  </si>
  <si>
    <t>N° mandat/titre</t>
  </si>
  <si>
    <t>Libellé</t>
  </si>
  <si>
    <t>Saisie le</t>
  </si>
  <si>
    <t>Montant HT</t>
  </si>
  <si>
    <t>Montant TVA</t>
  </si>
  <si>
    <t>Montant TTC</t>
  </si>
  <si>
    <t>Tiers (Code)</t>
  </si>
  <si>
    <t>Tiers (Nom)</t>
  </si>
  <si>
    <t>Engagement</t>
  </si>
  <si>
    <t>Marché</t>
  </si>
  <si>
    <t>Lot</t>
  </si>
  <si>
    <t>Contrat</t>
  </si>
  <si>
    <t>Gestionnaire</t>
  </si>
  <si>
    <t>Fonction</t>
  </si>
  <si>
    <t>Nature</t>
  </si>
  <si>
    <t>Opération</t>
  </si>
  <si>
    <t>Service</t>
  </si>
  <si>
    <t>Antenne</t>
  </si>
  <si>
    <t>Code
subvention</t>
  </si>
  <si>
    <t>Libellé
subvention</t>
  </si>
  <si>
    <t>Millésime</t>
  </si>
  <si>
    <t>Réf. dossier</t>
  </si>
  <si>
    <t>Enveloppe</t>
  </si>
  <si>
    <t>FAC. 9100490723 DU 16/01/2025                               RS24011001R - RATT RESTAURATION TOUS SITES NOVEMBRE ET DECEM</t>
  </si>
  <si>
    <t>8930</t>
  </si>
  <si>
    <t>SCOLAREST COMPASS GROUP FRANCE</t>
  </si>
  <si>
    <t>RS24011001R</t>
  </si>
  <si>
    <t>23003PA</t>
  </si>
  <si>
    <t>001</t>
  </si>
  <si>
    <t xml:space="preserve"> </t>
  </si>
  <si>
    <t>281</t>
  </si>
  <si>
    <t>6042</t>
  </si>
  <si>
    <t>2-RE</t>
  </si>
  <si>
    <t>FAC. 9100490713 DU 16/01/2025                               RS24011001R - RATT RESTAURATION TOUS SITES NOVEMBRE ET DECEM</t>
  </si>
  <si>
    <t>RATTACHE  FAC. 9100488685 DU 07/01/2025                     RS24011001R - RATT RESTAURATION TOUS SITES NOVEMBRE ET DECEM</t>
  </si>
  <si>
    <t>RATTACHE  FAC. 9100488685 DU 07/01/2025                     RS25002801 - RESTAURATION SCOLAIRE 1ER TRIMESTREREPAS POUR L</t>
  </si>
  <si>
    <t>RS25002801</t>
  </si>
  <si>
    <t xml:space="preserve">FAC. 9100503210 DU 31/01/2025 Restauration scolaire         Période 01.01.2025 au 31.01.2025                            </t>
  </si>
  <si>
    <t xml:space="preserve">FAC. 9100503291 DU 31/01/2025                               REPAS LM JANVIER                                            </t>
  </si>
  <si>
    <t>RS25003001</t>
  </si>
  <si>
    <t>331</t>
  </si>
  <si>
    <t>RESTMICH</t>
  </si>
  <si>
    <t xml:space="preserve">FAC. 9100503218 DU 31/01/2025                               REPAS RC JANVIER                                            </t>
  </si>
  <si>
    <t>RS25003201</t>
  </si>
  <si>
    <t>020</t>
  </si>
  <si>
    <t>RESTCOMM</t>
  </si>
  <si>
    <t xml:space="preserve">FAC. 9100504971 DU 31/01/2025                               REPAS PP JANVIER                                            </t>
  </si>
  <si>
    <t>RS25002901</t>
  </si>
  <si>
    <t>RESTGAV</t>
  </si>
  <si>
    <t xml:space="preserve">FAC. 9100509029 DU 17/02/2025                               REPAS CA JANVIER                                            </t>
  </si>
  <si>
    <t>RS25003101</t>
  </si>
  <si>
    <t>338</t>
  </si>
  <si>
    <t>RESTCA</t>
  </si>
  <si>
    <t xml:space="preserve">FAC. 9100503227 DU 31/01/2025                               RESTAURATION CRECHE JANVIER                                 </t>
  </si>
  <si>
    <t>ME25000101</t>
  </si>
  <si>
    <t>4221</t>
  </si>
  <si>
    <t>6-MP</t>
  </si>
  <si>
    <t>CRCOLL</t>
  </si>
  <si>
    <t xml:space="preserve">FAC. 9100507827 DU 12/02/2025                               RS25004701 - CARTON DE 250 SACS POUR LE RESTAURANT COMMUNAL </t>
  </si>
  <si>
    <t>RS25004701</t>
  </si>
  <si>
    <t xml:space="preserve">FAC. 9100516880 DU 28/02/2025                                RESTAURATION DES ENFANTS DE LA CRECHE FEVRIER              </t>
  </si>
  <si>
    <t xml:space="preserve">FAC. 9100520585 DU 28/02/2025                               RESTAURATION SCOLAIRE 1ER TRIMESTRE ECOLE FEVRIER           </t>
  </si>
  <si>
    <t xml:space="preserve">FAC. 9100521148 DU 28/02/2025                               RESTAURATION CENTRE DE LOISIRS LOUISE MICHEL FEVRIER        </t>
  </si>
  <si>
    <t xml:space="preserve">FAC. 9100522762 DU 07/03/2025                               REPAS RESTAURANT COMMUNAL 1ER TRIMESTRE FEVRIER             </t>
  </si>
  <si>
    <t xml:space="preserve">FAC. 9100522867 DU 10/03/2025                               RESTAURATION CENTRE DE LOISIRS LE PETIT PRINCE FEVRIER      </t>
  </si>
  <si>
    <t xml:space="preserve">FAC. 9100523011 DU 10/03/2025                               RESTAURATION ESPACE ADOS 1ER TRIMESTRE FEVRIER              </t>
  </si>
  <si>
    <t>FAC. 9100533274 DU 31/03/2025                               RS25002801 - RESTAURATION SCOLAIRE 1ER TRIMESTREREPAS POUR L</t>
  </si>
  <si>
    <t>FAC. 9100533274 DU 31/03/2025                               RS25004801 - COMPLEMENT POUR LA RESTAURATION SCOLAIRE DE MAR</t>
  </si>
  <si>
    <t>RS25004801</t>
  </si>
  <si>
    <t xml:space="preserve">FAC. 9100533274 DU 31/03/2025                               RS25004901 - RESTAURATION SCOLAIRE AVRIL 2025REPAS POUR LES </t>
  </si>
  <si>
    <t>RS25004901</t>
  </si>
  <si>
    <t>FAC. 9100533155 DU 31/03/2025                               RS25003001 - RESTAURATION CENTRE DE LOISIRS LOUISE MICHEL 1E</t>
  </si>
  <si>
    <t xml:space="preserve">FAC. 9100533335 DU 31/03/2025                               RS25002901 - RESTAURATION CENTRE DE LOISIRS LE PETIT PRINCE </t>
  </si>
  <si>
    <t xml:space="preserve">FAC. 9100540729 DU 07/04/2025                               RS25003201 - REPAS RESTAURANT COMMUNAL 1ER TRIMESTRE        </t>
  </si>
  <si>
    <t xml:space="preserve">FAC. 9100540729 DU 07/04/2025                               RS25005201 - REPAS RESTAURANT COMMUNAL AVRIL 2025           </t>
  </si>
  <si>
    <t>RS25005201</t>
  </si>
  <si>
    <t xml:space="preserve">FAC. 9100533352 DU 31/03/2025                               ME25000101 - RESTAURATION DES ENFANTS DE LA CRECHE Repas et </t>
  </si>
  <si>
    <t xml:space="preserve">FAC. 9100551618 DU 30/04/2025                               RS25005201 - REPAS RESTAURANT COMMUNAL AVRIL 2025           </t>
  </si>
  <si>
    <t>FAC. 9100551618 DU 30/04/2025                               RS25006001 - REPAS RESTAURANT COMMUNAL AVRIL 2025 - COMPLEME</t>
  </si>
  <si>
    <t>RS25006001</t>
  </si>
  <si>
    <t>FAC. 9100551632 DU 30/04/2025                               RS25005001 - RESTAURATION ACCUEIL DE LOISIRS PETIT PRINCE AV</t>
  </si>
  <si>
    <t>RS25005001</t>
  </si>
  <si>
    <t>FAC. 9100554578 DU 30/04/2025                               RS25005101 - RESTAURATION ACCUEIL DE LOUISE MICHEL AVRIL 202</t>
  </si>
  <si>
    <t>RS25005101</t>
  </si>
  <si>
    <t xml:space="preserve">FAC. 9100554523 DU 30/04/2025                               RS25004901 - RESTAURATION SCOLAIRE AVRIL 2025REPAS POUR LES </t>
  </si>
  <si>
    <t>FAC. 9100554523 DU 30/04/2025                               RS25006101 - RESTAURATION SCOLAIRE AVRIL 2025 COMPLEMENTREPA</t>
  </si>
  <si>
    <t>RS25006101</t>
  </si>
  <si>
    <t xml:space="preserve">FAC. 9100554533 DU 30/04/2025                               ME25000101 - RESTAURATION DES ENFANTS DE LA CRECHE Repas et </t>
  </si>
  <si>
    <t xml:space="preserve">FACTURE N°9100479000 DU 23/12/2024                                                                                      </t>
  </si>
  <si>
    <t xml:space="preserve">FACTURE N°9100478999 DU 23/12/2024                                                                                      </t>
  </si>
  <si>
    <t xml:space="preserve">FAC. 9100564477 DU 29/05/2025                               ME25000101 - RESTAURATION DES ENFANTS DE LA CRECHE Repas et </t>
  </si>
  <si>
    <t xml:space="preserve">FAC. 9100571391 DU 31/05/2025                               RS25006301 - REPAS RESTAURANT COMMUNAL MAI 2025             </t>
  </si>
  <si>
    <t>RS25006301</t>
  </si>
  <si>
    <t>FAC. 9100571388 DU 31/05/2025                               RS25006201 - RESTAURATION SCOLAIRE MAI 2025REPAS POUR LES EC</t>
  </si>
  <si>
    <t>RS25006201</t>
  </si>
  <si>
    <t>FAC. 9100578104 DU 25/06/2025                               RS25003101 - RESTAURATION ESPACE ADOS 1ER TRIMESTREUNIQUEMEN</t>
  </si>
  <si>
    <t xml:space="preserve">FAC. 9100571404 DU 31/05/2025                               RS25002901 - RESTAURATION CENTRE DE LOISIRS LE PETIT PRINCE </t>
  </si>
  <si>
    <t xml:space="preserve">FAC. 9100585443 DU 30/06/2025                               RS25002901 - RESTAURATION CENTRE DE LOISIRS LE PETIT PRINCE </t>
  </si>
  <si>
    <t>FAC. 9100585443 DU 30/06/2025                               RS25007201 - RESTAURATION ACCUEIL DE LOISIRS PETIT PRINCE JU</t>
  </si>
  <si>
    <t>RS25007201</t>
  </si>
  <si>
    <t xml:space="preserve">FAC. 9100585395 DU 30/06/2025                               ME25000101 - RESTAURATION DES ENFANTS DE LA CRECHE Repas et </t>
  </si>
  <si>
    <t>FAC. 9100585420 DU 30/06/2025                               RS25003001 - RESTAURATION CENTRE DE LOISIRS LOUISE MICHEL 1E</t>
  </si>
  <si>
    <t>FAC. 9100585420 DU 30/06/2025                               RS25005101 - RESTAURATION ACCUEIL DE LOUISE MICHEL AVRIL 202</t>
  </si>
  <si>
    <t>FAC. 9100571401 DU 31/05/2025                               RS25005101 - RESTAURATION ACCUEIL DE LOUISE MICHEL AVRIL 202</t>
  </si>
  <si>
    <t>FAC. 9100571401 DU 31/05/2025                               RS25007101 - RESTAURATION ACCUEIL DE LOUISE MICHEL JUIN 2025</t>
  </si>
  <si>
    <t>RS25007101</t>
  </si>
  <si>
    <t>FAC. 9100571401 DU 31/05/2025                               RS25008201 - RESTAURATION ACCUEIL DE LOUISE MICHEL MERCREDIS</t>
  </si>
  <si>
    <t>RS25008201</t>
  </si>
  <si>
    <t xml:space="preserve">FAC. 9100585311 DU 30/06/2025                               RS25007301 - REPAS RESTAURANT COMMUNAL JUIN 2025            </t>
  </si>
  <si>
    <t>RS25007301</t>
  </si>
  <si>
    <t xml:space="preserve">FAC. 9100585311 DU 30/06/2025                               RS25008401 - REPAS RESTAURANT COMMUNAL JUILLET ET AOUT 2025 </t>
  </si>
  <si>
    <t>RS25008401</t>
  </si>
  <si>
    <t>FAC. 9100585305 DU 30/06/2025                               RS25007001 - RESTAURATION SCOLAIRE JUIN 2025REPAS POUR LES E</t>
  </si>
  <si>
    <t>RS25007001</t>
  </si>
  <si>
    <t>FAC. 9100602113 DU 31/07/2025                               RS25008001 - RESTAURATION SCOLAIRE JUILLET 2025REPAS POUR LE</t>
  </si>
  <si>
    <t>RS25008001</t>
  </si>
  <si>
    <t xml:space="preserve">FAC. 9100602108 DU 31/07/2025                               ME25000101 - RESTAURATION DES ENFANTS DE LA CRECHE Repas et </t>
  </si>
  <si>
    <t xml:space="preserve">FAC. 9100608458 DU 27/08/2025                               RS25008401 - REPAS RESTAURANT COMMUNAL JUILLET ET AOUT 2025 </t>
  </si>
  <si>
    <t xml:space="preserve">FAC. 9100615685 DU 31/08/2025                               ME25000101 - RESTAURATION DES ENFANTS DE LA CRECHE Repas et </t>
  </si>
  <si>
    <t>FAC. 9100616378 DU 04/09/2025                               RS25008101 - RESTAURATION ACCUEIL DE LOISIRS PETIT PRINCE ME</t>
  </si>
  <si>
    <t>RS25008101</t>
  </si>
  <si>
    <t>FAC. 9100616381 DU 04/09/2025                               RS25008301 - RESTAURATION ESPACE ADOS VACANCES SCOLAIRES JUI</t>
  </si>
  <si>
    <t>RS25008301</t>
  </si>
  <si>
    <t xml:space="preserve">FAC. 9100616377 DU 04/09/2025                               RS25008401 - REPAS RESTAURANT COMMUNAL JUILLET ET AOUT 2025 </t>
  </si>
  <si>
    <t>FAC. 9100616379 DU 04/09/2025                               RS25008201 - RESTAURATION ACCUEIL DE LOUISE MICHEL MERCREDIS</t>
  </si>
  <si>
    <t>FAC. 9100617242 DU 09/09/2025                               RS25008101 - RESTAURATION ACCUEIL DE LOISIRS PETIT PRINCE ME</t>
  </si>
  <si>
    <t>FAC. 9100617244 DU 09/09/2025                               RS25008201 - RESTAURATION ACCUEIL DE LOUISE MICHEL MERCREDIS</t>
  </si>
  <si>
    <t>FAC. 9100619450 DU 17/09/2025                               RS25003101 - RESTAURATION ESPACE ADOS 1ER TRIMESTREUNIQUEMEN</t>
  </si>
  <si>
    <t>FAC. 9100619450 DU 17/09/2025                               RS25008301 - RESTAURATION ESPACE ADOS VACANCES SCOLAIRES JUI</t>
  </si>
  <si>
    <t>FAC. 9100619450 DU 17/09/2025                               RS25008901 - RESTAURATION ESPACE ADOS VACANCES SCOLAIRES JUI</t>
  </si>
  <si>
    <t>RS25008901</t>
  </si>
  <si>
    <t>FAC. 9100629206 DU 30/09/2025                               RS25008201 - RESTAURATION ACCUEIL DE LOUISE MICHEL MERCREDIS</t>
  </si>
  <si>
    <t>FAC. 9100629190 DU 30/09/2025                               RS25006101 - RESTAURATION SCOLAIRE AVRIL 2025 COMPLEMENTREPA</t>
  </si>
  <si>
    <t>FAC. 9100629190 DU 30/09/2025                               RS25006201 - RESTAURATION SCOLAIRE MAI 2025REPAS POUR LES EC</t>
  </si>
  <si>
    <t>FAC. 9100629190 DU 30/09/2025                               RS25007001 - RESTAURATION SCOLAIRE JUIN 2025REPAS POUR LES E</t>
  </si>
  <si>
    <t xml:space="preserve">FAC. 9100629190 DU 30/09/2025                               RS25008701 - RESTAURATION SCOLAIRE SEPTEMBRE 2025REPAS POUR </t>
  </si>
  <si>
    <t>RS25008701</t>
  </si>
  <si>
    <t xml:space="preserve">FAC. 9100629190 DU 30/09/2025                               RS25009501 - COMPLEMENT RESTAURATION SCOLAIRE SEPTEMBRE     </t>
  </si>
  <si>
    <t>RS25009501</t>
  </si>
  <si>
    <t xml:space="preserve">FAC. 9100629219 DU 30/09/2025                               RS25008801 - REPAS RESTAURANT COMMUNAL SEPTEMBRE 2025       </t>
  </si>
  <si>
    <t>RS25008801</t>
  </si>
  <si>
    <t>FAC. 9100629198 DU 30/09/2025                               RS25009801 - RESTAURATION ACCUEIL DE LOISIRS PETIT PRINCE ME</t>
  </si>
  <si>
    <t>RS25009801</t>
  </si>
  <si>
    <t xml:space="preserve">FAC. 9100629187 DU 30/09/2025                               ME25000101 - RESTAURATION DES ENFANTS DE LA CRECHE Repas et </t>
  </si>
  <si>
    <t>FAC. 9100650666 DU 31/10/2025                               RS25012401 - RESTAURATION ACCUEIL DE LOUISE MICHEL MERCREDIS</t>
  </si>
  <si>
    <t>RS25012401</t>
  </si>
  <si>
    <t xml:space="preserve">FAC. 9100649792 DU 31/10/2025                               RS25009601 - RESTAURATION SCOLAIRE OCTOBRE 2025 - REPAS DES </t>
  </si>
  <si>
    <t>RS25009601</t>
  </si>
  <si>
    <t>FAC. 9100650670 DU 31/10/2025                               RS25009901 - RESTAURATION ACCUEIL DE LOISIRS PETIT PRINCE ME</t>
  </si>
  <si>
    <t>RS25009901</t>
  </si>
  <si>
    <t>FAC. 9100649802 DU 31/10/2025                               RS25010101 - RESTAURATION ESPACE ADOS VACANCES SCOLAIRES OCT</t>
  </si>
  <si>
    <t>RS25010101</t>
  </si>
  <si>
    <t xml:space="preserve">FAC. 9100649796 DU 31/10/2025                               REPAS RESTAURANT COMMUNAL OCTOBRE 2025                      </t>
  </si>
  <si>
    <t>RS25010201</t>
  </si>
  <si>
    <t xml:space="preserve">FAC. 9100662903 DU 30/11/2025                               RESTAURATION ACCUEIL DE LOISIRS PETIT PRINCE NOVEMBRE 25    </t>
  </si>
  <si>
    <t>RS25010001</t>
  </si>
  <si>
    <t>RS25012301</t>
  </si>
  <si>
    <t xml:space="preserve">FAC. 9100662936 DU 30/11/2025                               RESTAURATION ACCUEIL DE LOUISE MICHEL MERCREDIS NOV 25      </t>
  </si>
  <si>
    <t>RS25012601</t>
  </si>
  <si>
    <t xml:space="preserve">FAC. 9100662758 DU 30/11/2025                               REPAS RESTAURANT COMMUNAL NOVEMBRE 25                       </t>
  </si>
  <si>
    <t>FAC. 9100662751 DU 30/11/2025                               RESTAU SCOLAIRE NOVEMBRE  2025 - PREVERT SANS BRASSENS CURIE</t>
  </si>
  <si>
    <t>RS25009701</t>
  </si>
  <si>
    <t xml:space="preserve">FAC. 9100619650 DU 18/09/2025                               RESTAURATION DES ENFANTS DE LA CRECHE 01.09.25              </t>
  </si>
  <si>
    <t xml:space="preserve">FAC. 9100649800 DU 31/10/2025                               RESTAURATION DES ENFANTS DE LA CRECHE OCT 25                </t>
  </si>
  <si>
    <t xml:space="preserve">FAC. 9100662830 DU 30/11/2025                               RESTAURATION DES ENFANTS DE LA CRECHE NOV 25                </t>
  </si>
  <si>
    <t>Total général</t>
  </si>
  <si>
    <t>Type écriture</t>
  </si>
  <si>
    <t>Nb. ann/rej</t>
  </si>
  <si>
    <t>Exercice</t>
  </si>
  <si>
    <t>Budget</t>
  </si>
  <si>
    <t>N° écriture</t>
  </si>
  <si>
    <t>N° pièce</t>
  </si>
  <si>
    <t>N° ordre</t>
  </si>
  <si>
    <t>Date pièce</t>
  </si>
  <si>
    <t>Date règlement</t>
  </si>
  <si>
    <t>Montant pour le C.A.</t>
  </si>
  <si>
    <t>Solde eng.</t>
  </si>
  <si>
    <t>Reconduction</t>
  </si>
  <si>
    <t>Tranche</t>
  </si>
  <si>
    <t>Ligne</t>
  </si>
  <si>
    <t>Avenant</t>
  </si>
  <si>
    <t>Mt révision HT</t>
  </si>
  <si>
    <t>Mt révision TVA</t>
  </si>
  <si>
    <t>Mt révision TTC</t>
  </si>
  <si>
    <t>Code contrat</t>
  </si>
  <si>
    <t>Code tiers</t>
  </si>
  <si>
    <t>Libellé tiers</t>
  </si>
  <si>
    <t>Pgm (opé)</t>
  </si>
  <si>
    <t>Chapitre</t>
  </si>
  <si>
    <t>Libellé chapitre</t>
  </si>
  <si>
    <t>Cha. voté</t>
  </si>
  <si>
    <t>Libellé chapitre voté</t>
  </si>
  <si>
    <t>Nomenclature</t>
  </si>
  <si>
    <t>Libellé nomenclature</t>
  </si>
  <si>
    <t>Type dep.</t>
  </si>
  <si>
    <t>Objectif</t>
  </si>
  <si>
    <t>Code famille Nomemclature</t>
  </si>
  <si>
    <t>Libellé famille Nomenclature</t>
  </si>
  <si>
    <t>Ligne AGEC</t>
  </si>
  <si>
    <t>Montant réemploi ou réutilisation</t>
  </si>
  <si>
    <t>Taux minimum</t>
  </si>
  <si>
    <t>Montant matières recyclées</t>
  </si>
  <si>
    <t>Inscription</t>
  </si>
  <si>
    <t>Immobilisation</t>
  </si>
  <si>
    <t>N° inventaire</t>
  </si>
  <si>
    <t>Programme</t>
  </si>
  <si>
    <t>Année d’AP</t>
  </si>
  <si>
    <t>Engagement AP</t>
  </si>
  <si>
    <t>N° facture</t>
  </si>
  <si>
    <t>Nombre PJ</t>
  </si>
  <si>
    <t>Nombre CA</t>
  </si>
  <si>
    <t>Début Prestation</t>
  </si>
  <si>
    <t>Fin Prestation</t>
  </si>
  <si>
    <t>Objet Prestation</t>
  </si>
  <si>
    <t>Prise en charge</t>
  </si>
  <si>
    <t>Acquittement du flux</t>
  </si>
  <si>
    <t>Montant payé/encaissé</t>
  </si>
  <si>
    <t>Génération du flux</t>
  </si>
  <si>
    <t>Ann. rattachement</t>
  </si>
  <si>
    <t>2025</t>
  </si>
  <si>
    <t>CR</t>
  </si>
  <si>
    <t>FIN</t>
  </si>
  <si>
    <t xml:space="preserve">RATT VIENNOISERIES LEGISLATIVES  30 JUIN </t>
  </si>
  <si>
    <t>163</t>
  </si>
  <si>
    <t>CENTRE DES FINANCES PUBLIQUES YE</t>
  </si>
  <si>
    <t>026</t>
  </si>
  <si>
    <t>60623</t>
  </si>
  <si>
    <t>0-AG</t>
  </si>
  <si>
    <t>ETATCIV</t>
  </si>
  <si>
    <t>011</t>
  </si>
  <si>
    <t>CHARGES A CARACTERE GENERAL</t>
  </si>
  <si>
    <t>CPRAT - RATT VIENNOISERIES LEGISLATIVES  30 JUIN</t>
  </si>
  <si>
    <t>RATT PATISSERIE, VEILLEE, CHOCOLAT DE NOËL, GOUTER DE F IN D 'ANNEE</t>
  </si>
  <si>
    <t>4-CT</t>
  </si>
  <si>
    <t>CLGAV</t>
  </si>
  <si>
    <t>CPRAT - RATT PATISSERIE, VEILLEE, CHOCOLAT DE NOËL, GOUTER DE F IN D</t>
  </si>
  <si>
    <t xml:space="preserve">RATT GOUTERS VACANCES NOEL 2024 </t>
  </si>
  <si>
    <t>4-JE</t>
  </si>
  <si>
    <t>CA</t>
  </si>
  <si>
    <t xml:space="preserve">CPRAT - RATT GOUTERS VACANCES NOEL 2024 </t>
  </si>
  <si>
    <t xml:space="preserve">RATT GOUTER MDJ </t>
  </si>
  <si>
    <t>MDJ</t>
  </si>
  <si>
    <t>CPRAT - RATT GOUTER MDJ</t>
  </si>
  <si>
    <t xml:space="preserve">RATT RESTAURANT COMMUNAL </t>
  </si>
  <si>
    <t xml:space="preserve">CPRAT - RATT RESTAURANT COMMUNAL </t>
  </si>
  <si>
    <t xml:space="preserve">RATT RESTAURATION SCOLAIRE </t>
  </si>
  <si>
    <t xml:space="preserve">CPRAT - RATT RESTAURATION SCOLAIRE </t>
  </si>
  <si>
    <t xml:space="preserve">RATT ACCUEIL JP1 </t>
  </si>
  <si>
    <t>CLJP1</t>
  </si>
  <si>
    <t xml:space="preserve">CPRAT - RATT ACCUEIL JP1 </t>
  </si>
  <si>
    <t xml:space="preserve">RATT ACCUEIL LE PETIT PRINCE </t>
  </si>
  <si>
    <t xml:space="preserve">CPRAT - RATT ACCUEIL LE PETIT PRINCE </t>
  </si>
  <si>
    <t xml:space="preserve">RATT ACCUEIL LOUISE MICHEL </t>
  </si>
  <si>
    <t xml:space="preserve">CPRAT - RATT ACCUEIL LOUISE MICHEL </t>
  </si>
  <si>
    <t xml:space="preserve">RATT ESPACE ADOS </t>
  </si>
  <si>
    <t>CPRAT - RATT ESPACE ADOS</t>
  </si>
  <si>
    <t xml:space="preserve">RATT MINI VIENNOISERIES JP1 </t>
  </si>
  <si>
    <t>201</t>
  </si>
  <si>
    <t>2-SC</t>
  </si>
  <si>
    <t xml:space="preserve">CPRAT - RATT MINI VIENNOISERIES JP1 </t>
  </si>
  <si>
    <t>Mandat ordinaire</t>
  </si>
  <si>
    <t>ARFF</t>
  </si>
  <si>
    <t xml:space="preserve">FAC. 14D DU 31/12/2024 RS24009004R - RATT ACCUEIL LE PETIT PRINCE                  </t>
  </si>
  <si>
    <t>RS24009004R</t>
  </si>
  <si>
    <t>5384</t>
  </si>
  <si>
    <t xml:space="preserve">SAS VERMAR L ORGE ET LE BLE </t>
  </si>
  <si>
    <t>20250140</t>
  </si>
  <si>
    <t xml:space="preserve">FAC. 16D DU 31/12/2024 RS24009001R - RATT RESTAURANT COMMUNAL                      </t>
  </si>
  <si>
    <t>RS24009001R</t>
  </si>
  <si>
    <t>20250139</t>
  </si>
  <si>
    <t xml:space="preserve">FAC. 12DEC DU 31/12/2024 RS24009002R - RATT RESTAURATION SCOLAIRE                    </t>
  </si>
  <si>
    <t>RS24009002R</t>
  </si>
  <si>
    <t>20250138</t>
  </si>
  <si>
    <t xml:space="preserve">FAC. 13D DU 31/12/2024 RS24009003R - RATT ACCUEIL JP1                              </t>
  </si>
  <si>
    <t>RS24009003R</t>
  </si>
  <si>
    <t>20250137</t>
  </si>
  <si>
    <t xml:space="preserve">FAC. 15D DU 31/12/2024 RS24009005R - RATT ACCUEIL LOUISE MICHEL                    </t>
  </si>
  <si>
    <t>RS24009005R</t>
  </si>
  <si>
    <t>20250136</t>
  </si>
  <si>
    <t>RADE</t>
  </si>
  <si>
    <t xml:space="preserve">REGULARISATION RA 20052 ETATS 7.8                                                             </t>
  </si>
  <si>
    <t>1462</t>
  </si>
  <si>
    <t xml:space="preserve">RA 20052 AFFAIRES GENERALES </t>
  </si>
  <si>
    <t>0-CA</t>
  </si>
  <si>
    <t>CAB</t>
  </si>
  <si>
    <t xml:space="preserve">REGULARISATION RA 20052 ETATS 6.10.11.12                                                             </t>
  </si>
  <si>
    <t>311</t>
  </si>
  <si>
    <t>3-CU</t>
  </si>
  <si>
    <t>CSFF</t>
  </si>
  <si>
    <t xml:space="preserve">RATT FAC. 2412HY1319371 DU          23/12/2024 JS24011601R - RATT GOUTERS VACANCES NOEL 2024               </t>
  </si>
  <si>
    <t>JS24011601R</t>
  </si>
  <si>
    <t>1507</t>
  </si>
  <si>
    <t xml:space="preserve">AUCHAN HYPERMARCHE </t>
  </si>
  <si>
    <t>20234517</t>
  </si>
  <si>
    <t xml:space="preserve">FAC. 2502HY0226458 DU          17/02/2025 PATISSERIE 01 VACANCES HIVERS 2025                          </t>
  </si>
  <si>
    <t>JS25000601</t>
  </si>
  <si>
    <t>20250313</t>
  </si>
  <si>
    <t>MMFF</t>
  </si>
  <si>
    <t xml:space="preserve">Goûter vacances scolaires d'hiver 2025 FAC. 2502HY0232115 DU          18/02/2025                   </t>
  </si>
  <si>
    <t>JS25000501</t>
  </si>
  <si>
    <t>20250338</t>
  </si>
  <si>
    <t xml:space="preserve">Repas au club 01 vacances hiver 2025 FAC. 2502HY0232145 DU          18/02/2025                   </t>
  </si>
  <si>
    <t>JS25000801</t>
  </si>
  <si>
    <t>20250334</t>
  </si>
  <si>
    <t xml:space="preserve">FAC. 487 DU 31/01/2025 PAIN RESTAURANT COMMUNAL JANVIER                            </t>
  </si>
  <si>
    <t>RS25001001</t>
  </si>
  <si>
    <t>7485</t>
  </si>
  <si>
    <t>SAS PATAUX LA CERISE SUR LE GATE</t>
  </si>
  <si>
    <t>20250324</t>
  </si>
  <si>
    <t xml:space="preserve">FAC. 486 DU 31/01/2025 PAIN ACCUEIL LM JANVIER                                     </t>
  </si>
  <si>
    <t>RS25000801</t>
  </si>
  <si>
    <t>20250325</t>
  </si>
  <si>
    <t xml:space="preserve">FAC. 485 DU 31/01/2025 PAIN ACCUEIL PP JANVIER                                     </t>
  </si>
  <si>
    <t>RS25000701</t>
  </si>
  <si>
    <t>20250326</t>
  </si>
  <si>
    <t xml:space="preserve">FAC. 484 DU 31/01/2025 PAIN ACCUEIL  JP1 JANVIER                                   </t>
  </si>
  <si>
    <t>RS25000901</t>
  </si>
  <si>
    <t>20250327</t>
  </si>
  <si>
    <t xml:space="preserve">FAC. 483 DU 31/01/2025 PAIN POUR LA RESTAURATION SCOLAIRE JANVIER                  </t>
  </si>
  <si>
    <t>RS25000601</t>
  </si>
  <si>
    <t>20250328</t>
  </si>
  <si>
    <t xml:space="preserve">FAC. 455 DU 19/12/2024 RATT MINI VIENNOISERIES JP1                                 </t>
  </si>
  <si>
    <t>SC24020701R</t>
  </si>
  <si>
    <t>20250329</t>
  </si>
  <si>
    <t xml:space="preserve">VIENNOISERIES - LEGISLATIVES JUIN 2024 RATT FAC. 394 DU 28/06/2024                                 </t>
  </si>
  <si>
    <t>AG24002701R</t>
  </si>
  <si>
    <t>20233053</t>
  </si>
  <si>
    <t xml:space="preserve">HA goûter et petit-déjeuner - FA. 2501HY0123697 du 28.01.25 FAC. 2501HY0123697 DU          28/01/2025                   </t>
  </si>
  <si>
    <t>CL25000101</t>
  </si>
  <si>
    <t>CLMICH</t>
  </si>
  <si>
    <t>20250168</t>
  </si>
  <si>
    <t xml:space="preserve">HA repas CM2 du 29/01 - FAC. 2502HY0165620 DU 05/02/2025 CL25001001 - REPAS DES CHAMPIONS 29/01 REPAS DES CM2 SUR LA </t>
  </si>
  <si>
    <t>CL25001001</t>
  </si>
  <si>
    <t>20250276</t>
  </si>
  <si>
    <t xml:space="preserve">HA repas créole gp CP - FAC. 2502HY0232136 DU 18/02/2025 CL25002201 - REPAS CREOLE GROUPE DES CP 27/02               </t>
  </si>
  <si>
    <t>CL25002201</t>
  </si>
  <si>
    <t>20250335</t>
  </si>
  <si>
    <t xml:space="preserve">HA pâtisseries vacances  fév./ FA. 2502HY0232120 DU 18/02/25 CL25002001 - PATISSERIE VAC DE FEVRIER ELEM 2               </t>
  </si>
  <si>
    <t>CL25002001</t>
  </si>
  <si>
    <t>20250336</t>
  </si>
  <si>
    <t xml:space="preserve">FAC. 2502HY0203412 DU          12/02/2025 PATISSERIE FEVRIER 1 LM                                     </t>
  </si>
  <si>
    <t>CL25001101</t>
  </si>
  <si>
    <t>20250292</t>
  </si>
  <si>
    <t xml:space="preserve">FAC. 2502HY0203413 DU          12/02/2025 PATISSERIE FEVRIER 2 LM                                     </t>
  </si>
  <si>
    <t>CL25001201</t>
  </si>
  <si>
    <t>20250293</t>
  </si>
  <si>
    <t xml:space="preserve">FAC. 2502HY0232118 DU          18/02/2025 PATISSERIE VAC DE FEVRIER MATER 1 LM                        </t>
  </si>
  <si>
    <t>CL25001701</t>
  </si>
  <si>
    <t>20250337</t>
  </si>
  <si>
    <t xml:space="preserve">FAC. 2502HY0250713 DU          20/02/2025 PATISSERIE VAC DE FEVRIER MATER 2 LM                        </t>
  </si>
  <si>
    <t>CL25001801</t>
  </si>
  <si>
    <t>20250345</t>
  </si>
  <si>
    <t xml:space="preserve">FAC. 2502HY0250716 DU          20/02/2025 VEILLEE PIZZA 20/02 LM                                      </t>
  </si>
  <si>
    <t>CL25001601</t>
  </si>
  <si>
    <t>20250346</t>
  </si>
  <si>
    <t xml:space="preserve">FAC. 2502HY0273215 DU          25/02/2025 REPAS AU CLUB 01 VACANCES HIVERS 2025 CA                    </t>
  </si>
  <si>
    <t>JS25000901</t>
  </si>
  <si>
    <t>20250364</t>
  </si>
  <si>
    <t xml:space="preserve">FAC. 2502HY0216694 DU          14/02/2025 GOUTER DE BIENVENUE - 15 FEVRIER                            </t>
  </si>
  <si>
    <t>JS25001201</t>
  </si>
  <si>
    <t>20250304</t>
  </si>
  <si>
    <t xml:space="preserve">FAC. 50140202202 DU 14/01/2025 CL25000701 - GOUTER + PETIT DEJEUNER JP1 JANVIER 2025       </t>
  </si>
  <si>
    <t>CL25000701</t>
  </si>
  <si>
    <t>7727</t>
  </si>
  <si>
    <t xml:space="preserve">INTERMARCHE ACROSNIM CROSNE </t>
  </si>
  <si>
    <t>20250473</t>
  </si>
  <si>
    <t xml:space="preserve">FAC. 50420102489 DU 11/02/2025 CL25000801 - PETITS DEJEUNER + GOUTER JP1 2025              </t>
  </si>
  <si>
    <t>CL25000801</t>
  </si>
  <si>
    <t>20250474</t>
  </si>
  <si>
    <t xml:space="preserve">FAC. 50580102492 DU 27/02/2025 JS25000701 - PATISSERIE 02 VACANCES HIVERS 2025             </t>
  </si>
  <si>
    <t>JS25000701</t>
  </si>
  <si>
    <t>20250475</t>
  </si>
  <si>
    <t xml:space="preserve">FAC. 2502HY0292345 DU          26/02/2025 CL25003501 - VEILLEE FONDUE                                 </t>
  </si>
  <si>
    <t>CL25003501</t>
  </si>
  <si>
    <t>20250390</t>
  </si>
  <si>
    <t xml:space="preserve">FAC. 2502HY0292332 DU          26/02/2025 CL25002101 - VEILLEE DEGUSTATION ELEMENTAIRES 28/02         </t>
  </si>
  <si>
    <t>CL25002101</t>
  </si>
  <si>
    <t>20250391</t>
  </si>
  <si>
    <t>RATT  FAC. 2412HY1331121 DU          26/12/2024 CL24034001R - RATT PATISSERIE, VEILLEE, CHOCOLAT DE NOËL, GO</t>
  </si>
  <si>
    <t>CL24034001R</t>
  </si>
  <si>
    <t>20234547</t>
  </si>
  <si>
    <t xml:space="preserve">FAC. 2502HY0273212 DU          25/02/2025 CL25003101 - LAITAGES, VIENOISERIE,                         </t>
  </si>
  <si>
    <t>CL25003101</t>
  </si>
  <si>
    <t>20250363</t>
  </si>
  <si>
    <t xml:space="preserve">FAC. 2502HY0267380 DU          24/02/2025 CL25001901 - PATISSERIE VAC DE FEVRIER ELEM 1               </t>
  </si>
  <si>
    <t>CL25001901</t>
  </si>
  <si>
    <t>20250365</t>
  </si>
  <si>
    <t xml:space="preserve">FAC. 2502HY0267376 DU          24/02/2025 CL25002301 - PATISSERIE VAC DE FEVRIER MATER 3              </t>
  </si>
  <si>
    <t>CL25002301</t>
  </si>
  <si>
    <t>20250366</t>
  </si>
  <si>
    <t xml:space="preserve">FAC. 2502HY0267378 DU          24/02/2025 CL25000201 - GOUTERS ET PETITS DEJEUNERS JANVIER 2          </t>
  </si>
  <si>
    <t>CL25000201</t>
  </si>
  <si>
    <t>20250367</t>
  </si>
  <si>
    <t>CMFF</t>
  </si>
  <si>
    <t>FAC. 50760102497 DU 17/03/2025 CU25001001 - ALIMENTATION BOISSONS POUR LE BUFFET DE  BUFFET</t>
  </si>
  <si>
    <t>CU25001001</t>
  </si>
  <si>
    <t>20250690</t>
  </si>
  <si>
    <t>FAC. 50660202214 DU 07/03/2025 CU25000501 - REPAS POUR LE CONCERT DU VENDREDI 7 MARS  REPAS</t>
  </si>
  <si>
    <t>CU25000501</t>
  </si>
  <si>
    <t>20250691</t>
  </si>
  <si>
    <t xml:space="preserve">FAC. 2504HY0505378 DU          16/04/2025 JS25002201 - REPAS SEMAINE 01 VACS PRINTEMPS 2025           </t>
  </si>
  <si>
    <t>JS25002201</t>
  </si>
  <si>
    <t>20250740</t>
  </si>
  <si>
    <t xml:space="preserve">FAC. 50770102499 DU 18/03/2025 CL25003701 - GOUTER + PETIT DEJEUNER MARS 2025              </t>
  </si>
  <si>
    <t>CL25003701</t>
  </si>
  <si>
    <t>20250693</t>
  </si>
  <si>
    <t>Mandat de régie</t>
  </si>
  <si>
    <t xml:space="preserve">REGULARISATION JANVIER, FEVRIER, MARS 2025 ETATS  1,3, 5, 7, 8 -  ALIMENTATION                         </t>
  </si>
  <si>
    <t>2858</t>
  </si>
  <si>
    <t xml:space="preserve">RA 20050 JEUNESSE ET SPORTS </t>
  </si>
  <si>
    <t xml:space="preserve">FAC. 2503HY0379616 DU          17/03/2025 CL25000301 - GOUTERS ET PETITS DEJEUNER FEVRIER 1           </t>
  </si>
  <si>
    <t>CL25000301</t>
  </si>
  <si>
    <t>20250558</t>
  </si>
  <si>
    <t xml:space="preserve">FAC. 2503HY0379618 DU          17/03/2025 CL25004101 - PETITS DEJEUNERS ET GOUTERS MARS 1             </t>
  </si>
  <si>
    <t>CL25004101</t>
  </si>
  <si>
    <t>20250559</t>
  </si>
  <si>
    <t xml:space="preserve">FAC. 2503HY0379613 DU          17/03/2025 CL25000401 - GOUTERS ET PETITS DEJEUNERS FEVRIER 2          </t>
  </si>
  <si>
    <t>CL25000401</t>
  </si>
  <si>
    <t>20250560</t>
  </si>
  <si>
    <t xml:space="preserve">FAC. 2504HY0467625 DU          08/04/2025 CL25002601 - PATISSERIE VAC DE FEVRIER ELEM 4               </t>
  </si>
  <si>
    <t>CL25002601</t>
  </si>
  <si>
    <t>20250697</t>
  </si>
  <si>
    <t xml:space="preserve">FAC. 2504HY0467624 DU          08/04/2025 CL25002501 - PATISSERIE VAC DE FEVRIER ELEM 3               </t>
  </si>
  <si>
    <t>CL25002501</t>
  </si>
  <si>
    <t>20250701</t>
  </si>
  <si>
    <t xml:space="preserve">FAC. 2504HY0467623 DU          08/04/2025 CL25002401 - PATISSERIE VAC DE FEVRIER MATER 4              </t>
  </si>
  <si>
    <t>CL25002401</t>
  </si>
  <si>
    <t>20250702</t>
  </si>
  <si>
    <t xml:space="preserve">FAC. 2504HY0467620 DU          08/04/2025 CL25004201 - PETITS DEJEUNERS ET GOUTERS AVRIL 1            </t>
  </si>
  <si>
    <t>CL25004201</t>
  </si>
  <si>
    <t>20250703</t>
  </si>
  <si>
    <t xml:space="preserve">FAC. 2504HY0512914 DU          18/04/2025 JS25002301 - SOIREE SEMAINE 01 VACS PRINTEMPS 2025          </t>
  </si>
  <si>
    <t>JS25002301</t>
  </si>
  <si>
    <t>20250755</t>
  </si>
  <si>
    <t>FAC. 2504HY0536170 DU          24/04/2025 ME25001601 - Achat de biscuit pour le gouters des enfants et</t>
  </si>
  <si>
    <t>ME25001601</t>
  </si>
  <si>
    <t>20250787</t>
  </si>
  <si>
    <t xml:space="preserve">REGULARISATION AVRIL ETATS  2                                                             </t>
  </si>
  <si>
    <t xml:space="preserve">FAC. 2401HY0009650 DU 04/01/2024 JS25001601 - ATELIER BURGER - 28/02                         </t>
  </si>
  <si>
    <t>JS25001601</t>
  </si>
  <si>
    <t>20231893</t>
  </si>
  <si>
    <t xml:space="preserve">FAC. 2504HY0478535 DU          10/04/2025 JS25003201 - GOÛTER AVRIL / MAI / JUIN                      </t>
  </si>
  <si>
    <t>JS25003201</t>
  </si>
  <si>
    <t>20250714</t>
  </si>
  <si>
    <t xml:space="preserve">FAC. 51130202228 DU 23/04/2025 CU25001701 - BUFFET DE LA CEREMONIE DU 27 AVRIL ET DU 8 MAI </t>
  </si>
  <si>
    <t>CU25001701</t>
  </si>
  <si>
    <t>20250929</t>
  </si>
  <si>
    <t xml:space="preserve">FAC. 51080102507 DU 18/04/2025 SC25005601 - MINI VIENNOISERIES POUR BUFFET DU 18 AVRIL     </t>
  </si>
  <si>
    <t>SC25005601</t>
  </si>
  <si>
    <t>20250936</t>
  </si>
  <si>
    <t>FAC. 50660202215 DU 07/03/2025 CU25000201 - CATERING DU CONCERT DU VENDREDI 7 MARS  CATERIN</t>
  </si>
  <si>
    <t>CU25000201</t>
  </si>
  <si>
    <t>20250692</t>
  </si>
  <si>
    <t>FAC. 2504HY0462511 DU          07/04/2025 JS25001901 - RENCONTRE ATHLETISME ECOLE - 8 AVRIL GOUTER REN</t>
  </si>
  <si>
    <t>JS25001901</t>
  </si>
  <si>
    <t>MANIFSPORT</t>
  </si>
  <si>
    <t>20250687</t>
  </si>
  <si>
    <t>FAC. 6av DU 30/04/2025 RS25001101 - PAIN POUR LA RESTAURATION SCOLAIREMOIS DE FEVRI</t>
  </si>
  <si>
    <t>RS25001101</t>
  </si>
  <si>
    <t>20250961</t>
  </si>
  <si>
    <t xml:space="preserve">FAC. 7AV DU 30/04/2025 RS25001401 - PAIN ACCUEIL PERISCOLAIRE JP1MOIS DE FEVRIER - </t>
  </si>
  <si>
    <t>RS25001401</t>
  </si>
  <si>
    <t>20250962</t>
  </si>
  <si>
    <t>FAC. 8AV DU 30/04/2025 RS25001201 - PAIN ACCUEIL PERISCOLAIRE CENTRE DE LOISIRS PET</t>
  </si>
  <si>
    <t>RS25001201</t>
  </si>
  <si>
    <t>20250963</t>
  </si>
  <si>
    <t>FAC. 9AV DU 30/04/2025 RS25001301 - PAIN ACCUEIL PERISCOLAIRE CENTRE DE LOISIRS LOU</t>
  </si>
  <si>
    <t>RS25001301</t>
  </si>
  <si>
    <t>20250964</t>
  </si>
  <si>
    <t>FAC. 10AV DU 30/04/2025 RS25001501 - PAIN RESTAURANT COMMUNALMOIS DE FEVRIER - AVRIL</t>
  </si>
  <si>
    <t>RS25001501</t>
  </si>
  <si>
    <t>20250965</t>
  </si>
  <si>
    <t>FAC. 91560 DU 30/04/2025 RS25001101 - PAIN POUR LA RESTAURATION SCOLAIREMOIS DE FEVRI</t>
  </si>
  <si>
    <t>20250978</t>
  </si>
  <si>
    <t>FAC. 508 DU 31/03/2025 RS25000801 - PAIN ACCUEIL PERISCOLAIRE CENTRE DE LOISIRS LOU</t>
  </si>
  <si>
    <t>20251010</t>
  </si>
  <si>
    <t xml:space="preserve">FAC. 509 DU 31/03/2025 RS25001001 - PAIN RESTAURANT COMMUNALMOIS DE JANVIER - MARS </t>
  </si>
  <si>
    <t>20251011</t>
  </si>
  <si>
    <t>FAC. 505 DU 31/03/2025 RS25000601 - PAIN POUR LA RESTAURATION SCOLAIREMOIS DE JANVI</t>
  </si>
  <si>
    <t>20251014</t>
  </si>
  <si>
    <t xml:space="preserve">REGULARISATION  MAI ETAT 3                                                             </t>
  </si>
  <si>
    <t>1</t>
  </si>
  <si>
    <t xml:space="preserve">REGULARISATION JUIN ETAT 4                                                             </t>
  </si>
  <si>
    <t xml:space="preserve">REGULARISATION JUIN ETAT 5 ET 7                                                             </t>
  </si>
  <si>
    <t>Rejet de mandat</t>
  </si>
  <si>
    <t>RJDE</t>
  </si>
  <si>
    <t xml:space="preserve">Rejet du mandat N. 1173                                                             </t>
  </si>
  <si>
    <t xml:space="preserve">Rejet du mandat N. 1174                                                             </t>
  </si>
  <si>
    <t xml:space="preserve">REGULARISATION JUIN ETATS 5 ET 7                                                             </t>
  </si>
  <si>
    <t xml:space="preserve">FAC. 2501HY0005257 DU          02/01/2025 JS24012701R - RATT GOUTER MDJ                               </t>
  </si>
  <si>
    <t>JS24012701R</t>
  </si>
  <si>
    <t>20234607</t>
  </si>
  <si>
    <t xml:space="preserve">FAC. 518 DU 31/05/2025 RS25001001 - PAIN RESTAURANT COMMUNALMOIS DE JANVIER - MARS </t>
  </si>
  <si>
    <t>20251049</t>
  </si>
  <si>
    <t>FAC. 517 DU 31/05/2025 RS25000801 - PAIN ACCUEIL PERISCOLAIRE CENTRE DE LOISIRS LOU</t>
  </si>
  <si>
    <t>20251054</t>
  </si>
  <si>
    <t xml:space="preserve">FAC. 515 DU 31/05/2025 RS25000901 - PAIN ACCUEIL PERISCOLAIRE JP1MOIS DE JANVIER - </t>
  </si>
  <si>
    <t>20251055</t>
  </si>
  <si>
    <t>FAC. 514 DU 31/05/2025 RS25000601 - PAIN POUR LA RESTAURATION SCOLAIREMOIS DE JANVI</t>
  </si>
  <si>
    <t>20251056</t>
  </si>
  <si>
    <t xml:space="preserve">FAC. 51400202231 DU 20/05/2025 CL25007101 - GOUTER + PETIT DJEUNER JP1 MAI 2025            </t>
  </si>
  <si>
    <t>CL25007101</t>
  </si>
  <si>
    <t>20251101</t>
  </si>
  <si>
    <t xml:space="preserve">FAC. 2504HY0495220 DU          14/04/2025 CL25007801 - PATISSERIE VAC AVRIL 1 MATER                   </t>
  </si>
  <si>
    <t>CL25007801</t>
  </si>
  <si>
    <t>20250723</t>
  </si>
  <si>
    <t xml:space="preserve">FAC. 2504HY0495353 DU          14/04/2025 CL25006401 - VEILLEE BOOM GOURMANDE 15/04                   </t>
  </si>
  <si>
    <t>CL25006401</t>
  </si>
  <si>
    <t>20250724</t>
  </si>
  <si>
    <t xml:space="preserve">FAC. 2504HY0495306 DU          14/04/2025 CL25006501 - VEILLEE PIZZA 15/04                            </t>
  </si>
  <si>
    <t>CL25006501</t>
  </si>
  <si>
    <t>20250727</t>
  </si>
  <si>
    <t xml:space="preserve">FAC. 2504HY0505334 DU          16/04/2025 CL25008201 - PATISSERIE VAC DAVRIL ELEM 1                   </t>
  </si>
  <si>
    <t>CL25008201</t>
  </si>
  <si>
    <t>20250737</t>
  </si>
  <si>
    <t xml:space="preserve">FAC. 2504HY0505375 DU          16/04/2025 CL25008301 - PATISSERIE VAC DAVRIL ELEM 2                   </t>
  </si>
  <si>
    <t>CL25008301</t>
  </si>
  <si>
    <t>20250738</t>
  </si>
  <si>
    <t xml:space="preserve">FAC. 2504HY0505370 DU          16/04/2025 CL25006601 - VEILLEE REPAS ITALIEN  16/04                   </t>
  </si>
  <si>
    <t>CL25006601</t>
  </si>
  <si>
    <t>20250739</t>
  </si>
  <si>
    <t xml:space="preserve">FAC. 2504HY0505359 DU          16/04/2025 CL25007901 - PATISSERIE VAC AVRIL MATER 2                   </t>
  </si>
  <si>
    <t>CL25007901</t>
  </si>
  <si>
    <t>20250741</t>
  </si>
  <si>
    <t xml:space="preserve">FAC. 2504HY0536183 DU          24/04/2025 CL25008101 - PATISSERIE VAC DAVRIL MATER 4                  </t>
  </si>
  <si>
    <t>CL25008101</t>
  </si>
  <si>
    <t>20250788</t>
  </si>
  <si>
    <t xml:space="preserve">FAC. 2504HY0536180 DU          24/04/2025 CL25007001 - VEILLEE DISNEY 24/04                           </t>
  </si>
  <si>
    <t>CL25007001</t>
  </si>
  <si>
    <t>20250789</t>
  </si>
  <si>
    <t xml:space="preserve">FAC. 2504HY0536150 DU          24/04/2025 CL25008501 - PATISSERIE VAC DAVRIL ELEM 4                   </t>
  </si>
  <si>
    <t>CL25008501</t>
  </si>
  <si>
    <t>20250790</t>
  </si>
  <si>
    <t xml:space="preserve">FAC. 2504HY0524495 DU          22/04/2025 CL25008001 - PATISSERIE VAC DAVRIL MATER 3                  </t>
  </si>
  <si>
    <t>CL25008001</t>
  </si>
  <si>
    <t>20250867</t>
  </si>
  <si>
    <t xml:space="preserve">FAC. 2504HY0524489 DU          22/04/2025 CL25006901 - VEILLEE REPAS AFRICAIN 23/04                   </t>
  </si>
  <si>
    <t>CL25006901</t>
  </si>
  <si>
    <t>20250869</t>
  </si>
  <si>
    <t xml:space="preserve">FAC. 2504HY0524477 DU          22/04/2025 CL25006801 - VEILLEE DEGUSTATION 22/04                      </t>
  </si>
  <si>
    <t>CL25006801</t>
  </si>
  <si>
    <t>20250871</t>
  </si>
  <si>
    <t xml:space="preserve">FAC. 2505HY0651250 DU          16/05/2025 CL25004401 - PETITS DEJEUNERS ET GOUTERS MAI 2              </t>
  </si>
  <si>
    <t>CL25004401</t>
  </si>
  <si>
    <t>20250954</t>
  </si>
  <si>
    <t xml:space="preserve">FAC. 2505HY0651252 DU          16/05/2025 CL25004301 - PETITS DEJEUNERS ET GOUTERS MAI 1              </t>
  </si>
  <si>
    <t>CL25004301</t>
  </si>
  <si>
    <t>20250955</t>
  </si>
  <si>
    <t xml:space="preserve">FAC. 2506HY0763479 DU          11/06/2025 CL25004501 - PETITS DEJEUNERS ET GOUTERS JUIN 1             </t>
  </si>
  <si>
    <t>CL25004501</t>
  </si>
  <si>
    <t>20251197</t>
  </si>
  <si>
    <t xml:space="preserve">FAC. 2506HY0784480 DU          12/06/2025 SC25004301 - ALIMENTATION BUFFET                            </t>
  </si>
  <si>
    <t>SC25004301</t>
  </si>
  <si>
    <t>20251281</t>
  </si>
  <si>
    <t>FAC. 521 DU 14/06/2025 SC25007801 - MINI VIENNOISERIES POUR PETIT DEJEUNER DU 14 JU</t>
  </si>
  <si>
    <t>SC25007801</t>
  </si>
  <si>
    <t>20251154</t>
  </si>
  <si>
    <t>FAC. 21JFE DU 30/06/2025 RS25001101 - PAIN POUR LA RESTAURATION SCOLAIREMOIS DE FEVRI</t>
  </si>
  <si>
    <t>20251319</t>
  </si>
  <si>
    <t>FAC. 20JFE DU 30/06/2025 RS25001501 - PAIN RESTAURANT COMMUNALMOIS DE FEVRIER - AVRIL</t>
  </si>
  <si>
    <t>20251321</t>
  </si>
  <si>
    <t xml:space="preserve">REGULARISATION JUILLET ETAT 1                                                             </t>
  </si>
  <si>
    <t>FAC. 51720202240 DU 21/06/2025 CU25001501 - CATERING ET REPAS DU GROUPE DE MUSIQUE  REPAS +</t>
  </si>
  <si>
    <t>CU25001501</t>
  </si>
  <si>
    <t>20251384</t>
  </si>
  <si>
    <t xml:space="preserve">FAC. 2506HY0748303 DU          06/06/2025 JS25008501 - GOUTER PERMIS VELO ET PIETONS - JUIN 25 GOUTER </t>
  </si>
  <si>
    <t>JS25008501</t>
  </si>
  <si>
    <t>20251105</t>
  </si>
  <si>
    <t xml:space="preserve">FAC. 2504HY0524497 DU          22/04/2025 JS25002501 - REPAS SEMAINE 02 VACS PRINTEMPS 2025           </t>
  </si>
  <si>
    <t>JS25002501</t>
  </si>
  <si>
    <t>20250868</t>
  </si>
  <si>
    <t xml:space="preserve">FAC. 2504HY0524458 DU          22/04/2025 JS25002401 - TOP CHEF VACS PRINTEMPS 2025                   </t>
  </si>
  <si>
    <t>JS25002401</t>
  </si>
  <si>
    <t>20250872</t>
  </si>
  <si>
    <t xml:space="preserve">FAC. 2505HY0643825 DU          15/05/2025 JS25003401 - SOIREE PIZZA DU 16/05/25                       </t>
  </si>
  <si>
    <t>JS25003401</t>
  </si>
  <si>
    <t>20250951</t>
  </si>
  <si>
    <t>FAC. 507 DU 31/03/2025 RS25000701 - PAIN ACCUEIL PERISCOLAIRE CENTRE DE LOISIRS PET</t>
  </si>
  <si>
    <t>20251012</t>
  </si>
  <si>
    <t>FAC. 506 DU 31/03/2025 RS25000601 - PAIN POUR LA RESTAURATION SCOLAIREMOIS DE JANVI</t>
  </si>
  <si>
    <t>20251013</t>
  </si>
  <si>
    <t xml:space="preserve">FAC. 2506HY0748301 DU          06/06/2025 JS25003801 - BARBECUE FIN D'ANNEE                           </t>
  </si>
  <si>
    <t>JS25003801</t>
  </si>
  <si>
    <t>20251106</t>
  </si>
  <si>
    <t xml:space="preserve">FAC. 2507HY0871180 DU          04/07/2025 JS25005101 - BRUNCH ET REPAS 07 JUILLET                     </t>
  </si>
  <si>
    <t>JS25005101</t>
  </si>
  <si>
    <t>20251350</t>
  </si>
  <si>
    <t xml:space="preserve">FAC. 2507HY0905825 DU          12/07/2025 CL25019601 - GOUTER ADOS SEJOUR 2 GOUTER ADOS SEJOUR        </t>
  </si>
  <si>
    <t>CL25019601</t>
  </si>
  <si>
    <t>332</t>
  </si>
  <si>
    <t>20251434</t>
  </si>
  <si>
    <t xml:space="preserve">FAC. 2507HY0885510 DU          07/07/2025 JS25004901 - GOUTERS 1ERE QUINZAINE JUILLET                 </t>
  </si>
  <si>
    <t>JS25004901</t>
  </si>
  <si>
    <t>20251402</t>
  </si>
  <si>
    <t xml:space="preserve">REGULARISATION JUILLET 2025 - ETATS 2 ET 3                                                             </t>
  </si>
  <si>
    <t>2638</t>
  </si>
  <si>
    <t xml:space="preserve">RA 20051 CENTRE DE LOISIRS </t>
  </si>
  <si>
    <t xml:space="preserve">REGULARISATION JUILLET 2025 - ETAT 6                                                             </t>
  </si>
  <si>
    <t>FAC. 2504HY0473043 DU          09/04/2025 CL25005201 - GOÛTER MATERNELSPETIT DEJEUNER MATERNELS ELEMEN</t>
  </si>
  <si>
    <t>CL25005201</t>
  </si>
  <si>
    <t>20250706</t>
  </si>
  <si>
    <t xml:space="preserve">FAC. 2504HY0495275 DU          14/04/2025 CL25007701 - FRUIS &amp; LEGUMES CHOCOLATS                      </t>
  </si>
  <si>
    <t>CL25007701</t>
  </si>
  <si>
    <t>20250725</t>
  </si>
  <si>
    <t xml:space="preserve">FAC. 2504HY0507659 DU          17/04/2025 CL25009001 - VEILLEE BURGER                                 </t>
  </si>
  <si>
    <t>CL25009001</t>
  </si>
  <si>
    <t>20250865</t>
  </si>
  <si>
    <t xml:space="preserve">FAC. 2507HY0950453 DU          28/07/2025 CL25018901 - VIANDES BBQ, CHIPS, BOISSONS, FRUITS ...       </t>
  </si>
  <si>
    <t>CL25018901</t>
  </si>
  <si>
    <t>20251549</t>
  </si>
  <si>
    <t xml:space="preserve">FAC. 2507HY0950520 DU          28/07/2025 CL25019201 - ACTIVITE CULINAIRE                             </t>
  </si>
  <si>
    <t>CL25019201</t>
  </si>
  <si>
    <t>20251548</t>
  </si>
  <si>
    <t xml:space="preserve">FAC. 2506HY0742598 DU          05/06/2025 CL25010201 - GOÛTER, LAITAGES, GÂTEAUX, JUS DE FRUIT        </t>
  </si>
  <si>
    <t>CL25010201</t>
  </si>
  <si>
    <t>20251093</t>
  </si>
  <si>
    <t xml:space="preserve">FAC. 2507HY0939799 DU          22/07/2025 CL25019101 - FRUITS, JUS ...                                </t>
  </si>
  <si>
    <t>CL25019101</t>
  </si>
  <si>
    <t>20251537</t>
  </si>
  <si>
    <t xml:space="preserve">FAC. 2505HY0667533 DU          20/05/2025 CL25007501 - VEILLEEPATISSERIE                              </t>
  </si>
  <si>
    <t>CL25007501</t>
  </si>
  <si>
    <t>20250967</t>
  </si>
  <si>
    <t xml:space="preserve">FAC. 2507HY0871174 DU          04/07/2025 CL25018801 - BARBE A PAPA, GATEAUX, CHIPS, JUS DE FRUITS    </t>
  </si>
  <si>
    <t>CL25018801</t>
  </si>
  <si>
    <t>20251351</t>
  </si>
  <si>
    <t xml:space="preserve">FAC. 2506HY0839456 DU          27/06/2025 CL25010301 - LAITAGES, GÂTEAUX, JUS DE FRUITS               </t>
  </si>
  <si>
    <t>CL25010301</t>
  </si>
  <si>
    <t>20251341</t>
  </si>
  <si>
    <t xml:space="preserve">FAC. 2507HY0871177 DU          04/07/2025 CL25016401 - LAIT, VIENOISERIES, JUS DE FRUITS              </t>
  </si>
  <si>
    <t>CL25016401</t>
  </si>
  <si>
    <t>20251346</t>
  </si>
  <si>
    <t xml:space="preserve">FAC. 2506HY0742594 DU          05/06/2025 CL25005101 - YAOURTS - GÂTEAUX- JUS DE FRUITS               </t>
  </si>
  <si>
    <t>CL25005101</t>
  </si>
  <si>
    <t>20251092</t>
  </si>
  <si>
    <t xml:space="preserve">FAC. 2507HY0939767 DU          22/07/2025 CL25019001 - GATEAUX, GLACES, BONBONS, BOISSONS...          </t>
  </si>
  <si>
    <t>CL25019001</t>
  </si>
  <si>
    <t>20251536</t>
  </si>
  <si>
    <t xml:space="preserve">REGULARISATION_ ETAT 2 ALIMENTATION BARBECUE MDJ                                   </t>
  </si>
  <si>
    <t xml:space="preserve">REGULARISATION_ ETAT 4 ALIMENTATION BUREAU MAIRE                                   </t>
  </si>
  <si>
    <t xml:space="preserve">REGULARISATION_ ETAT 5 ALIMENTATION REUNION PUBLIQUE                               </t>
  </si>
  <si>
    <t xml:space="preserve">FAC. 17FEV DU 28/02/2025 RS25001401 - PAIN ACCUEIL PERISCOLAIRE JP1MOIS DE FEVRIER - </t>
  </si>
  <si>
    <t>20251691</t>
  </si>
  <si>
    <t>FAC. 18FEV DU 28/02/2025 RS25001201 - PAIN ACCUEIL PERISCOLAIRE CENTRE DE LOISIRS PET</t>
  </si>
  <si>
    <t>20251692</t>
  </si>
  <si>
    <t>FAC. 19FEV DU 28/02/2025 RS25001301 - PAIN ACCUEIL PERISCOLAIRE CENTRE DE LOISIRS LOU</t>
  </si>
  <si>
    <t>20251693</t>
  </si>
  <si>
    <t>FAC. 13JUN DU 30/06/2025 RS25001101 - PAIN POUR LA RESTAURATION SCOLAIREMOIS DE FEVRI</t>
  </si>
  <si>
    <t>20251694</t>
  </si>
  <si>
    <t xml:space="preserve">FAC. 14JUN DU 30/06/2025 RS25001401 - PAIN ACCUEIL PERISCOLAIRE JP1MOIS DE FEVRIER - </t>
  </si>
  <si>
    <t>20251695</t>
  </si>
  <si>
    <t>FAC. DECROSNE91560 DU          30/06/2025 RS25001201 - PAIN ACCUEIL PERISCOLAIRE CENTRE DE LOISIRS PET</t>
  </si>
  <si>
    <t>20251696</t>
  </si>
  <si>
    <t>FAC. 17JUN DU 30/06/2025 RS25001501 - PAIN RESTAURANT COMMUNALMOIS DE FEVRIER - AVRIL</t>
  </si>
  <si>
    <t>20251697</t>
  </si>
  <si>
    <t>ARMF</t>
  </si>
  <si>
    <t xml:space="preserve">FAC. 2507HY0885572 DU          07/07/2025 CL25011001 - ATELIER PATISSERIE JUILLET MATER 1             </t>
  </si>
  <si>
    <t>CL25011001</t>
  </si>
  <si>
    <t>20251399</t>
  </si>
  <si>
    <t xml:space="preserve">FAC. 51680202238 DU 17/06/2025 CL25007201 - PETIT DEJEUNER + GOUTER JP1 JUIN 2025          </t>
  </si>
  <si>
    <t>CL25007201</t>
  </si>
  <si>
    <t>20251385</t>
  </si>
  <si>
    <t xml:space="preserve">FAC. 2507HY0885541 DU          07/07/2025 CL25012301 - PATISSERIE JUILLET ELEM 2                      </t>
  </si>
  <si>
    <t>CL25012301</t>
  </si>
  <si>
    <t>20251403</t>
  </si>
  <si>
    <t xml:space="preserve">FAC. 2507HY0871176 DU          04/07/2025 CL25004601 - GOUTERS ET PETITS DEJEUNERS JUIN 2             </t>
  </si>
  <si>
    <t>CL25004601</t>
  </si>
  <si>
    <t>20251349</t>
  </si>
  <si>
    <t xml:space="preserve">FAC. 2507HY0885430 DU          07/07/2025 CL25012201 - PATISSERIE JUILLET ELEM 1                      </t>
  </si>
  <si>
    <t>CL25012201</t>
  </si>
  <si>
    <t>20251401</t>
  </si>
  <si>
    <t>FAC. 2507HY0897860 DU          10/07/2025 CL25015201 - VEILLEE REPAS LE RETOUR DE VAIANA 15 ENFANTS 10</t>
  </si>
  <si>
    <t>CL25015201</t>
  </si>
  <si>
    <t>20251426</t>
  </si>
  <si>
    <t>FAC. 2507HY0909530 DU          15/07/2025 CL25015301 - VEILLEE REPAS BOB L EPONGE LE 15 JUILLET 15 ENF</t>
  </si>
  <si>
    <t>CL25015301</t>
  </si>
  <si>
    <t>20251512</t>
  </si>
  <si>
    <t xml:space="preserve">FAC. 2507HY0909620 DU          15/07/2025 CL25011101 - ATELIER PATISSERIE JUILLET MATER 2             </t>
  </si>
  <si>
    <t>CL25011101</t>
  </si>
  <si>
    <t>20251513</t>
  </si>
  <si>
    <t xml:space="preserve">FAC. 2507HY0909579 DU          15/07/2025 CL25012401 - PATISSERIE JUILLET ELEM 3                      </t>
  </si>
  <si>
    <t>CL25012401</t>
  </si>
  <si>
    <t>20251514</t>
  </si>
  <si>
    <t xml:space="preserve">FAC. 2507HY0939832 DU          24/07/2025 CL25011301 - ATELIER PATISSERIE JUILLET MATER 4             </t>
  </si>
  <si>
    <t>CL25011301</t>
  </si>
  <si>
    <t>20251539</t>
  </si>
  <si>
    <t xml:space="preserve">FAC. 2507HY0939867 DU          21/07/2025 CL25011201 - ATELIER PATISSERIE JUILLET MATER 3             </t>
  </si>
  <si>
    <t>CL25011201</t>
  </si>
  <si>
    <t>20251540</t>
  </si>
  <si>
    <t xml:space="preserve">FAC. 2507HY0939816 DU          21/07/2025 CL25012501 - PATISSERIE JUILLET ELEM 4                      </t>
  </si>
  <si>
    <t>CL25012501</t>
  </si>
  <si>
    <t>20251542</t>
  </si>
  <si>
    <t xml:space="preserve">FAC. 2507HY0950488 DU          28/07/2025 CL25012601 - PATISSERIE JUILLET ELEM 5                      </t>
  </si>
  <si>
    <t>CL25012601</t>
  </si>
  <si>
    <t>20251550</t>
  </si>
  <si>
    <t xml:space="preserve">FAC. 2507HY0980744 DU          30/07/2025 CL25011501 - ATELIER PATISSERIE JUILLET MATER 6             </t>
  </si>
  <si>
    <t>CL25011501</t>
  </si>
  <si>
    <t>20251570</t>
  </si>
  <si>
    <t>FAC. 2507HY0980702 DU          30/07/2025 CL25015401 - VEILLEE REPAS REMISE DES OSCARS31 JUILLETMATER/</t>
  </si>
  <si>
    <t>CL25015401</t>
  </si>
  <si>
    <t>20251571</t>
  </si>
  <si>
    <t xml:space="preserve">FAC. 2507HY0980665 DU          30/07/2025 CL25011401 - ATELIER PATISSERIE JUILLET MATER 5             </t>
  </si>
  <si>
    <t>CL25011401</t>
  </si>
  <si>
    <t>20251572</t>
  </si>
  <si>
    <t xml:space="preserve">FAC. 2508HY1086979 DU          05/08/2025 CL25013801 - ATELIER PATISSERIE AOUT ELEM 1                 </t>
  </si>
  <si>
    <t>CL25013801</t>
  </si>
  <si>
    <t>20251632</t>
  </si>
  <si>
    <t xml:space="preserve">FAC. 2508HY1099895 DU          07/08/2025 CL25015601 - VEILLEE GRECQUE 7/08MATERNELS                  </t>
  </si>
  <si>
    <t>CL25015601</t>
  </si>
  <si>
    <t>20251667</t>
  </si>
  <si>
    <t xml:space="preserve">FAC. 2508HY0986285 DU          31/07/2025 CL25015501 - VEILLEE REPAS L ANNIVERSAIRE DE VAIANA         </t>
  </si>
  <si>
    <t>CL25015501</t>
  </si>
  <si>
    <t>20251584</t>
  </si>
  <si>
    <t xml:space="preserve">FAC. 2508HY1155895 DU          21/08/2025 CL25013401 - ATELIER PATISSERIE AOUT MATER 1                </t>
  </si>
  <si>
    <t>CL25013401</t>
  </si>
  <si>
    <t>20251737</t>
  </si>
  <si>
    <t xml:space="preserve">FAC. 541 DU 31/07/2025 RS25001001 - PAIN RESTAURANT COMMUNALMOIS DE JANVIER - MARS </t>
  </si>
  <si>
    <t>20251751</t>
  </si>
  <si>
    <t>FAC. 540 DU 31/07/2025 RS25000801 - PAIN ACCUEIL PERISCOLAIRE CENTRE DE LOISIRS LOU</t>
  </si>
  <si>
    <t>20251752</t>
  </si>
  <si>
    <t xml:space="preserve">FAC. 538 DU 31/07/2025 RS25000901 - PAIN ACCUEIL PERISCOLAIRE JP1MOIS DE JANVIER - </t>
  </si>
  <si>
    <t>20251754</t>
  </si>
  <si>
    <t xml:space="preserve">FAC. 2508HY1115913 DU          11/08/2025 CL25015701 - VEILLEE ASIE11/08MATER/ELEM                    </t>
  </si>
  <si>
    <t>CL25015701</t>
  </si>
  <si>
    <t>20251678</t>
  </si>
  <si>
    <t>FAC. 539 DU 31/07/2025 RS25000701 - PAIN ACCUEIL PERISCOLAIRE CENTRE DE LOISIRS PET</t>
  </si>
  <si>
    <t>20251753</t>
  </si>
  <si>
    <t>FAC. 537 DU 31/07/2025 RS25000601 - PAIN POUR LA RESTAURATION SCOLAIREMOIS DE JANVI</t>
  </si>
  <si>
    <t>20251755</t>
  </si>
  <si>
    <t>FAC. 516A DU 31/05/2025 RS25000701 - PAIN ACCUEIL PERISCOLAIRE CENTRE DE LOISIRS PET</t>
  </si>
  <si>
    <t>20251756</t>
  </si>
  <si>
    <t xml:space="preserve">FAC. 2507HY0909562 DU          15/07/2025 JS25005601 - ATELIER CUISINE - 16 JUILLET                   </t>
  </si>
  <si>
    <t>JS25005601</t>
  </si>
  <si>
    <t>20251515</t>
  </si>
  <si>
    <t xml:space="preserve">FAC. 2507HY0955397 DU          29/07/2025 JS25006301 - ATELIER MOCKTAILS                              </t>
  </si>
  <si>
    <t>JS25006301</t>
  </si>
  <si>
    <t>20251574</t>
  </si>
  <si>
    <t xml:space="preserve">FAC. 2507HY0955426 DU          29/07/2025 JS25006401 - TACOS                                          </t>
  </si>
  <si>
    <t>JS25006401</t>
  </si>
  <si>
    <t>20251575</t>
  </si>
  <si>
    <t xml:space="preserve">FAC. 2508HY1065538 DU          04/08/2025 JS25006701 - BRUNCH                                         </t>
  </si>
  <si>
    <t>JS25006701</t>
  </si>
  <si>
    <t>20251604</t>
  </si>
  <si>
    <t xml:space="preserve">FAC. 2508HY1098007 DU          06/08/2025 JS25006801 - MEILLEUR PATISSIER                             </t>
  </si>
  <si>
    <t>JS25006801</t>
  </si>
  <si>
    <t>20251666</t>
  </si>
  <si>
    <t xml:space="preserve">FAC. 2508HY1098023 DU          06/08/2025 JS25006501 - GOUTER 1ERE QUINZAINE D AOUT                   </t>
  </si>
  <si>
    <t>JS25006501</t>
  </si>
  <si>
    <t>20251668</t>
  </si>
  <si>
    <t xml:space="preserve">FAC. 52040202244 DU 23/07/2025 JS25006001 - ATELIER COOKIE                                 </t>
  </si>
  <si>
    <t>JS25006001</t>
  </si>
  <si>
    <t>20251671</t>
  </si>
  <si>
    <t xml:space="preserve">FAC. 2508HY1144960 DU          08/08/2025 REPAS SOIREE                                                </t>
  </si>
  <si>
    <t>JS25007001</t>
  </si>
  <si>
    <t>20251719</t>
  </si>
  <si>
    <t xml:space="preserve">FAC. 2508HY1155834 DU          21/08/2025 VEILLEE MARIO/PIZZA19/08ELEMENTAIRES                        </t>
  </si>
  <si>
    <t>CL25015801</t>
  </si>
  <si>
    <t>20251738</t>
  </si>
  <si>
    <t xml:space="preserve">FAC. 52090202245 DU 28/07/2025 JS25006201 - MOELLEUX AUX CHOCOLAT                          </t>
  </si>
  <si>
    <t>JS25006201</t>
  </si>
  <si>
    <t>20251672</t>
  </si>
  <si>
    <t xml:space="preserve">FAC. 2508HY1118243 DU          12/08/2025 JS25006901 - MUFFINS                                        </t>
  </si>
  <si>
    <t>JS25006901</t>
  </si>
  <si>
    <t>20251685</t>
  </si>
  <si>
    <t xml:space="preserve">FAC. 2504HY0478532 DU          10/04/2025 JS25003101 - INGREDIENTS CRÊPE PARTY LE 15/04               </t>
  </si>
  <si>
    <t>JS25003101</t>
  </si>
  <si>
    <t>20250713</t>
  </si>
  <si>
    <t>FAC. 2506HY0832820 DU          26/06/2025 JS25009001 - Buffet Dinatoire soirée portes ouvertes Parents</t>
  </si>
  <si>
    <t>JS25009001</t>
  </si>
  <si>
    <t>20251255</t>
  </si>
  <si>
    <t>FAC. 2507HY0871173 DU          04/07/2025 JS25009101 - Organisation d'une soirée Barbecue environ 25 p</t>
  </si>
  <si>
    <t>JS25009101</t>
  </si>
  <si>
    <t>20251364</t>
  </si>
  <si>
    <t xml:space="preserve">FAC. 2508HY1126444 DU          13/08/2025 JS25009201 - Gouter structure Juillet / Aôut                </t>
  </si>
  <si>
    <t>JS25009201</t>
  </si>
  <si>
    <t>20251700</t>
  </si>
  <si>
    <t xml:space="preserve">FAC. 2508HY1115942 DU          11/08/2025 CL25019301 - GATEAUX, BOISSONS, GLACES, BONBONS ...         </t>
  </si>
  <si>
    <t>CL25019301</t>
  </si>
  <si>
    <t>20251679</t>
  </si>
  <si>
    <t xml:space="preserve">FAC. 543 DU 27/08/2025 MINI VIENNOISERIES                                          </t>
  </si>
  <si>
    <t>RS25009401</t>
  </si>
  <si>
    <t>20251835</t>
  </si>
  <si>
    <t xml:space="preserve">FAC. 2509HY1235846 DU          09/09/2025 JUS DE FRUTS CEREALE LAIT                                   </t>
  </si>
  <si>
    <t>CL25018601</t>
  </si>
  <si>
    <t>20251851</t>
  </si>
  <si>
    <t xml:space="preserve">FAC. 2509HY1235800 DU          09/09/2025 JUS DE FRUITS CEREALE LAIT ...                              </t>
  </si>
  <si>
    <t>CL25018701</t>
  </si>
  <si>
    <t>20251852</t>
  </si>
  <si>
    <t xml:space="preserve">REGULARISATION INTERMARCHE BUFFET CME 23/07/25                                                    </t>
  </si>
  <si>
    <t>CMJ</t>
  </si>
  <si>
    <t xml:space="preserve">REGALARISATION BUFFET SOIREE CLOTURE 17/07/25                                                    </t>
  </si>
  <si>
    <t xml:space="preserve">AUCHAN BUFFET -CME                                                 </t>
  </si>
  <si>
    <t xml:space="preserve">REGULARISATION REPAS ANILS SORTIE LA CERISE SUR LE GATEAU                                     </t>
  </si>
  <si>
    <t xml:space="preserve">REGULARISATION FRANPRIX ESPACE ADOS OEUF PATISSERIE                                 </t>
  </si>
  <si>
    <t xml:space="preserve">REGULARISATION REPAS ANIMS SORTIE SENAT                                                             </t>
  </si>
  <si>
    <t>CMMF</t>
  </si>
  <si>
    <t xml:space="preserve">REGULARISATION PETIT DEJEUNER RENTREE AGENT                                                             </t>
  </si>
  <si>
    <t xml:space="preserve">REPAS FORMATION ET SEMINAIRE CODIR                                                             </t>
  </si>
  <si>
    <t>0-FI</t>
  </si>
  <si>
    <t xml:space="preserve">ALIMENTATION SALLE DE REUNION MAIRE                                                             </t>
  </si>
  <si>
    <t>FAC. 2507HY0848407 DU          30/06/2025 JS25004501 - SOIRÉE CLOTURE CME SOIRÉE CLOTURE CMEBUFFET AVE</t>
  </si>
  <si>
    <t>JS25004501</t>
  </si>
  <si>
    <t>20251279</t>
  </si>
  <si>
    <t>FAC. 2507HY0871172 DU          04/07/2025 JS25007801 - BUFFET PORTE OUVERTE PS MATER - JUILLET PORTE O</t>
  </si>
  <si>
    <t>JS25007801</t>
  </si>
  <si>
    <t>20251366</t>
  </si>
  <si>
    <t xml:space="preserve">FAC. 2507HY0939781 DU          18/07/2025 CL25014701 - REPAS ANIMS SEJOUR 3 REPAS ANIMS SEJOUR 3      </t>
  </si>
  <si>
    <t>CL25014701</t>
  </si>
  <si>
    <t>20251534</t>
  </si>
  <si>
    <t xml:space="preserve">FAC. 2507HY0947278 DU          26/07/2025 CL25014601 - REPAS ANIMS SEJOUR 2 REPAS ANIMS SEJOUR 2      </t>
  </si>
  <si>
    <t>CL25014601</t>
  </si>
  <si>
    <t>20251545</t>
  </si>
  <si>
    <t xml:space="preserve">FAC. 2507HY0947245 DU          26/07/2025 CL25014801 - REPAS ANIMS SEJOUR 4 REPAS ANIMS SEJOUR 4      </t>
  </si>
  <si>
    <t>CL25014801</t>
  </si>
  <si>
    <t>20251546</t>
  </si>
  <si>
    <t xml:space="preserve">FAC. 51190102509 DU 29/04/2025 CL25003801 - GOUTER + PETIT DEJEUNER 2025                   </t>
  </si>
  <si>
    <t>CL25003801</t>
  </si>
  <si>
    <t>20250930</t>
  </si>
  <si>
    <t>FAC. 51040102505 DU 14/04/2025 JS25002101 - ATELIER PATISSERIE SEMAINE 01 VACS PRINTEMPS 20</t>
  </si>
  <si>
    <t>JS25002101</t>
  </si>
  <si>
    <t>20250935</t>
  </si>
  <si>
    <t xml:space="preserve">FAC. 2507HY0891195 DU          09/07/2025 JS25005401 - ATELIER PATISSERIE : DESSERT MAISON DU 10/07   </t>
  </si>
  <si>
    <t>JS25005401</t>
  </si>
  <si>
    <t>20251413</t>
  </si>
  <si>
    <t xml:space="preserve">FAC. 2507HY0891196 DU          09/07/2025 JS25005301 - ATELIER TOP CHEF                               </t>
  </si>
  <si>
    <t>JS25005301</t>
  </si>
  <si>
    <t>20251414</t>
  </si>
  <si>
    <t xml:space="preserve">FAC. 2507HY0902191 DU          11/07/2025 JS25005501 - SOIREE CLUEDO                                  </t>
  </si>
  <si>
    <t>JS25005501</t>
  </si>
  <si>
    <t>20251433</t>
  </si>
  <si>
    <t xml:space="preserve">FAC. 2507HY0909603 DU          15/07/2025 JS25005701 - SMOOTHIE MAISON                                </t>
  </si>
  <si>
    <t>JS25005701</t>
  </si>
  <si>
    <t>20251510</t>
  </si>
  <si>
    <t xml:space="preserve">FAC. 2507HY0909544 DU          15/07/2025 JS25005801 - STAND SUCREE                                   </t>
  </si>
  <si>
    <t>JS25005801</t>
  </si>
  <si>
    <t>20251511</t>
  </si>
  <si>
    <t xml:space="preserve">FAC. 2507HY0939847 DU          23/07/2025 JS25005001 - GOUTERS 2EME QUINZAINE JUILLET                 </t>
  </si>
  <si>
    <t>JS25005001</t>
  </si>
  <si>
    <t>20251535</t>
  </si>
  <si>
    <t xml:space="preserve">FAC. 2507HY0939861 DU          18/07/2025 JS25005901 - VEILLEE PIZZA - 18 JUILLET                     </t>
  </si>
  <si>
    <t>JS25005901</t>
  </si>
  <si>
    <t>20251541</t>
  </si>
  <si>
    <t xml:space="preserve">FAC. 2507HY0939855 DU          23/07/2025 JS25006101 - KFC MAISON                                     </t>
  </si>
  <si>
    <t>JS25006101</t>
  </si>
  <si>
    <t>20251538</t>
  </si>
  <si>
    <t>FAC. 51680202239 DU 17/06/2025 CU25001001 - ALIMENTATION BOISSONS POUR LE BUFFET DE  BUFFET</t>
  </si>
  <si>
    <t>20251386</t>
  </si>
  <si>
    <t xml:space="preserve">FAC. 2508HY1145387 DU          19/08/2025 JS25007201 - CREATION DE SORBET                             </t>
  </si>
  <si>
    <t>JS25007201</t>
  </si>
  <si>
    <t>20251720</t>
  </si>
  <si>
    <t xml:space="preserve">FAC. 2508HY1145387 DU          19/08/2025 JS25007301 - LASAGNES                                       </t>
  </si>
  <si>
    <t>JS25007301</t>
  </si>
  <si>
    <t xml:space="preserve">FAC. 2508HY1169579 DU          25/08/2025 JS25007401 - BROCHETTES DE FRUIT                            </t>
  </si>
  <si>
    <t>JS25007401</t>
  </si>
  <si>
    <t>20251909</t>
  </si>
  <si>
    <t xml:space="preserve">RATT FAC. 2412HY1348323 DU          30/12/2024 JS25000301 - SOIREE HAPPY NEW YEAR DU 02 JANVIER            </t>
  </si>
  <si>
    <t>JS25000301</t>
  </si>
  <si>
    <t>20234612</t>
  </si>
  <si>
    <t xml:space="preserve">FAC. 2508HY1174218 DU          26/08/2025 JS25006601 - GOUTER 2EME QUINZAINE D AOUT                   </t>
  </si>
  <si>
    <t>JS25006601</t>
  </si>
  <si>
    <t>20251918</t>
  </si>
  <si>
    <t xml:space="preserve">FAC. 2504HY0536164 DU          24/04/2025 CL25008401 - PATISSERIE VAC DAVRIL ELEM 3                   </t>
  </si>
  <si>
    <t>CL25008401</t>
  </si>
  <si>
    <t>20250785</t>
  </si>
  <si>
    <t xml:space="preserve">FAC. 2504HY0524485 DU          22/04/2025 CL25006701 - VEILLEE FONDUE CHOCOLAT                        </t>
  </si>
  <si>
    <t>CL25006701</t>
  </si>
  <si>
    <t>20250870</t>
  </si>
  <si>
    <t xml:space="preserve">FAC. 2508HY1126494 DU          13/08/2025 CL25013901 - ATELIER PATISSERIE AOUT ELEM 2                 </t>
  </si>
  <si>
    <t>CL25013901</t>
  </si>
  <si>
    <t>20251699</t>
  </si>
  <si>
    <t xml:space="preserve">FAC. 2508HY1174188 DU          26/08/2025 CL25013501 - ATELIER PATISSERIE AOUT MATER 2                </t>
  </si>
  <si>
    <t>CL25013501</t>
  </si>
  <si>
    <t>20251915</t>
  </si>
  <si>
    <t xml:space="preserve">FAC. 2508HY1174272 DU          26/08/2025 CL25015901 - VEILLEE QUIZZ/ REPAS26/08                      </t>
  </si>
  <si>
    <t>CL25015901</t>
  </si>
  <si>
    <t>20251919</t>
  </si>
  <si>
    <t xml:space="preserve">FAC. 52130202247 DU 01/08/2025 JS25005201 - CREPE PARTY                                    </t>
  </si>
  <si>
    <t>JS25005201</t>
  </si>
  <si>
    <t>20251935</t>
  </si>
  <si>
    <t>FAC. 52410202250 DU 29/08/2025 CU25003201 - ALIMENTATIONS, BOISSONS POUR LA RENTREE  ALIMEN</t>
  </si>
  <si>
    <t>CU25003201</t>
  </si>
  <si>
    <t>20251936</t>
  </si>
  <si>
    <t>FAC. ECO5 DU 30/06/2025 RS25001301 - PAIN ACCUEIL PERISCOLAIRE CENTRE DE LOISIRS LOU</t>
  </si>
  <si>
    <t>20251949</t>
  </si>
  <si>
    <t>FAC. 02/2025 DU 09/09/2025 CU25004001 - REPAS DES AGENTS POUR LE FORUM DES ASSOCIATIONS</t>
  </si>
  <si>
    <t>CU25004001</t>
  </si>
  <si>
    <t>1494</t>
  </si>
  <si>
    <t xml:space="preserve">AMITIE FRANCO PORTUGAISE </t>
  </si>
  <si>
    <t>20251955</t>
  </si>
  <si>
    <t>FAC. 01/2025 DU 09/09/2025 CU25004001 - REPAS DES AGENTS POUR LE FORUM DES ASSOCIATIONS</t>
  </si>
  <si>
    <t>20251956</t>
  </si>
  <si>
    <t xml:space="preserve">FAC. 2509HY1273344 DU          17/09/2025 JS25010101 - SOIREE FAJITAS DU 12/09/2025                   </t>
  </si>
  <si>
    <t>JS25010101</t>
  </si>
  <si>
    <t>20251964</t>
  </si>
  <si>
    <t xml:space="preserve">FAC. 2506HY0758680 DU 10/06/2025 ME25002601 - Café, thé, boissons, gâteaux sucrés/salés      </t>
  </si>
  <si>
    <t>ME25002601</t>
  </si>
  <si>
    <t>RAM</t>
  </si>
  <si>
    <t>20251978</t>
  </si>
  <si>
    <t xml:space="preserve">FAC. 548 DU 07/09/2025 PETIT DEJEUNER POUR LA BROCANTE  PETIT DEJEUNER POUR LES EL </t>
  </si>
  <si>
    <t>CU25003401</t>
  </si>
  <si>
    <t>20252016</t>
  </si>
  <si>
    <t>FAC. 519 DU 17/05/2025 CL25010001 - REPAS ANIMS REUNION ETE 17 MAI REPAS ANIMATEURS</t>
  </si>
  <si>
    <t>CL25010001</t>
  </si>
  <si>
    <t>20251046</t>
  </si>
  <si>
    <t xml:space="preserve">ALIMENTATION BUREAU DU MAIRE                                                             </t>
  </si>
  <si>
    <t xml:space="preserve">FAC. 2510HY1385917 DU          02/10/2025 CL25014101 - ATELIER PATISSERIE AOUT ELEM 4                 </t>
  </si>
  <si>
    <t>CL25014101</t>
  </si>
  <si>
    <t>20252058</t>
  </si>
  <si>
    <t xml:space="preserve">FAC. 2510HY1386030 DU          02/10/2025 CL25013701 - ATELIER PATISSERIE AOUT MATER 4                </t>
  </si>
  <si>
    <t>CL25013701</t>
  </si>
  <si>
    <t>20252059</t>
  </si>
  <si>
    <t xml:space="preserve">FAC. 2510HY1385970 DU          02/10/2025 CL25013601 - ATELIER PATISSERIE AOUT MATER 3                </t>
  </si>
  <si>
    <t>CL25013601</t>
  </si>
  <si>
    <t>20252060</t>
  </si>
  <si>
    <t xml:space="preserve">FAC. 2510HY1386118 DU          02/10/2025 CL25014001 - ATELIER PATISSERIE AOUT ELEM 3                 </t>
  </si>
  <si>
    <t>CL25014001</t>
  </si>
  <si>
    <t>20252061</t>
  </si>
  <si>
    <t xml:space="preserve">FAC. 2510HY1386067 DU          02/10/2025 CL25011701 - ATELIER PATISSERIE JUILLET MATER 8             </t>
  </si>
  <si>
    <t>CL25011701</t>
  </si>
  <si>
    <t>20252062</t>
  </si>
  <si>
    <t xml:space="preserve">REGULARISATION MOIS OCTOBRE-ETAT 9                                                             </t>
  </si>
  <si>
    <t xml:space="preserve">REGULARISATION MOIS OCTOBRE-ETAT 10                                                             </t>
  </si>
  <si>
    <t>FAC. 52680202257 DU 25/09/2025 CU25003701 - BUFFET DE LA BIENNALE  BUFFET DE LA BIENNALE LE</t>
  </si>
  <si>
    <t>CU25003701</t>
  </si>
  <si>
    <t>20252085</t>
  </si>
  <si>
    <t xml:space="preserve">FAC. 549 DU 10/09/2025 REPAS ADULTES GREVE DU 10 SEPTEMBRE OUVERTURE ACCU EIL LOUI </t>
  </si>
  <si>
    <t>RS25011301</t>
  </si>
  <si>
    <t>20252142</t>
  </si>
  <si>
    <t>FAC. 559 DU 30/09/2025 RS25009001 - PAIN RESTAURANT COMMUNALMOIS DE SEPTEMBRE ET NO</t>
  </si>
  <si>
    <t>RS25009001</t>
  </si>
  <si>
    <t>20252143</t>
  </si>
  <si>
    <t>FAC. 558 DU 30/09/2025 RS25000801 - PAIN ACCUEIL PERISCOLAIRE CENTRE DE LOISIRS LOU</t>
  </si>
  <si>
    <t>20252144</t>
  </si>
  <si>
    <t>FAC. 557 DU 30/09/2025 RS25000701 - PAIN ACCUEIL PERISCOLAIRE CENTRE DE LOISIRS PET</t>
  </si>
  <si>
    <t>20252145</t>
  </si>
  <si>
    <t xml:space="preserve">FAC. 556 DU 30/09/2025 RS25000901 - PAIN ACCUEIL PERISCOLAIRE JP1MOIS DE JANVIER - </t>
  </si>
  <si>
    <t>20252146</t>
  </si>
  <si>
    <t>FAC. 555 DU 30/09/2025 RS25000601 - PAIN POUR LA RESTAURATION SCOLAIREMOIS DE JANVI</t>
  </si>
  <si>
    <t>20252147</t>
  </si>
  <si>
    <t xml:space="preserve">FAC. 550 DU 18/09/2025 REPAS ADULTES GREVE DU 18 SEPTEMBRE RESTAURATION A TSEM SAN </t>
  </si>
  <si>
    <t>RS25011501</t>
  </si>
  <si>
    <t>20252158</t>
  </si>
  <si>
    <t xml:space="preserve">FAC. 2510HY1408417 DU          08/10/2025 CL25022801 - GOUTERS ET PETITS DEJEUNERS OCTOBRE 1          </t>
  </si>
  <si>
    <t>CL25022801</t>
  </si>
  <si>
    <t>20252138</t>
  </si>
  <si>
    <t xml:space="preserve">FAC. 2509HY1273428 DU          17/09/2025 PATISSERIE JUILLET ELEM 7                                   </t>
  </si>
  <si>
    <t>CL25012801</t>
  </si>
  <si>
    <t>20251961</t>
  </si>
  <si>
    <t xml:space="preserve">FAC. 2509HY1273391 DU          17/09/2025 ATELIER PATISSERIE JUILLET MATER 7                          </t>
  </si>
  <si>
    <t>CL25011601</t>
  </si>
  <si>
    <t>20251962</t>
  </si>
  <si>
    <t xml:space="preserve">FAC. 2509HY1273287 DU          17/09/2025 PATISSERIE JUILLET ELEM 6                                   </t>
  </si>
  <si>
    <t>CL25012701</t>
  </si>
  <si>
    <t>20251963</t>
  </si>
  <si>
    <t xml:space="preserve">FAC. 2509HY1273469 DU          17/09/2025 PATISSERIE JUILLET ELEM 8                                   </t>
  </si>
  <si>
    <t>CL25012901</t>
  </si>
  <si>
    <t>20251965</t>
  </si>
  <si>
    <t xml:space="preserve">FAC. 2510HY1460408 DU          20/10/2025 PATISSERIE VAC D OCTOBRE ELEM 1                             </t>
  </si>
  <si>
    <t>CL25024301</t>
  </si>
  <si>
    <t>20252185</t>
  </si>
  <si>
    <t xml:space="preserve">FAC. 52520102550 DU 09/09/2025 CL25009701 - GOUTER + PETIT DEJEUNER SEPTEMBRE 2025         </t>
  </si>
  <si>
    <t>CL25009701</t>
  </si>
  <si>
    <t>20252084</t>
  </si>
  <si>
    <t xml:space="preserve">FAC. 2510HY1460421 DU          20/10/2025 PATISSERIE VAC D OCTOBRE MATER 1                            </t>
  </si>
  <si>
    <t>CL25024201</t>
  </si>
  <si>
    <t>20252187</t>
  </si>
  <si>
    <t xml:space="preserve">FAC. 2510HY1490183 DU          27/10/2025 BONBONS POUR LE 31 MATERNELS                                </t>
  </si>
  <si>
    <t>CL25024601</t>
  </si>
  <si>
    <t>20252236</t>
  </si>
  <si>
    <t xml:space="preserve">FAC. 2510HY1490222 DU          27/10/2025 REPAS D HALLOWEEN 21 OCTOBRE                                </t>
  </si>
  <si>
    <t>CL25024101</t>
  </si>
  <si>
    <t>20252237</t>
  </si>
  <si>
    <t xml:space="preserve">FAC. 2504HY0495241 DU          14/04/2025 GOUTERS VACANCES PRINTEMPS 2025                             </t>
  </si>
  <si>
    <t>JS25002001</t>
  </si>
  <si>
    <t>20250726</t>
  </si>
  <si>
    <t xml:space="preserve">FAC. 2510HY1439105 DU          15/10/2025 YAOURTS, GATEAUX, JUS, VIENOISERIES ...                     </t>
  </si>
  <si>
    <t>CL25024901</t>
  </si>
  <si>
    <t>20252171</t>
  </si>
  <si>
    <t xml:space="preserve">FAC. 2510HY1439089 DU          15/10/2025 BONBONS                                                     </t>
  </si>
  <si>
    <t>CL25025701</t>
  </si>
  <si>
    <t>20252173</t>
  </si>
  <si>
    <t xml:space="preserve">FAC. 2510HY1439100 DU          15/10/2025 BOISSONS GATEAUX                                            </t>
  </si>
  <si>
    <t>CL25025501</t>
  </si>
  <si>
    <t>20252174</t>
  </si>
  <si>
    <t xml:space="preserve">FAC. 2510HY1464546 DU          21/10/2025 GOUTERS VACANCES AUTOMNE 2025                               </t>
  </si>
  <si>
    <t>JS25010501</t>
  </si>
  <si>
    <t>20252202</t>
  </si>
  <si>
    <t xml:space="preserve">FAC. 2510HY1469956 DU          22/10/2025 REPAS SEMAINE 01 VACS AUTOMNE 2025                          </t>
  </si>
  <si>
    <t>JS25010701</t>
  </si>
  <si>
    <t>20252212</t>
  </si>
  <si>
    <t xml:space="preserve">FAC. 2510HY1470003 DU          22/10/2025 INGREDIENTS POUR ATELIER PIZZA DU 22.10.25                  </t>
  </si>
  <si>
    <t>JS25012901</t>
  </si>
  <si>
    <t>20252213</t>
  </si>
  <si>
    <t xml:space="preserve">FAC. 2510HY1481763 DU          24/10/2025 GOUTER OCTOBRE - NOVEMBRE - DECEMBRE 2025                   </t>
  </si>
  <si>
    <t>JS25012801</t>
  </si>
  <si>
    <t>20252225</t>
  </si>
  <si>
    <t xml:space="preserve">FAC. 2510HY1497315 DU          28/10/2025 CHASSE AUX BONBONS VACS AUTOMNE 2025                        </t>
  </si>
  <si>
    <t>JS25011001</t>
  </si>
  <si>
    <t>20252259</t>
  </si>
  <si>
    <t xml:space="preserve">FAC. 2510HY1500116 DU          29/10/2025 REPAS SEMAINE 02 VACS AUTOMNE 2025                          </t>
  </si>
  <si>
    <t>JS25010901</t>
  </si>
  <si>
    <t>20252277</t>
  </si>
  <si>
    <t xml:space="preserve">FAC. 2511HY1511285 DU          31/10/2025 FRIANDISES POUR HALLOWEEN                                   </t>
  </si>
  <si>
    <t>CL25026001</t>
  </si>
  <si>
    <t>20252303</t>
  </si>
  <si>
    <t xml:space="preserve">FAC. 2511HY1511353 DU          31/10/2025 YAOURTS GATEAUX VIENOISERIES JUS DE FRUITS ...              </t>
  </si>
  <si>
    <t>CL25025001</t>
  </si>
  <si>
    <t>20252304</t>
  </si>
  <si>
    <t xml:space="preserve">REGULARISATION RA 20052 ETATS 3 ET 9                                                             </t>
  </si>
  <si>
    <t xml:space="preserve">REGULARISATION RA 20052 ETATS 2 ET 4                                                             </t>
  </si>
  <si>
    <t xml:space="preserve">REGULARISATION RA 20052 ETAT 5                                                             </t>
  </si>
  <si>
    <t xml:space="preserve">REGULARISATION RA 20052 ETAT 7                                                             </t>
  </si>
  <si>
    <t>PGFF</t>
  </si>
  <si>
    <t xml:space="preserve">FAC. 2507HY0876731 DU          05/07/2025 REPAS ANIMS SEJOUR                                          </t>
  </si>
  <si>
    <t>CL25014501</t>
  </si>
  <si>
    <t>20251345</t>
  </si>
  <si>
    <t xml:space="preserve">FAC. 2511HY1517812 DU          03/11/2025 BUFFET SOIREE ELECTION CME                                  </t>
  </si>
  <si>
    <t>JS25012501</t>
  </si>
  <si>
    <t>20252314</t>
  </si>
  <si>
    <t xml:space="preserve">FAC. 2511HY1533354 DU          06/11/2025 GOUTERS TELETHON NOVEMBRE 2025                              </t>
  </si>
  <si>
    <t>JS25013801</t>
  </si>
  <si>
    <t>20252391</t>
  </si>
  <si>
    <t xml:space="preserve">FAC. 2511HY1587821 DU          19/11/2025 ALIMENTATION + DECO BUFFET POUR LES PARENTS NOV 25          </t>
  </si>
  <si>
    <t>CL25010601</t>
  </si>
  <si>
    <t>20252467</t>
  </si>
  <si>
    <t xml:space="preserve">FAC. 2511HY1600560 DU          21/11/2025 JUS DE FRUITS ET CHOCOLATS DE NOEL                          </t>
  </si>
  <si>
    <t>SC25018801</t>
  </si>
  <si>
    <t>20252493</t>
  </si>
  <si>
    <t xml:space="preserve">FAC. 52800102559 DU 07/10/2025 GOUTER + PETIT DEJEUNER OCTOBRE 2025                        </t>
  </si>
  <si>
    <t>CL25009801</t>
  </si>
  <si>
    <t>20252382</t>
  </si>
  <si>
    <t xml:space="preserve">FAC. 15 OC BIS DU 31/10/2025 PAIN ACCUEIL PERISCOLAIRE JP1MOIS OCTOBRE 25                </t>
  </si>
  <si>
    <t>20252469</t>
  </si>
  <si>
    <t xml:space="preserve">FAC. 18 OC DU 31/10/2025 PAIN RESTAURANT COMMUNALMOIS DE FEVRIER - AOUT              </t>
  </si>
  <si>
    <t>RS25009101</t>
  </si>
  <si>
    <t>20252470</t>
  </si>
  <si>
    <t xml:space="preserve">FAC. 17 OC DU 31/10/2025 PAIN ACCUEIL PERISCOLAIRE CENTRE DE LOISIRS                 </t>
  </si>
  <si>
    <t>20252471</t>
  </si>
  <si>
    <t xml:space="preserve">FAC. 16 OC DU 31/10/2025 PAIN ACCUEIL PERISCOLAIRE CENTRE DE LOISIRS                 </t>
  </si>
  <si>
    <t>20252472</t>
  </si>
  <si>
    <t xml:space="preserve">FAC. 14 OC DU 31/10/2025 PAIN POUR LA RESTAURATION SCOLAIREMOIS OCT 25               </t>
  </si>
  <si>
    <t>20252473</t>
  </si>
  <si>
    <t xml:space="preserve">FAC. 568 DU 30/11/2025 PAIN RESTAURANT COMMUNALMOIS DE SEPTEMBRE ET NOVEMBRE 25    </t>
  </si>
  <si>
    <t>20252574</t>
  </si>
  <si>
    <t xml:space="preserve">FAC. 567 DU 30/11/2025 PAIN ACCUEIL PERISCOLAIRE CENTRE DE LOISIRS LOUISE M        </t>
  </si>
  <si>
    <t>20252575</t>
  </si>
  <si>
    <t xml:space="preserve">FAC. 566 DU 30/11/2025 PAIN ACCUEIL PERISCOLAIRE CENTRE DE LOISIRS PETIT P         </t>
  </si>
  <si>
    <t>20252576</t>
  </si>
  <si>
    <t xml:space="preserve">FAC. 565 DU 30/11/2025 PAIN ACCUEIL PERISCOLAIRE JP1MOIS NOV 25                    </t>
  </si>
  <si>
    <t>20252577</t>
  </si>
  <si>
    <t xml:space="preserve">FAC. 53080202263 DU 04/11/2025 ALIMENTATION DES BUFFETS DES CEREMONIES                     </t>
  </si>
  <si>
    <t>CU25003801</t>
  </si>
  <si>
    <t>20252668</t>
  </si>
  <si>
    <t xml:space="preserve">FAC. 53320202267 DU 28/11/2025 PETITS CHOCOLATS DE NOEL                                    </t>
  </si>
  <si>
    <t>CL25010801</t>
  </si>
  <si>
    <t>20252666</t>
  </si>
  <si>
    <t xml:space="preserve">FAC. 564 DU 30/11/2025 PAIN POUR LA RESTAURATION SCOLAIREMOIS DE NOV 25            </t>
  </si>
  <si>
    <t>20252578</t>
  </si>
  <si>
    <t xml:space="preserve">FAC. 564 DU 30/11/2025 PAIN ACCUEIL PERISCOLAIRE JP1MOIS DE NOV 2025               </t>
  </si>
  <si>
    <t xml:space="preserve">FAC. 53170102580 DU 13/11/2025 GOUTER + PETIT DEJEUNER NOVEMBRE 2025                       </t>
  </si>
  <si>
    <t>CL25010501</t>
  </si>
  <si>
    <t>20252667</t>
  </si>
  <si>
    <t xml:space="preserve">FAC. CJC15102025 DU 15/10/2025 REGULARISATION DES TICKETS REPAS POUR LE FORUM DES ASSO     </t>
  </si>
  <si>
    <t>CU25005501</t>
  </si>
  <si>
    <t>3341</t>
  </si>
  <si>
    <t xml:space="preserve">COMITE DE JUMELAGE DE CROSNE </t>
  </si>
  <si>
    <t>20252550</t>
  </si>
  <si>
    <t xml:space="preserve">FAC. 2512HY1654153 DU          02/12/2025 YAOURTS VINNOISERIES GATEAUX JUS DE FRUITS ...              </t>
  </si>
  <si>
    <t>CL25025301</t>
  </si>
  <si>
    <t>20252582</t>
  </si>
  <si>
    <t xml:space="preserve">FAC. 2512HY1654185 DU          02/12/2025 GATEAUX CHOCOLTAT LAIT JUS DE FRUITS                        </t>
  </si>
  <si>
    <t>CL25030501</t>
  </si>
  <si>
    <t>20252584</t>
  </si>
  <si>
    <t xml:space="preserve">FAC. 2512HY1654171 DU          02/12/2025 YAOURTS GATEAUX VIENNOISERIES JUS DE FRUITS ...             </t>
  </si>
  <si>
    <t>CL25025201</t>
  </si>
  <si>
    <t>20252585</t>
  </si>
  <si>
    <t xml:space="preserve">FAC. 2512HY1654191 DU          02/12/2025 CHOCOLATS DE NOEL POUR LES ENFANTS                          </t>
  </si>
  <si>
    <t>CL25027001</t>
  </si>
  <si>
    <t>20252589</t>
  </si>
  <si>
    <t>FAC. 2026 DU 21/07/2025 ME25008501 - Achat de baguettes pour accompagner les repas d</t>
  </si>
  <si>
    <t>ME25008501</t>
  </si>
  <si>
    <t>9401</t>
  </si>
  <si>
    <t xml:space="preserve">SAS LA TRADITION CROSNOISE </t>
  </si>
  <si>
    <t>20252590</t>
  </si>
  <si>
    <t>Mandat de rattachement</t>
  </si>
  <si>
    <t xml:space="preserve">RATTACHEMENT 2025 REPAS CODIR </t>
  </si>
  <si>
    <t>CRAT - RATTACHEMENT 2025 REPAS CODIR</t>
  </si>
  <si>
    <t xml:space="preserve">BUFFET DE NOEL POUR LES PARENTS SUCRE /SALE </t>
  </si>
  <si>
    <t xml:space="preserve">CRAT - BUFFET DE NOEL POUR LES PARENTS SUCRE /SALE  </t>
  </si>
  <si>
    <t xml:space="preserve">PRODUITS FRAIS YAOURTS + FRUITS GOUTER JP1 </t>
  </si>
  <si>
    <t xml:space="preserve">CRAT - PRODUITS FRAIS YAOURTS + FRUITS GOUTER JP1 </t>
  </si>
  <si>
    <t xml:space="preserve">GOUTERS ET PETITS DEJEUNERS NOVEMBRE 1 </t>
  </si>
  <si>
    <t xml:space="preserve">CRAT - GOUTERS ET PETITS DEJEUNERS NOVEMBRE 1 </t>
  </si>
  <si>
    <t xml:space="preserve">GOUTERS ET PETITS DEJEUNERS DECEMBRE 1 </t>
  </si>
  <si>
    <t xml:space="preserve">CRAT - GOUTERS ET PETITS DEJEUNERS DECEMBRE 1 </t>
  </si>
  <si>
    <t xml:space="preserve">GOUTERS ET PETITS DEJEUNERS NOVEMBRE 2 </t>
  </si>
  <si>
    <t xml:space="preserve">CRAT - GOUTERS ET PETITS DEJEUNERS NOVEMBRE 2 </t>
  </si>
  <si>
    <t xml:space="preserve">GOUTERS ET PETITS DEJEUNERS DECEMBRE 2 </t>
  </si>
  <si>
    <t xml:space="preserve">CRAT - GOUTERS ET PETITS DEJEUNERS DECEMBRE 2 </t>
  </si>
  <si>
    <t xml:space="preserve">REPAS D HALLOWEEN 21 OCTOBRE </t>
  </si>
  <si>
    <t xml:space="preserve">CRAT - REPAS D HALLOWEEN 21 OCTOBRE </t>
  </si>
  <si>
    <t xml:space="preserve">PATISSERIE VAC D OCTOBRE ELEM 2 </t>
  </si>
  <si>
    <t xml:space="preserve">CRAT - PATISSERIE VAC D OCTOBRE ELEM 2 </t>
  </si>
  <si>
    <t xml:space="preserve">YAOURTS GATEAUX VIENOISERIES JUS DE FRUITS ... </t>
  </si>
  <si>
    <t xml:space="preserve">CRAT - YAOURTS GATEAUX VIENOISERIES JUS DE FRUITS ... </t>
  </si>
  <si>
    <t xml:space="preserve">YAOURTS VIENNOISERIES GATEAUX JUS DE FRUITS ... </t>
  </si>
  <si>
    <t xml:space="preserve">CRAT - YAOURTS VIENNOISERIES GATEAUX JUS DE FRUITS ... </t>
  </si>
  <si>
    <t xml:space="preserve">GATEAUX BOISSONS BONBONS </t>
  </si>
  <si>
    <t xml:space="preserve">CRAT - GATEAUX BOISSONS BONBONS  </t>
  </si>
  <si>
    <t xml:space="preserve">FARINE OEUFS CHOCOLAT... </t>
  </si>
  <si>
    <t xml:space="preserve">CRAT - FARINE OEUFS CHOCOLAT... </t>
  </si>
  <si>
    <t>CHOCOLATS BOISSONS APERITIFS INGREDIENTS POUR PREP ATION CUL INAIRE</t>
  </si>
  <si>
    <t>CRAT - CHOCOLATS BOISSONS APERITIFS INGREDIENTS POUR PREP ATION CUL</t>
  </si>
  <si>
    <t xml:space="preserve">AMUSE-BOUCHE SALEE SUCREE </t>
  </si>
  <si>
    <t xml:space="preserve">CRAT - AMUSE-BOUCHE SALEE SUCREE </t>
  </si>
  <si>
    <t xml:space="preserve">PATISSERIE VAC DE NOEL MATER 1 </t>
  </si>
  <si>
    <t xml:space="preserve">CRAT - PATISSERIE VAC DE NOEL MATER 1 </t>
  </si>
  <si>
    <t xml:space="preserve">PATISSERIE VAC DE NOEL ELEM 1 </t>
  </si>
  <si>
    <t xml:space="preserve">CRAT - PATISSERIE VAC DE NOEL ELEM 1 </t>
  </si>
  <si>
    <t xml:space="preserve">PATISSERIE VAC DE NOEL MATER 2 </t>
  </si>
  <si>
    <t xml:space="preserve">CRAT - PATISSERIE VAC DE NOEL MATER 2 </t>
  </si>
  <si>
    <t xml:space="preserve">PATISSERIE VAC DE NOEL ELEM 2 </t>
  </si>
  <si>
    <t xml:space="preserve">CRAT - PATISSERIE VAC DE NOEL ELEM 2 </t>
  </si>
  <si>
    <t xml:space="preserve">GOUTER AMELIORE VAC DE NOEL SEMAINE 1 </t>
  </si>
  <si>
    <t xml:space="preserve">CRAT - GOUTER AMELIORE VAC DE NOEL SEMAINE 1 </t>
  </si>
  <si>
    <t xml:space="preserve">GOUTER AMELIORE VAC DE NOEL SEMAINE 2 </t>
  </si>
  <si>
    <t xml:space="preserve">CRAT - GOUTER AMELIORE VAC DE NOEL SEMAINE 2 </t>
  </si>
  <si>
    <t xml:space="preserve">VEILLEE TARTIFLETTE </t>
  </si>
  <si>
    <t xml:space="preserve">CRAT - VEILLEE TARTIFLETTE </t>
  </si>
  <si>
    <t xml:space="preserve">FARINE, BEURRE, OEUFS ... </t>
  </si>
  <si>
    <t xml:space="preserve">CRAT - FARINE, BEURRE, OEUFS ... </t>
  </si>
  <si>
    <t xml:space="preserve">VEILLEE RACLETTE </t>
  </si>
  <si>
    <t xml:space="preserve">CRAT - VEILLEE RACLETTE </t>
  </si>
  <si>
    <t xml:space="preserve">GOUTER AMELIORE CHOCOLATS </t>
  </si>
  <si>
    <t xml:space="preserve">CRAT - GOUTER AMELIORE CHOCOLATS </t>
  </si>
  <si>
    <t xml:space="preserve">RATTACHEMENT 2025 REUNION PM ET BAILLEURS </t>
  </si>
  <si>
    <t>CRAT - RATTACHEMENT 2025 REUNION PM ET BAILLEURS</t>
  </si>
  <si>
    <t>ACHAT D'OEUFS EN CHOCOLAT  ACHAT D'OEUFS EN CHOCOLATS POUR L A CHASSE AUX OEUF</t>
  </si>
  <si>
    <t>CRAT - ACHAT D'OEUFS EN CHOCOLAT  ACHAT D'OEUFS EN CHOCOLATS POUR L</t>
  </si>
  <si>
    <t xml:space="preserve">ACHAT DE BONBONS POUR LE MARCHE DE NOEL  ACHAT DE BONBONS PO UR LE MARCHE DE NOEL </t>
  </si>
  <si>
    <t>CRAT - ACHAT DE BONBONS POUR LE MARCHE DE NOEL  ACHAT DE BONBONS PO</t>
  </si>
  <si>
    <t xml:space="preserve">RATTACHEMENT 2025  REPAS LOTO CLUB ADOS </t>
  </si>
  <si>
    <t>CRAT - RATTACHEMENT 2025  REPAS LOTO CLUB ADOS</t>
  </si>
  <si>
    <t xml:space="preserve">ATELIER PATISSERIE SEMAINE 01 VACS AUTOMNE 2025 </t>
  </si>
  <si>
    <t xml:space="preserve">CRAT - ATELIER PATISSERIE SEMAINE 01 VACS AUTOMNE 2025 </t>
  </si>
  <si>
    <t xml:space="preserve">ATELIER PATISSERIE SEMAINE 02 VACS AUTOMNE 2025 </t>
  </si>
  <si>
    <t xml:space="preserve">CRAT - ATELIER PATISSERIE SEMAINE 02 VACS AUTOMNE 2025 </t>
  </si>
  <si>
    <t xml:space="preserve">GOUTERS VACANCES DE NOEL 2025 </t>
  </si>
  <si>
    <t xml:space="preserve">CRAT - GOUTERS VACANCES DE NOEL 2025 </t>
  </si>
  <si>
    <t xml:space="preserve">REPAS AU CLUB 01 VACANCES DE NOEL 2025 </t>
  </si>
  <si>
    <t xml:space="preserve">CRAT - REPAS AU CLUB 01 VACANCES DE NOEL 2025 </t>
  </si>
  <si>
    <t xml:space="preserve">REPAS AU CLUB 02 VACANCES DE NOEL 2025 </t>
  </si>
  <si>
    <t xml:space="preserve">CRAT - REPAS AU CLUB 02 VACANCES DE NOEL 2025 </t>
  </si>
  <si>
    <t xml:space="preserve">ATELIER PATISSERIE 01 VACANCES DE NOEL 2025 </t>
  </si>
  <si>
    <t xml:space="preserve">CRAT - ATELIER PATISSERIE 01 VACANCES DE NOEL 2025 </t>
  </si>
  <si>
    <t xml:space="preserve">SOIREE VACANCES DE NOEL 2025 </t>
  </si>
  <si>
    <t xml:space="preserve">CRAT - SOIREE VACANCES DE NOEL 2025 </t>
  </si>
  <si>
    <t xml:space="preserve">ATELIER PATISSERIE GATEAU DE BONBONS VACANCES DE N OEL </t>
  </si>
  <si>
    <t>CRAT - ATELIER PATISSERIE GATEAU DE BONBONS VACANCES DE N OEL</t>
  </si>
  <si>
    <t xml:space="preserve">ATELIER PATISSERIE CREPES PARTY DU 12/11 </t>
  </si>
  <si>
    <t xml:space="preserve">CRAT - ATELIER PATISSERIE CREPES PARTY DU 12/11 </t>
  </si>
  <si>
    <t xml:space="preserve">ATELIER PATISSERIE COOKIES DE NOEL DU 03/12 </t>
  </si>
  <si>
    <t xml:space="preserve">CRAT - ATELIER PATISSERIE COOKIES DE NOEL DU 03/12 </t>
  </si>
  <si>
    <t>course alimentaire pour la prestation du comédien  David DES CLOS le 21/11</t>
  </si>
  <si>
    <t>CRAT - course alimentaire pour la prestation du comédien  David DES</t>
  </si>
  <si>
    <t xml:space="preserve">course pour le BAL D'HIVER pour 60 personnes </t>
  </si>
  <si>
    <t xml:space="preserve">CRAT - course pour le BAL D'HIVER pour 60 personnes  </t>
  </si>
  <si>
    <t xml:space="preserve">Course fin d'année  (café, goûter jeunes, farine e tc) </t>
  </si>
  <si>
    <t>CRAT - Course fin d'année  (café, goûter jeunes, farine e tc)</t>
  </si>
  <si>
    <t>Achat de baguettes pour accompagner les repas des  enfants d e la MPE de l'année 2025.</t>
  </si>
  <si>
    <t>CRAT - Achat de baguettes pour accompagner les repas des  enfants d</t>
  </si>
  <si>
    <t>PAIN POUR LA RESTAURATION SCOLAIREMOIS DE FEVRIER  - AVRIL -  JUIN - OCTOBRE - DECEMBRE</t>
  </si>
  <si>
    <t>CRAT - PAIN POUR LA RESTAURATION SCOLAIREMOIS DE FEVRIER  - AVRIL -</t>
  </si>
  <si>
    <t>PAIN ACCUEIL PERISCOLAIRE CENTRE DE LOISIRS PETIT  PRINCEMOI S DE FEVRIER - AVRIL - JUIN - OCTOBRE - D</t>
  </si>
  <si>
    <t>CRAT - PAIN ACCUEIL PERISCOLAIRE CENTRE DE LOISIRS PETIT  PRINCEMOI</t>
  </si>
  <si>
    <t xml:space="preserve">PAIN ACCUEIL PERISCOLAIRE CENTRE DE LOISIRS LOUISE  MICHELMO IS DE FEVRIER - AVRIL - JUIN - OCTOBRE - </t>
  </si>
  <si>
    <t>CRAT - PAIN ACCUEIL PERISCOLAIRE CENTRE DE LOISIRS LOUISE  MICHELMO</t>
  </si>
  <si>
    <t>PAIN ACCUEIL PERISCOLAIRE JP1MOIS DE FEVRIER - AVR IL - JUIN  - OCTOBRE - DECEMBRE</t>
  </si>
  <si>
    <t>CRAT - PAIN ACCUEIL PERISCOLAIRE JP1MOIS DE FEVRIER - AVR IL - JUIN</t>
  </si>
  <si>
    <t>PAIN RESTAURANT COMMUNALMOIS DE FEVRIER - AVRIL -  JUIN - AO UT / OCTOBRE - DECEMBRE</t>
  </si>
  <si>
    <t>CRAT - PAIN RESTAURANT COMMUNALMOIS DE FEVRIER - AVRIL -  JUIN - AO</t>
  </si>
  <si>
    <t>PAIN RESTAURANT COMMUNALMOIS DE FEVRIER - AOUT OCT OBRE ET D ECEMBRE</t>
  </si>
  <si>
    <t>CRAT - PAIN RESTAURANT COMMUNALMOIS DE FEVRIER - AOUT OCT OBRE ET D</t>
  </si>
  <si>
    <t>MINI VIENNOISERIES POUR LE GOUTER DE NOEL DES ECOL ES MATERN ELLES</t>
  </si>
  <si>
    <t>CRAT - MINI VIENNOISERIES POUR LE GOUTER DE NOEL DES ECOL ES MATERN</t>
  </si>
  <si>
    <t xml:space="preserve"> Service</t>
  </si>
  <si>
    <t>Tranches</t>
  </si>
  <si>
    <t>EXT</t>
  </si>
  <si>
    <t>Plus de 18 000€</t>
  </si>
  <si>
    <t>A</t>
  </si>
  <si>
    <t>15 000 à 17 999 €</t>
  </si>
  <si>
    <t>B</t>
  </si>
  <si>
    <t>13 000€ à 14 999 €</t>
  </si>
  <si>
    <t>B2</t>
  </si>
  <si>
    <t>11 000€ à 12 999 €</t>
  </si>
  <si>
    <t>C</t>
  </si>
  <si>
    <t>9 000 à 10 999 €</t>
  </si>
  <si>
    <t>D</t>
  </si>
  <si>
    <t>7 000€ à 8 999 €</t>
  </si>
  <si>
    <t>E</t>
  </si>
  <si>
    <t>5 000€ à 6 999 €</t>
  </si>
  <si>
    <t>F</t>
  </si>
  <si>
    <t>3 000€ à 4 999 €</t>
  </si>
  <si>
    <t>F2</t>
  </si>
  <si>
    <t>Moins de 3 000 €</t>
  </si>
  <si>
    <t>G</t>
  </si>
  <si>
    <t>Nombre d'enfants</t>
  </si>
  <si>
    <t>Total</t>
  </si>
  <si>
    <t>Px repas facturé</t>
  </si>
  <si>
    <t>cout moyen de repas</t>
  </si>
  <si>
    <t>DEPENSE ann. en repas</t>
  </si>
  <si>
    <t>Ecarts</t>
  </si>
  <si>
    <t>Batiment</t>
  </si>
  <si>
    <t xml:space="preserve">Restauration </t>
  </si>
  <si>
    <t>Taux de couverture</t>
  </si>
  <si>
    <t>"vide"</t>
  </si>
  <si>
    <t>Montant</t>
  </si>
  <si>
    <t>Espace ado</t>
  </si>
  <si>
    <t>cases vides en depenses restau 2025</t>
  </si>
  <si>
    <t>REST COMM</t>
  </si>
  <si>
    <t>SERVICE SCOLAIRE</t>
  </si>
  <si>
    <t>DEP. SCOLAREST 2025</t>
  </si>
  <si>
    <t>Personnel</t>
  </si>
  <si>
    <t>MONTANT</t>
  </si>
  <si>
    <t>NOMBRE</t>
  </si>
  <si>
    <t>CHARGES</t>
  </si>
  <si>
    <t>PREVERT</t>
  </si>
  <si>
    <t>BRASSENS</t>
  </si>
  <si>
    <t>SAND</t>
  </si>
  <si>
    <t>CURIE</t>
  </si>
  <si>
    <t>FLUIDES</t>
  </si>
  <si>
    <t>Restauration</t>
  </si>
  <si>
    <t>DEPENSES REELLES</t>
  </si>
  <si>
    <t>Activités</t>
  </si>
  <si>
    <t>Sorties</t>
  </si>
  <si>
    <t>Transport</t>
  </si>
  <si>
    <t>Locaux</t>
  </si>
  <si>
    <t>Electricité</t>
  </si>
  <si>
    <t xml:space="preserve">Matériel </t>
  </si>
  <si>
    <t>Fournitures pédagogique (papier, peinture)</t>
  </si>
  <si>
    <t>Matériel sportif</t>
  </si>
  <si>
    <t>prestation (spectacle,ateliers..)</t>
  </si>
  <si>
    <t>Transport (bus, carburant, chaufeur)</t>
  </si>
  <si>
    <t>Droits d'entrées( musés/parc…)</t>
  </si>
  <si>
    <t>Matrériel</t>
  </si>
  <si>
    <t>Fournitures scolaire</t>
  </si>
  <si>
    <t xml:space="preserve">Matériel (photocopieuse..) </t>
  </si>
  <si>
    <t>ESPACE ADOS</t>
  </si>
  <si>
    <t>SEJOURS</t>
  </si>
  <si>
    <t>BUS/MINI BUS</t>
  </si>
  <si>
    <t>PEAGE / PARKING</t>
  </si>
  <si>
    <t>Hebergement</t>
  </si>
  <si>
    <t>CENTRE DE VACANCES</t>
  </si>
  <si>
    <t>ACCUEILS PERISCOLAIRE</t>
  </si>
  <si>
    <t>ETUDES SURVEILLEES</t>
  </si>
  <si>
    <t>FOURNITURES (papier, feutres, peinture)</t>
  </si>
  <si>
    <t>ACCUEIL DE LOISIRS</t>
  </si>
  <si>
    <t>JP1</t>
  </si>
  <si>
    <t>REST SCOLAIRE</t>
  </si>
  <si>
    <t xml:space="preserve">restauration </t>
  </si>
  <si>
    <t>BAT</t>
  </si>
  <si>
    <t>BAT CLUB ADOS</t>
  </si>
  <si>
    <t>BAT MDJ</t>
  </si>
  <si>
    <t>Restauration (chiffre fiche ameline)</t>
  </si>
  <si>
    <t>x</t>
  </si>
  <si>
    <t>Espace ADOS</t>
  </si>
  <si>
    <t>GAZ</t>
  </si>
  <si>
    <t>p'tit prince</t>
  </si>
  <si>
    <t>EAU</t>
  </si>
  <si>
    <t>TOTAL</t>
  </si>
  <si>
    <t>alimentation</t>
  </si>
  <si>
    <t>CLLMICH</t>
  </si>
  <si>
    <t>Autres</t>
  </si>
  <si>
    <t>Transport (bus, carburant, chaufeur,amendes)</t>
  </si>
  <si>
    <t>Elements</t>
  </si>
  <si>
    <t>Charges</t>
  </si>
  <si>
    <t>PERSONNEL</t>
  </si>
  <si>
    <t>Eau</t>
  </si>
  <si>
    <t>Gaz</t>
  </si>
  <si>
    <t>Matreriel</t>
  </si>
  <si>
    <t>Fournitures</t>
  </si>
  <si>
    <t>Petit materiel</t>
  </si>
  <si>
    <t>Alimentation</t>
  </si>
  <si>
    <t xml:space="preserve">Curie </t>
  </si>
  <si>
    <t xml:space="preserve">Bressens </t>
  </si>
  <si>
    <t>"VIDE"</t>
  </si>
  <si>
    <t xml:space="preserve"> matériel</t>
  </si>
  <si>
    <t>Matrériel et fournitures</t>
  </si>
  <si>
    <t>Restauration -Données pole enfance</t>
  </si>
  <si>
    <t>RECETTE ann. en repas</t>
  </si>
  <si>
    <t xml:space="preserve"> nmbr personnel</t>
  </si>
  <si>
    <t>Mat et equip</t>
  </si>
  <si>
    <t>Petit Prince</t>
  </si>
  <si>
    <t>Charges personnel</t>
  </si>
  <si>
    <t>RESTAURATION</t>
  </si>
  <si>
    <t>*Curie: montant d'hebergement inclue transport</t>
  </si>
  <si>
    <r>
      <t xml:space="preserve">ETAT CONSOS ET FACTURATIONS ELECTRICITE SUR BP 2025
</t>
    </r>
    <r>
      <rPr>
        <b/>
        <sz val="12"/>
        <color theme="1"/>
        <rFont val="Aptos Narrow"/>
        <family val="2"/>
        <scheme val="minor"/>
      </rPr>
      <t>(TOTAL ENERGIES)</t>
    </r>
  </si>
  <si>
    <t>DATE FACTURE :</t>
  </si>
  <si>
    <t>N° DE FACTURE :</t>
  </si>
  <si>
    <t>900002427407 annule fact. 111004826668</t>
  </si>
  <si>
    <t>900002427493 annule la fact. 108005166557</t>
  </si>
  <si>
    <t>100008385225 REMPLACE la fact. 108005206622</t>
  </si>
  <si>
    <t>900002427386 annule la fact. 108005206622</t>
  </si>
  <si>
    <t>100008385226 REMPLACE la fac 116002860182</t>
  </si>
  <si>
    <t>9000002427364 annule facture 116002860182</t>
  </si>
  <si>
    <t>COMPTE DE FACTURATION :</t>
  </si>
  <si>
    <t>ETAT FACTURE / AVOIR :</t>
  </si>
  <si>
    <t>En attente de rapprochement</t>
  </si>
  <si>
    <t>EXERCICE BUDGETAIRE :</t>
  </si>
  <si>
    <t>CREDITS AFFECTES :</t>
  </si>
  <si>
    <t>OBSERVATIONS :</t>
  </si>
  <si>
    <t>FL 250036</t>
  </si>
  <si>
    <t xml:space="preserve">Nom - Site </t>
  </si>
  <si>
    <t>RAE/PCE</t>
  </si>
  <si>
    <t>Segment OR - PE</t>
  </si>
  <si>
    <t>Type de compteur</t>
  </si>
  <si>
    <t>Affectation</t>
  </si>
  <si>
    <t>Adresse postale identifiée Ville de Crosne</t>
  </si>
  <si>
    <t>Adresse Postale
(ENEDIS)</t>
  </si>
  <si>
    <t>Période de consos</t>
  </si>
  <si>
    <t>Période d'abonnement</t>
  </si>
  <si>
    <t>Consos en kWh</t>
  </si>
  <si>
    <t>Montant total en € TTC</t>
  </si>
  <si>
    <t>490</t>
  </si>
  <si>
    <t>30002230413398</t>
  </si>
  <si>
    <t>C4</t>
  </si>
  <si>
    <t>PME-PMI</t>
  </si>
  <si>
    <t>BÂTIMENT</t>
  </si>
  <si>
    <t>GROUPE SCOLAIRE EUROPE (GAVROCHE ET J. PREVERT 2) - ANGLE RUES DE SCHOTTEN ET BOILEAU</t>
  </si>
  <si>
    <t>ANGLE RUES SCHOTTEN ET BOILEAU</t>
  </si>
  <si>
    <t>du 15/11/25 au 15/12/25</t>
  </si>
  <si>
    <t>du 16/10/25 au 14/11/25</t>
  </si>
  <si>
    <t>du 15/9/25 au 15/10/25</t>
  </si>
  <si>
    <t>du 15/09/25 au 15/10/25</t>
  </si>
  <si>
    <t>du 16/8/25 au 14/9/25</t>
  </si>
  <si>
    <t>du 16/07/25 au 15/08/25</t>
  </si>
  <si>
    <t>du 01/08/25 au 31/08/25</t>
  </si>
  <si>
    <t>du 15/06/25 au 15/07/25</t>
  </si>
  <si>
    <t>du 15/6/25 au 31/7/25</t>
  </si>
  <si>
    <t>du 16/05/25 au 14/06/25</t>
  </si>
  <si>
    <t>du 16/05/25 au 31/07/25</t>
  </si>
  <si>
    <t>du 15/04/25 au 15/05/25</t>
  </si>
  <si>
    <t>du 15/04/25 au 30/06/25</t>
  </si>
  <si>
    <t>du 16/03/25 au 14/04/25</t>
  </si>
  <si>
    <t>du 16/03/25 au 31/05/25</t>
  </si>
  <si>
    <t>16/01/25 au 12/02/205</t>
  </si>
  <si>
    <t>du 16/01/25 au 31/03/25</t>
  </si>
  <si>
    <t>01/01/25 au 15/01/25</t>
  </si>
  <si>
    <t>du 01/01/25 au 28/02/25</t>
  </si>
  <si>
    <t>du 01/01/25 au 12/02/25</t>
  </si>
  <si>
    <t>du 13/02/25 au15/03/25</t>
  </si>
  <si>
    <t>495</t>
  </si>
  <si>
    <t>30002230413501</t>
  </si>
  <si>
    <t>STADE HENRI HURT - 2/6, AV. S. ALLENDE</t>
  </si>
  <si>
    <t>2 à 6 Avenue SALVADOR ALLENDE</t>
  </si>
  <si>
    <t>du 15/06/25 au 31/07/25</t>
  </si>
  <si>
    <t>Ddu 16/03/25 au 14/04/25</t>
  </si>
  <si>
    <t>494</t>
  </si>
  <si>
    <t>30002230598101</t>
  </si>
  <si>
    <t>GYMNASE LA PALESTRE GERARD PRIET- 12, AV. L. JOUHAUX</t>
  </si>
  <si>
    <t>12 AVENUE LEON JOUHAUX</t>
  </si>
  <si>
    <t>493</t>
  </si>
  <si>
    <t>30002231316091</t>
  </si>
  <si>
    <t>GROUPE SCOLAIRE EUROPE (BRASSENS ET PETIT PRINCE)   - RUE DE SCHOTTEN</t>
  </si>
  <si>
    <t>RUE DE SCHOTTEN</t>
  </si>
  <si>
    <t>du 01/01/25 au15/01/25</t>
  </si>
  <si>
    <t>01/01/25 au 28/02/25</t>
  </si>
  <si>
    <t>491</t>
  </si>
  <si>
    <t>30002231448042</t>
  </si>
  <si>
    <t>GROUPE SCOLAIRE VINGT ARPENTS (CURIE ET SAND) - 2, RUE M. RAVEL</t>
  </si>
  <si>
    <t>2 RUE MAURICE RAVEL</t>
  </si>
  <si>
    <t>du 16/08/25 au 14/09/25</t>
  </si>
  <si>
    <t>15/04/25 au 30/06/25</t>
  </si>
  <si>
    <t>du 01/01/25 au 01/01/25</t>
  </si>
  <si>
    <t>du 01/01/025 au 31/01/25</t>
  </si>
  <si>
    <t>AV. F. MITTERRAND FACE AU N°1 (POSTE N°8 SLT)</t>
  </si>
  <si>
    <t>du 02/01/25 au 15/02/25</t>
  </si>
  <si>
    <t>02/01/25 au 28/02/25</t>
  </si>
  <si>
    <t>489</t>
  </si>
  <si>
    <t>30002231949547</t>
  </si>
  <si>
    <t>MAISON PETITE ENFANCE ET CLUB ADOS - AV. PLAINE HAUTE ANGLE RUE DES BÂTISSEURS</t>
  </si>
  <si>
    <t>AVENUE DE LA PLAINE HAUTE</t>
  </si>
  <si>
    <t>du 22/07/25 au 15/08/25</t>
  </si>
  <si>
    <t>du 15/06/25 au 21/07/25</t>
  </si>
  <si>
    <t>SLT</t>
  </si>
  <si>
    <t>MAISON DE LA PETITE ENFANCE P. MENDES FRANCE AV. PLAINE HAUTE (POSTE N°24 EP)</t>
  </si>
  <si>
    <t>497</t>
  </si>
  <si>
    <t>50009515900750</t>
  </si>
  <si>
    <t>RUELLE SAINT-PIERRE (ARMOIRE BRANCHEMENT DANS JARDIN MEDIEVAL)</t>
  </si>
  <si>
    <t>RUELLE SAINT PIERRE</t>
  </si>
  <si>
    <t>du 15/04/25 au 30/05/25</t>
  </si>
  <si>
    <t>496</t>
  </si>
  <si>
    <t>50046129631120</t>
  </si>
  <si>
    <t xml:space="preserve">TOILETTES PUBLIQUES PARC DU MOULIN - RUE DU MOULIN DE SENLIS </t>
  </si>
  <si>
    <t>rue du Moulin de Senlis</t>
  </si>
  <si>
    <t>488</t>
  </si>
  <si>
    <t>50055861020405</t>
  </si>
  <si>
    <t>SERVICES TECHNIQUES - 13/15, RUE DES INVESTISSEURS</t>
  </si>
  <si>
    <t>13 15 RUE DES INVESTISSEURS</t>
  </si>
  <si>
    <t>492</t>
  </si>
  <si>
    <t>50066570132984</t>
  </si>
  <si>
    <t>ECOLE J. PREVERT 1 - 3, RUE A. FOUDRIER</t>
  </si>
  <si>
    <t>3 RUE ALEXANDRE FOUDRIER</t>
  </si>
  <si>
    <t>01/01/25 au 12/02/25</t>
  </si>
  <si>
    <t>111</t>
  </si>
  <si>
    <t>22300144683836</t>
  </si>
  <si>
    <t>C5</t>
  </si>
  <si>
    <t>N.R.</t>
  </si>
  <si>
    <t>FACE AU 31, AV. J. JAURES  (POSTE N°2 SLT)</t>
  </si>
  <si>
    <t>31 AVENUE JEAN JAURES</t>
  </si>
  <si>
    <t>du 01/11/25 au 31/11/25</t>
  </si>
  <si>
    <t>du 01/11/25 au 30/11/25</t>
  </si>
  <si>
    <t>du 01/10/25 au 31/10/25</t>
  </si>
  <si>
    <t>du 01/09/25 au 30/09/25</t>
  </si>
  <si>
    <t>du 01/07/25 au 31/07/25</t>
  </si>
  <si>
    <t>du 01/06/25 au 30/06/25</t>
  </si>
  <si>
    <t>du 01/05/25 au 31/05/25</t>
  </si>
  <si>
    <t>du 01/04/25 au 30/04/25</t>
  </si>
  <si>
    <t>01/01/25 au 31/01/25</t>
  </si>
  <si>
    <t>du 01/02/25 au 28/02/25</t>
  </si>
  <si>
    <t>du 01/03/25 au 31/03/25</t>
  </si>
  <si>
    <t>113</t>
  </si>
  <si>
    <t>22300434119462</t>
  </si>
  <si>
    <t>AV. J. JAURES FACE AU N°3 TER (POSTE N°3 SLT)</t>
  </si>
  <si>
    <t>3 AVENUE JEAN JAURES</t>
  </si>
  <si>
    <t>22301447029738</t>
  </si>
  <si>
    <t>Linky</t>
  </si>
  <si>
    <t>POLICE MUNICIPALE - 33 BIS, AV. J. JAURES</t>
  </si>
  <si>
    <t>33 B AVENUE JEAN JAURES</t>
  </si>
  <si>
    <t>343</t>
  </si>
  <si>
    <t>22306078037884</t>
  </si>
  <si>
    <t>Compteur bleu électronique</t>
  </si>
  <si>
    <t>BOUTIQUE EPHEMERE - 1, PL. BOILEAU</t>
  </si>
  <si>
    <t>1 PLACE BOILEAU</t>
  </si>
  <si>
    <t>119</t>
  </si>
  <si>
    <t>22310998433941</t>
  </si>
  <si>
    <t>LOGEMENT GARDIEN TENNIS - 10, AV. L. JOUHAUX</t>
  </si>
  <si>
    <t>10 AVENUE  LEON JOUHAUX</t>
  </si>
  <si>
    <t>112</t>
  </si>
  <si>
    <t>22329667023599</t>
  </si>
  <si>
    <t>ANGLE AV. JEAN JAURES / RUE DES PLATANES (POSTE N°7 SLT)</t>
  </si>
  <si>
    <t>2 AVENUE DES PLATANES</t>
  </si>
  <si>
    <t>334</t>
  </si>
  <si>
    <t>22346743787152</t>
  </si>
  <si>
    <t>MAISON DES ASSOCIATIONS (THEÂTRE - COS - MISSION LOCALE) - 28, RUE COLBERT</t>
  </si>
  <si>
    <t>28 RUE COLBERT</t>
  </si>
  <si>
    <t>22347033222706</t>
  </si>
  <si>
    <t>ANCIENNEMENT SERVICE SCOLAIRE - JEUNESSE - CITOYENNETE - 8/10, RUE RYMAROV</t>
  </si>
  <si>
    <t>8/10 RUE REYMAROV</t>
  </si>
  <si>
    <t>342</t>
  </si>
  <si>
    <t>22347177940520</t>
  </si>
  <si>
    <t xml:space="preserve">AMICALE LAÏQUE (ANCIENNEMENT CROIX ROUGE) - 8, RUE A. FOUDRIER </t>
  </si>
  <si>
    <t>8 RUE ALEXANDRE FOUDRIER</t>
  </si>
  <si>
    <t>340</t>
  </si>
  <si>
    <t>22347612093904</t>
  </si>
  <si>
    <t>ANCIENNEMENT RESTOS DU CŒUR - 3, RUE A. FOUDRIER</t>
  </si>
  <si>
    <t>du 01/01/25 au 31/01/25</t>
  </si>
  <si>
    <t>22348046247370</t>
  </si>
  <si>
    <t>ANCIENNEMENT SERVICE SCOLAIRE - JEUNESSE - CITOYENNETE (CULTURE) - 8/10, RUE RYMAROV</t>
  </si>
  <si>
    <t>50000087572971</t>
  </si>
  <si>
    <t>Compteur Electro-Mécanique</t>
  </si>
  <si>
    <t>MAIRIE (GUICHET UNIQUE) - 35, AV. J. JAURES</t>
  </si>
  <si>
    <t>35 AVENUE JEAN JAURES</t>
  </si>
  <si>
    <t>du 15/04/26 au 15/05/25</t>
  </si>
  <si>
    <t>22348625118597
(ancien compteur)</t>
  </si>
  <si>
    <t>346</t>
  </si>
  <si>
    <t>22350072296550</t>
  </si>
  <si>
    <t>BÂTIMENT SYNDICAT ET FNACA - 31, AV. JEAN JAURES</t>
  </si>
  <si>
    <t>31 av JEAN JAURES</t>
  </si>
  <si>
    <t>du 30/01/25 au 31/01/25</t>
  </si>
  <si>
    <t>339</t>
  </si>
  <si>
    <t>22350795885501</t>
  </si>
  <si>
    <t>MAISON DES ARTS - 31, AV. J. JAURES</t>
  </si>
  <si>
    <t>33 av JEAN JAURES</t>
  </si>
  <si>
    <t>22350940603399</t>
  </si>
  <si>
    <t>BAINS DOUCHES - 29 TER, AV. J. JAURES</t>
  </si>
  <si>
    <t>29 Ter AVENUE JEAN JAURES</t>
  </si>
  <si>
    <t>347</t>
  </si>
  <si>
    <t>22351085321160</t>
  </si>
  <si>
    <t>BRANCHEMENTS FESTIFS (ARMOIRES EXTERIEURES PARC A. FRANCE)- 31, AV. J. JAURES</t>
  </si>
  <si>
    <t>31  AV JEAN JAURES</t>
  </si>
  <si>
    <t>345</t>
  </si>
  <si>
    <t>22351230038909</t>
  </si>
  <si>
    <t>FONTAINE - 4, PLACE SAINTE-EUTROPE</t>
  </si>
  <si>
    <t>4 PLACE SAINT EUTROPE</t>
  </si>
  <si>
    <t>155</t>
  </si>
  <si>
    <t>22351374756733</t>
  </si>
  <si>
    <t>LOGEMENT GARDIEN STADE HENRI HURT - 6, AV. S. ALLENDE</t>
  </si>
  <si>
    <t>6 AV DU PRESIDENT SALVADOR ALLENDE</t>
  </si>
  <si>
    <t>344</t>
  </si>
  <si>
    <t>22351519474501</t>
  </si>
  <si>
    <t>EGLISE - 3, PLACE SAINTE-EUTROPE</t>
  </si>
  <si>
    <t>3 PLACE SAINT EUTROPE</t>
  </si>
  <si>
    <t>du 01/11/25 au30/11/25</t>
  </si>
  <si>
    <t>22351664192368</t>
  </si>
  <si>
    <t>MARCHE (PRISES D'ALIMENTATIONS ELEC.) - 31, AV. JEAN JAURES</t>
  </si>
  <si>
    <t>du 10/02/25 au 28/02/25</t>
  </si>
  <si>
    <t>348</t>
  </si>
  <si>
    <t>22371201093472</t>
  </si>
  <si>
    <t>EP</t>
  </si>
  <si>
    <t>RUE DANIEL MAYER FACE AU N°22 (POSTE N°22 EP)</t>
  </si>
  <si>
    <t>22 RUE DANIEL MAYER</t>
  </si>
  <si>
    <t>RUE DES BÂTISSEURS FACE AU N°22 (POSTE N°21 EP)</t>
  </si>
  <si>
    <t>99</t>
  </si>
  <si>
    <t>22396960892183</t>
  </si>
  <si>
    <t>RUE DE PAMPELUNE FACE AU N°17 (POSTE N°1 EP)</t>
  </si>
  <si>
    <t>17 RUE DE PAMPELUNE</t>
  </si>
  <si>
    <t>100</t>
  </si>
  <si>
    <t>22397105609944</t>
  </si>
  <si>
    <t>RUE DU MOULIN DE SENLIS ANGLE AV. REPUBLIQUE (POSTE N°1 SLT)</t>
  </si>
  <si>
    <t>rue DU MOULIN DE SENLIS</t>
  </si>
  <si>
    <t>101</t>
  </si>
  <si>
    <t>22397250327700</t>
  </si>
  <si>
    <t>PLACE DES ACACIAS FACE AU N°12 (POSTE N°2 EP)</t>
  </si>
  <si>
    <t>12 PLACE DES ACACIAS</t>
  </si>
  <si>
    <t>22397394937644</t>
  </si>
  <si>
    <t>MAISON DES ASSOCIATIONS 1901 - 28, RUE COLBERT (BAS)</t>
  </si>
  <si>
    <t>30 RUE COLBERT</t>
  </si>
  <si>
    <t>102</t>
  </si>
  <si>
    <t>FACE AU 31, AV. J. JAURES (POSTE N°8 EP)</t>
  </si>
  <si>
    <t>MAISON DES ASSOCIATIONS 1901 - 28, RUE COLBERT (HAUT)</t>
  </si>
  <si>
    <t>103</t>
  </si>
  <si>
    <t>22397539763303</t>
  </si>
  <si>
    <t>RUE SUZANNE FACE AU N°22 (POSTE N°9 EP)</t>
  </si>
  <si>
    <t>22 RUE SUZANNE</t>
  </si>
  <si>
    <t>104</t>
  </si>
  <si>
    <t>22397684481160</t>
  </si>
  <si>
    <t>RUE DES VIGNES ANGLE RUE DES PINSONS (POSTE N°10 EP)</t>
  </si>
  <si>
    <t>RUE DES PINSONS</t>
  </si>
  <si>
    <t>105</t>
  </si>
  <si>
    <t>22397829198997</t>
  </si>
  <si>
    <t>RUE DES VIGNES FACE AU N°54 (POSTE N°12 EP)</t>
  </si>
  <si>
    <t>54 RUE DES VIGNES</t>
  </si>
  <si>
    <t>du 29/01/25 au 31/01/25</t>
  </si>
  <si>
    <t>du 29/01/25 au 28/02/25</t>
  </si>
  <si>
    <t>106</t>
  </si>
  <si>
    <t>22397973916751</t>
  </si>
  <si>
    <t>RUE DES VIGNES FACE AU N°64 (POSTE N°13 EP)</t>
  </si>
  <si>
    <t>64 RUE DES VIGNES</t>
  </si>
  <si>
    <t>108</t>
  </si>
  <si>
    <t>22398118634535</t>
  </si>
  <si>
    <t>RUE DE LA GUETTE FACE AU SQUARE CROSNE SOLEIL (POSTE N°23 EP)</t>
  </si>
  <si>
    <t>RUE DE LA GUETTE</t>
  </si>
  <si>
    <t>109</t>
  </si>
  <si>
    <t>22398408070160</t>
  </si>
  <si>
    <t>RUE VICTOR HUGO FACE AU N°34 (POSTE N°6 EP)</t>
  </si>
  <si>
    <t>34 RUE VICTOR HUGO</t>
  </si>
  <si>
    <t>110</t>
  </si>
  <si>
    <t>22398552787975</t>
  </si>
  <si>
    <t>RUE COLBERT FACE AU N°21 (POSTE N°7 EP)</t>
  </si>
  <si>
    <t>21 rue COLBERT</t>
  </si>
  <si>
    <t>115</t>
  </si>
  <si>
    <t>22398697505738</t>
  </si>
  <si>
    <t>EP et SLT</t>
  </si>
  <si>
    <t>RUE DES GIRONVILLES FACE AU N°2 (POSTE N°4 EP ET POSTE N°9 SLT)</t>
  </si>
  <si>
    <t>2 RUE DES GIRONVILLES</t>
  </si>
  <si>
    <t>116</t>
  </si>
  <si>
    <t>22398842223518</t>
  </si>
  <si>
    <t>RUE DU CHÂTEAU GAILLARD ANGLE IMP. DU PETIT BOIS (POSTE N°5 EP)</t>
  </si>
  <si>
    <t>RUE DU CHATEAU GAILLARD</t>
  </si>
  <si>
    <t>117</t>
  </si>
  <si>
    <t>22398986941342</t>
  </si>
  <si>
    <t>RUE JEAN ASPE FACE AU N°1C (POSTE N°16 EP)</t>
  </si>
  <si>
    <t>1 C RUE JEAN ASPE</t>
  </si>
  <si>
    <t>22399131659121</t>
  </si>
  <si>
    <t>RUE DU CARNAVAL ANGLE RUE DES JARDINS DU MAGICIEN (POSTE N°14 EP)</t>
  </si>
  <si>
    <t>RUE DU CARNAVAL</t>
  </si>
  <si>
    <t>22399276376951</t>
  </si>
  <si>
    <t>RUE ANDREI SAKHAROV FACE AU N°15 (POSTE N°15 EP)</t>
  </si>
  <si>
    <t>15 RUE ANDREI SAKHAROV</t>
  </si>
  <si>
    <t>120</t>
  </si>
  <si>
    <t>22399710530364</t>
  </si>
  <si>
    <t>RUE DES ENTREPRENEURS FACE AU N°18 (POSTE N°18 EP)</t>
  </si>
  <si>
    <t>18 RUE DES ENTREPRENEURS</t>
  </si>
  <si>
    <t>118</t>
  </si>
  <si>
    <t>22399855248192</t>
  </si>
  <si>
    <t>RUE DES INVESTISSEURS FACE AU N°5 (POSTE N°17 EP)</t>
  </si>
  <si>
    <t>5 RUE DES INVESTISSEURS</t>
  </si>
  <si>
    <t>107</t>
  </si>
  <si>
    <t>22399999965902</t>
  </si>
  <si>
    <t>AV. REPUBLIQUE FACE AU N°47 (POSTE N°3 EP)</t>
  </si>
  <si>
    <t>47 AVENUE DE LA REPUBLIQUE</t>
  </si>
  <si>
    <t xml:space="preserve">MAISON DES JEUNES - 28, RUE COLBERT (ECLAIRAGE ET PRISE ALIM.) </t>
  </si>
  <si>
    <t>50056385474998</t>
  </si>
  <si>
    <t>MAISON DES JEUNES - 28, RUE COLBERT (CHAUFFAGE)</t>
  </si>
  <si>
    <t>22361360285007</t>
  </si>
  <si>
    <t>TENNIS CLUB HOUSE - 2, ALLEE DES USELLES</t>
  </si>
  <si>
    <t>2 ALLEE DES USELLES</t>
  </si>
  <si>
    <t>22398263352301</t>
  </si>
  <si>
    <t>RUE DU VIEUX CHÂTEAU ANGLE RUE BEAUSEJOUR (POSTE N°11 EP)</t>
  </si>
  <si>
    <t>RUE DU VIEUX CHÂTEAU</t>
  </si>
  <si>
    <t>AV. LEON JOUHAUX FACE AU N°2 (POSTE N°6 SLT)</t>
  </si>
  <si>
    <t>AVENUE LEON JOUHAUX</t>
  </si>
  <si>
    <t>ALLEE DES SAULES FACE AU N°9 (POSTE N°20 EP)</t>
  </si>
  <si>
    <t>ALLEE DES SAULES</t>
  </si>
  <si>
    <t>TOTAL FACTURATION EN € TTC :</t>
  </si>
  <si>
    <t>Factures consos 2025</t>
  </si>
  <si>
    <t>Budget 2025</t>
  </si>
  <si>
    <t>Delta</t>
  </si>
  <si>
    <t>Ecart 2024 - 2023</t>
  </si>
  <si>
    <r>
      <t xml:space="preserve">ETAT CONSOS ET FACTURATIONS GAZ SUR BP 2024 - 2025
</t>
    </r>
    <r>
      <rPr>
        <b/>
        <sz val="12"/>
        <color theme="1"/>
        <rFont val="Aptos Narrow"/>
        <family val="2"/>
        <scheme val="minor"/>
      </rPr>
      <t>(TOTAL ENERGIES ET ENGIE)</t>
    </r>
  </si>
  <si>
    <t>Total consos / site</t>
  </si>
  <si>
    <t>Total coûts /
site</t>
  </si>
  <si>
    <t>105006122548</t>
  </si>
  <si>
    <t>105006072473</t>
  </si>
  <si>
    <t>103006289966</t>
  </si>
  <si>
    <t>102006364084</t>
  </si>
  <si>
    <t>100008675694</t>
  </si>
  <si>
    <t>101006554111</t>
  </si>
  <si>
    <t>240000005249</t>
  </si>
  <si>
    <t>000053006955</t>
  </si>
  <si>
    <t>000053006954</t>
  </si>
  <si>
    <t>100008583307</t>
  </si>
  <si>
    <t>101006548865</t>
  </si>
  <si>
    <t>AVOIR 900002452090</t>
  </si>
  <si>
    <t>101006532793</t>
  </si>
  <si>
    <t>AVOIR 901000249602</t>
  </si>
  <si>
    <t>102006202507</t>
  </si>
  <si>
    <t>130000066148</t>
  </si>
  <si>
    <t>000053004334</t>
  </si>
  <si>
    <t>000053004333</t>
  </si>
  <si>
    <t>900002456889</t>
  </si>
  <si>
    <t>105005734268</t>
  </si>
  <si>
    <t>160000077559</t>
  </si>
  <si>
    <t>112004741430</t>
  </si>
  <si>
    <t>130000055634</t>
  </si>
  <si>
    <t>100008273041</t>
  </si>
  <si>
    <t>160000070276</t>
  </si>
  <si>
    <t>109004995795</t>
  </si>
  <si>
    <t>180000051551</t>
  </si>
  <si>
    <t>170000040914</t>
  </si>
  <si>
    <t>100008157090</t>
  </si>
  <si>
    <t>150000031484</t>
  </si>
  <si>
    <t>117002592216</t>
  </si>
  <si>
    <t>140000036729</t>
  </si>
  <si>
    <t>103005671747</t>
  </si>
  <si>
    <t>150000025880</t>
  </si>
  <si>
    <t>108004889593</t>
  </si>
  <si>
    <t xml:space="preserve"> 130000029636</t>
  </si>
  <si>
    <t>108004834619</t>
  </si>
  <si>
    <t>160000038190</t>
  </si>
  <si>
    <t>101005896800</t>
  </si>
  <si>
    <t>140000024372</t>
  </si>
  <si>
    <t>109004613685</t>
  </si>
  <si>
    <t>170000031963</t>
  </si>
  <si>
    <t xml:space="preserve"> 240000000470</t>
  </si>
  <si>
    <t>180000015646</t>
  </si>
  <si>
    <t>101005777505</t>
  </si>
  <si>
    <t>180000004215</t>
  </si>
  <si>
    <t>101005712838</t>
  </si>
  <si>
    <t>102005376829</t>
  </si>
  <si>
    <t>130000010658</t>
  </si>
  <si>
    <t>850005504181</t>
  </si>
  <si>
    <t>115003625368</t>
  </si>
  <si>
    <t>820005771229</t>
  </si>
  <si>
    <t>820005771230</t>
  </si>
  <si>
    <t>101005536936</t>
  </si>
  <si>
    <t>FOURNISSEUR :</t>
  </si>
  <si>
    <t>TOTAL ENERGIES GAZ</t>
  </si>
  <si>
    <t>ENGIE</t>
  </si>
  <si>
    <t>TOTAL ENERGIE</t>
  </si>
  <si>
    <t>Mandatée le 02/09/2025</t>
  </si>
  <si>
    <t>Visée le 03/09/2025</t>
  </si>
  <si>
    <t>en attente de rapprochement</t>
  </si>
  <si>
    <t>rapprochée</t>
  </si>
  <si>
    <t>Mandaté le 18/11/2024</t>
  </si>
  <si>
    <t>Mandaté le 06/08/2024</t>
  </si>
  <si>
    <t>Mandaté le 16/08/2024</t>
  </si>
  <si>
    <t>Mandaté le 16/07/2024</t>
  </si>
  <si>
    <t>Mandaté le 02/07/2024</t>
  </si>
  <si>
    <t>Mandaté le 17/05/2024</t>
  </si>
  <si>
    <t>Mandaté le 29/03/2024</t>
  </si>
  <si>
    <t>Mandaté le 08/03/2024</t>
  </si>
  <si>
    <t>ANNULE ET REMPLACE FACTURE 102006202507</t>
  </si>
  <si>
    <t>ANNULE ET REMPLACE FACTURE 105005734268</t>
  </si>
  <si>
    <t>AVOIR ANNULE LA FACTURE 101006532793</t>
  </si>
  <si>
    <t>AVOIR ANNULE LA FACTURE 102006202507</t>
  </si>
  <si>
    <t>AVOIR ANNULE LA FACTURE 105005734268</t>
  </si>
  <si>
    <t>REFERENCE PDL</t>
  </si>
  <si>
    <t>AFFECTATION</t>
  </si>
  <si>
    <r>
      <t xml:space="preserve">ADRESSE DU PDL
</t>
    </r>
    <r>
      <rPr>
        <b/>
        <i/>
        <sz val="11"/>
        <rFont val="Aptos Narrow"/>
        <family val="2"/>
        <scheme val="minor"/>
      </rPr>
      <t xml:space="preserve"> (REFERENCE VILLE DE CROSNE)</t>
    </r>
  </si>
  <si>
    <t>ADRESSE DU PDL
(REFERENCE GRDF)</t>
  </si>
  <si>
    <r>
      <t>Consos en m</t>
    </r>
    <r>
      <rPr>
        <vertAlign val="superscript"/>
        <sz val="10"/>
        <rFont val="Arial"/>
        <family val="2"/>
      </rPr>
      <t>3</t>
    </r>
  </si>
  <si>
    <t>GI055089</t>
  </si>
  <si>
    <t>GYMNASE LA PALESTRE GERARD PRIET - 12, AV L. JOUHAUX</t>
  </si>
  <si>
    <t>GYMNASE GERARD PRIET LA PALESTRE AVENUE LEON JOUHAUX</t>
  </si>
  <si>
    <t>du 02/10/25 au01/11/25</t>
  </si>
  <si>
    <t>du 01/09/25 au 01/10/25</t>
  </si>
  <si>
    <t>du 02/08/25 au 01/09/25</t>
  </si>
  <si>
    <t>du 02/07/25 au 01/08/25</t>
  </si>
  <si>
    <t>du 02/06/25 au 01/07/25</t>
  </si>
  <si>
    <t>du 02/05/25 au 01/06/25</t>
  </si>
  <si>
    <t>du 01/04/25 au 01/05/25</t>
  </si>
  <si>
    <t>du 01/04/25 au 31/05/25</t>
  </si>
  <si>
    <t>du 01/03/25 au31/03/25</t>
  </si>
  <si>
    <t>DU 01/12/24 AU 31/12/24</t>
  </si>
  <si>
    <t>du 01/11/2024 30/11/2024</t>
  </si>
  <si>
    <t xml:space="preserve">du 01/10/2024 31/10/2024 au </t>
  </si>
  <si>
    <t>du 01/09/2024 au 30/09/2024</t>
  </si>
  <si>
    <t>du 01/08/2024 au 31/08/2024</t>
  </si>
  <si>
    <t>du 01/07/2024 au 31/07/2024</t>
  </si>
  <si>
    <t>du 01/06/2024 au 30/06/2024</t>
  </si>
  <si>
    <t>du 01/05/2024 au 31/05/2024</t>
  </si>
  <si>
    <t>du 01/04/2024 au 30/04/2024</t>
  </si>
  <si>
    <t>du 01/03/2024 au 31/03/2024</t>
  </si>
  <si>
    <t>du 01/02/2024 au 29/02/2024</t>
  </si>
  <si>
    <t>du 01/01/2024 au 31/01/2024</t>
  </si>
  <si>
    <t>GI055091</t>
  </si>
  <si>
    <t>GROUPE SCOLAIRE VINGT ARPENTS - PLACE DU 19 MARS 1962</t>
  </si>
  <si>
    <t>GROUPE SCOLAIRE DES 20 ARPENTS RUE DU CHATEAU GAILLARD</t>
  </si>
  <si>
    <t>du01/05/25 au 31/05/25</t>
  </si>
  <si>
    <t>01/04/25 au 30/04/25</t>
  </si>
  <si>
    <t>du01/06/25 au 30/06/25</t>
  </si>
  <si>
    <t>du 01/12/24 au 31/12/24</t>
  </si>
  <si>
    <t>GI055098</t>
  </si>
  <si>
    <t>GROUPE SCOLAIRE EUROPE (ECOLES G. BRASSENS ET J. PREVERT 2) - 5, RUE DE SCHOTTEN</t>
  </si>
  <si>
    <t>ECOLE PREVERT 2 5 RUE DE SCHOTTEN</t>
  </si>
  <si>
    <t>du 02/11/25 au 30/11/25</t>
  </si>
  <si>
    <t>du 02/09/25 au 01/11/25</t>
  </si>
  <si>
    <t>22306222755644</t>
  </si>
  <si>
    <t>BOUTIQUE EPHEMERE 1 PLACE BOILEAU</t>
  </si>
  <si>
    <t>du 23/03/25 au 22/05/25</t>
  </si>
  <si>
    <t>du 23/01/25 au 22/03/25</t>
  </si>
  <si>
    <t>du 23/11/24 au 22/01/25</t>
  </si>
  <si>
    <t>du 23/09/2024 au 22/11/2024</t>
  </si>
  <si>
    <t xml:space="preserve"> du 23/07/2024 au 22/09/2024</t>
  </si>
  <si>
    <t>du 23/05/2024 au 22/07/2024</t>
  </si>
  <si>
    <t xml:space="preserve"> du 23/03/2024 au 22/05/2024</t>
  </si>
  <si>
    <t>du 23/01/2024 au 22/03/2024</t>
  </si>
  <si>
    <t>du 23/11/2023 au 22/01/2024</t>
  </si>
  <si>
    <t>22329956444780</t>
  </si>
  <si>
    <t>CENTRE TECHNIQUE MUNICIPAL 11 RUE DES INVESTISSEURS</t>
  </si>
  <si>
    <t>du 16/03/25 au 15/05/25</t>
  </si>
  <si>
    <t>du 16/01/25 au 15/03/25</t>
  </si>
  <si>
    <t>du 16/11/24 au 16/01/25</t>
  </si>
  <si>
    <t>du 16/09/2024 au 15/11/2024</t>
  </si>
  <si>
    <t xml:space="preserve"> du 16/07/2024 au 15/09/2024</t>
  </si>
  <si>
    <t xml:space="preserve"> du 16/05/2024 au 15/07/2024</t>
  </si>
  <si>
    <t>du 16/03/2024 au 15/05/2024</t>
  </si>
  <si>
    <t>du 16/01/2024 au 15/03/2024</t>
  </si>
  <si>
    <t>du 16/11/2023 au 15/01/2024</t>
  </si>
  <si>
    <t>22347901529500</t>
  </si>
  <si>
    <t>ECOLE PREVERT 1 3 RUE ALEXANDRE FOUDRIER</t>
  </si>
  <si>
    <t>du 15/03/25 au 14/05/25</t>
  </si>
  <si>
    <t>du 15/01/25 au 14/03/25</t>
  </si>
  <si>
    <t>du 02/10/24 au 14/01/25</t>
  </si>
  <si>
    <t>du 02/10/2024 au 16/11/2024</t>
  </si>
  <si>
    <t>du 01/04/2024 au 01/10/2024</t>
  </si>
  <si>
    <t>du 17/05/2024 au 16/07/2024</t>
  </si>
  <si>
    <t>du 01/04/2024 au 16/05/2024</t>
  </si>
  <si>
    <t>du 02/10/2023 au 31/03/2024</t>
  </si>
  <si>
    <t>du 17/11/2023 au 16/01/2024</t>
  </si>
  <si>
    <t>22348190965117</t>
  </si>
  <si>
    <t>SERVICE SCOLAIRE 8 PLACE DU 8 MAI 1945</t>
  </si>
  <si>
    <t>du 16/11/24 au 15/01/25</t>
  </si>
  <si>
    <t>du 16/07/2024 au 15/09/2024</t>
  </si>
  <si>
    <t>22350217014337</t>
  </si>
  <si>
    <t xml:space="preserve">BÂTIMENT SYNDICAT ET FNACA - 31, AV. JEAN JAURES
</t>
  </si>
  <si>
    <t>POLICE MUNICIPALE 31 AVENUE JEAN JAURES</t>
  </si>
  <si>
    <t>du 01/04/25 au 16/05/25</t>
  </si>
  <si>
    <t>du 02/10/24 au 16/01/25</t>
  </si>
  <si>
    <t>du 17/11/24 au 16/01/25</t>
  </si>
  <si>
    <t xml:space="preserve"> du 17/05/2024 au 16/07/2024</t>
  </si>
  <si>
    <t>22350506449900</t>
  </si>
  <si>
    <t>MAISON DES ARTS 31 AVENUE JEAN JAURES</t>
  </si>
  <si>
    <t>du 16/05/2024 au 15/07/2024</t>
  </si>
  <si>
    <t xml:space="preserve"> du 16/01/2024 au 15/03/2024</t>
  </si>
  <si>
    <t>22375397842142</t>
  </si>
  <si>
    <t>GROUPE SCOLAIRE EUROPE (CENTRE DE LOISIRS PETIT PRINCE ET RESTAURATION GAVROCHE) - ALLEE GERMAIN VAYSSE ANGLE AV. J. JAURES</t>
  </si>
  <si>
    <t>CENTRE DE LOISIRS LE PETIT PRINCE 52 AVENUE JEAN JAURES</t>
  </si>
  <si>
    <t>du 30/04/25 au 22/05/25</t>
  </si>
  <si>
    <t>du 07/04/25 au 29/04/25</t>
  </si>
  <si>
    <t>du 08/10/2024 au 22/11/2024</t>
  </si>
  <si>
    <t>du 07/04/2024 au 07/10/2024</t>
  </si>
  <si>
    <t>du 07/04/2024 au 22/05/2024</t>
  </si>
  <si>
    <t>du 08/10/2023 au 06/04/2024</t>
  </si>
  <si>
    <t xml:space="preserve"> du 23/11/2023 au 22/01/2024</t>
  </si>
  <si>
    <t>du 08/10/24 au 22/11/24</t>
  </si>
  <si>
    <t>22391027367597</t>
  </si>
  <si>
    <t>MAISON DE LA PETITE ENFANCE P. MENDES FRANCE ET CLUB ADOS - AV. PLAINE HAUTE ANGLE RUE DES BÂTISSEURS</t>
  </si>
  <si>
    <t>CLUB ADOS/MAISON DE LA PETITE ENFANCE RUE DES BATISSEURS</t>
  </si>
  <si>
    <t>GI055096</t>
  </si>
  <si>
    <t>MAISON DES ASSOCIATIONS 1901 - 28, RUE COLBERT</t>
  </si>
  <si>
    <t>MAISON DES ASSOCIATIONS 32 RUE COLBERT</t>
  </si>
  <si>
    <t>DU 01/07/25 AU 31/07/25</t>
  </si>
  <si>
    <t>du 01/06/25 au 30/06/26</t>
  </si>
  <si>
    <t>du 07/05/25 au 31/05/25</t>
  </si>
  <si>
    <t>du 07/05/25 au 31/05/26</t>
  </si>
  <si>
    <t>du 02/04/25 au 06/05/25</t>
  </si>
  <si>
    <t>du 02/03/25 au 01/04/25</t>
  </si>
  <si>
    <t>du 29/12/24 au 01/02/25</t>
  </si>
  <si>
    <t>du 02/11/24 au 28/12/24</t>
  </si>
  <si>
    <t>du 02/10/2024 au 01/11/2024</t>
  </si>
  <si>
    <t>du 29/08/2024 au 01/10/2024</t>
  </si>
  <si>
    <t>du 02/08/2024 au 28/08/2024</t>
  </si>
  <si>
    <t xml:space="preserve"> du 02/07/2024 au 01/08/2024</t>
  </si>
  <si>
    <t>du 06/06/2024 au 01/07/2024</t>
  </si>
  <si>
    <t>du 29/04/2024 au 05/06/2024</t>
  </si>
  <si>
    <t>du 01/04/2024 au 28/04/2024</t>
  </si>
  <si>
    <t xml:space="preserve"> du 02/03/2024 au 02/04/2024</t>
  </si>
  <si>
    <t>du 02/02/2024 au 01/03/2024</t>
  </si>
  <si>
    <t>du 31/10/2023 au 01/12/2023</t>
  </si>
  <si>
    <t>du 02/12/2023 au 01/02/2024</t>
  </si>
  <si>
    <t>du 02/02/25 au 01/03/25</t>
  </si>
  <si>
    <t>TOTAL CONSOS GAZ 2024 EN € TTC :</t>
  </si>
  <si>
    <t>TOTAL CONSOS GAZ 2023 EN € TTC :</t>
  </si>
  <si>
    <r>
      <t>TOTAL CONSOS GAZ 2023 EN M</t>
    </r>
    <r>
      <rPr>
        <b/>
        <vertAlign val="superscript"/>
        <sz val="10"/>
        <color theme="1"/>
        <rFont val="Arial"/>
        <family val="2"/>
      </rPr>
      <t xml:space="preserve">3 </t>
    </r>
    <r>
      <rPr>
        <b/>
        <sz val="10"/>
        <color theme="1"/>
        <rFont val="Arial"/>
        <family val="2"/>
      </rPr>
      <t>:</t>
    </r>
  </si>
  <si>
    <t>ETAT CONSOS ET FACTURATIONS EAU SUR BP 2025 (SAUR)</t>
  </si>
  <si>
    <t>N° CLIENT</t>
  </si>
  <si>
    <r>
      <rPr>
        <b/>
        <sz val="11"/>
        <rFont val="Aptos Narrow"/>
        <family val="2"/>
        <scheme val="minor"/>
      </rPr>
      <t>ADRESSE DU PDL</t>
    </r>
    <r>
      <rPr>
        <b/>
        <i/>
        <sz val="11"/>
        <rFont val="Aptos Narrow"/>
        <family val="2"/>
        <scheme val="minor"/>
      </rPr>
      <t xml:space="preserve">
(REFERENCE SAUR)</t>
    </r>
  </si>
  <si>
    <t>1ER SEMESTRE 2025</t>
  </si>
  <si>
    <t>2EME SEMESTRE 2025</t>
  </si>
  <si>
    <t>DATE FACTURE</t>
  </si>
  <si>
    <t>N° DE FACTURE</t>
  </si>
  <si>
    <t>FOURNISSEUR</t>
  </si>
  <si>
    <t>ETAT FACTURE / AVOIR</t>
  </si>
  <si>
    <t>EXERCICE BUDGETAIRE</t>
  </si>
  <si>
    <t>OBS.</t>
  </si>
  <si>
    <t>H19VA201695</t>
  </si>
  <si>
    <t>98-7886111853</t>
  </si>
  <si>
    <t>31 AVENUE JEAN JAURES POSTE DE POLICE MUNICIPALE</t>
  </si>
  <si>
    <t>1er sem.2025</t>
  </si>
  <si>
    <t>Année 2025</t>
  </si>
  <si>
    <t>161251638109</t>
  </si>
  <si>
    <t>SAUR</t>
  </si>
  <si>
    <t>mandatée le 20/03/25</t>
  </si>
  <si>
    <t>part. SAUR (aucune consommation enregistrée)</t>
  </si>
  <si>
    <t>1er semestre</t>
  </si>
  <si>
    <t>2ème semestre</t>
  </si>
  <si>
    <t>16125179727</t>
  </si>
  <si>
    <t>mandatée le 13/8/25</t>
  </si>
  <si>
    <t>C11LA289685</t>
  </si>
  <si>
    <t>98-1088208481</t>
  </si>
  <si>
    <t>8 RUE ALEXANDRE FOUDRIER CLUB PHOTO AMICALE LAIQUE</t>
  </si>
  <si>
    <t>161251638099</t>
  </si>
  <si>
    <t>161251719722</t>
  </si>
  <si>
    <t>H19VA201539</t>
  </si>
  <si>
    <t>98-6036027075</t>
  </si>
  <si>
    <t>BAINS DOUCHES ET ESPACE RENE FALLET - 29 TER, AV. J. JAURES</t>
  </si>
  <si>
    <t>31 AVENUE JEAN JAURES BAINS DOUCHES</t>
  </si>
  <si>
    <t>161251638061</t>
  </si>
  <si>
    <t>mandatée le 20/03/26</t>
  </si>
  <si>
    <t>161251719712</t>
  </si>
  <si>
    <t>C18SB078078</t>
  </si>
  <si>
    <t>98-2468097228</t>
  </si>
  <si>
    <t>33 BIS RUE JEAN JAURES</t>
  </si>
  <si>
    <t>161251648885</t>
  </si>
  <si>
    <t>mandatée le 6/3/25</t>
  </si>
  <si>
    <t>D20BA126269</t>
  </si>
  <si>
    <t>98-2685548103</t>
  </si>
  <si>
    <t>1e sem.2025</t>
  </si>
  <si>
    <t>161251638180</t>
  </si>
  <si>
    <t>16125179740</t>
  </si>
  <si>
    <t>mandatée le 14/8/25</t>
  </si>
  <si>
    <t>C13LA413430</t>
  </si>
  <si>
    <t>98-6291864853</t>
  </si>
  <si>
    <t>MAISON DES ASSOCIATIONS 1901 ET MAISON DES JEUNES - 28, RUE COLBERT</t>
  </si>
  <si>
    <t>28 RUE COLBERT SERVICE TECHNIQUE</t>
  </si>
  <si>
    <t>16125179719</t>
  </si>
  <si>
    <t>rapprochée mais pas mandatée</t>
  </si>
  <si>
    <t>C20FE000777</t>
  </si>
  <si>
    <t>98-5042184611</t>
  </si>
  <si>
    <t>13 RUE DES BATISSEURS RUE DES INVESTISSEURS</t>
  </si>
  <si>
    <t>161251638156</t>
  </si>
  <si>
    <t>161251719735</t>
  </si>
  <si>
    <t>mandatée le 11/8/25</t>
  </si>
  <si>
    <t>C12LA284980</t>
  </si>
  <si>
    <t>98-8729053769</t>
  </si>
  <si>
    <t>10 RUE EUGENE ESNAULT PELTERIE</t>
  </si>
  <si>
    <t>161251638183</t>
  </si>
  <si>
    <t>161251719742</t>
  </si>
  <si>
    <t>C11LA289689</t>
  </si>
  <si>
    <t>98-7497055393</t>
  </si>
  <si>
    <t>8 RUE ALEXANDRE FOUDRIER SERVICE SCOLAIRE</t>
  </si>
  <si>
    <t>161251638071</t>
  </si>
  <si>
    <t>161251719717</t>
  </si>
  <si>
    <t>I19BG029906</t>
  </si>
  <si>
    <t>98-3574491365</t>
  </si>
  <si>
    <t>GROUPE SCOLAIRE EUROPE (CENTRE DE LOISIRS PETIT PRINCE)   - AVENUE JEAN JAURES / ANGLE ALLE GERMAIN VAYSSE</t>
  </si>
  <si>
    <t>AVENUE JEAN JAURES GROUPE SCOLAIRE EUROPE</t>
  </si>
  <si>
    <t>161251648887</t>
  </si>
  <si>
    <t>161251719743</t>
  </si>
  <si>
    <t>A04TA110211</t>
  </si>
  <si>
    <t>98-7157874145</t>
  </si>
  <si>
    <t>31 AVENUE JEAN JAURES MAISON DES ARTS</t>
  </si>
  <si>
    <t>161251648888</t>
  </si>
  <si>
    <t>mandatée le 25/03/25</t>
  </si>
  <si>
    <t>161251719736</t>
  </si>
  <si>
    <t>I19JD004172</t>
  </si>
  <si>
    <t>98-5955063497</t>
  </si>
  <si>
    <t>1 RUE DES BATISSEURS MAISON ENFANCE CLUB ADOS</t>
  </si>
  <si>
    <t>161251719729</t>
  </si>
  <si>
    <t>mandatée le 18/08/25</t>
  </si>
  <si>
    <t>C13SE013215</t>
  </si>
  <si>
    <t>98-1954094687</t>
  </si>
  <si>
    <t>GROUPE SCOLAIRE EUROPE (ECOLES G. BRASSENS ET J. PREVERT 2) - AVENUE DE L'EUROPE / RUE DE SCHOTTEN</t>
  </si>
  <si>
    <t>AVENUE DE L'EUROPE ECOLE GEORGES BRASSENS</t>
  </si>
  <si>
    <t>16251719732</t>
  </si>
  <si>
    <t>C20JG001290</t>
  </si>
  <si>
    <t>98-5195929471</t>
  </si>
  <si>
    <t>GROUPE SCOLAIRE VINGT ARPENTS - 2, RUE M. RAVEL</t>
  </si>
  <si>
    <t>F RUE MAURICE RAVEL GROUPE SCOLAIRE</t>
  </si>
  <si>
    <t>16125638100</t>
  </si>
  <si>
    <t>161251719723</t>
  </si>
  <si>
    <t>C12SD008344</t>
  </si>
  <si>
    <t>98-5523729053</t>
  </si>
  <si>
    <t>3 RUE ALEXANDRE FOUDRIER CENTRE PREVERT</t>
  </si>
  <si>
    <t>161251719733</t>
  </si>
  <si>
    <r>
      <t xml:space="preserve">I23BE027668
</t>
    </r>
    <r>
      <rPr>
        <sz val="8"/>
        <rFont val="Aptos Narrow"/>
        <family val="2"/>
        <scheme val="minor"/>
      </rPr>
      <t>(remplace le n°D08FE033712 - info de SAUR du 18/11/25)</t>
    </r>
  </si>
  <si>
    <t>98-5923698393</t>
  </si>
  <si>
    <t>ESPACES VERTS</t>
  </si>
  <si>
    <t>AV DU PRESIDENT SALVADOR ALLENDE ALIMENTE LA PELOUSE DU STADE</t>
  </si>
  <si>
    <t>161251638095</t>
  </si>
  <si>
    <t>161251719720</t>
  </si>
  <si>
    <t>REFUSÉE</t>
  </si>
  <si>
    <t>Le compteur n°I23BE027668 remplace le n°D08FE033712 - info de SAUR par mail du 18/11/25</t>
  </si>
  <si>
    <t>H17AU003424</t>
  </si>
  <si>
    <t>98-8268059683</t>
  </si>
  <si>
    <t>AV DU PRESIDENT SALVADOR ALLENDE LOGEMENT GARDIEN STADE H HURT</t>
  </si>
  <si>
    <t>Compteur d'eau au nom de M. BESNIER à compter du 25/10/24</t>
  </si>
  <si>
    <t>C09EE000742</t>
  </si>
  <si>
    <t>98-1188741211</t>
  </si>
  <si>
    <t>AVENUE LEON JOUHAUX SALLE DES SPORTS</t>
  </si>
  <si>
    <t>161251638175</t>
  </si>
  <si>
    <t>16125179738</t>
  </si>
  <si>
    <t>C13SB029071</t>
  </si>
  <si>
    <t>98-3199319415</t>
  </si>
  <si>
    <t>2 ALLEE DES USELLES CLUB HOUSE TENNIS</t>
  </si>
  <si>
    <t>161251638182</t>
  </si>
  <si>
    <t>161251719741</t>
  </si>
  <si>
    <t xml:space="preserve">A04TA100759 </t>
  </si>
  <si>
    <t>98-4059230265</t>
  </si>
  <si>
    <t>TENNIS COUVERTS ET LOGEMENT GARDIEN - 10, AV. L. JOUHAUX</t>
  </si>
  <si>
    <t>AVENUE LEON JOUHAUX TENNIS COUVERTS</t>
  </si>
  <si>
    <t>161251638199</t>
  </si>
  <si>
    <t>161251719744</t>
  </si>
  <si>
    <t>96.6206575</t>
  </si>
  <si>
    <t>98-7848819001</t>
  </si>
  <si>
    <t>RUELLE DE L'EGLISE SACRISTIE</t>
  </si>
  <si>
    <t>161251638066</t>
  </si>
  <si>
    <t>161251719715</t>
  </si>
  <si>
    <t>I19JA110565</t>
  </si>
  <si>
    <t>98-8680554373</t>
  </si>
  <si>
    <t>CIMETIERE</t>
  </si>
  <si>
    <t>RUE DU MONT-GRIFFON ANGLE AV. SALVADOR ALLENDE</t>
  </si>
  <si>
    <t>RUE DU MONT GRIFFON CIMETIERE</t>
  </si>
  <si>
    <t>161251719734</t>
  </si>
  <si>
    <t xml:space="preserve">C17SB035949 </t>
  </si>
  <si>
    <t>98-5876160341</t>
  </si>
  <si>
    <t>VERGER COMMUNAL - 17, AVENUE DE L'ABBE SIEYES</t>
  </si>
  <si>
    <t>17 AVENUE DE L'ABBE SIEYES</t>
  </si>
  <si>
    <t>161251648886</t>
  </si>
  <si>
    <t>mandatée le 06/03/25</t>
  </si>
  <si>
    <t>161251719725</t>
  </si>
  <si>
    <t>mandatée le 138/25</t>
  </si>
  <si>
    <t>C15FA211511</t>
  </si>
  <si>
    <t>98-6121578987</t>
  </si>
  <si>
    <t>FONTAINE</t>
  </si>
  <si>
    <t>PLACE SAINT EUTROPE BORNE FONTAINE</t>
  </si>
  <si>
    <t>161251638068</t>
  </si>
  <si>
    <t>161251719716</t>
  </si>
  <si>
    <t xml:space="preserve">A02MU014570 </t>
  </si>
  <si>
    <t>98-5975827077</t>
  </si>
  <si>
    <t>ESPLANADE DES POETES</t>
  </si>
  <si>
    <t>AVENUE JEAN JAURES ARROSAGE PARKING FACE PL POETES</t>
  </si>
  <si>
    <t>161251638171</t>
  </si>
  <si>
    <t>161251719737</t>
  </si>
  <si>
    <t xml:space="preserve">C10LA129925 </t>
  </si>
  <si>
    <t>98-5322262445</t>
  </si>
  <si>
    <t>VOIRIE</t>
  </si>
  <si>
    <t>ESPLANADE DES POETES - MARCHE</t>
  </si>
  <si>
    <t>31 AVENUE JEAN JAURES MARCHE ESPLANADE DES POETES</t>
  </si>
  <si>
    <t>161251638179</t>
  </si>
  <si>
    <t>161251719739</t>
  </si>
  <si>
    <t>D03PD062820</t>
  </si>
  <si>
    <t>98-1381048001</t>
  </si>
  <si>
    <t>AV. LEON JOUHAUX / ANGLE AVENUE AV. FRANCOIS MITTERRAND</t>
  </si>
  <si>
    <t>C14SD001405</t>
  </si>
  <si>
    <t>98-5386148003</t>
  </si>
  <si>
    <t>AVENUE LEON JOUHAUX SALLE DES SPORTS ARROSAGE</t>
  </si>
  <si>
    <t>161251638088</t>
  </si>
  <si>
    <t>16125179718</t>
  </si>
  <si>
    <t xml:space="preserve">D12JD063904 </t>
  </si>
  <si>
    <t>98-5818464697</t>
  </si>
  <si>
    <t>JARDIN MEDIEVAL - RUELLE SAINT-LOUIS</t>
  </si>
  <si>
    <t>RUELLE SAINT LOUIS BRANCHEMENT ARROSAGE</t>
  </si>
  <si>
    <t>161251638104</t>
  </si>
  <si>
    <t>161251719726</t>
  </si>
  <si>
    <t>H19VA302391</t>
  </si>
  <si>
    <t>98-7618353781</t>
  </si>
  <si>
    <t>PLACE BOILEAU</t>
  </si>
  <si>
    <t>PLACE BOILEAU BRANCHEMENT ARROSAGE</t>
  </si>
  <si>
    <t>161251719730</t>
  </si>
  <si>
    <t xml:space="preserve">C17SE012065 </t>
  </si>
  <si>
    <t>98-1565656181</t>
  </si>
  <si>
    <t>RUE DANIEL MAYER</t>
  </si>
  <si>
    <t>161251709774</t>
  </si>
  <si>
    <t>mandatée le 16/07/25</t>
  </si>
  <si>
    <t xml:space="preserve">A04TA118485 </t>
  </si>
  <si>
    <t>98-4417552183</t>
  </si>
  <si>
    <t>BORNE FONTAINE</t>
  </si>
  <si>
    <t>AV. SALVADOR ALLENDE / ANGLE ALLEE DU GENERAL LEJEUNE</t>
  </si>
  <si>
    <t>AV DU PRESIDENT SALVADOR ALLENDE ANGLE ALLEE GENERAL LE JEUNE</t>
  </si>
  <si>
    <t>161251638062</t>
  </si>
  <si>
    <t>161251719713</t>
  </si>
  <si>
    <t xml:space="preserve">C06AA822081 </t>
  </si>
  <si>
    <t>98-7670425779</t>
  </si>
  <si>
    <t>AV. FRANCOIS MITTERRAND / ROND-POINT DES DROITS DE L'HOMME</t>
  </si>
  <si>
    <t>AVENUE DE LA PLAINE HAUTE CARREFOUR DES DROITS DE L'HOMME</t>
  </si>
  <si>
    <t>161251719714</t>
  </si>
  <si>
    <t>C16SB100531</t>
  </si>
  <si>
    <t>98-6720205255</t>
  </si>
  <si>
    <t>AV. LEON JOUHAUX / CARREFOUR RUES INVESTISSEURS ET ENTREPRENEURS (SUD)</t>
  </si>
  <si>
    <t>AVENUE LEON JOUHAUX X INVESTISSEURS ROND POINT N1</t>
  </si>
  <si>
    <t>161251638135</t>
  </si>
  <si>
    <t>161251719731</t>
  </si>
  <si>
    <t xml:space="preserve">C16SB112977 </t>
  </si>
  <si>
    <t>98-2626899999</t>
  </si>
  <si>
    <t>AV. LEON JOUHAUX / CARREFOUR RUES INVESTISSEURS ET ENTREPRENEURS (NORD)</t>
  </si>
  <si>
    <t>AVENUE LEON JOUHAUX X INVESTISSEURS ROND POINT N2</t>
  </si>
  <si>
    <t>161251638096</t>
  </si>
  <si>
    <t>161251719721</t>
  </si>
  <si>
    <t>Pour une mairie qui fais des services de restauration pour écoles, accueil de loisir, espace ados, sejour.. comment faire pour etablir une maquette des couts pour chaque service</t>
  </si>
  <si>
    <t>rest JP1</t>
  </si>
  <si>
    <t>Depenses alimentation</t>
  </si>
  <si>
    <t>total cl gav</t>
  </si>
  <si>
    <t>total MDJ</t>
  </si>
  <si>
    <t>Charges de personnel</t>
  </si>
  <si>
    <t>Esapce ADOS</t>
  </si>
  <si>
    <t>Elec club ados et regroupé avec celle de maison petite enfance, donc j'ai du faire la moyenne : diviser par 2</t>
  </si>
  <si>
    <t>personnel</t>
  </si>
  <si>
    <t>De manière approximative, on le divise sur 2</t>
  </si>
  <si>
    <t>Materiel</t>
  </si>
  <si>
    <t>Georg sand</t>
  </si>
  <si>
    <t>JP2</t>
  </si>
  <si>
    <t xml:space="preserve">FOURNITURES </t>
  </si>
  <si>
    <t>Couts par unité d'œuvre</t>
  </si>
  <si>
    <t xml:space="preserve">Charges / Service </t>
  </si>
  <si>
    <t>Acceuil de Loisirs</t>
  </si>
  <si>
    <t>Acceuil périscolaire</t>
  </si>
  <si>
    <t>Etudes surveillés</t>
  </si>
  <si>
    <t>Espace Ados</t>
  </si>
  <si>
    <t>Séjours</t>
  </si>
  <si>
    <t>Depenses reelles annuelle</t>
  </si>
  <si>
    <r>
      <t>Un repas cout en moyenne 11,39</t>
    </r>
    <r>
      <rPr>
        <sz val="10"/>
        <rFont val="Aptos Narrow"/>
        <family val="2"/>
      </rPr>
      <t>€</t>
    </r>
  </si>
  <si>
    <t>Prestataire SCOLAREST</t>
  </si>
  <si>
    <t xml:space="preserve">Personnel </t>
  </si>
  <si>
    <t>Petit matériel</t>
  </si>
  <si>
    <t>Materiel sportif</t>
  </si>
  <si>
    <t xml:space="preserve">Droits d'entrée </t>
  </si>
  <si>
    <t>Carburant</t>
  </si>
  <si>
    <t>Location de bus</t>
  </si>
  <si>
    <t>Amendes</t>
  </si>
  <si>
    <t>Parking, peage</t>
  </si>
  <si>
    <t xml:space="preserve">Hebergement </t>
  </si>
  <si>
    <t>Fluides</t>
  </si>
  <si>
    <t>Materiel et fournitures</t>
  </si>
  <si>
    <t xml:space="preserve">Autres </t>
  </si>
  <si>
    <t xml:space="preserve">Alimentation </t>
  </si>
  <si>
    <t>Tableau synthetique  de Depenses par service</t>
  </si>
  <si>
    <t>Nomre d'enfants</t>
  </si>
  <si>
    <t>Nombre annuel</t>
  </si>
  <si>
    <t xml:space="preserve">             CAF &lt; 1000€</t>
  </si>
  <si>
    <t xml:space="preserve">Tranches  </t>
  </si>
  <si>
    <t>Tableau synthetique des recettes par service</t>
  </si>
  <si>
    <t>Tarif repas</t>
  </si>
  <si>
    <t>Cout par unité d'œuvre</t>
  </si>
  <si>
    <t>Nature comptable</t>
  </si>
  <si>
    <t>*Eau MDJ, on a un montant qui englobe à la fois MDJ et maison des assoc , donce de manière approximative on a divisé le mantant sur é pour avoir :     Montant total =</t>
  </si>
  <si>
    <t>Part de MDJ</t>
  </si>
  <si>
    <t xml:space="preserve">Eau club ados comprend aussi maison de petite enfance donc on a du faire diviser le montant total par 2 </t>
  </si>
  <si>
    <t xml:space="preserve">Eau JP2 comprend aussi G. Brassens donc on a du faire diviser le montant total par 2 </t>
  </si>
  <si>
    <t xml:space="preserve">ELEC Gav comprend aussi JP2, qui est d'un mntant de </t>
  </si>
  <si>
    <t xml:space="preserve">De manière approximative, on a divisé le mt ar 2 donc </t>
  </si>
  <si>
    <t>Le montant c'est donc</t>
  </si>
  <si>
    <t xml:space="preserve">* ELEC p'tit prince, on a un montant integrant egalement BRASSENS on divise ce montant donc par 2 </t>
  </si>
  <si>
    <t xml:space="preserve">Elec, nous avons le montant qu'on a divisé par 2 puusqu'il integrait une partie de Brassens , par ailleur, cette partie on la subduv à 2 pour avoir une partie au acceuil de lois et une pour acc peisc </t>
  </si>
  <si>
    <t>DONC NOUS AVONS</t>
  </si>
  <si>
    <t>On le divise par la suite sur 2 pour avoir une partie pour acc perisc et une autre partie pour accueil de loisir</t>
  </si>
  <si>
    <t xml:space="preserve">ELEC JP1 , on a un montant qu'on doit diviser ar 2 pour qu'i soit reparti à la fois sir accueil de lois et accueil periscolaires </t>
  </si>
  <si>
    <t xml:space="preserve">Le motant divisé est donc </t>
  </si>
  <si>
    <t>*EAU de Gavroche comprend une partie de cl petit prince d'un montant de :</t>
  </si>
  <si>
    <t>On a donc un montant de</t>
  </si>
  <si>
    <t xml:space="preserve">Gaz on a un montant qui inclue à la fois JP2 et Brassens, on le divise à 2 de manière approximative </t>
  </si>
  <si>
    <t xml:space="preserve">Gaz on a un montant qui inclue à la fois 2 services de JP1, on le divise à 2 de manière approximative </t>
  </si>
  <si>
    <t>Pour avoir</t>
  </si>
  <si>
    <t xml:space="preserve">Gaz de rest gav comprend aussi cl petit prinec, donc e de aniere approximative, on divise le montant par 2 pour avoir  </t>
  </si>
  <si>
    <t>Activités ,ateliers</t>
  </si>
  <si>
    <t>Montant annuel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</si>
</sst>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#,##0.00\ &quot;€&quot;;[Red]\-#,##0.00\ &quot;€&quot;"/>
    <numFmt numFmtId="43" formatCode="_-* #,##0.00_-;\-* #,##0.00_-;_-* &quot;-&quot;??_-;_-@_-"/>
    <numFmt numFmtId="164" formatCode="#0.00"/>
    <numFmt numFmtId="165" formatCode="#,##0.00\ &quot;€&quot;"/>
    <numFmt numFmtId="166" formatCode="#,##0.00;[Red]#,##0.00"/>
    <numFmt numFmtId="167" formatCode="#,##0.00_ ;\-#,##0.00\ "/>
    <numFmt numFmtId="168" formatCode="#,##0;[Red]#,##0"/>
    <numFmt numFmtId="169" formatCode="00000"/>
    <numFmt numFmtId="170" formatCode="#,##0_ ;\-#,##0\ "/>
  </numFmts>
  <fonts count="5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4" tint="-0.249977111117893"/>
      <name val="Arial"/>
      <family val="2"/>
    </font>
    <font>
      <b/>
      <sz val="11"/>
      <color theme="4" tint="-0.249977111117893"/>
      <name val="Calibri"/>
      <family val="2"/>
    </font>
    <font>
      <b/>
      <sz val="10"/>
      <color theme="4" tint="-0.249977111117893"/>
      <name val="Arial"/>
      <family val="2"/>
    </font>
    <font>
      <b/>
      <sz val="11"/>
      <color theme="5" tint="-0.249977111117893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u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  <font>
      <b/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vertAlign val="superscript"/>
      <sz val="10"/>
      <name val="Arial"/>
      <family val="2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0"/>
      <color rgb="FFFF0000"/>
      <name val="Arial"/>
      <family val="2"/>
    </font>
    <font>
      <sz val="8"/>
      <name val="Arial"/>
      <family val="2"/>
    </font>
    <font>
      <sz val="8"/>
      <color theme="1"/>
      <name val="Aptos Narrow"/>
      <family val="2"/>
      <scheme val="minor"/>
    </font>
    <font>
      <b/>
      <vertAlign val="superscript"/>
      <sz val="10"/>
      <color theme="1"/>
      <name val="Arial"/>
      <family val="2"/>
    </font>
    <font>
      <i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FF0000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10"/>
      <name val="Aptos Narrow"/>
      <family val="2"/>
    </font>
    <font>
      <b/>
      <sz val="11"/>
      <name val="Arial"/>
      <family val="2"/>
    </font>
  </fonts>
  <fills count="7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theme="8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theme="8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</fills>
  <borders count="9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</cellStyleXfs>
  <cellXfs count="774">
    <xf numFmtId="0" fontId="0" fillId="0" borderId="0" xfId="0"/>
    <xf numFmtId="0" fontId="18" fillId="33" borderId="10" xfId="0" applyFont="1" applyFill="1" applyBorder="1" applyAlignment="1">
      <alignment horizontal="center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8" fillId="33" borderId="10" xfId="0" applyFont="1" applyFill="1" applyBorder="1" applyAlignment="1">
      <alignment horizontal="center" vertical="top" wrapText="1"/>
    </xf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9" fillId="34" borderId="11" xfId="0" applyFont="1" applyFill="1" applyBorder="1" applyAlignment="1">
      <alignment horizontal="center" vertical="top"/>
    </xf>
    <xf numFmtId="0" fontId="19" fillId="34" borderId="11" xfId="0" applyFont="1" applyFill="1" applyBorder="1" applyAlignment="1">
      <alignment horizontal="right" vertical="top"/>
    </xf>
    <xf numFmtId="0" fontId="19" fillId="34" borderId="11" xfId="0" applyFont="1" applyFill="1" applyBorder="1" applyAlignment="1">
      <alignment horizontal="left" vertical="top"/>
    </xf>
    <xf numFmtId="0" fontId="19" fillId="33" borderId="11" xfId="0" applyFont="1" applyFill="1" applyBorder="1" applyAlignment="1">
      <alignment horizontal="center" vertical="top"/>
    </xf>
    <xf numFmtId="0" fontId="19" fillId="33" borderId="11" xfId="0" applyFont="1" applyFill="1" applyBorder="1" applyAlignment="1">
      <alignment horizontal="right" vertical="top"/>
    </xf>
    <xf numFmtId="0" fontId="19" fillId="0" borderId="0" xfId="0" applyFon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35" borderId="0" xfId="0" applyFill="1"/>
    <xf numFmtId="0" fontId="0" fillId="0" borderId="0" xfId="0" applyAlignment="1">
      <alignment horizontal="left" indent="2"/>
    </xf>
    <xf numFmtId="0" fontId="19" fillId="33" borderId="13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center" vertical="top"/>
    </xf>
    <xf numFmtId="0" fontId="19" fillId="33" borderId="13" xfId="0" applyFont="1" applyFill="1" applyBorder="1" applyAlignment="1">
      <alignment horizontal="right" vertical="top"/>
    </xf>
    <xf numFmtId="0" fontId="19" fillId="33" borderId="14" xfId="0" applyFont="1" applyFill="1" applyBorder="1" applyAlignment="1">
      <alignment horizontal="left" vertical="top"/>
    </xf>
    <xf numFmtId="0" fontId="19" fillId="33" borderId="14" xfId="0" applyFont="1" applyFill="1" applyBorder="1" applyAlignment="1">
      <alignment horizontal="right" vertical="top"/>
    </xf>
    <xf numFmtId="14" fontId="19" fillId="33" borderId="14" xfId="0" applyNumberFormat="1" applyFont="1" applyFill="1" applyBorder="1" applyAlignment="1">
      <alignment horizontal="center" vertical="top"/>
    </xf>
    <xf numFmtId="4" fontId="19" fillId="33" borderId="14" xfId="0" applyNumberFormat="1" applyFont="1" applyFill="1" applyBorder="1" applyAlignment="1">
      <alignment horizontal="right" vertical="top"/>
    </xf>
    <xf numFmtId="14" fontId="19" fillId="33" borderId="14" xfId="0" applyNumberFormat="1" applyFont="1" applyFill="1" applyBorder="1" applyAlignment="1">
      <alignment horizontal="left" vertical="top"/>
    </xf>
    <xf numFmtId="164" fontId="19" fillId="33" borderId="14" xfId="0" applyNumberFormat="1" applyFont="1" applyFill="1" applyBorder="1" applyAlignment="1">
      <alignment horizontal="right" vertical="top"/>
    </xf>
    <xf numFmtId="0" fontId="19" fillId="34" borderId="14" xfId="0" applyFont="1" applyFill="1" applyBorder="1" applyAlignment="1">
      <alignment horizontal="left" vertical="top"/>
    </xf>
    <xf numFmtId="0" fontId="19" fillId="34" borderId="14" xfId="0" applyFont="1" applyFill="1" applyBorder="1" applyAlignment="1">
      <alignment horizontal="right" vertical="top"/>
    </xf>
    <xf numFmtId="14" fontId="19" fillId="34" borderId="14" xfId="0" applyNumberFormat="1" applyFont="1" applyFill="1" applyBorder="1" applyAlignment="1">
      <alignment horizontal="center" vertical="top"/>
    </xf>
    <xf numFmtId="4" fontId="19" fillId="34" borderId="14" xfId="0" applyNumberFormat="1" applyFont="1" applyFill="1" applyBorder="1" applyAlignment="1">
      <alignment horizontal="right" vertical="top"/>
    </xf>
    <xf numFmtId="14" fontId="19" fillId="34" borderId="14" xfId="0" applyNumberFormat="1" applyFont="1" applyFill="1" applyBorder="1" applyAlignment="1">
      <alignment horizontal="left" vertical="top"/>
    </xf>
    <xf numFmtId="164" fontId="19" fillId="34" borderId="14" xfId="0" applyNumberFormat="1" applyFont="1" applyFill="1" applyBorder="1" applyAlignment="1">
      <alignment horizontal="right" vertical="top"/>
    </xf>
    <xf numFmtId="0" fontId="20" fillId="0" borderId="0" xfId="0" applyFont="1" applyAlignment="1">
      <alignment vertical="center" wrapText="1"/>
    </xf>
    <xf numFmtId="0" fontId="21" fillId="0" borderId="15" xfId="0" applyFont="1" applyBorder="1" applyAlignment="1">
      <alignment horizontal="center" vertical="center"/>
    </xf>
    <xf numFmtId="8" fontId="22" fillId="0" borderId="15" xfId="0" applyNumberFormat="1" applyFont="1" applyBorder="1" applyAlignment="1">
      <alignment horizontal="center" vertical="center"/>
    </xf>
    <xf numFmtId="0" fontId="0" fillId="0" borderId="15" xfId="0" applyBorder="1"/>
    <xf numFmtId="0" fontId="23" fillId="0" borderId="15" xfId="0" applyFont="1" applyBorder="1" applyAlignment="1">
      <alignment horizontal="center" vertical="center"/>
    </xf>
    <xf numFmtId="8" fontId="24" fillId="0" borderId="15" xfId="0" applyNumberFormat="1" applyFont="1" applyBorder="1" applyAlignment="1">
      <alignment horizontal="center" vertical="center"/>
    </xf>
    <xf numFmtId="165" fontId="0" fillId="0" borderId="15" xfId="0" applyNumberForma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8" fontId="22" fillId="0" borderId="16" xfId="0" applyNumberFormat="1" applyFont="1" applyBorder="1" applyAlignment="1">
      <alignment horizontal="center" vertical="center"/>
    </xf>
    <xf numFmtId="0" fontId="0" fillId="0" borderId="16" xfId="0" applyBorder="1"/>
    <xf numFmtId="165" fontId="0" fillId="0" borderId="16" xfId="0" applyNumberFormat="1" applyBorder="1" applyAlignment="1">
      <alignment vertical="center"/>
    </xf>
    <xf numFmtId="0" fontId="26" fillId="36" borderId="15" xfId="0" applyFont="1" applyFill="1" applyBorder="1" applyAlignment="1">
      <alignment horizontal="center" vertical="center"/>
    </xf>
    <xf numFmtId="8" fontId="26" fillId="36" borderId="15" xfId="0" applyNumberFormat="1" applyFont="1" applyFill="1" applyBorder="1" applyAlignment="1">
      <alignment horizontal="center" vertical="center"/>
    </xf>
    <xf numFmtId="165" fontId="25" fillId="36" borderId="15" xfId="0" applyNumberFormat="1" applyFont="1" applyFill="1" applyBorder="1" applyAlignment="1">
      <alignment vertical="center"/>
    </xf>
    <xf numFmtId="10" fontId="0" fillId="0" borderId="15" xfId="42" applyNumberFormat="1" applyFont="1" applyBorder="1"/>
    <xf numFmtId="10" fontId="19" fillId="0" borderId="0" xfId="0" applyNumberFormat="1" applyFont="1"/>
    <xf numFmtId="0" fontId="31" fillId="35" borderId="15" xfId="0" applyFont="1" applyFill="1" applyBorder="1"/>
    <xf numFmtId="0" fontId="31" fillId="36" borderId="15" xfId="0" applyFont="1" applyFill="1" applyBorder="1"/>
    <xf numFmtId="0" fontId="32" fillId="0" borderId="15" xfId="0" applyFont="1" applyBorder="1" applyAlignment="1">
      <alignment horizontal="center"/>
    </xf>
    <xf numFmtId="0" fontId="32" fillId="35" borderId="15" xfId="0" quotePrefix="1" applyFont="1" applyFill="1" applyBorder="1"/>
    <xf numFmtId="4" fontId="30" fillId="38" borderId="15" xfId="0" applyNumberFormat="1" applyFont="1" applyFill="1" applyBorder="1"/>
    <xf numFmtId="4" fontId="32" fillId="36" borderId="15" xfId="0" applyNumberFormat="1" applyFont="1" applyFill="1" applyBorder="1"/>
    <xf numFmtId="0" fontId="18" fillId="33" borderId="18" xfId="0" applyFont="1" applyFill="1" applyBorder="1" applyAlignment="1">
      <alignment horizontal="center" vertical="top"/>
    </xf>
    <xf numFmtId="0" fontId="18" fillId="33" borderId="18" xfId="0" applyFont="1" applyFill="1" applyBorder="1" applyAlignment="1">
      <alignment horizontal="left" vertical="top"/>
    </xf>
    <xf numFmtId="0" fontId="33" fillId="33" borderId="18" xfId="0" applyFont="1" applyFill="1" applyBorder="1" applyAlignment="1">
      <alignment horizontal="left" vertical="top"/>
    </xf>
    <xf numFmtId="4" fontId="19" fillId="0" borderId="0" xfId="0" applyNumberFormat="1" applyFont="1"/>
    <xf numFmtId="1" fontId="32" fillId="36" borderId="15" xfId="0" applyNumberFormat="1" applyFont="1" applyFill="1" applyBorder="1"/>
    <xf numFmtId="0" fontId="19" fillId="39" borderId="15" xfId="0" applyFont="1" applyFill="1" applyBorder="1"/>
    <xf numFmtId="0" fontId="0" fillId="39" borderId="15" xfId="0" applyFill="1" applyBorder="1" applyAlignment="1">
      <alignment horizontal="center"/>
    </xf>
    <xf numFmtId="0" fontId="19" fillId="39" borderId="15" xfId="0" applyFont="1" applyFill="1" applyBorder="1" applyAlignment="1">
      <alignment horizontal="center"/>
    </xf>
    <xf numFmtId="0" fontId="19" fillId="39" borderId="15" xfId="0" applyFont="1" applyFill="1" applyBorder="1" applyAlignment="1">
      <alignment vertical="center"/>
    </xf>
    <xf numFmtId="0" fontId="19" fillId="39" borderId="15" xfId="0" applyFont="1" applyFill="1" applyBorder="1" applyAlignment="1">
      <alignment wrapText="1"/>
    </xf>
    <xf numFmtId="0" fontId="19" fillId="39" borderId="15" xfId="0" applyFont="1" applyFill="1" applyBorder="1" applyAlignment="1">
      <alignment horizontal="center" wrapText="1"/>
    </xf>
    <xf numFmtId="0" fontId="32" fillId="0" borderId="0" xfId="0" applyFont="1"/>
    <xf numFmtId="0" fontId="31" fillId="35" borderId="19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0" fillId="40" borderId="15" xfId="0" applyFill="1" applyBorder="1"/>
    <xf numFmtId="4" fontId="32" fillId="40" borderId="15" xfId="0" applyNumberFormat="1" applyFont="1" applyFill="1" applyBorder="1"/>
    <xf numFmtId="0" fontId="30" fillId="0" borderId="15" xfId="0" applyFont="1" applyBorder="1"/>
    <xf numFmtId="0" fontId="30" fillId="0" borderId="19" xfId="0" applyFont="1" applyBorder="1"/>
    <xf numFmtId="20" fontId="32" fillId="0" borderId="15" xfId="0" applyNumberFormat="1" applyFont="1" applyBorder="1" applyAlignment="1">
      <alignment horizontal="center"/>
    </xf>
    <xf numFmtId="4" fontId="0" fillId="40" borderId="15" xfId="0" applyNumberFormat="1" applyFill="1" applyBorder="1"/>
    <xf numFmtId="4" fontId="0" fillId="42" borderId="15" xfId="0" applyNumberFormat="1" applyFill="1" applyBorder="1"/>
    <xf numFmtId="0" fontId="0" fillId="35" borderId="15" xfId="0" applyFill="1" applyBorder="1"/>
    <xf numFmtId="4" fontId="0" fillId="44" borderId="15" xfId="0" applyNumberFormat="1" applyFill="1" applyBorder="1"/>
    <xf numFmtId="4" fontId="30" fillId="45" borderId="15" xfId="0" applyNumberFormat="1" applyFont="1" applyFill="1" applyBorder="1"/>
    <xf numFmtId="4" fontId="0" fillId="46" borderId="15" xfId="0" applyNumberFormat="1" applyFill="1" applyBorder="1"/>
    <xf numFmtId="4" fontId="32" fillId="43" borderId="15" xfId="0" applyNumberFormat="1" applyFont="1" applyFill="1" applyBorder="1"/>
    <xf numFmtId="4" fontId="31" fillId="47" borderId="15" xfId="0" applyNumberFormat="1" applyFont="1" applyFill="1" applyBorder="1"/>
    <xf numFmtId="0" fontId="32" fillId="0" borderId="20" xfId="0" applyFont="1" applyBorder="1" applyAlignment="1">
      <alignment horizontal="center"/>
    </xf>
    <xf numFmtId="0" fontId="28" fillId="37" borderId="15" xfId="0" applyFont="1" applyFill="1" applyBorder="1" applyAlignment="1">
      <alignment horizontal="center" vertical="center"/>
    </xf>
    <xf numFmtId="0" fontId="32" fillId="0" borderId="19" xfId="0" applyFont="1" applyBorder="1" applyAlignment="1">
      <alignment horizontal="center"/>
    </xf>
    <xf numFmtId="0" fontId="19" fillId="39" borderId="15" xfId="0" applyFont="1" applyFill="1" applyBorder="1" applyAlignment="1">
      <alignment vertical="center" wrapText="1"/>
    </xf>
    <xf numFmtId="0" fontId="32" fillId="39" borderId="15" xfId="0" applyFont="1" applyFill="1" applyBorder="1" applyAlignment="1">
      <alignment horizontal="center"/>
    </xf>
    <xf numFmtId="4" fontId="0" fillId="0" borderId="15" xfId="0" applyNumberFormat="1" applyBorder="1"/>
    <xf numFmtId="4" fontId="0" fillId="35" borderId="15" xfId="0" applyNumberFormat="1" applyFill="1" applyBorder="1"/>
    <xf numFmtId="0" fontId="0" fillId="0" borderId="19" xfId="0" applyBorder="1"/>
    <xf numFmtId="0" fontId="32" fillId="35" borderId="25" xfId="0" applyFont="1" applyFill="1" applyBorder="1" applyAlignment="1">
      <alignment vertical="center"/>
    </xf>
    <xf numFmtId="0" fontId="32" fillId="35" borderId="0" xfId="0" applyFont="1" applyFill="1" applyAlignment="1">
      <alignment vertical="center"/>
    </xf>
    <xf numFmtId="165" fontId="27" fillId="36" borderId="21" xfId="0" applyNumberFormat="1" applyFont="1" applyFill="1" applyBorder="1"/>
    <xf numFmtId="165" fontId="0" fillId="0" borderId="15" xfId="0" applyNumberFormat="1" applyBorder="1"/>
    <xf numFmtId="8" fontId="0" fillId="0" borderId="15" xfId="0" applyNumberFormat="1" applyBorder="1"/>
    <xf numFmtId="0" fontId="19" fillId="0" borderId="17" xfId="0" applyFont="1" applyBorder="1"/>
    <xf numFmtId="0" fontId="32" fillId="35" borderId="28" xfId="0" applyFont="1" applyFill="1" applyBorder="1" applyAlignment="1">
      <alignment vertical="center"/>
    </xf>
    <xf numFmtId="0" fontId="32" fillId="0" borderId="15" xfId="0" applyFont="1" applyBorder="1"/>
    <xf numFmtId="0" fontId="32" fillId="35" borderId="25" xfId="0" applyFont="1" applyFill="1" applyBorder="1" applyAlignment="1">
      <alignment vertical="center" wrapText="1"/>
    </xf>
    <xf numFmtId="0" fontId="32" fillId="35" borderId="0" xfId="0" applyFont="1" applyFill="1" applyAlignment="1">
      <alignment vertical="center" wrapText="1"/>
    </xf>
    <xf numFmtId="0" fontId="0" fillId="39" borderId="15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9" fillId="48" borderId="30" xfId="0" applyFont="1" applyFill="1" applyBorder="1" applyAlignment="1">
      <alignment vertical="center" wrapText="1"/>
    </xf>
    <xf numFmtId="0" fontId="19" fillId="48" borderId="36" xfId="0" applyFont="1" applyFill="1" applyBorder="1" applyAlignment="1">
      <alignment vertical="center" wrapText="1"/>
    </xf>
    <xf numFmtId="0" fontId="19" fillId="48" borderId="36" xfId="0" applyFont="1" applyFill="1" applyBorder="1" applyAlignment="1">
      <alignment horizontal="center" vertical="center" wrapText="1"/>
    </xf>
    <xf numFmtId="0" fontId="19" fillId="48" borderId="24" xfId="0" applyFont="1" applyFill="1" applyBorder="1" applyAlignment="1">
      <alignment horizontal="center" vertical="center" wrapText="1"/>
    </xf>
    <xf numFmtId="0" fontId="19" fillId="48" borderId="37" xfId="0" applyFont="1" applyFill="1" applyBorder="1" applyAlignment="1">
      <alignment horizontal="center" vertical="center" wrapText="1"/>
    </xf>
    <xf numFmtId="0" fontId="19" fillId="48" borderId="42" xfId="0" applyFont="1" applyFill="1" applyBorder="1" applyAlignment="1">
      <alignment vertical="center" wrapText="1"/>
    </xf>
    <xf numFmtId="0" fontId="19" fillId="48" borderId="48" xfId="0" applyFont="1" applyFill="1" applyBorder="1" applyAlignment="1">
      <alignment horizontal="center" vertical="center" wrapText="1"/>
    </xf>
    <xf numFmtId="0" fontId="19" fillId="48" borderId="49" xfId="0" applyFont="1" applyFill="1" applyBorder="1" applyAlignment="1">
      <alignment horizontal="center" vertical="center" wrapText="1"/>
    </xf>
    <xf numFmtId="0" fontId="19" fillId="48" borderId="50" xfId="0" applyFont="1" applyFill="1" applyBorder="1" applyAlignment="1">
      <alignment horizontal="center" vertical="center" wrapText="1"/>
    </xf>
    <xf numFmtId="0" fontId="19" fillId="48" borderId="51" xfId="0" applyFont="1" applyFill="1" applyBorder="1" applyAlignment="1">
      <alignment horizontal="center" vertical="center" wrapText="1"/>
    </xf>
    <xf numFmtId="0" fontId="19" fillId="48" borderId="52" xfId="0" applyFont="1" applyFill="1" applyBorder="1" applyAlignment="1">
      <alignment horizontal="center" vertical="center" wrapText="1"/>
    </xf>
    <xf numFmtId="0" fontId="19" fillId="35" borderId="53" xfId="0" applyFont="1" applyFill="1" applyBorder="1" applyAlignment="1">
      <alignment horizontal="center" vertical="center" wrapText="1"/>
    </xf>
    <xf numFmtId="0" fontId="19" fillId="35" borderId="21" xfId="0" applyFont="1" applyFill="1" applyBorder="1" applyAlignment="1">
      <alignment horizontal="center" vertical="center" wrapText="1"/>
    </xf>
    <xf numFmtId="0" fontId="19" fillId="35" borderId="54" xfId="0" applyFont="1" applyFill="1" applyBorder="1" applyAlignment="1">
      <alignment horizontal="center" vertical="center" wrapText="1"/>
    </xf>
    <xf numFmtId="0" fontId="19" fillId="35" borderId="55" xfId="0" applyFont="1" applyFill="1" applyBorder="1" applyAlignment="1">
      <alignment horizontal="left" vertical="center" wrapText="1"/>
    </xf>
    <xf numFmtId="0" fontId="19" fillId="35" borderId="56" xfId="0" applyFont="1" applyFill="1" applyBorder="1" applyAlignment="1">
      <alignment horizontal="left" vertical="center" wrapText="1"/>
    </xf>
    <xf numFmtId="2" fontId="19" fillId="35" borderId="38" xfId="0" applyNumberFormat="1" applyFont="1" applyFill="1" applyBorder="1" applyAlignment="1">
      <alignment vertical="center" wrapText="1"/>
    </xf>
    <xf numFmtId="166" fontId="19" fillId="35" borderId="21" xfId="0" applyNumberFormat="1" applyFont="1" applyFill="1" applyBorder="1" applyAlignment="1">
      <alignment horizontal="center" vertical="center" wrapText="1"/>
    </xf>
    <xf numFmtId="166" fontId="19" fillId="35" borderId="22" xfId="0" applyNumberFormat="1" applyFont="1" applyFill="1" applyBorder="1" applyAlignment="1">
      <alignment horizontal="center" vertical="center" wrapText="1"/>
    </xf>
    <xf numFmtId="2" fontId="19" fillId="35" borderId="15" xfId="0" applyNumberFormat="1" applyFont="1" applyFill="1" applyBorder="1" applyAlignment="1">
      <alignment horizontal="center" vertical="center" wrapText="1"/>
    </xf>
    <xf numFmtId="2" fontId="19" fillId="35" borderId="36" xfId="0" applyNumberFormat="1" applyFont="1" applyFill="1" applyBorder="1" applyAlignment="1">
      <alignment horizontal="center" vertical="center" wrapText="1"/>
    </xf>
    <xf numFmtId="2" fontId="19" fillId="35" borderId="34" xfId="0" applyNumberFormat="1" applyFont="1" applyFill="1" applyBorder="1" applyAlignment="1">
      <alignment horizontal="center" vertical="center" wrapText="1"/>
    </xf>
    <xf numFmtId="2" fontId="19" fillId="35" borderId="57" xfId="0" applyNumberFormat="1" applyFont="1" applyFill="1" applyBorder="1" applyAlignment="1">
      <alignment horizontal="center" vertical="center" wrapText="1"/>
    </xf>
    <xf numFmtId="166" fontId="19" fillId="35" borderId="54" xfId="0" applyNumberFormat="1" applyFont="1" applyFill="1" applyBorder="1" applyAlignment="1">
      <alignment horizontal="center" vertical="center" wrapText="1"/>
    </xf>
    <xf numFmtId="2" fontId="19" fillId="35" borderId="38" xfId="0" applyNumberFormat="1" applyFont="1" applyFill="1" applyBorder="1" applyAlignment="1">
      <alignment horizontal="center" vertical="center" wrapText="1"/>
    </xf>
    <xf numFmtId="2" fontId="19" fillId="35" borderId="53" xfId="0" applyNumberFormat="1" applyFont="1" applyFill="1" applyBorder="1" applyAlignment="1">
      <alignment horizontal="center" vertical="center" wrapText="1"/>
    </xf>
    <xf numFmtId="2" fontId="19" fillId="35" borderId="21" xfId="0" applyNumberFormat="1" applyFont="1" applyFill="1" applyBorder="1" applyAlignment="1">
      <alignment horizontal="center" vertical="center" wrapText="1"/>
    </xf>
    <xf numFmtId="0" fontId="19" fillId="35" borderId="38" xfId="0" applyFont="1" applyFill="1" applyBorder="1" applyAlignment="1">
      <alignment horizontal="center" vertical="center" wrapText="1"/>
    </xf>
    <xf numFmtId="0" fontId="19" fillId="35" borderId="15" xfId="0" applyFont="1" applyFill="1" applyBorder="1" applyAlignment="1">
      <alignment horizontal="center" vertical="center" wrapText="1"/>
    </xf>
    <xf numFmtId="0" fontId="19" fillId="35" borderId="39" xfId="0" applyFont="1" applyFill="1" applyBorder="1" applyAlignment="1">
      <alignment horizontal="center" vertical="center" wrapText="1"/>
    </xf>
    <xf numFmtId="0" fontId="19" fillId="35" borderId="36" xfId="0" applyFont="1" applyFill="1" applyBorder="1" applyAlignment="1">
      <alignment horizontal="left" vertical="center" wrapText="1"/>
    </xf>
    <xf numFmtId="0" fontId="19" fillId="35" borderId="58" xfId="0" applyFont="1" applyFill="1" applyBorder="1" applyAlignment="1">
      <alignment horizontal="left" vertical="center" wrapText="1"/>
    </xf>
    <xf numFmtId="166" fontId="19" fillId="35" borderId="15" xfId="0" applyNumberFormat="1" applyFont="1" applyFill="1" applyBorder="1" applyAlignment="1">
      <alignment horizontal="center" vertical="center" wrapText="1"/>
    </xf>
    <xf numFmtId="166" fontId="19" fillId="35" borderId="17" xfId="0" applyNumberFormat="1" applyFont="1" applyFill="1" applyBorder="1" applyAlignment="1">
      <alignment horizontal="center" vertical="center" wrapText="1"/>
    </xf>
    <xf numFmtId="2" fontId="19" fillId="35" borderId="59" xfId="0" applyNumberFormat="1" applyFont="1" applyFill="1" applyBorder="1" applyAlignment="1">
      <alignment horizontal="center" vertical="center" wrapText="1"/>
    </xf>
    <xf numFmtId="2" fontId="19" fillId="35" borderId="20" xfId="0" applyNumberFormat="1" applyFont="1" applyFill="1" applyBorder="1" applyAlignment="1">
      <alignment horizontal="center" vertical="center" wrapText="1"/>
    </xf>
    <xf numFmtId="166" fontId="19" fillId="35" borderId="39" xfId="0" applyNumberFormat="1" applyFont="1" applyFill="1" applyBorder="1" applyAlignment="1">
      <alignment horizontal="center" vertical="center" wrapText="1"/>
    </xf>
    <xf numFmtId="166" fontId="19" fillId="35" borderId="16" xfId="0" applyNumberFormat="1" applyFont="1" applyFill="1" applyBorder="1" applyAlignment="1">
      <alignment vertical="center" wrapText="1"/>
    </xf>
    <xf numFmtId="166" fontId="19" fillId="35" borderId="28" xfId="0" applyNumberFormat="1" applyFont="1" applyFill="1" applyBorder="1" applyAlignment="1">
      <alignment vertical="center" wrapText="1"/>
    </xf>
    <xf numFmtId="166" fontId="19" fillId="35" borderId="47" xfId="0" applyNumberFormat="1" applyFont="1" applyFill="1" applyBorder="1" applyAlignment="1">
      <alignment vertical="center" wrapText="1"/>
    </xf>
    <xf numFmtId="2" fontId="19" fillId="35" borderId="53" xfId="0" applyNumberFormat="1" applyFont="1" applyFill="1" applyBorder="1" applyAlignment="1">
      <alignment vertical="center" wrapText="1"/>
    </xf>
    <xf numFmtId="166" fontId="19" fillId="35" borderId="21" xfId="0" applyNumberFormat="1" applyFont="1" applyFill="1" applyBorder="1" applyAlignment="1">
      <alignment vertical="center" wrapText="1"/>
    </xf>
    <xf numFmtId="166" fontId="19" fillId="35" borderId="22" xfId="0" applyNumberFormat="1" applyFont="1" applyFill="1" applyBorder="1" applyAlignment="1">
      <alignment vertical="center" wrapText="1"/>
    </xf>
    <xf numFmtId="166" fontId="19" fillId="35" borderId="54" xfId="0" applyNumberFormat="1" applyFont="1" applyFill="1" applyBorder="1" applyAlignment="1">
      <alignment vertical="center" wrapText="1"/>
    </xf>
    <xf numFmtId="0" fontId="19" fillId="51" borderId="39" xfId="0" applyFont="1" applyFill="1" applyBorder="1" applyAlignment="1">
      <alignment horizontal="center" vertical="center"/>
    </xf>
    <xf numFmtId="0" fontId="19" fillId="51" borderId="36" xfId="0" applyFont="1" applyFill="1" applyBorder="1" applyAlignment="1">
      <alignment horizontal="left" vertical="center" wrapText="1"/>
    </xf>
    <xf numFmtId="0" fontId="19" fillId="51" borderId="58" xfId="0" applyFont="1" applyFill="1" applyBorder="1" applyAlignment="1">
      <alignment horizontal="left" vertical="center" wrapText="1"/>
    </xf>
    <xf numFmtId="2" fontId="19" fillId="51" borderId="36" xfId="0" applyNumberFormat="1" applyFont="1" applyFill="1" applyBorder="1" applyAlignment="1">
      <alignment vertical="center" wrapText="1"/>
    </xf>
    <xf numFmtId="2" fontId="19" fillId="51" borderId="15" xfId="0" applyNumberFormat="1" applyFont="1" applyFill="1" applyBorder="1" applyAlignment="1">
      <alignment vertical="center" wrapText="1"/>
    </xf>
    <xf numFmtId="2" fontId="19" fillId="51" borderId="57" xfId="0" applyNumberFormat="1" applyFont="1" applyFill="1" applyBorder="1" applyAlignment="1">
      <alignment horizontal="center" vertical="center" wrapText="1"/>
    </xf>
    <xf numFmtId="2" fontId="19" fillId="51" borderId="15" xfId="0" applyNumberFormat="1" applyFont="1" applyFill="1" applyBorder="1" applyAlignment="1">
      <alignment horizontal="center" vertical="center" wrapText="1"/>
    </xf>
    <xf numFmtId="2" fontId="19" fillId="51" borderId="38" xfId="0" applyNumberFormat="1" applyFont="1" applyFill="1" applyBorder="1" applyAlignment="1">
      <alignment horizontal="center" vertical="center" wrapText="1"/>
    </xf>
    <xf numFmtId="0" fontId="0" fillId="51" borderId="0" xfId="0" applyFill="1"/>
    <xf numFmtId="2" fontId="19" fillId="51" borderId="55" xfId="0" applyNumberFormat="1" applyFont="1" applyFill="1" applyBorder="1" applyAlignment="1">
      <alignment vertical="center" wrapText="1"/>
    </xf>
    <xf numFmtId="2" fontId="19" fillId="51" borderId="21" xfId="0" applyNumberFormat="1" applyFont="1" applyFill="1" applyBorder="1" applyAlignment="1">
      <alignment vertical="center" wrapText="1"/>
    </xf>
    <xf numFmtId="2" fontId="19" fillId="35" borderId="46" xfId="0" applyNumberFormat="1" applyFont="1" applyFill="1" applyBorder="1" applyAlignment="1">
      <alignment vertical="center" wrapText="1"/>
    </xf>
    <xf numFmtId="2" fontId="19" fillId="35" borderId="24" xfId="0" applyNumberFormat="1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left" vertical="center" wrapText="1"/>
    </xf>
    <xf numFmtId="0" fontId="19" fillId="52" borderId="38" xfId="0" applyFont="1" applyFill="1" applyBorder="1" applyAlignment="1">
      <alignment horizontal="center" vertical="center" wrapText="1"/>
    </xf>
    <xf numFmtId="49" fontId="19" fillId="52" borderId="15" xfId="0" applyNumberFormat="1" applyFont="1" applyFill="1" applyBorder="1" applyAlignment="1">
      <alignment horizontal="center" vertical="center" wrapText="1"/>
    </xf>
    <xf numFmtId="0" fontId="19" fillId="52" borderId="15" xfId="0" applyFont="1" applyFill="1" applyBorder="1" applyAlignment="1">
      <alignment horizontal="center" vertical="center" wrapText="1"/>
    </xf>
    <xf numFmtId="0" fontId="19" fillId="52" borderId="39" xfId="0" applyFont="1" applyFill="1" applyBorder="1" applyAlignment="1">
      <alignment horizontal="center" vertical="center" wrapText="1"/>
    </xf>
    <xf numFmtId="0" fontId="19" fillId="52" borderId="36" xfId="0" applyFont="1" applyFill="1" applyBorder="1" applyAlignment="1">
      <alignment horizontal="left" vertical="center" wrapText="1"/>
    </xf>
    <xf numFmtId="2" fontId="19" fillId="35" borderId="17" xfId="0" applyNumberFormat="1" applyFont="1" applyFill="1" applyBorder="1" applyAlignment="1">
      <alignment horizontal="center" vertical="center" wrapText="1"/>
    </xf>
    <xf numFmtId="2" fontId="19" fillId="35" borderId="39" xfId="0" applyNumberFormat="1" applyFont="1" applyFill="1" applyBorder="1" applyAlignment="1">
      <alignment horizontal="center" vertical="center" wrapText="1"/>
    </xf>
    <xf numFmtId="0" fontId="30" fillId="35" borderId="39" xfId="0" applyFont="1" applyFill="1" applyBorder="1" applyAlignment="1">
      <alignment horizontal="center" vertical="center"/>
    </xf>
    <xf numFmtId="0" fontId="19" fillId="44" borderId="38" xfId="0" applyFont="1" applyFill="1" applyBorder="1" applyAlignment="1">
      <alignment horizontal="center" vertical="center" wrapText="1"/>
    </xf>
    <xf numFmtId="0" fontId="19" fillId="44" borderId="15" xfId="0" applyFont="1" applyFill="1" applyBorder="1" applyAlignment="1">
      <alignment horizontal="center" vertical="center" wrapText="1"/>
    </xf>
    <xf numFmtId="0" fontId="19" fillId="44" borderId="36" xfId="0" applyFont="1" applyFill="1" applyBorder="1" applyAlignment="1">
      <alignment horizontal="left" vertical="center" wrapText="1"/>
    </xf>
    <xf numFmtId="167" fontId="19" fillId="35" borderId="17" xfId="0" applyNumberFormat="1" applyFont="1" applyFill="1" applyBorder="1" applyAlignment="1">
      <alignment horizontal="center" vertical="center" wrapText="1"/>
    </xf>
    <xf numFmtId="167" fontId="19" fillId="35" borderId="39" xfId="0" applyNumberFormat="1" applyFont="1" applyFill="1" applyBorder="1" applyAlignment="1">
      <alignment horizontal="center" vertical="center" wrapText="1"/>
    </xf>
    <xf numFmtId="2" fontId="19" fillId="35" borderId="58" xfId="0" applyNumberFormat="1" applyFont="1" applyFill="1" applyBorder="1" applyAlignment="1">
      <alignment vertical="center" wrapText="1"/>
    </xf>
    <xf numFmtId="2" fontId="19" fillId="35" borderId="15" xfId="0" applyNumberFormat="1" applyFont="1" applyFill="1" applyBorder="1" applyAlignment="1">
      <alignment vertical="center" wrapText="1"/>
    </xf>
    <xf numFmtId="1" fontId="30" fillId="35" borderId="15" xfId="0" applyNumberFormat="1" applyFont="1" applyFill="1" applyBorder="1" applyAlignment="1">
      <alignment horizontal="center" vertical="center"/>
    </xf>
    <xf numFmtId="168" fontId="30" fillId="0" borderId="0" xfId="0" applyNumberFormat="1" applyFont="1" applyAlignment="1">
      <alignment horizontal="center" vertical="center" wrapText="1"/>
    </xf>
    <xf numFmtId="49" fontId="19" fillId="35" borderId="15" xfId="0" applyNumberFormat="1" applyFont="1" applyFill="1" applyBorder="1" applyAlignment="1">
      <alignment horizontal="center" vertical="center" wrapText="1"/>
    </xf>
    <xf numFmtId="169" fontId="19" fillId="35" borderId="15" xfId="0" applyNumberFormat="1" applyFont="1" applyFill="1" applyBorder="1" applyAlignment="1">
      <alignment horizontal="center" vertical="center" wrapText="1"/>
    </xf>
    <xf numFmtId="0" fontId="19" fillId="35" borderId="63" xfId="0" applyFont="1" applyFill="1" applyBorder="1" applyAlignment="1">
      <alignment horizontal="center" vertical="center" wrapText="1"/>
    </xf>
    <xf numFmtId="169" fontId="19" fillId="35" borderId="64" xfId="0" applyNumberFormat="1" applyFont="1" applyFill="1" applyBorder="1" applyAlignment="1">
      <alignment horizontal="center" vertical="center" wrapText="1"/>
    </xf>
    <xf numFmtId="0" fontId="19" fillId="35" borderId="64" xfId="0" applyFont="1" applyFill="1" applyBorder="1" applyAlignment="1">
      <alignment horizontal="center" vertical="center" wrapText="1"/>
    </xf>
    <xf numFmtId="0" fontId="30" fillId="35" borderId="65" xfId="0" applyFont="1" applyFill="1" applyBorder="1" applyAlignment="1">
      <alignment horizontal="center" vertical="center"/>
    </xf>
    <xf numFmtId="0" fontId="19" fillId="35" borderId="43" xfId="0" applyFont="1" applyFill="1" applyBorder="1" applyAlignment="1">
      <alignment horizontal="left" vertical="center" wrapText="1"/>
    </xf>
    <xf numFmtId="2" fontId="19" fillId="35" borderId="44" xfId="0" applyNumberFormat="1" applyFont="1" applyFill="1" applyBorder="1" applyAlignment="1">
      <alignment horizontal="center" vertical="center" wrapText="1"/>
    </xf>
    <xf numFmtId="2" fontId="19" fillId="35" borderId="43" xfId="0" applyNumberFormat="1" applyFont="1" applyFill="1" applyBorder="1" applyAlignment="1">
      <alignment horizontal="center" vertical="center" wrapText="1"/>
    </xf>
    <xf numFmtId="166" fontId="19" fillId="35" borderId="64" xfId="0" applyNumberFormat="1" applyFont="1" applyFill="1" applyBorder="1" applyAlignment="1">
      <alignment horizontal="center" vertical="center" wrapText="1"/>
    </xf>
    <xf numFmtId="166" fontId="19" fillId="35" borderId="66" xfId="0" applyNumberFormat="1" applyFont="1" applyFill="1" applyBorder="1" applyAlignment="1">
      <alignment horizontal="center" vertical="center" wrapText="1"/>
    </xf>
    <xf numFmtId="2" fontId="19" fillId="35" borderId="64" xfId="0" applyNumberFormat="1" applyFont="1" applyFill="1" applyBorder="1" applyAlignment="1">
      <alignment horizontal="center" vertical="center" wrapText="1"/>
    </xf>
    <xf numFmtId="2" fontId="19" fillId="35" borderId="67" xfId="0" applyNumberFormat="1" applyFont="1" applyFill="1" applyBorder="1" applyAlignment="1">
      <alignment horizontal="center" vertical="center" wrapText="1"/>
    </xf>
    <xf numFmtId="2" fontId="19" fillId="35" borderId="68" xfId="0" applyNumberFormat="1" applyFont="1" applyFill="1" applyBorder="1" applyAlignment="1">
      <alignment horizontal="center" vertical="center" wrapText="1"/>
    </xf>
    <xf numFmtId="166" fontId="19" fillId="35" borderId="65" xfId="0" applyNumberFormat="1" applyFont="1" applyFill="1" applyBorder="1" applyAlignment="1">
      <alignment horizontal="center" vertical="center" wrapText="1"/>
    </xf>
    <xf numFmtId="2" fontId="19" fillId="35" borderId="63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167" fontId="32" fillId="48" borderId="52" xfId="0" applyNumberFormat="1" applyFont="1" applyFill="1" applyBorder="1" applyAlignment="1">
      <alignment horizontal="center" vertical="center" wrapText="1"/>
    </xf>
    <xf numFmtId="170" fontId="32" fillId="53" borderId="52" xfId="0" applyNumberFormat="1" applyFont="1" applyFill="1" applyBorder="1" applyAlignment="1">
      <alignment horizontal="center" vertical="center" wrapText="1"/>
    </xf>
    <xf numFmtId="170" fontId="0" fillId="0" borderId="0" xfId="0" applyNumberFormat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16" fillId="0" borderId="0" xfId="0" applyFont="1" applyAlignment="1">
      <alignment horizontal="center"/>
    </xf>
    <xf numFmtId="0" fontId="19" fillId="48" borderId="44" xfId="0" applyFont="1" applyFill="1" applyBorder="1" applyAlignment="1">
      <alignment horizontal="center" vertical="center" wrapText="1"/>
    </xf>
    <xf numFmtId="0" fontId="39" fillId="48" borderId="48" xfId="0" applyFont="1" applyFill="1" applyBorder="1" applyAlignment="1">
      <alignment horizontal="center" vertical="center" wrapText="1"/>
    </xf>
    <xf numFmtId="0" fontId="39" fillId="48" borderId="49" xfId="0" applyFont="1" applyFill="1" applyBorder="1" applyAlignment="1">
      <alignment horizontal="center" vertical="center" wrapText="1"/>
    </xf>
    <xf numFmtId="0" fontId="40" fillId="48" borderId="50" xfId="0" applyFont="1" applyFill="1" applyBorder="1" applyAlignment="1">
      <alignment horizontal="center" vertical="center" wrapText="1"/>
    </xf>
    <xf numFmtId="0" fontId="19" fillId="48" borderId="72" xfId="0" applyFont="1" applyFill="1" applyBorder="1" applyAlignment="1">
      <alignment horizontal="center" vertical="center" wrapText="1"/>
    </xf>
    <xf numFmtId="0" fontId="19" fillId="48" borderId="73" xfId="0" applyFont="1" applyFill="1" applyBorder="1" applyAlignment="1">
      <alignment horizontal="center" vertical="center" wrapText="1"/>
    </xf>
    <xf numFmtId="0" fontId="19" fillId="48" borderId="7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2" fillId="0" borderId="21" xfId="0" applyFont="1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43" fillId="0" borderId="22" xfId="0" applyFont="1" applyBorder="1" applyAlignment="1">
      <alignment vertical="center" wrapText="1"/>
    </xf>
    <xf numFmtId="0" fontId="0" fillId="0" borderId="38" xfId="0" applyBorder="1" applyAlignment="1">
      <alignment vertical="center" wrapText="1"/>
    </xf>
    <xf numFmtId="2" fontId="0" fillId="0" borderId="34" xfId="0" applyNumberFormat="1" applyBorder="1" applyAlignment="1">
      <alignment horizontal="center" vertical="center" wrapText="1"/>
    </xf>
    <xf numFmtId="2" fontId="0" fillId="0" borderId="35" xfId="0" applyNumberForma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76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2" fontId="0" fillId="0" borderId="76" xfId="0" applyNumberFormat="1" applyBorder="1" applyAlignment="1">
      <alignment horizontal="center" vertical="center" wrapText="1"/>
    </xf>
    <xf numFmtId="2" fontId="19" fillId="35" borderId="23" xfId="0" applyNumberFormat="1" applyFont="1" applyFill="1" applyBorder="1" applyAlignment="1">
      <alignment horizontal="center" vertical="center" wrapText="1"/>
    </xf>
    <xf numFmtId="168" fontId="19" fillId="35" borderId="7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70" fontId="19" fillId="35" borderId="77" xfId="0" applyNumberFormat="1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42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43" fillId="0" borderId="17" xfId="0" applyFont="1" applyBorder="1" applyAlignment="1">
      <alignment vertical="center" wrapText="1"/>
    </xf>
    <xf numFmtId="2" fontId="0" fillId="0" borderId="15" xfId="0" applyNumberFormat="1" applyBorder="1" applyAlignment="1">
      <alignment horizontal="center" vertical="center" wrapText="1"/>
    </xf>
    <xf numFmtId="2" fontId="0" fillId="0" borderId="39" xfId="0" applyNumberFormat="1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168" fontId="19" fillId="35" borderId="56" xfId="0" applyNumberFormat="1" applyFont="1" applyFill="1" applyBorder="1" applyAlignment="1">
      <alignment horizontal="center" vertical="center" wrapText="1"/>
    </xf>
    <xf numFmtId="170" fontId="19" fillId="35" borderId="56" xfId="0" applyNumberFormat="1" applyFont="1" applyFill="1" applyBorder="1" applyAlignment="1">
      <alignment horizontal="center" vertical="center" wrapText="1"/>
    </xf>
    <xf numFmtId="2" fontId="0" fillId="0" borderId="15" xfId="43" applyNumberFormat="1" applyFont="1" applyBorder="1" applyAlignment="1">
      <alignment horizontal="center" vertical="center" wrapText="1"/>
    </xf>
    <xf numFmtId="2" fontId="0" fillId="0" borderId="38" xfId="0" applyNumberFormat="1" applyBorder="1" applyAlignment="1">
      <alignment vertical="center" wrapText="1"/>
    </xf>
    <xf numFmtId="2" fontId="0" fillId="0" borderId="20" xfId="0" applyNumberFormat="1" applyBorder="1" applyAlignment="1">
      <alignment vertical="center" wrapText="1"/>
    </xf>
    <xf numFmtId="167" fontId="19" fillId="35" borderId="54" xfId="0" applyNumberFormat="1" applyFont="1" applyFill="1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top" wrapText="1"/>
    </xf>
    <xf numFmtId="0" fontId="14" fillId="49" borderId="38" xfId="0" applyFont="1" applyFill="1" applyBorder="1" applyAlignment="1">
      <alignment horizontal="center" vertical="center" wrapText="1"/>
    </xf>
    <xf numFmtId="0" fontId="14" fillId="49" borderId="15" xfId="0" applyFont="1" applyFill="1" applyBorder="1" applyAlignment="1">
      <alignment horizontal="center" vertical="center" wrapText="1"/>
    </xf>
    <xf numFmtId="0" fontId="14" fillId="49" borderId="15" xfId="0" applyFont="1" applyFill="1" applyBorder="1" applyAlignment="1">
      <alignment vertical="center" wrapText="1"/>
    </xf>
    <xf numFmtId="0" fontId="44" fillId="49" borderId="17" xfId="0" applyFont="1" applyFill="1" applyBorder="1" applyAlignment="1">
      <alignment vertical="center" wrapText="1"/>
    </xf>
    <xf numFmtId="2" fontId="14" fillId="49" borderId="38" xfId="0" applyNumberFormat="1" applyFont="1" applyFill="1" applyBorder="1" applyAlignment="1">
      <alignment vertical="center" wrapText="1"/>
    </xf>
    <xf numFmtId="2" fontId="14" fillId="49" borderId="15" xfId="43" applyNumberFormat="1" applyFont="1" applyFill="1" applyBorder="1" applyAlignment="1">
      <alignment horizontal="center" vertical="center" wrapText="1"/>
    </xf>
    <xf numFmtId="2" fontId="14" fillId="49" borderId="39" xfId="0" applyNumberFormat="1" applyFont="1" applyFill="1" applyBorder="1" applyAlignment="1">
      <alignment horizontal="center" vertical="center" wrapText="1"/>
    </xf>
    <xf numFmtId="2" fontId="14" fillId="49" borderId="20" xfId="0" applyNumberFormat="1" applyFont="1" applyFill="1" applyBorder="1" applyAlignment="1">
      <alignment vertical="center" wrapText="1"/>
    </xf>
    <xf numFmtId="2" fontId="14" fillId="49" borderId="20" xfId="0" applyNumberFormat="1" applyFont="1" applyFill="1" applyBorder="1" applyAlignment="1">
      <alignment horizontal="center" vertical="center" wrapText="1"/>
    </xf>
    <xf numFmtId="2" fontId="14" fillId="49" borderId="15" xfId="0" applyNumberFormat="1" applyFont="1" applyFill="1" applyBorder="1" applyAlignment="1">
      <alignment horizontal="center" vertical="center" wrapText="1"/>
    </xf>
    <xf numFmtId="2" fontId="45" fillId="49" borderId="23" xfId="0" applyNumberFormat="1" applyFont="1" applyFill="1" applyBorder="1" applyAlignment="1">
      <alignment horizontal="center" vertical="center" wrapText="1"/>
    </xf>
    <xf numFmtId="2" fontId="45" fillId="49" borderId="21" xfId="0" applyNumberFormat="1" applyFont="1" applyFill="1" applyBorder="1" applyAlignment="1">
      <alignment horizontal="center" vertical="center" wrapText="1"/>
    </xf>
    <xf numFmtId="166" fontId="45" fillId="49" borderId="21" xfId="0" applyNumberFormat="1" applyFont="1" applyFill="1" applyBorder="1" applyAlignment="1">
      <alignment horizontal="center" vertical="center" wrapText="1"/>
    </xf>
    <xf numFmtId="166" fontId="45" fillId="49" borderId="54" xfId="0" applyNumberFormat="1" applyFont="1" applyFill="1" applyBorder="1" applyAlignment="1">
      <alignment horizontal="center" vertical="center" wrapText="1"/>
    </xf>
    <xf numFmtId="2" fontId="45" fillId="49" borderId="53" xfId="0" applyNumberFormat="1" applyFont="1" applyFill="1" applyBorder="1" applyAlignment="1">
      <alignment horizontal="center" vertical="center" wrapText="1"/>
    </xf>
    <xf numFmtId="0" fontId="14" fillId="49" borderId="0" xfId="0" applyFont="1" applyFill="1"/>
    <xf numFmtId="168" fontId="45" fillId="49" borderId="56" xfId="0" applyNumberFormat="1" applyFont="1" applyFill="1" applyBorder="1" applyAlignment="1">
      <alignment horizontal="center" vertical="center" wrapText="1"/>
    </xf>
    <xf numFmtId="0" fontId="14" fillId="49" borderId="0" xfId="0" applyFont="1" applyFill="1" applyAlignment="1">
      <alignment vertical="center"/>
    </xf>
    <xf numFmtId="170" fontId="45" fillId="49" borderId="56" xfId="0" applyNumberFormat="1" applyFont="1" applyFill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42" fillId="0" borderId="64" xfId="0" applyFont="1" applyBorder="1" applyAlignment="1">
      <alignment horizontal="center" vertical="center" wrapText="1"/>
    </xf>
    <xf numFmtId="0" fontId="0" fillId="0" borderId="64" xfId="0" applyBorder="1" applyAlignment="1">
      <alignment vertical="center" wrapText="1"/>
    </xf>
    <xf numFmtId="0" fontId="43" fillId="0" borderId="44" xfId="0" applyFont="1" applyBorder="1" applyAlignment="1">
      <alignment vertical="center" wrapText="1"/>
    </xf>
    <xf numFmtId="2" fontId="0" fillId="0" borderId="63" xfId="0" applyNumberFormat="1" applyBorder="1" applyAlignment="1">
      <alignment vertical="center" wrapText="1"/>
    </xf>
    <xf numFmtId="2" fontId="0" fillId="0" borderId="64" xfId="0" applyNumberFormat="1" applyBorder="1" applyAlignment="1">
      <alignment vertical="center" wrapText="1"/>
    </xf>
    <xf numFmtId="2" fontId="0" fillId="0" borderId="64" xfId="43" applyNumberFormat="1" applyFont="1" applyBorder="1" applyAlignment="1">
      <alignment horizontal="center" vertical="center" wrapText="1"/>
    </xf>
    <xf numFmtId="2" fontId="0" fillId="0" borderId="65" xfId="0" applyNumberFormat="1" applyBorder="1" applyAlignment="1">
      <alignment horizontal="center" vertical="center" wrapText="1"/>
    </xf>
    <xf numFmtId="2" fontId="0" fillId="0" borderId="68" xfId="0" applyNumberFormat="1" applyBorder="1" applyAlignment="1">
      <alignment vertical="center" wrapText="1"/>
    </xf>
    <xf numFmtId="2" fontId="0" fillId="0" borderId="68" xfId="0" applyNumberFormat="1" applyBorder="1" applyAlignment="1">
      <alignment horizontal="center" vertical="center" wrapText="1"/>
    </xf>
    <xf numFmtId="2" fontId="0" fillId="0" borderId="64" xfId="0" applyNumberFormat="1" applyBorder="1" applyAlignment="1">
      <alignment horizontal="center" vertical="center" wrapText="1"/>
    </xf>
    <xf numFmtId="2" fontId="19" fillId="35" borderId="78" xfId="0" applyNumberFormat="1" applyFont="1" applyFill="1" applyBorder="1" applyAlignment="1">
      <alignment horizontal="center" vertical="center" wrapText="1"/>
    </xf>
    <xf numFmtId="2" fontId="19" fillId="35" borderId="79" xfId="0" applyNumberFormat="1" applyFont="1" applyFill="1" applyBorder="1" applyAlignment="1">
      <alignment horizontal="center" vertical="center" wrapText="1"/>
    </xf>
    <xf numFmtId="166" fontId="19" fillId="35" borderId="79" xfId="0" applyNumberFormat="1" applyFont="1" applyFill="1" applyBorder="1" applyAlignment="1">
      <alignment horizontal="center" vertical="center" wrapText="1"/>
    </xf>
    <xf numFmtId="166" fontId="19" fillId="35" borderId="80" xfId="0" applyNumberFormat="1" applyFont="1" applyFill="1" applyBorder="1" applyAlignment="1">
      <alignment horizontal="center" vertical="center" wrapText="1"/>
    </xf>
    <xf numFmtId="2" fontId="19" fillId="35" borderId="81" xfId="0" applyNumberFormat="1" applyFont="1" applyFill="1" applyBorder="1" applyAlignment="1">
      <alignment horizontal="center" vertical="center" wrapText="1"/>
    </xf>
    <xf numFmtId="168" fontId="19" fillId="35" borderId="75" xfId="0" applyNumberFormat="1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3" fillId="0" borderId="0" xfId="0" applyFont="1" applyAlignment="1">
      <alignment vertical="center" wrapText="1"/>
    </xf>
    <xf numFmtId="2" fontId="0" fillId="0" borderId="81" xfId="0" applyNumberFormat="1" applyBorder="1" applyAlignment="1">
      <alignment vertical="center" wrapText="1"/>
    </xf>
    <xf numFmtId="0" fontId="0" fillId="0" borderId="79" xfId="0" applyBorder="1" applyAlignment="1">
      <alignment vertical="center" wrapText="1"/>
    </xf>
    <xf numFmtId="2" fontId="0" fillId="0" borderId="79" xfId="43" applyNumberFormat="1" applyFont="1" applyBorder="1" applyAlignment="1">
      <alignment horizontal="center" vertical="center" wrapText="1"/>
    </xf>
    <xf numFmtId="2" fontId="0" fillId="0" borderId="80" xfId="0" applyNumberFormat="1" applyBorder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0" xfId="43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19" fillId="35" borderId="0" xfId="0" applyNumberFormat="1" applyFont="1" applyFill="1" applyAlignment="1">
      <alignment horizontal="center" vertical="center" wrapText="1"/>
    </xf>
    <xf numFmtId="166" fontId="19" fillId="35" borderId="0" xfId="0" applyNumberFormat="1" applyFont="1" applyFill="1" applyAlignment="1">
      <alignment horizontal="center" vertical="center" wrapText="1"/>
    </xf>
    <xf numFmtId="168" fontId="19" fillId="35" borderId="0" xfId="0" applyNumberFormat="1" applyFont="1" applyFill="1" applyAlignment="1">
      <alignment horizontal="center" vertical="center" wrapText="1"/>
    </xf>
    <xf numFmtId="168" fontId="0" fillId="0" borderId="0" xfId="0" applyNumberFormat="1"/>
    <xf numFmtId="166" fontId="0" fillId="0" borderId="0" xfId="0" applyNumberFormat="1"/>
    <xf numFmtId="170" fontId="32" fillId="48" borderId="52" xfId="0" applyNumberFormat="1" applyFont="1" applyFill="1" applyBorder="1" applyAlignment="1">
      <alignment horizontal="center" vertical="center" wrapText="1"/>
    </xf>
    <xf numFmtId="166" fontId="46" fillId="35" borderId="0" xfId="0" applyNumberFormat="1" applyFont="1" applyFill="1" applyAlignment="1">
      <alignment horizontal="center" vertical="center" wrapText="1"/>
    </xf>
    <xf numFmtId="0" fontId="47" fillId="0" borderId="0" xfId="0" applyFont="1"/>
    <xf numFmtId="167" fontId="0" fillId="0" borderId="0" xfId="0" applyNumberFormat="1"/>
    <xf numFmtId="170" fontId="0" fillId="0" borderId="0" xfId="0" applyNumberFormat="1"/>
    <xf numFmtId="0" fontId="35" fillId="0" borderId="0" xfId="0" applyFont="1" applyAlignment="1">
      <alignment vertical="center" wrapText="1"/>
    </xf>
    <xf numFmtId="0" fontId="19" fillId="48" borderId="81" xfId="0" applyFont="1" applyFill="1" applyBorder="1" applyAlignment="1">
      <alignment horizontal="center" vertical="center" wrapText="1"/>
    </xf>
    <xf numFmtId="0" fontId="19" fillId="48" borderId="79" xfId="0" applyFont="1" applyFill="1" applyBorder="1" applyAlignment="1">
      <alignment horizontal="center" vertical="center" wrapText="1"/>
    </xf>
    <xf numFmtId="0" fontId="19" fillId="48" borderId="86" xfId="0" applyFont="1" applyFill="1" applyBorder="1" applyAlignment="1">
      <alignment horizontal="center" vertical="center" wrapText="1"/>
    </xf>
    <xf numFmtId="0" fontId="19" fillId="48" borderId="80" xfId="0" applyFont="1" applyFill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left" vertical="center" wrapText="1"/>
    </xf>
    <xf numFmtId="0" fontId="49" fillId="0" borderId="35" xfId="0" applyFont="1" applyBorder="1" applyAlignment="1">
      <alignment horizontal="left" vertical="center" wrapText="1"/>
    </xf>
    <xf numFmtId="14" fontId="19" fillId="0" borderId="34" xfId="0" applyNumberFormat="1" applyFont="1" applyBorder="1" applyAlignment="1">
      <alignment horizontal="center" vertical="center" wrapText="1"/>
    </xf>
    <xf numFmtId="49" fontId="19" fillId="0" borderId="34" xfId="0" applyNumberFormat="1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14" fontId="19" fillId="0" borderId="39" xfId="0" applyNumberFormat="1" applyFont="1" applyBorder="1" applyAlignment="1">
      <alignment vertical="center" wrapText="1"/>
    </xf>
    <xf numFmtId="14" fontId="19" fillId="0" borderId="21" xfId="0" applyNumberFormat="1" applyFont="1" applyBorder="1" applyAlignment="1">
      <alignment horizontal="center" vertical="center" wrapText="1"/>
    </xf>
    <xf numFmtId="49" fontId="19" fillId="0" borderId="21" xfId="0" applyNumberFormat="1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14" fontId="19" fillId="0" borderId="54" xfId="0" applyNumberFormat="1" applyFont="1" applyBorder="1" applyAlignment="1">
      <alignment vertical="center" wrapText="1"/>
    </xf>
    <xf numFmtId="0" fontId="42" fillId="0" borderId="38" xfId="0" applyFont="1" applyBorder="1" applyAlignment="1">
      <alignment horizontal="center" vertical="center" wrapText="1"/>
    </xf>
    <xf numFmtId="0" fontId="42" fillId="0" borderId="15" xfId="0" applyFont="1" applyBorder="1" applyAlignment="1">
      <alignment horizontal="left" vertical="center" wrapText="1"/>
    </xf>
    <xf numFmtId="0" fontId="49" fillId="0" borderId="39" xfId="0" applyFont="1" applyBorder="1" applyAlignment="1">
      <alignment horizontal="left" vertical="center" wrapText="1"/>
    </xf>
    <xf numFmtId="14" fontId="19" fillId="0" borderId="15" xfId="0" applyNumberFormat="1" applyFont="1" applyBorder="1" applyAlignment="1">
      <alignment horizontal="center" vertical="center" wrapText="1"/>
    </xf>
    <xf numFmtId="49" fontId="19" fillId="0" borderId="15" xfId="0" applyNumberFormat="1" applyFont="1" applyBorder="1" applyAlignment="1">
      <alignment horizontal="center" vertical="center" wrapText="1"/>
    </xf>
    <xf numFmtId="0" fontId="49" fillId="0" borderId="17" xfId="0" applyFont="1" applyBorder="1" applyAlignment="1">
      <alignment horizontal="left" vertical="center" wrapText="1"/>
    </xf>
    <xf numFmtId="0" fontId="51" fillId="0" borderId="15" xfId="0" applyFont="1" applyBorder="1" applyAlignment="1">
      <alignment horizontal="center" vertical="center" wrapText="1"/>
    </xf>
    <xf numFmtId="14" fontId="51" fillId="0" borderId="39" xfId="0" applyNumberFormat="1" applyFont="1" applyBorder="1" applyAlignment="1">
      <alignment vertical="center" wrapText="1"/>
    </xf>
    <xf numFmtId="0" fontId="42" fillId="53" borderId="38" xfId="0" applyFont="1" applyFill="1" applyBorder="1" applyAlignment="1">
      <alignment horizontal="center" vertical="center" wrapText="1"/>
    </xf>
    <xf numFmtId="0" fontId="42" fillId="53" borderId="15" xfId="0" applyFont="1" applyFill="1" applyBorder="1" applyAlignment="1">
      <alignment horizontal="center" vertical="center" wrapText="1"/>
    </xf>
    <xf numFmtId="0" fontId="42" fillId="53" borderId="15" xfId="0" applyFont="1" applyFill="1" applyBorder="1" applyAlignment="1">
      <alignment horizontal="left" vertical="center" wrapText="1"/>
    </xf>
    <xf numFmtId="0" fontId="49" fillId="53" borderId="39" xfId="0" applyFont="1" applyFill="1" applyBorder="1" applyAlignment="1">
      <alignment horizontal="left" vertical="center" wrapText="1"/>
    </xf>
    <xf numFmtId="2" fontId="19" fillId="53" borderId="53" xfId="0" applyNumberFormat="1" applyFont="1" applyFill="1" applyBorder="1" applyAlignment="1">
      <alignment horizontal="center" vertical="center" wrapText="1"/>
    </xf>
    <xf numFmtId="2" fontId="19" fillId="53" borderId="21" xfId="0" applyNumberFormat="1" applyFont="1" applyFill="1" applyBorder="1" applyAlignment="1">
      <alignment horizontal="center" vertical="center" wrapText="1"/>
    </xf>
    <xf numFmtId="166" fontId="19" fillId="53" borderId="21" xfId="0" applyNumberFormat="1" applyFont="1" applyFill="1" applyBorder="1" applyAlignment="1">
      <alignment horizontal="center" vertical="center" wrapText="1"/>
    </xf>
    <xf numFmtId="166" fontId="19" fillId="53" borderId="22" xfId="0" applyNumberFormat="1" applyFont="1" applyFill="1" applyBorder="1" applyAlignment="1">
      <alignment horizontal="center" vertical="center" wrapText="1"/>
    </xf>
    <xf numFmtId="14" fontId="19" fillId="53" borderId="15" xfId="0" applyNumberFormat="1" applyFont="1" applyFill="1" applyBorder="1" applyAlignment="1">
      <alignment horizontal="center" vertical="center" wrapText="1"/>
    </xf>
    <xf numFmtId="49" fontId="19" fillId="53" borderId="15" xfId="0" applyNumberFormat="1" applyFont="1" applyFill="1" applyBorder="1" applyAlignment="1">
      <alignment horizontal="center" vertical="center" wrapText="1"/>
    </xf>
    <xf numFmtId="0" fontId="19" fillId="53" borderId="15" xfId="0" applyFont="1" applyFill="1" applyBorder="1" applyAlignment="1">
      <alignment horizontal="center" vertical="center" wrapText="1"/>
    </xf>
    <xf numFmtId="14" fontId="19" fillId="53" borderId="39" xfId="0" applyNumberFormat="1" applyFont="1" applyFill="1" applyBorder="1" applyAlignment="1">
      <alignment vertical="center" wrapText="1"/>
    </xf>
    <xf numFmtId="0" fontId="49" fillId="0" borderId="54" xfId="0" applyFont="1" applyBorder="1" applyAlignment="1">
      <alignment horizontal="left" vertical="center" wrapText="1"/>
    </xf>
    <xf numFmtId="2" fontId="52" fillId="35" borderId="53" xfId="0" applyNumberFormat="1" applyFont="1" applyFill="1" applyBorder="1" applyAlignment="1">
      <alignment horizontal="center" vertical="center" wrapText="1"/>
    </xf>
    <xf numFmtId="0" fontId="42" fillId="0" borderId="63" xfId="0" applyFont="1" applyBorder="1" applyAlignment="1">
      <alignment horizontal="center" vertical="center" wrapText="1"/>
    </xf>
    <xf numFmtId="0" fontId="42" fillId="0" borderId="64" xfId="0" applyFont="1" applyBorder="1" applyAlignment="1">
      <alignment horizontal="left" vertical="center" wrapText="1"/>
    </xf>
    <xf numFmtId="0" fontId="49" fillId="0" borderId="65" xfId="0" applyFont="1" applyBorder="1" applyAlignment="1">
      <alignment horizontal="left" vertical="center" wrapText="1"/>
    </xf>
    <xf numFmtId="166" fontId="19" fillId="35" borderId="86" xfId="0" applyNumberFormat="1" applyFont="1" applyFill="1" applyBorder="1" applyAlignment="1">
      <alignment horizontal="center" vertical="center" wrapText="1"/>
    </xf>
    <xf numFmtId="14" fontId="19" fillId="0" borderId="64" xfId="0" applyNumberFormat="1" applyFont="1" applyBorder="1" applyAlignment="1">
      <alignment horizontal="center" vertical="center" wrapText="1"/>
    </xf>
    <xf numFmtId="49" fontId="19" fillId="0" borderId="64" xfId="0" applyNumberFormat="1" applyFont="1" applyBorder="1" applyAlignment="1">
      <alignment horizontal="center" vertical="center" wrapText="1"/>
    </xf>
    <xf numFmtId="0" fontId="19" fillId="0" borderId="64" xfId="0" applyFont="1" applyBorder="1" applyAlignment="1">
      <alignment horizontal="center" vertical="center" wrapText="1"/>
    </xf>
    <xf numFmtId="14" fontId="19" fillId="0" borderId="65" xfId="0" applyNumberFormat="1" applyFont="1" applyBorder="1" applyAlignment="1">
      <alignment vertical="center" wrapText="1"/>
    </xf>
    <xf numFmtId="0" fontId="19" fillId="0" borderId="79" xfId="0" applyFont="1" applyBorder="1" applyAlignment="1">
      <alignment horizontal="center" vertical="center" wrapText="1"/>
    </xf>
    <xf numFmtId="4" fontId="19" fillId="53" borderId="14" xfId="0" applyNumberFormat="1" applyFont="1" applyFill="1" applyBorder="1" applyAlignment="1">
      <alignment horizontal="right" vertical="top"/>
    </xf>
    <xf numFmtId="0" fontId="19" fillId="53" borderId="0" xfId="0" applyFont="1" applyFill="1"/>
    <xf numFmtId="0" fontId="19" fillId="54" borderId="0" xfId="0" applyFont="1" applyFill="1"/>
    <xf numFmtId="0" fontId="19" fillId="53" borderId="14" xfId="0" applyFont="1" applyFill="1" applyBorder="1" applyAlignment="1">
      <alignment horizontal="left" vertical="top"/>
    </xf>
    <xf numFmtId="0" fontId="19" fillId="53" borderId="14" xfId="0" applyFont="1" applyFill="1" applyBorder="1" applyAlignment="1">
      <alignment horizontal="right" vertical="top"/>
    </xf>
    <xf numFmtId="14" fontId="19" fillId="53" borderId="14" xfId="0" applyNumberFormat="1" applyFont="1" applyFill="1" applyBorder="1" applyAlignment="1">
      <alignment horizontal="center" vertical="top"/>
    </xf>
    <xf numFmtId="14" fontId="19" fillId="53" borderId="14" xfId="0" applyNumberFormat="1" applyFont="1" applyFill="1" applyBorder="1" applyAlignment="1">
      <alignment horizontal="left" vertical="top"/>
    </xf>
    <xf numFmtId="0" fontId="19" fillId="55" borderId="0" xfId="0" applyFont="1" applyFill="1"/>
    <xf numFmtId="0" fontId="19" fillId="56" borderId="14" xfId="0" applyFont="1" applyFill="1" applyBorder="1" applyAlignment="1">
      <alignment horizontal="left" vertical="top"/>
    </xf>
    <xf numFmtId="0" fontId="19" fillId="56" borderId="14" xfId="0" applyFont="1" applyFill="1" applyBorder="1" applyAlignment="1">
      <alignment horizontal="right" vertical="top"/>
    </xf>
    <xf numFmtId="14" fontId="19" fillId="56" borderId="14" xfId="0" applyNumberFormat="1" applyFont="1" applyFill="1" applyBorder="1" applyAlignment="1">
      <alignment horizontal="center" vertical="top"/>
    </xf>
    <xf numFmtId="4" fontId="19" fillId="56" borderId="14" xfId="0" applyNumberFormat="1" applyFont="1" applyFill="1" applyBorder="1" applyAlignment="1">
      <alignment horizontal="right" vertical="top"/>
    </xf>
    <xf numFmtId="14" fontId="19" fillId="56" borderId="14" xfId="0" applyNumberFormat="1" applyFont="1" applyFill="1" applyBorder="1" applyAlignment="1">
      <alignment horizontal="left" vertical="top"/>
    </xf>
    <xf numFmtId="0" fontId="19" fillId="56" borderId="0" xfId="0" applyFont="1" applyFill="1"/>
    <xf numFmtId="0" fontId="19" fillId="57" borderId="14" xfId="0" applyFont="1" applyFill="1" applyBorder="1" applyAlignment="1">
      <alignment horizontal="left" vertical="top"/>
    </xf>
    <xf numFmtId="0" fontId="19" fillId="57" borderId="14" xfId="0" applyFont="1" applyFill="1" applyBorder="1" applyAlignment="1">
      <alignment horizontal="right" vertical="top"/>
    </xf>
    <xf numFmtId="14" fontId="19" fillId="57" borderId="14" xfId="0" applyNumberFormat="1" applyFont="1" applyFill="1" applyBorder="1" applyAlignment="1">
      <alignment horizontal="center" vertical="top"/>
    </xf>
    <xf numFmtId="4" fontId="19" fillId="57" borderId="14" xfId="0" applyNumberFormat="1" applyFont="1" applyFill="1" applyBorder="1" applyAlignment="1">
      <alignment horizontal="right" vertical="top"/>
    </xf>
    <xf numFmtId="14" fontId="19" fillId="57" borderId="14" xfId="0" applyNumberFormat="1" applyFont="1" applyFill="1" applyBorder="1" applyAlignment="1">
      <alignment horizontal="left" vertical="top"/>
    </xf>
    <xf numFmtId="0" fontId="19" fillId="57" borderId="0" xfId="0" applyFont="1" applyFill="1"/>
    <xf numFmtId="0" fontId="19" fillId="58" borderId="0" xfId="0" applyFont="1" applyFill="1"/>
    <xf numFmtId="0" fontId="19" fillId="35" borderId="13" xfId="0" applyFont="1" applyFill="1" applyBorder="1" applyAlignment="1">
      <alignment horizontal="left" vertical="top"/>
    </xf>
    <xf numFmtId="0" fontId="19" fillId="35" borderId="13" xfId="0" applyFont="1" applyFill="1" applyBorder="1" applyAlignment="1">
      <alignment horizontal="center" vertical="top"/>
    </xf>
    <xf numFmtId="0" fontId="19" fillId="35" borderId="13" xfId="0" applyFont="1" applyFill="1" applyBorder="1" applyAlignment="1">
      <alignment horizontal="right" vertical="top"/>
    </xf>
    <xf numFmtId="0" fontId="19" fillId="35" borderId="0" xfId="0" applyFont="1" applyFill="1"/>
    <xf numFmtId="0" fontId="19" fillId="59" borderId="0" xfId="0" applyFont="1" applyFill="1"/>
    <xf numFmtId="0" fontId="19" fillId="52" borderId="14" xfId="0" applyFont="1" applyFill="1" applyBorder="1" applyAlignment="1">
      <alignment horizontal="left" vertical="top"/>
    </xf>
    <xf numFmtId="0" fontId="19" fillId="52" borderId="14" xfId="0" applyFont="1" applyFill="1" applyBorder="1" applyAlignment="1">
      <alignment horizontal="right" vertical="top"/>
    </xf>
    <xf numFmtId="14" fontId="19" fillId="52" borderId="14" xfId="0" applyNumberFormat="1" applyFont="1" applyFill="1" applyBorder="1" applyAlignment="1">
      <alignment horizontal="center" vertical="top"/>
    </xf>
    <xf numFmtId="4" fontId="19" fillId="52" borderId="14" xfId="0" applyNumberFormat="1" applyFont="1" applyFill="1" applyBorder="1" applyAlignment="1">
      <alignment horizontal="right" vertical="top"/>
    </xf>
    <xf numFmtId="14" fontId="19" fillId="52" borderId="14" xfId="0" applyNumberFormat="1" applyFont="1" applyFill="1" applyBorder="1" applyAlignment="1">
      <alignment horizontal="left" vertical="top"/>
    </xf>
    <xf numFmtId="0" fontId="19" fillId="52" borderId="0" xfId="0" applyFont="1" applyFill="1"/>
    <xf numFmtId="0" fontId="19" fillId="0" borderId="11" xfId="0" applyFont="1" applyBorder="1" applyAlignment="1">
      <alignment horizontal="center" vertical="top"/>
    </xf>
    <xf numFmtId="0" fontId="19" fillId="0" borderId="11" xfId="0" applyFont="1" applyBorder="1" applyAlignment="1">
      <alignment horizontal="right" vertical="top"/>
    </xf>
    <xf numFmtId="0" fontId="19" fillId="0" borderId="11" xfId="0" applyFont="1" applyBorder="1" applyAlignment="1">
      <alignment horizontal="left" vertical="top"/>
    </xf>
    <xf numFmtId="14" fontId="19" fillId="0" borderId="11" xfId="0" applyNumberFormat="1" applyFont="1" applyBorder="1" applyAlignment="1">
      <alignment horizontal="center" vertical="top"/>
    </xf>
    <xf numFmtId="4" fontId="19" fillId="0" borderId="11" xfId="0" applyNumberFormat="1" applyFont="1" applyBorder="1" applyAlignment="1">
      <alignment horizontal="right" vertical="top"/>
    </xf>
    <xf numFmtId="0" fontId="19" fillId="57" borderId="11" xfId="0" applyFont="1" applyFill="1" applyBorder="1" applyAlignment="1">
      <alignment horizontal="center" vertical="top"/>
    </xf>
    <xf numFmtId="0" fontId="19" fillId="57" borderId="11" xfId="0" applyFont="1" applyFill="1" applyBorder="1" applyAlignment="1">
      <alignment horizontal="right" vertical="top"/>
    </xf>
    <xf numFmtId="0" fontId="19" fillId="57" borderId="11" xfId="0" applyFont="1" applyFill="1" applyBorder="1" applyAlignment="1">
      <alignment horizontal="left" vertical="top"/>
    </xf>
    <xf numFmtId="14" fontId="19" fillId="57" borderId="11" xfId="0" applyNumberFormat="1" applyFont="1" applyFill="1" applyBorder="1" applyAlignment="1">
      <alignment horizontal="center" vertical="top"/>
    </xf>
    <xf numFmtId="4" fontId="19" fillId="57" borderId="11" xfId="0" applyNumberFormat="1" applyFont="1" applyFill="1" applyBorder="1" applyAlignment="1">
      <alignment horizontal="right" vertical="top"/>
    </xf>
    <xf numFmtId="0" fontId="19" fillId="56" borderId="11" xfId="0" applyFont="1" applyFill="1" applyBorder="1" applyAlignment="1">
      <alignment horizontal="center" vertical="top"/>
    </xf>
    <xf numFmtId="0" fontId="19" fillId="56" borderId="11" xfId="0" applyFont="1" applyFill="1" applyBorder="1" applyAlignment="1">
      <alignment horizontal="right" vertical="top"/>
    </xf>
    <xf numFmtId="0" fontId="19" fillId="56" borderId="11" xfId="0" applyFont="1" applyFill="1" applyBorder="1" applyAlignment="1">
      <alignment horizontal="left" vertical="top"/>
    </xf>
    <xf numFmtId="14" fontId="19" fillId="56" borderId="11" xfId="0" applyNumberFormat="1" applyFont="1" applyFill="1" applyBorder="1" applyAlignment="1">
      <alignment horizontal="center" vertical="top"/>
    </xf>
    <xf numFmtId="4" fontId="19" fillId="56" borderId="11" xfId="0" applyNumberFormat="1" applyFont="1" applyFill="1" applyBorder="1" applyAlignment="1">
      <alignment horizontal="right" vertical="top"/>
    </xf>
    <xf numFmtId="0" fontId="19" fillId="53" borderId="11" xfId="0" applyFont="1" applyFill="1" applyBorder="1" applyAlignment="1">
      <alignment horizontal="center" vertical="top"/>
    </xf>
    <xf numFmtId="0" fontId="19" fillId="53" borderId="11" xfId="0" applyFont="1" applyFill="1" applyBorder="1" applyAlignment="1">
      <alignment horizontal="right" vertical="top"/>
    </xf>
    <xf numFmtId="0" fontId="19" fillId="53" borderId="11" xfId="0" applyFont="1" applyFill="1" applyBorder="1" applyAlignment="1">
      <alignment horizontal="left" vertical="top"/>
    </xf>
    <xf numFmtId="14" fontId="19" fillId="53" borderId="11" xfId="0" applyNumberFormat="1" applyFont="1" applyFill="1" applyBorder="1" applyAlignment="1">
      <alignment horizontal="center" vertical="top"/>
    </xf>
    <xf numFmtId="4" fontId="19" fillId="53" borderId="11" xfId="0" applyNumberFormat="1" applyFont="1" applyFill="1" applyBorder="1" applyAlignment="1">
      <alignment horizontal="right" vertical="top"/>
    </xf>
    <xf numFmtId="0" fontId="19" fillId="60" borderId="11" xfId="0" applyFont="1" applyFill="1" applyBorder="1" applyAlignment="1">
      <alignment horizontal="center" vertical="top"/>
    </xf>
    <xf numFmtId="0" fontId="19" fillId="60" borderId="11" xfId="0" applyFont="1" applyFill="1" applyBorder="1" applyAlignment="1">
      <alignment horizontal="right" vertical="top"/>
    </xf>
    <xf numFmtId="0" fontId="19" fillId="60" borderId="11" xfId="0" applyFont="1" applyFill="1" applyBorder="1" applyAlignment="1">
      <alignment horizontal="left" vertical="top"/>
    </xf>
    <xf numFmtId="14" fontId="19" fillId="60" borderId="11" xfId="0" applyNumberFormat="1" applyFont="1" applyFill="1" applyBorder="1" applyAlignment="1">
      <alignment horizontal="center" vertical="top"/>
    </xf>
    <xf numFmtId="4" fontId="19" fillId="60" borderId="11" xfId="0" applyNumberFormat="1" applyFont="1" applyFill="1" applyBorder="1" applyAlignment="1">
      <alignment horizontal="right" vertical="top"/>
    </xf>
    <xf numFmtId="20" fontId="19" fillId="60" borderId="11" xfId="0" applyNumberFormat="1" applyFont="1" applyFill="1" applyBorder="1" applyAlignment="1">
      <alignment horizontal="center" vertical="top"/>
    </xf>
    <xf numFmtId="0" fontId="19" fillId="0" borderId="12" xfId="0" applyFont="1" applyBorder="1" applyAlignment="1">
      <alignment horizontal="center" vertical="top"/>
    </xf>
    <xf numFmtId="0" fontId="19" fillId="0" borderId="12" xfId="0" applyFont="1" applyBorder="1" applyAlignment="1">
      <alignment horizontal="right" vertical="top"/>
    </xf>
    <xf numFmtId="0" fontId="19" fillId="0" borderId="12" xfId="0" applyFont="1" applyBorder="1" applyAlignment="1">
      <alignment horizontal="left" vertical="top"/>
    </xf>
    <xf numFmtId="14" fontId="19" fillId="0" borderId="12" xfId="0" applyNumberFormat="1" applyFont="1" applyBorder="1" applyAlignment="1">
      <alignment horizontal="center" vertical="top"/>
    </xf>
    <xf numFmtId="4" fontId="19" fillId="0" borderId="12" xfId="0" applyNumberFormat="1" applyFont="1" applyBorder="1" applyAlignment="1">
      <alignment horizontal="right" vertical="top"/>
    </xf>
    <xf numFmtId="20" fontId="19" fillId="57" borderId="11" xfId="0" applyNumberFormat="1" applyFont="1" applyFill="1" applyBorder="1" applyAlignment="1">
      <alignment horizontal="center" vertical="top"/>
    </xf>
    <xf numFmtId="0" fontId="19" fillId="0" borderId="14" xfId="0" applyFont="1" applyBorder="1" applyAlignment="1">
      <alignment horizontal="left" vertical="top"/>
    </xf>
    <xf numFmtId="0" fontId="19" fillId="0" borderId="14" xfId="0" applyFont="1" applyBorder="1" applyAlignment="1">
      <alignment horizontal="right" vertical="top"/>
    </xf>
    <xf numFmtId="14" fontId="19" fillId="0" borderId="14" xfId="0" applyNumberFormat="1" applyFont="1" applyBorder="1" applyAlignment="1">
      <alignment horizontal="center" vertical="top"/>
    </xf>
    <xf numFmtId="4" fontId="19" fillId="0" borderId="14" xfId="0" applyNumberFormat="1" applyFont="1" applyBorder="1" applyAlignment="1">
      <alignment horizontal="right" vertical="top"/>
    </xf>
    <xf numFmtId="14" fontId="19" fillId="0" borderId="14" xfId="0" applyNumberFormat="1" applyFont="1" applyBorder="1" applyAlignment="1">
      <alignment horizontal="left" vertical="top"/>
    </xf>
    <xf numFmtId="0" fontId="19" fillId="60" borderId="14" xfId="0" applyFont="1" applyFill="1" applyBorder="1" applyAlignment="1">
      <alignment horizontal="left" vertical="top"/>
    </xf>
    <xf numFmtId="0" fontId="19" fillId="60" borderId="14" xfId="0" applyFont="1" applyFill="1" applyBorder="1" applyAlignment="1">
      <alignment horizontal="right" vertical="top"/>
    </xf>
    <xf numFmtId="14" fontId="19" fillId="60" borderId="14" xfId="0" applyNumberFormat="1" applyFont="1" applyFill="1" applyBorder="1" applyAlignment="1">
      <alignment horizontal="center" vertical="top"/>
    </xf>
    <xf numFmtId="4" fontId="19" fillId="60" borderId="14" xfId="0" applyNumberFormat="1" applyFont="1" applyFill="1" applyBorder="1" applyAlignment="1">
      <alignment horizontal="right" vertical="top"/>
    </xf>
    <xf numFmtId="14" fontId="19" fillId="60" borderId="14" xfId="0" applyNumberFormat="1" applyFont="1" applyFill="1" applyBorder="1" applyAlignment="1">
      <alignment horizontal="left" vertical="top"/>
    </xf>
    <xf numFmtId="0" fontId="19" fillId="61" borderId="14" xfId="0" applyFont="1" applyFill="1" applyBorder="1" applyAlignment="1">
      <alignment horizontal="left" vertical="top"/>
    </xf>
    <xf numFmtId="0" fontId="19" fillId="61" borderId="14" xfId="0" applyFont="1" applyFill="1" applyBorder="1" applyAlignment="1">
      <alignment horizontal="right" vertical="top"/>
    </xf>
    <xf numFmtId="14" fontId="19" fillId="61" borderId="14" xfId="0" applyNumberFormat="1" applyFont="1" applyFill="1" applyBorder="1" applyAlignment="1">
      <alignment horizontal="center" vertical="top"/>
    </xf>
    <xf numFmtId="4" fontId="19" fillId="61" borderId="14" xfId="0" applyNumberFormat="1" applyFont="1" applyFill="1" applyBorder="1" applyAlignment="1">
      <alignment horizontal="right" vertical="top"/>
    </xf>
    <xf numFmtId="14" fontId="19" fillId="61" borderId="14" xfId="0" applyNumberFormat="1" applyFont="1" applyFill="1" applyBorder="1" applyAlignment="1">
      <alignment horizontal="left" vertical="top"/>
    </xf>
    <xf numFmtId="0" fontId="19" fillId="62" borderId="14" xfId="0" applyFont="1" applyFill="1" applyBorder="1" applyAlignment="1">
      <alignment horizontal="left" vertical="top"/>
    </xf>
    <xf numFmtId="0" fontId="19" fillId="62" borderId="14" xfId="0" applyFont="1" applyFill="1" applyBorder="1" applyAlignment="1">
      <alignment horizontal="right" vertical="top"/>
    </xf>
    <xf numFmtId="14" fontId="19" fillId="62" borderId="14" xfId="0" applyNumberFormat="1" applyFont="1" applyFill="1" applyBorder="1" applyAlignment="1">
      <alignment horizontal="center" vertical="top"/>
    </xf>
    <xf numFmtId="4" fontId="19" fillId="62" borderId="14" xfId="0" applyNumberFormat="1" applyFont="1" applyFill="1" applyBorder="1" applyAlignment="1">
      <alignment horizontal="right" vertical="top"/>
    </xf>
    <xf numFmtId="14" fontId="19" fillId="62" borderId="14" xfId="0" applyNumberFormat="1" applyFont="1" applyFill="1" applyBorder="1" applyAlignment="1">
      <alignment horizontal="left" vertical="top"/>
    </xf>
    <xf numFmtId="0" fontId="19" fillId="63" borderId="14" xfId="0" applyFont="1" applyFill="1" applyBorder="1" applyAlignment="1">
      <alignment horizontal="left" vertical="top"/>
    </xf>
    <xf numFmtId="0" fontId="19" fillId="63" borderId="14" xfId="0" applyFont="1" applyFill="1" applyBorder="1" applyAlignment="1">
      <alignment horizontal="right" vertical="top"/>
    </xf>
    <xf numFmtId="14" fontId="19" fillId="63" borderId="14" xfId="0" applyNumberFormat="1" applyFont="1" applyFill="1" applyBorder="1" applyAlignment="1">
      <alignment horizontal="center" vertical="top"/>
    </xf>
    <xf numFmtId="4" fontId="19" fillId="63" borderId="14" xfId="0" applyNumberFormat="1" applyFont="1" applyFill="1" applyBorder="1" applyAlignment="1">
      <alignment horizontal="right" vertical="top"/>
    </xf>
    <xf numFmtId="14" fontId="19" fillId="63" borderId="14" xfId="0" applyNumberFormat="1" applyFont="1" applyFill="1" applyBorder="1" applyAlignment="1">
      <alignment horizontal="left" vertical="top"/>
    </xf>
    <xf numFmtId="0" fontId="53" fillId="33" borderId="10" xfId="0" applyFont="1" applyFill="1" applyBorder="1" applyAlignment="1">
      <alignment horizontal="right" vertical="top"/>
    </xf>
    <xf numFmtId="4" fontId="37" fillId="57" borderId="11" xfId="0" applyNumberFormat="1" applyFont="1" applyFill="1" applyBorder="1" applyAlignment="1">
      <alignment horizontal="right" vertical="top"/>
    </xf>
    <xf numFmtId="4" fontId="37" fillId="56" borderId="11" xfId="0" applyNumberFormat="1" applyFont="1" applyFill="1" applyBorder="1" applyAlignment="1">
      <alignment horizontal="right" vertical="top"/>
    </xf>
    <xf numFmtId="4" fontId="37" fillId="53" borderId="11" xfId="0" applyNumberFormat="1" applyFont="1" applyFill="1" applyBorder="1" applyAlignment="1">
      <alignment horizontal="right" vertical="top"/>
    </xf>
    <xf numFmtId="4" fontId="37" fillId="60" borderId="11" xfId="0" applyNumberFormat="1" applyFont="1" applyFill="1" applyBorder="1" applyAlignment="1">
      <alignment horizontal="right" vertical="top"/>
    </xf>
    <xf numFmtId="0" fontId="37" fillId="0" borderId="0" xfId="0" applyFont="1"/>
    <xf numFmtId="0" fontId="0" fillId="0" borderId="0" xfId="0" applyAlignment="1">
      <alignment horizontal="left" indent="3"/>
    </xf>
    <xf numFmtId="0" fontId="54" fillId="35" borderId="13" xfId="0" applyFont="1" applyFill="1" applyBorder="1" applyAlignment="1">
      <alignment horizontal="right" vertical="top"/>
    </xf>
    <xf numFmtId="4" fontId="54" fillId="63" borderId="14" xfId="0" applyNumberFormat="1" applyFont="1" applyFill="1" applyBorder="1" applyAlignment="1">
      <alignment horizontal="right" vertical="top"/>
    </xf>
    <xf numFmtId="0" fontId="54" fillId="35" borderId="0" xfId="0" applyFont="1" applyFill="1"/>
    <xf numFmtId="4" fontId="54" fillId="61" borderId="14" xfId="0" applyNumberFormat="1" applyFont="1" applyFill="1" applyBorder="1" applyAlignment="1">
      <alignment horizontal="right" vertical="top"/>
    </xf>
    <xf numFmtId="4" fontId="54" fillId="52" borderId="14" xfId="0" applyNumberFormat="1" applyFont="1" applyFill="1" applyBorder="1" applyAlignment="1">
      <alignment horizontal="right" vertical="top"/>
    </xf>
    <xf numFmtId="4" fontId="54" fillId="35" borderId="0" xfId="0" applyNumberFormat="1" applyFont="1" applyFill="1"/>
    <xf numFmtId="4" fontId="54" fillId="60" borderId="14" xfId="0" applyNumberFormat="1" applyFont="1" applyFill="1" applyBorder="1" applyAlignment="1">
      <alignment horizontal="right" vertical="top"/>
    </xf>
    <xf numFmtId="4" fontId="54" fillId="53" borderId="14" xfId="0" applyNumberFormat="1" applyFont="1" applyFill="1" applyBorder="1" applyAlignment="1">
      <alignment horizontal="right" vertical="top"/>
    </xf>
    <xf numFmtId="4" fontId="54" fillId="57" borderId="14" xfId="0" applyNumberFormat="1" applyFont="1" applyFill="1" applyBorder="1" applyAlignment="1">
      <alignment horizontal="right" vertical="top"/>
    </xf>
    <xf numFmtId="4" fontId="54" fillId="56" borderId="14" xfId="0" applyNumberFormat="1" applyFont="1" applyFill="1" applyBorder="1" applyAlignment="1">
      <alignment horizontal="right" vertical="top"/>
    </xf>
    <xf numFmtId="4" fontId="55" fillId="0" borderId="14" xfId="0" applyNumberFormat="1" applyFont="1" applyBorder="1" applyAlignment="1">
      <alignment horizontal="right" vertical="top"/>
    </xf>
    <xf numFmtId="4" fontId="54" fillId="62" borderId="14" xfId="0" applyNumberFormat="1" applyFont="1" applyFill="1" applyBorder="1" applyAlignment="1">
      <alignment horizontal="right" vertical="top"/>
    </xf>
    <xf numFmtId="4" fontId="30" fillId="38" borderId="28" xfId="0" applyNumberFormat="1" applyFont="1" applyFill="1" applyBorder="1" applyAlignment="1">
      <alignment horizontal="right"/>
    </xf>
    <xf numFmtId="4" fontId="30" fillId="38" borderId="22" xfId="0" applyNumberFormat="1" applyFont="1" applyFill="1" applyBorder="1" applyAlignment="1">
      <alignment horizontal="right"/>
    </xf>
    <xf numFmtId="4" fontId="30" fillId="35" borderId="15" xfId="0" applyNumberFormat="1" applyFont="1" applyFill="1" applyBorder="1"/>
    <xf numFmtId="0" fontId="19" fillId="39" borderId="15" xfId="0" applyFont="1" applyFill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/>
    </xf>
    <xf numFmtId="0" fontId="19" fillId="0" borderId="15" xfId="0" applyFont="1" applyBorder="1"/>
    <xf numFmtId="0" fontId="0" fillId="0" borderId="21" xfId="0" applyBorder="1"/>
    <xf numFmtId="0" fontId="32" fillId="53" borderId="15" xfId="0" applyFont="1" applyFill="1" applyBorder="1" applyAlignment="1">
      <alignment horizontal="center" vertical="center"/>
    </xf>
    <xf numFmtId="0" fontId="32" fillId="54" borderId="15" xfId="0" applyFont="1" applyFill="1" applyBorder="1" applyAlignment="1">
      <alignment horizontal="center"/>
    </xf>
    <xf numFmtId="0" fontId="19" fillId="52" borderId="15" xfId="0" applyFont="1" applyFill="1" applyBorder="1" applyAlignment="1">
      <alignment horizontal="center"/>
    </xf>
    <xf numFmtId="4" fontId="0" fillId="54" borderId="15" xfId="0" applyNumberFormat="1" applyFill="1" applyBorder="1"/>
    <xf numFmtId="8" fontId="20" fillId="0" borderId="15" xfId="0" applyNumberFormat="1" applyFont="1" applyBorder="1" applyAlignment="1">
      <alignment horizontal="center" vertical="center"/>
    </xf>
    <xf numFmtId="0" fontId="22" fillId="53" borderId="15" xfId="0" applyFont="1" applyFill="1" applyBorder="1" applyAlignment="1">
      <alignment horizontal="center" vertical="center"/>
    </xf>
    <xf numFmtId="0" fontId="20" fillId="53" borderId="15" xfId="0" applyFont="1" applyFill="1" applyBorder="1" applyAlignment="1">
      <alignment horizontal="center" vertical="center"/>
    </xf>
    <xf numFmtId="165" fontId="0" fillId="54" borderId="15" xfId="0" applyNumberFormat="1" applyFill="1" applyBorder="1"/>
    <xf numFmtId="0" fontId="20" fillId="53" borderId="17" xfId="0" applyFont="1" applyFill="1" applyBorder="1" applyAlignment="1">
      <alignment horizontal="left" vertical="center"/>
    </xf>
    <xf numFmtId="0" fontId="20" fillId="53" borderId="20" xfId="0" applyFont="1" applyFill="1" applyBorder="1" applyAlignment="1">
      <alignment horizontal="left" vertical="center"/>
    </xf>
    <xf numFmtId="0" fontId="19" fillId="52" borderId="20" xfId="0" applyFont="1" applyFill="1" applyBorder="1" applyAlignment="1">
      <alignment horizontal="center"/>
    </xf>
    <xf numFmtId="0" fontId="0" fillId="53" borderId="15" xfId="0" applyFill="1" applyBorder="1"/>
    <xf numFmtId="0" fontId="0" fillId="52" borderId="0" xfId="0" applyFill="1"/>
    <xf numFmtId="0" fontId="42" fillId="52" borderId="38" xfId="0" applyFont="1" applyFill="1" applyBorder="1" applyAlignment="1">
      <alignment horizontal="center" vertical="center" wrapText="1"/>
    </xf>
    <xf numFmtId="0" fontId="42" fillId="52" borderId="15" xfId="0" applyFont="1" applyFill="1" applyBorder="1" applyAlignment="1">
      <alignment horizontal="center" vertical="center" wrapText="1"/>
    </xf>
    <xf numFmtId="0" fontId="42" fillId="52" borderId="15" xfId="0" applyFont="1" applyFill="1" applyBorder="1" applyAlignment="1">
      <alignment horizontal="left" vertical="center" wrapText="1"/>
    </xf>
    <xf numFmtId="0" fontId="49" fillId="52" borderId="39" xfId="0" applyFont="1" applyFill="1" applyBorder="1" applyAlignment="1">
      <alignment horizontal="left" vertical="center" wrapText="1"/>
    </xf>
    <xf numFmtId="2" fontId="19" fillId="52" borderId="53" xfId="0" applyNumberFormat="1" applyFont="1" applyFill="1" applyBorder="1" applyAlignment="1">
      <alignment horizontal="center" vertical="center" wrapText="1"/>
    </xf>
    <xf numFmtId="2" fontId="19" fillId="52" borderId="21" xfId="0" applyNumberFormat="1" applyFont="1" applyFill="1" applyBorder="1" applyAlignment="1">
      <alignment horizontal="center" vertical="center" wrapText="1"/>
    </xf>
    <xf numFmtId="166" fontId="19" fillId="52" borderId="21" xfId="0" applyNumberFormat="1" applyFont="1" applyFill="1" applyBorder="1" applyAlignment="1">
      <alignment horizontal="center" vertical="center" wrapText="1"/>
    </xf>
    <xf numFmtId="166" fontId="19" fillId="52" borderId="22" xfId="0" applyNumberFormat="1" applyFont="1" applyFill="1" applyBorder="1" applyAlignment="1">
      <alignment horizontal="center" vertical="center" wrapText="1"/>
    </xf>
    <xf numFmtId="14" fontId="19" fillId="52" borderId="21" xfId="0" applyNumberFormat="1" applyFont="1" applyFill="1" applyBorder="1" applyAlignment="1">
      <alignment horizontal="center" vertical="center" wrapText="1"/>
    </xf>
    <xf numFmtId="49" fontId="19" fillId="52" borderId="21" xfId="0" applyNumberFormat="1" applyFont="1" applyFill="1" applyBorder="1" applyAlignment="1">
      <alignment horizontal="center" vertical="center" wrapText="1"/>
    </xf>
    <xf numFmtId="0" fontId="19" fillId="52" borderId="21" xfId="0" applyFont="1" applyFill="1" applyBorder="1" applyAlignment="1">
      <alignment horizontal="center" vertical="center" wrapText="1"/>
    </xf>
    <xf numFmtId="14" fontId="19" fillId="52" borderId="54" xfId="0" applyNumberFormat="1" applyFont="1" applyFill="1" applyBorder="1" applyAlignment="1">
      <alignment vertical="center" wrapText="1"/>
    </xf>
    <xf numFmtId="14" fontId="19" fillId="52" borderId="15" xfId="0" applyNumberFormat="1" applyFont="1" applyFill="1" applyBorder="1" applyAlignment="1">
      <alignment horizontal="center" vertical="center" wrapText="1"/>
    </xf>
    <xf numFmtId="14" fontId="19" fillId="52" borderId="39" xfId="0" applyNumberFormat="1" applyFont="1" applyFill="1" applyBorder="1" applyAlignment="1">
      <alignment vertical="center" wrapText="1"/>
    </xf>
    <xf numFmtId="20" fontId="0" fillId="0" borderId="15" xfId="0" applyNumberFormat="1" applyBorder="1"/>
    <xf numFmtId="0" fontId="19" fillId="39" borderId="19" xfId="0" applyFont="1" applyFill="1" applyBorder="1" applyAlignment="1">
      <alignment horizontal="center" wrapText="1"/>
    </xf>
    <xf numFmtId="0" fontId="19" fillId="65" borderId="0" xfId="0" applyFont="1" applyFill="1"/>
    <xf numFmtId="0" fontId="0" fillId="65" borderId="0" xfId="0" applyFill="1"/>
    <xf numFmtId="0" fontId="32" fillId="65" borderId="0" xfId="0" applyFont="1" applyFill="1"/>
    <xf numFmtId="0" fontId="19" fillId="49" borderId="0" xfId="0" applyFont="1" applyFill="1"/>
    <xf numFmtId="0" fontId="0" fillId="49" borderId="0" xfId="0" applyFill="1"/>
    <xf numFmtId="0" fontId="32" fillId="49" borderId="0" xfId="0" applyFont="1" applyFill="1"/>
    <xf numFmtId="0" fontId="19" fillId="66" borderId="0" xfId="0" applyFont="1" applyFill="1"/>
    <xf numFmtId="0" fontId="0" fillId="66" borderId="26" xfId="0" applyFill="1" applyBorder="1"/>
    <xf numFmtId="0" fontId="0" fillId="66" borderId="0" xfId="0" applyFill="1"/>
    <xf numFmtId="0" fontId="19" fillId="66" borderId="26" xfId="0" applyFont="1" applyFill="1" applyBorder="1"/>
    <xf numFmtId="0" fontId="19" fillId="43" borderId="26" xfId="0" applyFont="1" applyFill="1" applyBorder="1"/>
    <xf numFmtId="0" fontId="0" fillId="43" borderId="0" xfId="0" applyFill="1"/>
    <xf numFmtId="0" fontId="32" fillId="66" borderId="0" xfId="0" applyFont="1" applyFill="1"/>
    <xf numFmtId="0" fontId="32" fillId="43" borderId="0" xfId="0" applyFont="1" applyFill="1"/>
    <xf numFmtId="0" fontId="19" fillId="67" borderId="0" xfId="0" applyFont="1" applyFill="1"/>
    <xf numFmtId="0" fontId="0" fillId="67" borderId="0" xfId="0" applyFill="1"/>
    <xf numFmtId="0" fontId="32" fillId="67" borderId="0" xfId="0" applyFont="1" applyFill="1"/>
    <xf numFmtId="0" fontId="19" fillId="68" borderId="0" xfId="0" applyFont="1" applyFill="1"/>
    <xf numFmtId="0" fontId="0" fillId="68" borderId="0" xfId="0" applyFill="1"/>
    <xf numFmtId="0" fontId="32" fillId="68" borderId="0" xfId="0" applyFont="1" applyFill="1"/>
    <xf numFmtId="0" fontId="37" fillId="68" borderId="0" xfId="0" applyFont="1" applyFill="1"/>
    <xf numFmtId="0" fontId="0" fillId="69" borderId="26" xfId="0" applyFill="1" applyBorder="1"/>
    <xf numFmtId="0" fontId="0" fillId="69" borderId="0" xfId="0" applyFill="1"/>
    <xf numFmtId="0" fontId="19" fillId="51" borderId="0" xfId="0" applyFont="1" applyFill="1"/>
    <xf numFmtId="0" fontId="32" fillId="51" borderId="0" xfId="0" applyFont="1" applyFill="1"/>
    <xf numFmtId="0" fontId="30" fillId="66" borderId="89" xfId="0" applyFont="1" applyFill="1" applyBorder="1"/>
    <xf numFmtId="0" fontId="30" fillId="66" borderId="90" xfId="0" applyFont="1" applyFill="1" applyBorder="1"/>
    <xf numFmtId="0" fontId="0" fillId="53" borderId="0" xfId="0" applyFill="1"/>
    <xf numFmtId="0" fontId="19" fillId="70" borderId="0" xfId="0" applyFont="1" applyFill="1"/>
    <xf numFmtId="0" fontId="0" fillId="70" borderId="0" xfId="0" applyFill="1"/>
    <xf numFmtId="0" fontId="32" fillId="70" borderId="0" xfId="0" applyFont="1" applyFill="1"/>
    <xf numFmtId="0" fontId="32" fillId="53" borderId="0" xfId="0" applyFont="1" applyFill="1"/>
    <xf numFmtId="0" fontId="0" fillId="44" borderId="0" xfId="0" applyFill="1"/>
    <xf numFmtId="0" fontId="32" fillId="44" borderId="0" xfId="0" applyFont="1" applyFill="1"/>
    <xf numFmtId="8" fontId="0" fillId="0" borderId="0" xfId="0" applyNumberFormat="1"/>
    <xf numFmtId="0" fontId="19" fillId="35" borderId="15" xfId="0" applyFont="1" applyFill="1" applyBorder="1"/>
    <xf numFmtId="1" fontId="0" fillId="35" borderId="15" xfId="0" applyNumberFormat="1" applyFill="1" applyBorder="1"/>
    <xf numFmtId="20" fontId="0" fillId="35" borderId="15" xfId="0" applyNumberFormat="1" applyFill="1" applyBorder="1"/>
    <xf numFmtId="165" fontId="37" fillId="54" borderId="15" xfId="0" applyNumberFormat="1" applyFont="1" applyFill="1" applyBorder="1"/>
    <xf numFmtId="2" fontId="0" fillId="0" borderId="15" xfId="0" applyNumberFormat="1" applyBorder="1"/>
    <xf numFmtId="2" fontId="0" fillId="0" borderId="0" xfId="0" applyNumberFormat="1"/>
    <xf numFmtId="0" fontId="45" fillId="0" borderId="15" xfId="0" applyFont="1" applyBorder="1"/>
    <xf numFmtId="8" fontId="0" fillId="0" borderId="17" xfId="0" applyNumberFormat="1" applyBorder="1"/>
    <xf numFmtId="2" fontId="19" fillId="35" borderId="46" xfId="0" applyNumberFormat="1" applyFont="1" applyFill="1" applyBorder="1" applyAlignment="1">
      <alignment horizontal="center" vertical="center" wrapText="1"/>
    </xf>
    <xf numFmtId="2" fontId="19" fillId="35" borderId="53" xfId="0" applyNumberFormat="1" applyFont="1" applyFill="1" applyBorder="1" applyAlignment="1">
      <alignment horizontal="center" vertical="center" wrapText="1"/>
    </xf>
    <xf numFmtId="2" fontId="19" fillId="35" borderId="16" xfId="0" applyNumberFormat="1" applyFont="1" applyFill="1" applyBorder="1" applyAlignment="1">
      <alignment horizontal="center" vertical="center" wrapText="1"/>
    </xf>
    <xf numFmtId="2" fontId="19" fillId="35" borderId="21" xfId="0" applyNumberFormat="1" applyFont="1" applyFill="1" applyBorder="1" applyAlignment="1">
      <alignment horizontal="center" vertical="center" wrapText="1"/>
    </xf>
    <xf numFmtId="166" fontId="19" fillId="35" borderId="16" xfId="0" applyNumberFormat="1" applyFont="1" applyFill="1" applyBorder="1" applyAlignment="1">
      <alignment horizontal="center" vertical="center" wrapText="1"/>
    </xf>
    <xf numFmtId="166" fontId="19" fillId="35" borderId="21" xfId="0" applyNumberFormat="1" applyFont="1" applyFill="1" applyBorder="1" applyAlignment="1">
      <alignment horizontal="center" vertical="center" wrapText="1"/>
    </xf>
    <xf numFmtId="166" fontId="19" fillId="35" borderId="47" xfId="0" applyNumberFormat="1" applyFont="1" applyFill="1" applyBorder="1" applyAlignment="1">
      <alignment horizontal="center" vertical="center" wrapText="1"/>
    </xf>
    <xf numFmtId="166" fontId="19" fillId="35" borderId="54" xfId="0" applyNumberFormat="1" applyFont="1" applyFill="1" applyBorder="1" applyAlignment="1">
      <alignment horizontal="center" vertical="center" wrapText="1"/>
    </xf>
    <xf numFmtId="0" fontId="31" fillId="48" borderId="51" xfId="0" applyFont="1" applyFill="1" applyBorder="1" applyAlignment="1">
      <alignment horizontal="center" vertical="center" wrapText="1"/>
    </xf>
    <xf numFmtId="0" fontId="31" fillId="48" borderId="69" xfId="0" applyFont="1" applyFill="1" applyBorder="1" applyAlignment="1">
      <alignment horizontal="center" vertical="center" wrapText="1"/>
    </xf>
    <xf numFmtId="166" fontId="19" fillId="35" borderId="28" xfId="0" applyNumberFormat="1" applyFont="1" applyFill="1" applyBorder="1" applyAlignment="1">
      <alignment horizontal="center" vertical="center" wrapText="1"/>
    </xf>
    <xf numFmtId="166" fontId="19" fillId="35" borderId="22" xfId="0" applyNumberFormat="1" applyFont="1" applyFill="1" applyBorder="1" applyAlignment="1">
      <alignment horizontal="center" vertical="center" wrapText="1"/>
    </xf>
    <xf numFmtId="2" fontId="19" fillId="35" borderId="60" xfId="0" applyNumberFormat="1" applyFont="1" applyFill="1" applyBorder="1" applyAlignment="1">
      <alignment horizontal="center" vertical="center" wrapText="1"/>
    </xf>
    <xf numFmtId="2" fontId="19" fillId="35" borderId="56" xfId="0" applyNumberFormat="1" applyFont="1" applyFill="1" applyBorder="1" applyAlignment="1">
      <alignment horizontal="center" vertical="center" wrapText="1"/>
    </xf>
    <xf numFmtId="166" fontId="19" fillId="51" borderId="16" xfId="0" applyNumberFormat="1" applyFont="1" applyFill="1" applyBorder="1" applyAlignment="1">
      <alignment horizontal="center" vertical="center" wrapText="1"/>
    </xf>
    <xf numFmtId="166" fontId="19" fillId="51" borderId="21" xfId="0" applyNumberFormat="1" applyFont="1" applyFill="1" applyBorder="1" applyAlignment="1">
      <alignment horizontal="center" vertical="center" wrapText="1"/>
    </xf>
    <xf numFmtId="166" fontId="19" fillId="51" borderId="47" xfId="0" applyNumberFormat="1" applyFont="1" applyFill="1" applyBorder="1" applyAlignment="1">
      <alignment horizontal="center" vertical="center" wrapText="1"/>
    </xf>
    <xf numFmtId="166" fontId="19" fillId="51" borderId="54" xfId="0" applyNumberFormat="1" applyFont="1" applyFill="1" applyBorder="1" applyAlignment="1">
      <alignment horizontal="center" vertical="center" wrapText="1"/>
    </xf>
    <xf numFmtId="0" fontId="19" fillId="35" borderId="46" xfId="0" applyFont="1" applyFill="1" applyBorder="1" applyAlignment="1">
      <alignment horizontal="center" vertical="center" wrapText="1"/>
    </xf>
    <xf numFmtId="0" fontId="19" fillId="35" borderId="53" xfId="0" applyFont="1" applyFill="1" applyBorder="1" applyAlignment="1">
      <alignment horizontal="center" vertical="center" wrapText="1"/>
    </xf>
    <xf numFmtId="0" fontId="19" fillId="35" borderId="16" xfId="0" applyFont="1" applyFill="1" applyBorder="1" applyAlignment="1">
      <alignment horizontal="center" vertical="center" wrapText="1"/>
    </xf>
    <xf numFmtId="0" fontId="19" fillId="35" borderId="21" xfId="0" applyFont="1" applyFill="1" applyBorder="1" applyAlignment="1">
      <alignment horizontal="center" vertical="center" wrapText="1"/>
    </xf>
    <xf numFmtId="0" fontId="19" fillId="35" borderId="47" xfId="0" applyFont="1" applyFill="1" applyBorder="1" applyAlignment="1">
      <alignment horizontal="center" vertical="center" wrapText="1"/>
    </xf>
    <xf numFmtId="0" fontId="19" fillId="35" borderId="54" xfId="0" applyFont="1" applyFill="1" applyBorder="1" applyAlignment="1">
      <alignment horizontal="center" vertical="center" wrapText="1"/>
    </xf>
    <xf numFmtId="0" fontId="19" fillId="35" borderId="42" xfId="0" applyFont="1" applyFill="1" applyBorder="1" applyAlignment="1">
      <alignment horizontal="left" vertical="center" wrapText="1"/>
    </xf>
    <xf numFmtId="0" fontId="19" fillId="35" borderId="55" xfId="0" applyFont="1" applyFill="1" applyBorder="1" applyAlignment="1">
      <alignment horizontal="left" vertical="center" wrapText="1"/>
    </xf>
    <xf numFmtId="2" fontId="19" fillId="35" borderId="61" xfId="0" applyNumberFormat="1" applyFont="1" applyFill="1" applyBorder="1" applyAlignment="1">
      <alignment horizontal="center" vertical="center" wrapText="1"/>
    </xf>
    <xf numFmtId="2" fontId="19" fillId="35" borderId="62" xfId="0" applyNumberFormat="1" applyFont="1" applyFill="1" applyBorder="1" applyAlignment="1">
      <alignment horizontal="center" vertical="center" wrapText="1"/>
    </xf>
    <xf numFmtId="166" fontId="32" fillId="51" borderId="47" xfId="0" applyNumberFormat="1" applyFont="1" applyFill="1" applyBorder="1" applyAlignment="1">
      <alignment horizontal="center" vertical="center" wrapText="1"/>
    </xf>
    <xf numFmtId="166" fontId="32" fillId="51" borderId="54" xfId="0" applyNumberFormat="1" applyFont="1" applyFill="1" applyBorder="1" applyAlignment="1">
      <alignment horizontal="center" vertical="center" wrapText="1"/>
    </xf>
    <xf numFmtId="2" fontId="19" fillId="51" borderId="46" xfId="0" applyNumberFormat="1" applyFont="1" applyFill="1" applyBorder="1" applyAlignment="1">
      <alignment horizontal="center" vertical="center" wrapText="1"/>
    </xf>
    <xf numFmtId="2" fontId="19" fillId="51" borderId="53" xfId="0" applyNumberFormat="1" applyFont="1" applyFill="1" applyBorder="1" applyAlignment="1">
      <alignment horizontal="center" vertical="center" wrapText="1"/>
    </xf>
    <xf numFmtId="2" fontId="19" fillId="51" borderId="16" xfId="0" applyNumberFormat="1" applyFont="1" applyFill="1" applyBorder="1" applyAlignment="1">
      <alignment horizontal="center" vertical="center" wrapText="1"/>
    </xf>
    <xf numFmtId="2" fontId="19" fillId="51" borderId="21" xfId="0" applyNumberFormat="1" applyFont="1" applyFill="1" applyBorder="1" applyAlignment="1">
      <alignment horizontal="center" vertical="center" wrapText="1"/>
    </xf>
    <xf numFmtId="2" fontId="19" fillId="51" borderId="60" xfId="0" applyNumberFormat="1" applyFont="1" applyFill="1" applyBorder="1" applyAlignment="1">
      <alignment horizontal="center" vertical="center" wrapText="1"/>
    </xf>
    <xf numFmtId="2" fontId="19" fillId="51" borderId="56" xfId="0" applyNumberFormat="1" applyFont="1" applyFill="1" applyBorder="1" applyAlignment="1">
      <alignment horizontal="center" vertical="center" wrapText="1"/>
    </xf>
    <xf numFmtId="2" fontId="19" fillId="51" borderId="42" xfId="0" applyNumberFormat="1" applyFont="1" applyFill="1" applyBorder="1" applyAlignment="1">
      <alignment horizontal="center" vertical="center" wrapText="1"/>
    </xf>
    <xf numFmtId="2" fontId="19" fillId="51" borderId="55" xfId="0" applyNumberFormat="1" applyFont="1" applyFill="1" applyBorder="1" applyAlignment="1">
      <alignment horizontal="center" vertical="center" wrapText="1"/>
    </xf>
    <xf numFmtId="166" fontId="32" fillId="51" borderId="28" xfId="0" applyNumberFormat="1" applyFont="1" applyFill="1" applyBorder="1" applyAlignment="1">
      <alignment horizontal="center" vertical="center" wrapText="1"/>
    </xf>
    <xf numFmtId="166" fontId="32" fillId="51" borderId="22" xfId="0" applyNumberFormat="1" applyFont="1" applyFill="1" applyBorder="1" applyAlignment="1">
      <alignment horizontal="center" vertical="center" wrapText="1"/>
    </xf>
    <xf numFmtId="166" fontId="19" fillId="51" borderId="28" xfId="0" applyNumberFormat="1" applyFont="1" applyFill="1" applyBorder="1" applyAlignment="1">
      <alignment horizontal="center" vertical="center" wrapText="1"/>
    </xf>
    <xf numFmtId="166" fontId="19" fillId="51" borderId="22" xfId="0" applyNumberFormat="1" applyFont="1" applyFill="1" applyBorder="1" applyAlignment="1">
      <alignment horizontal="center" vertical="center" wrapText="1"/>
    </xf>
    <xf numFmtId="0" fontId="19" fillId="51" borderId="46" xfId="0" applyFont="1" applyFill="1" applyBorder="1" applyAlignment="1">
      <alignment horizontal="center" vertical="center" wrapText="1"/>
    </xf>
    <xf numFmtId="0" fontId="19" fillId="51" borderId="53" xfId="0" applyFont="1" applyFill="1" applyBorder="1" applyAlignment="1">
      <alignment horizontal="center" vertical="center" wrapText="1"/>
    </xf>
    <xf numFmtId="0" fontId="19" fillId="51" borderId="16" xfId="0" applyFont="1" applyFill="1" applyBorder="1" applyAlignment="1">
      <alignment horizontal="center" vertical="center" wrapText="1"/>
    </xf>
    <xf numFmtId="0" fontId="19" fillId="51" borderId="21" xfId="0" applyFont="1" applyFill="1" applyBorder="1" applyAlignment="1">
      <alignment horizontal="center" vertical="center" wrapText="1"/>
    </xf>
    <xf numFmtId="0" fontId="19" fillId="35" borderId="60" xfId="0" applyFont="1" applyFill="1" applyBorder="1" applyAlignment="1">
      <alignment horizontal="left" vertical="center" wrapText="1"/>
    </xf>
    <xf numFmtId="0" fontId="19" fillId="35" borderId="56" xfId="0" applyFont="1" applyFill="1" applyBorder="1" applyAlignment="1">
      <alignment horizontal="left" vertical="center" wrapText="1"/>
    </xf>
    <xf numFmtId="14" fontId="19" fillId="48" borderId="46" xfId="0" applyNumberFormat="1" applyFont="1" applyFill="1" applyBorder="1" applyAlignment="1">
      <alignment horizontal="center" vertical="center" wrapText="1"/>
    </xf>
    <xf numFmtId="0" fontId="19" fillId="48" borderId="16" xfId="0" applyFont="1" applyFill="1" applyBorder="1" applyAlignment="1">
      <alignment horizontal="center" vertical="center" wrapText="1"/>
    </xf>
    <xf numFmtId="0" fontId="19" fillId="48" borderId="47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29" xfId="0" applyFont="1" applyBorder="1" applyAlignment="1">
      <alignment horizontal="center" vertical="center" wrapText="1"/>
    </xf>
    <xf numFmtId="0" fontId="35" fillId="0" borderId="40" xfId="0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14" fontId="19" fillId="48" borderId="30" xfId="0" applyNumberFormat="1" applyFont="1" applyFill="1" applyBorder="1" applyAlignment="1">
      <alignment horizontal="center" vertical="center" wrapText="1"/>
    </xf>
    <xf numFmtId="14" fontId="19" fillId="48" borderId="31" xfId="0" applyNumberFormat="1" applyFont="1" applyFill="1" applyBorder="1" applyAlignment="1">
      <alignment horizontal="center" vertical="center" wrapText="1"/>
    </xf>
    <xf numFmtId="14" fontId="19" fillId="48" borderId="32" xfId="0" applyNumberFormat="1" applyFont="1" applyFill="1" applyBorder="1" applyAlignment="1">
      <alignment horizontal="center" vertical="center" wrapText="1"/>
    </xf>
    <xf numFmtId="14" fontId="19" fillId="48" borderId="43" xfId="0" applyNumberFormat="1" applyFont="1" applyFill="1" applyBorder="1" applyAlignment="1">
      <alignment horizontal="center" vertical="center" wrapText="1"/>
    </xf>
    <xf numFmtId="14" fontId="19" fillId="48" borderId="44" xfId="0" applyNumberFormat="1" applyFont="1" applyFill="1" applyBorder="1" applyAlignment="1">
      <alignment horizontal="center" vertical="center" wrapText="1"/>
    </xf>
    <xf numFmtId="14" fontId="19" fillId="48" borderId="45" xfId="0" applyNumberFormat="1" applyFont="1" applyFill="1" applyBorder="1" applyAlignment="1">
      <alignment horizontal="center" vertical="center" wrapText="1"/>
    </xf>
    <xf numFmtId="14" fontId="38" fillId="41" borderId="43" xfId="0" applyNumberFormat="1" applyFont="1" applyFill="1" applyBorder="1" applyAlignment="1">
      <alignment horizontal="center" vertical="center" wrapText="1"/>
    </xf>
    <xf numFmtId="14" fontId="38" fillId="41" borderId="44" xfId="0" applyNumberFormat="1" applyFont="1" applyFill="1" applyBorder="1" applyAlignment="1">
      <alignment horizontal="center" vertical="center" wrapText="1"/>
    </xf>
    <xf numFmtId="14" fontId="38" fillId="41" borderId="45" xfId="0" applyNumberFormat="1" applyFont="1" applyFill="1" applyBorder="1" applyAlignment="1">
      <alignment horizontal="center" vertical="center" wrapText="1"/>
    </xf>
    <xf numFmtId="0" fontId="19" fillId="48" borderId="36" xfId="0" applyFont="1" applyFill="1" applyBorder="1" applyAlignment="1">
      <alignment horizontal="center" vertical="center" wrapText="1"/>
    </xf>
    <xf numFmtId="0" fontId="19" fillId="48" borderId="24" xfId="0" applyFont="1" applyFill="1" applyBorder="1" applyAlignment="1">
      <alignment horizontal="center" vertical="center" wrapText="1"/>
    </xf>
    <xf numFmtId="0" fontId="19" fillId="48" borderId="37" xfId="0" applyFont="1" applyFill="1" applyBorder="1" applyAlignment="1">
      <alignment horizontal="center" vertical="center" wrapText="1"/>
    </xf>
    <xf numFmtId="0" fontId="19" fillId="48" borderId="38" xfId="0" applyFont="1" applyFill="1" applyBorder="1" applyAlignment="1">
      <alignment horizontal="center" vertical="center" wrapText="1"/>
    </xf>
    <xf numFmtId="0" fontId="19" fillId="48" borderId="15" xfId="0" applyFont="1" applyFill="1" applyBorder="1" applyAlignment="1">
      <alignment horizontal="center" vertical="center" wrapText="1"/>
    </xf>
    <xf numFmtId="0" fontId="19" fillId="48" borderId="39" xfId="0" applyFont="1" applyFill="1" applyBorder="1" applyAlignment="1">
      <alignment horizontal="center" vertical="center" wrapText="1"/>
    </xf>
    <xf numFmtId="0" fontId="19" fillId="42" borderId="38" xfId="0" applyFont="1" applyFill="1" applyBorder="1" applyAlignment="1">
      <alignment horizontal="center" vertical="center" wrapText="1"/>
    </xf>
    <xf numFmtId="0" fontId="19" fillId="42" borderId="15" xfId="0" applyFont="1" applyFill="1" applyBorder="1" applyAlignment="1">
      <alignment horizontal="center" vertical="center" wrapText="1"/>
    </xf>
    <xf numFmtId="0" fontId="19" fillId="42" borderId="39" xfId="0" applyFont="1" applyFill="1" applyBorder="1" applyAlignment="1">
      <alignment horizontal="center" vertical="center" wrapText="1"/>
    </xf>
    <xf numFmtId="0" fontId="19" fillId="49" borderId="38" xfId="0" applyFont="1" applyFill="1" applyBorder="1" applyAlignment="1">
      <alignment horizontal="center" vertical="center" wrapText="1"/>
    </xf>
    <xf numFmtId="0" fontId="19" fillId="49" borderId="15" xfId="0" applyFont="1" applyFill="1" applyBorder="1" applyAlignment="1">
      <alignment horizontal="center" vertical="center" wrapText="1"/>
    </xf>
    <xf numFmtId="0" fontId="19" fillId="49" borderId="39" xfId="0" applyFont="1" applyFill="1" applyBorder="1" applyAlignment="1">
      <alignment horizontal="center" vertical="center" wrapText="1"/>
    </xf>
    <xf numFmtId="0" fontId="19" fillId="50" borderId="38" xfId="0" applyFont="1" applyFill="1" applyBorder="1" applyAlignment="1">
      <alignment horizontal="center" vertical="center" wrapText="1"/>
    </xf>
    <xf numFmtId="0" fontId="19" fillId="50" borderId="15" xfId="0" applyFont="1" applyFill="1" applyBorder="1" applyAlignment="1">
      <alignment horizontal="center" vertical="center" wrapText="1"/>
    </xf>
    <xf numFmtId="0" fontId="19" fillId="50" borderId="39" xfId="0" applyFont="1" applyFill="1" applyBorder="1" applyAlignment="1">
      <alignment horizontal="center" vertical="center" wrapText="1"/>
    </xf>
    <xf numFmtId="12" fontId="32" fillId="48" borderId="38" xfId="0" applyNumberFormat="1" applyFont="1" applyFill="1" applyBorder="1" applyAlignment="1">
      <alignment horizontal="center" vertical="center" wrapText="1"/>
    </xf>
    <xf numFmtId="12" fontId="32" fillId="48" borderId="15" xfId="0" applyNumberFormat="1" applyFont="1" applyFill="1" applyBorder="1" applyAlignment="1">
      <alignment horizontal="center" vertical="center" wrapText="1"/>
    </xf>
    <xf numFmtId="12" fontId="32" fillId="48" borderId="39" xfId="0" applyNumberFormat="1" applyFont="1" applyFill="1" applyBorder="1" applyAlignment="1">
      <alignment horizontal="center" vertical="center" wrapText="1"/>
    </xf>
    <xf numFmtId="12" fontId="19" fillId="48" borderId="38" xfId="0" applyNumberFormat="1" applyFont="1" applyFill="1" applyBorder="1" applyAlignment="1">
      <alignment horizontal="center" vertical="center" wrapText="1"/>
    </xf>
    <xf numFmtId="12" fontId="19" fillId="48" borderId="15" xfId="0" applyNumberFormat="1" applyFont="1" applyFill="1" applyBorder="1" applyAlignment="1">
      <alignment horizontal="center" vertical="center" wrapText="1"/>
    </xf>
    <xf numFmtId="12" fontId="19" fillId="48" borderId="39" xfId="0" applyNumberFormat="1" applyFont="1" applyFill="1" applyBorder="1" applyAlignment="1">
      <alignment horizontal="center" vertical="center" wrapText="1"/>
    </xf>
    <xf numFmtId="12" fontId="32" fillId="48" borderId="36" xfId="0" applyNumberFormat="1" applyFont="1" applyFill="1" applyBorder="1" applyAlignment="1">
      <alignment horizontal="center" vertical="center" wrapText="1"/>
    </xf>
    <xf numFmtId="12" fontId="32" fillId="48" borderId="24" xfId="0" applyNumberFormat="1" applyFont="1" applyFill="1" applyBorder="1" applyAlignment="1">
      <alignment horizontal="center" vertical="center" wrapText="1"/>
    </xf>
    <xf numFmtId="12" fontId="32" fillId="48" borderId="37" xfId="0" applyNumberFormat="1" applyFont="1" applyFill="1" applyBorder="1" applyAlignment="1">
      <alignment horizontal="center" vertical="center" wrapText="1"/>
    </xf>
    <xf numFmtId="12" fontId="19" fillId="48" borderId="36" xfId="0" applyNumberFormat="1" applyFont="1" applyFill="1" applyBorder="1" applyAlignment="1">
      <alignment horizontal="center" vertical="center" wrapText="1"/>
    </xf>
    <xf numFmtId="12" fontId="19" fillId="48" borderId="24" xfId="0" applyNumberFormat="1" applyFont="1" applyFill="1" applyBorder="1" applyAlignment="1">
      <alignment horizontal="center" vertical="center" wrapText="1"/>
    </xf>
    <xf numFmtId="12" fontId="19" fillId="48" borderId="37" xfId="0" applyNumberFormat="1" applyFont="1" applyFill="1" applyBorder="1" applyAlignment="1">
      <alignment horizontal="center" vertical="center" wrapText="1"/>
    </xf>
    <xf numFmtId="12" fontId="37" fillId="48" borderId="38" xfId="0" applyNumberFormat="1" applyFont="1" applyFill="1" applyBorder="1" applyAlignment="1">
      <alignment horizontal="center" vertical="center" wrapText="1"/>
    </xf>
    <xf numFmtId="12" fontId="37" fillId="48" borderId="15" xfId="0" applyNumberFormat="1" applyFont="1" applyFill="1" applyBorder="1" applyAlignment="1">
      <alignment horizontal="center" vertical="center" wrapText="1"/>
    </xf>
    <xf numFmtId="12" fontId="37" fillId="48" borderId="39" xfId="0" applyNumberFormat="1" applyFont="1" applyFill="1" applyBorder="1" applyAlignment="1">
      <alignment horizontal="center" vertical="center" wrapText="1"/>
    </xf>
    <xf numFmtId="14" fontId="19" fillId="48" borderId="33" xfId="0" applyNumberFormat="1" applyFont="1" applyFill="1" applyBorder="1" applyAlignment="1">
      <alignment horizontal="center" vertical="center" wrapText="1"/>
    </xf>
    <xf numFmtId="0" fontId="19" fillId="48" borderId="34" xfId="0" applyFont="1" applyFill="1" applyBorder="1" applyAlignment="1">
      <alignment horizontal="center" vertical="center" wrapText="1"/>
    </xf>
    <xf numFmtId="0" fontId="19" fillId="48" borderId="35" xfId="0" applyFont="1" applyFill="1" applyBorder="1" applyAlignment="1">
      <alignment horizontal="center" vertical="center" wrapText="1"/>
    </xf>
    <xf numFmtId="168" fontId="31" fillId="48" borderId="84" xfId="0" applyNumberFormat="1" applyFont="1" applyFill="1" applyBorder="1" applyAlignment="1">
      <alignment horizontal="center" vertical="center" wrapText="1"/>
    </xf>
    <xf numFmtId="168" fontId="31" fillId="48" borderId="41" xfId="0" applyNumberFormat="1" applyFont="1" applyFill="1" applyBorder="1" applyAlignment="1">
      <alignment horizontal="center" vertical="center" wrapText="1"/>
    </xf>
    <xf numFmtId="0" fontId="31" fillId="48" borderId="82" xfId="0" applyFont="1" applyFill="1" applyBorder="1" applyAlignment="1">
      <alignment horizontal="center" vertical="center" wrapText="1"/>
    </xf>
    <xf numFmtId="0" fontId="31" fillId="48" borderId="83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2" fillId="0" borderId="16" xfId="0" applyFont="1" applyBorder="1" applyAlignment="1">
      <alignment horizontal="center" vertical="center" wrapText="1"/>
    </xf>
    <xf numFmtId="0" fontId="42" fillId="0" borderId="2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43" fillId="0" borderId="28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center" vertical="center" wrapText="1"/>
    </xf>
    <xf numFmtId="0" fontId="19" fillId="48" borderId="43" xfId="0" applyFont="1" applyFill="1" applyBorder="1" applyAlignment="1">
      <alignment horizontal="center" vertical="center" wrapText="1"/>
    </xf>
    <xf numFmtId="0" fontId="19" fillId="48" borderId="44" xfId="0" applyFont="1" applyFill="1" applyBorder="1" applyAlignment="1">
      <alignment horizontal="center" vertical="center" wrapText="1"/>
    </xf>
    <xf numFmtId="0" fontId="19" fillId="48" borderId="45" xfId="0" applyFont="1" applyFill="1" applyBorder="1" applyAlignment="1">
      <alignment horizontal="center" vertical="center" wrapText="1"/>
    </xf>
    <xf numFmtId="0" fontId="19" fillId="52" borderId="43" xfId="0" applyFont="1" applyFill="1" applyBorder="1" applyAlignment="1">
      <alignment horizontal="center" vertical="center" wrapText="1"/>
    </xf>
    <xf numFmtId="0" fontId="19" fillId="52" borderId="44" xfId="0" applyFont="1" applyFill="1" applyBorder="1" applyAlignment="1">
      <alignment horizontal="center" vertical="center" wrapText="1"/>
    </xf>
    <xf numFmtId="0" fontId="19" fillId="52" borderId="45" xfId="0" applyFont="1" applyFill="1" applyBorder="1" applyAlignment="1">
      <alignment horizontal="center" vertical="center" wrapText="1"/>
    </xf>
    <xf numFmtId="14" fontId="19" fillId="48" borderId="38" xfId="0" applyNumberFormat="1" applyFont="1" applyFill="1" applyBorder="1" applyAlignment="1">
      <alignment horizontal="center" vertical="center" wrapText="1"/>
    </xf>
    <xf numFmtId="49" fontId="19" fillId="48" borderId="36" xfId="0" applyNumberFormat="1" applyFont="1" applyFill="1" applyBorder="1" applyAlignment="1">
      <alignment horizontal="center" vertical="center" wrapText="1"/>
    </xf>
    <xf numFmtId="49" fontId="19" fillId="48" borderId="24" xfId="0" applyNumberFormat="1" applyFont="1" applyFill="1" applyBorder="1" applyAlignment="1">
      <alignment horizontal="center" vertical="center" wrapText="1"/>
    </xf>
    <xf numFmtId="49" fontId="19" fillId="48" borderId="37" xfId="0" applyNumberFormat="1" applyFont="1" applyFill="1" applyBorder="1" applyAlignment="1">
      <alignment horizontal="center" vertical="center" wrapText="1"/>
    </xf>
    <xf numFmtId="49" fontId="19" fillId="52" borderId="36" xfId="0" applyNumberFormat="1" applyFont="1" applyFill="1" applyBorder="1" applyAlignment="1">
      <alignment horizontal="center" vertical="center" wrapText="1"/>
    </xf>
    <xf numFmtId="49" fontId="19" fillId="52" borderId="24" xfId="0" applyNumberFormat="1" applyFont="1" applyFill="1" applyBorder="1" applyAlignment="1">
      <alignment horizontal="center" vertical="center" wrapText="1"/>
    </xf>
    <xf numFmtId="49" fontId="19" fillId="52" borderId="37" xfId="0" applyNumberFormat="1" applyFont="1" applyFill="1" applyBorder="1" applyAlignment="1">
      <alignment horizontal="center" vertical="center" wrapText="1"/>
    </xf>
    <xf numFmtId="0" fontId="19" fillId="48" borderId="70" xfId="0" applyFont="1" applyFill="1" applyBorder="1" applyAlignment="1">
      <alignment horizontal="center" vertical="center" wrapText="1"/>
    </xf>
    <xf numFmtId="0" fontId="19" fillId="48" borderId="71" xfId="0" applyFont="1" applyFill="1" applyBorder="1" applyAlignment="1">
      <alignment horizontal="center" vertical="center" wrapText="1"/>
    </xf>
    <xf numFmtId="0" fontId="19" fillId="48" borderId="75" xfId="0" applyFont="1" applyFill="1" applyBorder="1" applyAlignment="1">
      <alignment horizontal="center" vertical="center" wrapText="1"/>
    </xf>
    <xf numFmtId="0" fontId="19" fillId="48" borderId="31" xfId="0" applyFont="1" applyFill="1" applyBorder="1" applyAlignment="1">
      <alignment horizontal="center" vertical="center" wrapText="1"/>
    </xf>
    <xf numFmtId="0" fontId="19" fillId="48" borderId="32" xfId="0" applyFont="1" applyFill="1" applyBorder="1" applyAlignment="1">
      <alignment horizontal="center" vertical="center" wrapText="1"/>
    </xf>
    <xf numFmtId="166" fontId="19" fillId="35" borderId="25" xfId="0" applyNumberFormat="1" applyFont="1" applyFill="1" applyBorder="1" applyAlignment="1">
      <alignment horizontal="center" vertical="center" wrapText="1"/>
    </xf>
    <xf numFmtId="14" fontId="19" fillId="0" borderId="16" xfId="0" applyNumberFormat="1" applyFont="1" applyBorder="1" applyAlignment="1">
      <alignment horizontal="center" vertical="center" wrapText="1"/>
    </xf>
    <xf numFmtId="14" fontId="19" fillId="0" borderId="19" xfId="0" applyNumberFormat="1" applyFont="1" applyBorder="1" applyAlignment="1">
      <alignment horizontal="center" vertical="center" wrapText="1"/>
    </xf>
    <xf numFmtId="14" fontId="19" fillId="0" borderId="21" xfId="0" applyNumberFormat="1" applyFont="1" applyBorder="1" applyAlignment="1">
      <alignment horizontal="center" vertical="center" wrapText="1"/>
    </xf>
    <xf numFmtId="49" fontId="19" fillId="0" borderId="16" xfId="0" applyNumberFormat="1" applyFont="1" applyBorder="1" applyAlignment="1">
      <alignment horizontal="center" vertical="center" wrapText="1"/>
    </xf>
    <xf numFmtId="49" fontId="19" fillId="0" borderId="19" xfId="0" applyNumberFormat="1" applyFont="1" applyBorder="1" applyAlignment="1">
      <alignment horizontal="center" vertical="center" wrapText="1"/>
    </xf>
    <xf numFmtId="49" fontId="19" fillId="0" borderId="21" xfId="0" applyNumberFormat="1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31" fillId="48" borderId="51" xfId="0" applyFont="1" applyFill="1" applyBorder="1" applyAlignment="1">
      <alignment horizontal="center" vertical="center"/>
    </xf>
    <xf numFmtId="0" fontId="31" fillId="48" borderId="85" xfId="0" applyFont="1" applyFill="1" applyBorder="1" applyAlignment="1">
      <alignment horizontal="center" vertical="center"/>
    </xf>
    <xf numFmtId="0" fontId="31" fillId="48" borderId="69" xfId="0" applyFont="1" applyFill="1" applyBorder="1" applyAlignment="1">
      <alignment horizontal="center" vertical="center"/>
    </xf>
    <xf numFmtId="0" fontId="42" fillId="0" borderId="46" xfId="0" applyFont="1" applyBorder="1" applyAlignment="1">
      <alignment horizontal="center" vertical="center" wrapText="1"/>
    </xf>
    <xf numFmtId="0" fontId="42" fillId="0" borderId="87" xfId="0" applyFont="1" applyBorder="1" applyAlignment="1">
      <alignment horizontal="center" vertical="center" wrapText="1"/>
    </xf>
    <xf numFmtId="0" fontId="42" fillId="0" borderId="53" xfId="0" applyFont="1" applyBorder="1" applyAlignment="1">
      <alignment horizontal="center" vertical="center" wrapText="1"/>
    </xf>
    <xf numFmtId="0" fontId="42" fillId="0" borderId="19" xfId="0" applyFont="1" applyBorder="1" applyAlignment="1">
      <alignment horizontal="center" vertical="center" wrapText="1"/>
    </xf>
    <xf numFmtId="0" fontId="42" fillId="0" borderId="16" xfId="0" applyFont="1" applyBorder="1" applyAlignment="1">
      <alignment horizontal="left" vertical="center" wrapText="1"/>
    </xf>
    <xf numFmtId="0" fontId="42" fillId="0" borderId="19" xfId="0" applyFont="1" applyBorder="1" applyAlignment="1">
      <alignment horizontal="left" vertical="center" wrapText="1"/>
    </xf>
    <xf numFmtId="0" fontId="42" fillId="0" borderId="21" xfId="0" applyFont="1" applyBorder="1" applyAlignment="1">
      <alignment horizontal="left" vertical="center" wrapText="1"/>
    </xf>
    <xf numFmtId="0" fontId="49" fillId="0" borderId="47" xfId="0" applyFont="1" applyBorder="1" applyAlignment="1">
      <alignment horizontal="left" vertical="center" wrapText="1"/>
    </xf>
    <xf numFmtId="0" fontId="49" fillId="0" borderId="88" xfId="0" applyFont="1" applyBorder="1" applyAlignment="1">
      <alignment horizontal="left" vertical="center" wrapText="1"/>
    </xf>
    <xf numFmtId="0" fontId="49" fillId="0" borderId="54" xfId="0" applyFont="1" applyBorder="1" applyAlignment="1">
      <alignment horizontal="left" vertical="center" wrapText="1"/>
    </xf>
    <xf numFmtId="2" fontId="19" fillId="35" borderId="87" xfId="0" applyNumberFormat="1" applyFont="1" applyFill="1" applyBorder="1" applyAlignment="1">
      <alignment horizontal="center" vertical="center" wrapText="1"/>
    </xf>
    <xf numFmtId="2" fontId="19" fillId="35" borderId="19" xfId="0" applyNumberFormat="1" applyFont="1" applyFill="1" applyBorder="1" applyAlignment="1">
      <alignment horizontal="center" vertical="center" wrapText="1"/>
    </xf>
    <xf numFmtId="166" fontId="19" fillId="35" borderId="19" xfId="0" applyNumberFormat="1" applyFont="1" applyFill="1" applyBorder="1" applyAlignment="1">
      <alignment horizontal="center" vertical="center" wrapText="1"/>
    </xf>
    <xf numFmtId="14" fontId="19" fillId="0" borderId="47" xfId="0" applyNumberFormat="1" applyFont="1" applyBorder="1" applyAlignment="1">
      <alignment horizontal="center" vertical="center" wrapText="1"/>
    </xf>
    <xf numFmtId="14" fontId="19" fillId="0" borderId="88" xfId="0" applyNumberFormat="1" applyFont="1" applyBorder="1" applyAlignment="1">
      <alignment horizontal="center" vertical="center" wrapText="1"/>
    </xf>
    <xf numFmtId="14" fontId="19" fillId="0" borderId="54" xfId="0" applyNumberFormat="1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39" fillId="48" borderId="82" xfId="0" applyFont="1" applyFill="1" applyBorder="1" applyAlignment="1">
      <alignment horizontal="center" vertical="center" wrapText="1"/>
    </xf>
    <xf numFmtId="0" fontId="39" fillId="48" borderId="84" xfId="0" applyFont="1" applyFill="1" applyBorder="1" applyAlignment="1">
      <alignment horizontal="center" vertical="center" wrapText="1"/>
    </xf>
    <xf numFmtId="0" fontId="39" fillId="48" borderId="73" xfId="0" applyFont="1" applyFill="1" applyBorder="1" applyAlignment="1">
      <alignment horizontal="center" vertical="center" wrapText="1"/>
    </xf>
    <xf numFmtId="0" fontId="39" fillId="48" borderId="79" xfId="0" applyFont="1" applyFill="1" applyBorder="1" applyAlignment="1">
      <alignment horizontal="center" vertical="center" wrapText="1"/>
    </xf>
    <xf numFmtId="0" fontId="40" fillId="48" borderId="83" xfId="0" applyFont="1" applyFill="1" applyBorder="1" applyAlignment="1">
      <alignment horizontal="center" vertical="center" wrapText="1"/>
    </xf>
    <xf numFmtId="0" fontId="40" fillId="48" borderId="41" xfId="0" applyFont="1" applyFill="1" applyBorder="1" applyAlignment="1">
      <alignment horizontal="center" vertical="center" wrapText="1"/>
    </xf>
    <xf numFmtId="0" fontId="32" fillId="0" borderId="17" xfId="0" applyFont="1" applyBorder="1" applyAlignment="1">
      <alignment horizontal="center"/>
    </xf>
    <xf numFmtId="0" fontId="32" fillId="0" borderId="20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19" fillId="39" borderId="28" xfId="0" applyFont="1" applyFill="1" applyBorder="1" applyAlignment="1">
      <alignment horizontal="center" vertical="center"/>
    </xf>
    <xf numFmtId="0" fontId="19" fillId="39" borderId="22" xfId="0" applyFont="1" applyFill="1" applyBorder="1" applyAlignment="1">
      <alignment horizontal="center" vertical="center"/>
    </xf>
    <xf numFmtId="0" fontId="32" fillId="64" borderId="15" xfId="0" applyFont="1" applyFill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/>
    </xf>
    <xf numFmtId="0" fontId="19" fillId="39" borderId="15" xfId="0" applyFont="1" applyFill="1" applyBorder="1" applyAlignment="1">
      <alignment horizontal="center" vertical="center" wrapText="1"/>
    </xf>
    <xf numFmtId="0" fontId="32" fillId="41" borderId="15" xfId="0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/>
    </xf>
    <xf numFmtId="0" fontId="32" fillId="0" borderId="17" xfId="0" applyFont="1" applyBorder="1" applyAlignment="1">
      <alignment horizontal="center" vertical="center"/>
    </xf>
    <xf numFmtId="0" fontId="32" fillId="0" borderId="24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40" borderId="17" xfId="0" applyFont="1" applyFill="1" applyBorder="1" applyAlignment="1">
      <alignment horizontal="center"/>
    </xf>
    <xf numFmtId="0" fontId="32" fillId="40" borderId="20" xfId="0" applyFont="1" applyFill="1" applyBorder="1" applyAlignment="1">
      <alignment horizontal="center"/>
    </xf>
    <xf numFmtId="0" fontId="32" fillId="0" borderId="21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32" fillId="0" borderId="22" xfId="0" applyFont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28" fillId="37" borderId="15" xfId="0" applyFont="1" applyFill="1" applyBorder="1" applyAlignment="1">
      <alignment horizontal="center" vertical="center"/>
    </xf>
    <xf numFmtId="0" fontId="32" fillId="41" borderId="16" xfId="0" applyFont="1" applyFill="1" applyBorder="1" applyAlignment="1">
      <alignment horizontal="center" vertical="center"/>
    </xf>
    <xf numFmtId="0" fontId="32" fillId="41" borderId="19" xfId="0" applyFont="1" applyFill="1" applyBorder="1" applyAlignment="1">
      <alignment horizontal="center" vertical="center"/>
    </xf>
    <xf numFmtId="0" fontId="32" fillId="41" borderId="21" xfId="0" applyFont="1" applyFill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28" fillId="37" borderId="16" xfId="0" applyFont="1" applyFill="1" applyBorder="1" applyAlignment="1">
      <alignment horizontal="center" vertical="center"/>
    </xf>
    <xf numFmtId="0" fontId="32" fillId="39" borderId="16" xfId="0" applyFont="1" applyFill="1" applyBorder="1" applyAlignment="1">
      <alignment horizontal="center" vertical="center"/>
    </xf>
    <xf numFmtId="0" fontId="32" fillId="39" borderId="19" xfId="0" applyFont="1" applyFill="1" applyBorder="1" applyAlignment="1">
      <alignment horizontal="center" vertical="center"/>
    </xf>
    <xf numFmtId="0" fontId="32" fillId="39" borderId="21" xfId="0" applyFont="1" applyFill="1" applyBorder="1" applyAlignment="1">
      <alignment horizontal="center" vertical="center"/>
    </xf>
    <xf numFmtId="0" fontId="56" fillId="0" borderId="16" xfId="0" applyFont="1" applyBorder="1" applyAlignment="1">
      <alignment horizontal="center" vertical="center"/>
    </xf>
    <xf numFmtId="0" fontId="56" fillId="0" borderId="19" xfId="0" applyFont="1" applyBorder="1" applyAlignment="1">
      <alignment horizontal="center" vertical="center"/>
    </xf>
    <xf numFmtId="0" fontId="56" fillId="0" borderId="21" xfId="0" applyFont="1" applyBorder="1" applyAlignment="1">
      <alignment horizontal="center" vertical="center"/>
    </xf>
    <xf numFmtId="4" fontId="30" fillId="38" borderId="16" xfId="0" applyNumberFormat="1" applyFont="1" applyFill="1" applyBorder="1" applyAlignment="1">
      <alignment horizontal="center" vertical="center"/>
    </xf>
    <xf numFmtId="4" fontId="30" fillId="38" borderId="21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4" fontId="0" fillId="0" borderId="17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32" fillId="41" borderId="15" xfId="0" applyFont="1" applyFill="1" applyBorder="1" applyAlignment="1">
      <alignment horizontal="center" vertical="center" wrapText="1"/>
    </xf>
    <xf numFmtId="4" fontId="30" fillId="38" borderId="16" xfId="0" applyNumberFormat="1" applyFont="1" applyFill="1" applyBorder="1" applyAlignment="1">
      <alignment horizontal="right" vertical="center"/>
    </xf>
    <xf numFmtId="4" fontId="30" fillId="38" borderId="21" xfId="0" applyNumberFormat="1" applyFont="1" applyFill="1" applyBorder="1" applyAlignment="1">
      <alignment horizontal="right" vertical="center"/>
    </xf>
    <xf numFmtId="0" fontId="32" fillId="0" borderId="27" xfId="0" applyFont="1" applyBorder="1" applyAlignment="1">
      <alignment horizontal="center"/>
    </xf>
    <xf numFmtId="0" fontId="32" fillId="35" borderId="16" xfId="0" quotePrefix="1" applyFont="1" applyFill="1" applyBorder="1" applyAlignment="1">
      <alignment horizontal="center"/>
    </xf>
    <xf numFmtId="0" fontId="32" fillId="35" borderId="21" xfId="0" quotePrefix="1" applyFont="1" applyFill="1" applyBorder="1" applyAlignment="1">
      <alignment horizontal="center"/>
    </xf>
    <xf numFmtId="4" fontId="0" fillId="42" borderId="16" xfId="0" applyNumberFormat="1" applyFill="1" applyBorder="1" applyAlignment="1">
      <alignment horizontal="right"/>
    </xf>
    <xf numFmtId="4" fontId="0" fillId="42" borderId="21" xfId="0" applyNumberFormat="1" applyFill="1" applyBorder="1" applyAlignment="1">
      <alignment horizontal="right"/>
    </xf>
    <xf numFmtId="4" fontId="30" fillId="38" borderId="15" xfId="0" applyNumberFormat="1" applyFont="1" applyFill="1" applyBorder="1" applyAlignment="1">
      <alignment horizontal="right"/>
    </xf>
    <xf numFmtId="0" fontId="32" fillId="65" borderId="17" xfId="0" applyFont="1" applyFill="1" applyBorder="1" applyAlignment="1">
      <alignment horizontal="center" vertical="center"/>
    </xf>
    <xf numFmtId="0" fontId="32" fillId="65" borderId="24" xfId="0" applyFont="1" applyFill="1" applyBorder="1" applyAlignment="1">
      <alignment horizontal="center" vertical="center"/>
    </xf>
    <xf numFmtId="0" fontId="32" fillId="65" borderId="20" xfId="0" applyFont="1" applyFill="1" applyBorder="1" applyAlignment="1">
      <alignment horizontal="center" vertical="center"/>
    </xf>
    <xf numFmtId="0" fontId="32" fillId="66" borderId="17" xfId="0" applyFont="1" applyFill="1" applyBorder="1" applyAlignment="1">
      <alignment horizontal="center"/>
    </xf>
    <xf numFmtId="0" fontId="32" fillId="66" borderId="24" xfId="0" applyFont="1" applyFill="1" applyBorder="1" applyAlignment="1">
      <alignment horizontal="center"/>
    </xf>
    <xf numFmtId="0" fontId="32" fillId="66" borderId="20" xfId="0" applyFont="1" applyFill="1" applyBorder="1" applyAlignment="1">
      <alignment horizontal="center"/>
    </xf>
    <xf numFmtId="0" fontId="19" fillId="54" borderId="15" xfId="0" applyFont="1" applyFill="1" applyBorder="1" applyAlignment="1">
      <alignment horizontal="center"/>
    </xf>
    <xf numFmtId="0" fontId="0" fillId="54" borderId="15" xfId="0" applyFill="1" applyBorder="1" applyAlignment="1">
      <alignment horizontal="center"/>
    </xf>
    <xf numFmtId="165" fontId="0" fillId="54" borderId="16" xfId="0" applyNumberFormat="1" applyFill="1" applyBorder="1" applyAlignment="1">
      <alignment horizontal="center" vertical="center"/>
    </xf>
    <xf numFmtId="165" fontId="0" fillId="54" borderId="19" xfId="0" applyNumberFormat="1" applyFill="1" applyBorder="1" applyAlignment="1">
      <alignment horizontal="center" vertical="center"/>
    </xf>
    <xf numFmtId="165" fontId="0" fillId="54" borderId="21" xfId="0" applyNumberFormat="1" applyFill="1" applyBorder="1" applyAlignment="1">
      <alignment horizontal="center" vertical="center"/>
    </xf>
    <xf numFmtId="0" fontId="58" fillId="53" borderId="15" xfId="0" applyFont="1" applyFill="1" applyBorder="1" applyAlignment="1">
      <alignment horizontal="center"/>
    </xf>
    <xf numFmtId="4" fontId="0" fillId="35" borderId="16" xfId="0" applyNumberFormat="1" applyFill="1" applyBorder="1" applyAlignment="1">
      <alignment horizontal="center" vertical="center"/>
    </xf>
    <xf numFmtId="4" fontId="0" fillId="35" borderId="19" xfId="0" applyNumberFormat="1" applyFill="1" applyBorder="1" applyAlignment="1">
      <alignment horizontal="center" vertical="center"/>
    </xf>
    <xf numFmtId="4" fontId="0" fillId="35" borderId="21" xfId="0" applyNumberFormat="1" applyFill="1" applyBorder="1" applyAlignment="1">
      <alignment horizontal="center" vertical="center"/>
    </xf>
    <xf numFmtId="0" fontId="32" fillId="54" borderId="17" xfId="0" applyFont="1" applyFill="1" applyBorder="1" applyAlignment="1">
      <alignment horizontal="center" vertical="center"/>
    </xf>
    <xf numFmtId="0" fontId="32" fillId="54" borderId="24" xfId="0" applyFont="1" applyFill="1" applyBorder="1" applyAlignment="1">
      <alignment horizontal="center" vertical="center"/>
    </xf>
    <xf numFmtId="0" fontId="32" fillId="54" borderId="20" xfId="0" applyFont="1" applyFill="1" applyBorder="1" applyAlignment="1">
      <alignment horizontal="center" vertical="center"/>
    </xf>
    <xf numFmtId="0" fontId="32" fillId="53" borderId="15" xfId="0" applyFont="1" applyFill="1" applyBorder="1" applyAlignment="1">
      <alignment horizontal="center" vertical="center"/>
    </xf>
    <xf numFmtId="0" fontId="32" fillId="54" borderId="28" xfId="0" applyFont="1" applyFill="1" applyBorder="1" applyAlignment="1">
      <alignment horizontal="center" vertical="center"/>
    </xf>
    <xf numFmtId="0" fontId="32" fillId="54" borderId="89" xfId="0" applyFont="1" applyFill="1" applyBorder="1" applyAlignment="1">
      <alignment horizontal="center" vertical="center"/>
    </xf>
    <xf numFmtId="0" fontId="19" fillId="52" borderId="22" xfId="0" applyFont="1" applyFill="1" applyBorder="1" applyAlignment="1">
      <alignment horizontal="center"/>
    </xf>
    <xf numFmtId="0" fontId="19" fillId="52" borderId="27" xfId="0" applyFont="1" applyFill="1" applyBorder="1" applyAlignment="1">
      <alignment horizontal="center"/>
    </xf>
    <xf numFmtId="0" fontId="19" fillId="52" borderId="15" xfId="0" applyFont="1" applyFill="1" applyBorder="1" applyAlignment="1">
      <alignment horizontal="center" vertical="center"/>
    </xf>
    <xf numFmtId="0" fontId="19" fillId="52" borderId="21" xfId="0" applyFont="1" applyFill="1" applyBorder="1" applyAlignment="1">
      <alignment horizontal="center" vertical="center"/>
    </xf>
    <xf numFmtId="0" fontId="32" fillId="55" borderId="17" xfId="0" applyFont="1" applyFill="1" applyBorder="1" applyAlignment="1">
      <alignment horizontal="center" vertical="center"/>
    </xf>
    <xf numFmtId="0" fontId="32" fillId="55" borderId="24" xfId="0" applyFont="1" applyFill="1" applyBorder="1" applyAlignment="1">
      <alignment horizontal="center" vertical="center"/>
    </xf>
    <xf numFmtId="0" fontId="32" fillId="55" borderId="20" xfId="0" applyFont="1" applyFill="1" applyBorder="1" applyAlignment="1">
      <alignment horizontal="center" vertical="center"/>
    </xf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Milliers" xfId="43" builtinId="3"/>
    <cellStyle name="Neutre" xfId="8" builtinId="28" customBuiltin="1"/>
    <cellStyle name="Normal" xfId="0" builtinId="0" customBuiltin="1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CC99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externalLinks/externalLink1.xml" Type="http://schemas.openxmlformats.org/officeDocument/2006/relationships/externalLink"/><Relationship Id="rId13" Target="externalLinks/externalLink2.xml" Type="http://schemas.openxmlformats.org/officeDocument/2006/relationships/externalLink"/><Relationship Id="rId14" Target="externalLinks/externalLink3.xml" Type="http://schemas.openxmlformats.org/officeDocument/2006/relationships/externalLink"/><Relationship Id="rId15" Target="externalLinks/externalLink4.xml" Type="http://schemas.openxmlformats.org/officeDocument/2006/relationships/externalLink"/><Relationship Id="rId16" Target="externalLinks/externalLink5.xml" Type="http://schemas.openxmlformats.org/officeDocument/2006/relationships/externalLink"/><Relationship Id="rId17" Target="externalLinks/externalLink6.xml" Type="http://schemas.openxmlformats.org/officeDocument/2006/relationships/externalLink"/><Relationship Id="rId18" Target="externalLinks/externalLink7.xml" Type="http://schemas.openxmlformats.org/officeDocument/2006/relationships/externalLink"/><Relationship Id="rId19" Target="externalLinks/externalLink8.xml" Type="http://schemas.openxmlformats.org/officeDocument/2006/relationships/externalLink"/><Relationship Id="rId2" Target="worksheets/sheet2.xml" Type="http://schemas.openxmlformats.org/officeDocument/2006/relationships/worksheet"/><Relationship Id="rId20" Target="pivotCache/pivotCacheDefinition1.xml" Type="http://schemas.openxmlformats.org/officeDocument/2006/relationships/pivotCacheDefinition"/><Relationship Id="rId21" Target="pivotCache/pivotCacheDefinition2.xml" Type="http://schemas.openxmlformats.org/officeDocument/2006/relationships/pivotCacheDefinition"/><Relationship Id="rId22" Target="theme/theme1.xml" Type="http://schemas.openxmlformats.org/officeDocument/2006/relationships/theme"/><Relationship Id="rId23" Target="styles.xml" Type="http://schemas.openxmlformats.org/officeDocument/2006/relationships/styles"/><Relationship Id="rId24" Target="sharedStrings.xml" Type="http://schemas.openxmlformats.org/officeDocument/2006/relationships/sharedStrings"/><Relationship Id="rId25" Target="metadata.xml" Type="http://schemas.openxmlformats.org/officeDocument/2006/relationships/sheetMetadata"/><Relationship Id="rId26" Target="calcChain.xml" Type="http://schemas.openxmlformats.org/officeDocument/2006/relationships/calcChain"/><Relationship Id="rId27" Target="../customXml/item1.xml" Type="http://schemas.openxmlformats.org/officeDocument/2006/relationships/customXml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yes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_rels/chart3.xml.rels><?xml version="1.0" encoding="UTF-8" standalone="yes"?><Relationships xmlns="http://schemas.openxmlformats.org/package/2006/relationships"><Relationship Id="rId1" Target="style3.xml" Type="http://schemas.microsoft.com/office/2011/relationships/chartStyle"/><Relationship Id="rId2" Target="colors3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Depenses par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tcd!$J$2:$J$7</c:f>
              <c:strCache>
                <c:ptCount val="6"/>
                <c:pt idx="0">
                  <c:v>Restauration</c:v>
                </c:pt>
                <c:pt idx="1">
                  <c:v>Acceuil de Loisirs</c:v>
                </c:pt>
                <c:pt idx="2">
                  <c:v>Acceuil périscolaire</c:v>
                </c:pt>
                <c:pt idx="3">
                  <c:v>Etudes surveillés</c:v>
                </c:pt>
                <c:pt idx="4">
                  <c:v>Espace Ados</c:v>
                </c:pt>
                <c:pt idx="5">
                  <c:v>Séjours</c:v>
                </c:pt>
              </c:strCache>
            </c:strRef>
          </c:cat>
          <c:val>
            <c:numRef>
              <c:f>tcd!$K$2:$K$7</c:f>
              <c:numCache>
                <c:formatCode>0.00</c:formatCode>
                <c:ptCount val="6"/>
                <c:pt idx="0">
                  <c:v>1813105.51</c:v>
                </c:pt>
                <c:pt idx="1">
                  <c:v>1596116.1375</c:v>
                </c:pt>
                <c:pt idx="2">
                  <c:v>658856.78250000009</c:v>
                </c:pt>
                <c:pt idx="3">
                  <c:v>58598.14</c:v>
                </c:pt>
                <c:pt idx="4">
                  <c:v>140775.535</c:v>
                </c:pt>
                <c:pt idx="5">
                  <c:v>107127.71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3-4F70-8BB6-7B1193F83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5193471"/>
        <c:axId val="1685208351"/>
      </c:barChart>
      <c:catAx>
        <c:axId val="168519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5208351"/>
        <c:crosses val="autoZero"/>
        <c:auto val="1"/>
        <c:lblAlgn val="ctr"/>
        <c:lblOffset val="100"/>
        <c:noMultiLvlLbl val="0"/>
      </c:catAx>
      <c:valAx>
        <c:axId val="168520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519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/>
              <a:t>Depenses par élements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47-4372-B76C-81D414FA09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47-4372-B76C-81D414FA09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47-4372-B76C-81D414FA09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47-4372-B76C-81D414FA09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347-4372-B76C-81D414FA09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347-4372-B76C-81D414FA094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347-4372-B76C-81D414FA094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347-4372-B76C-81D414FA0942}"/>
              </c:ext>
            </c:extLst>
          </c:dPt>
          <c:cat>
            <c:strRef>
              <c:f>tcd!$M$2:$M$9</c:f>
              <c:strCache>
                <c:ptCount val="8"/>
                <c:pt idx="0">
                  <c:v>Alimentation </c:v>
                </c:pt>
                <c:pt idx="1">
                  <c:v>Fluides</c:v>
                </c:pt>
                <c:pt idx="2">
                  <c:v>Materiel et fournitures</c:v>
                </c:pt>
                <c:pt idx="3">
                  <c:v>Sorties</c:v>
                </c:pt>
                <c:pt idx="4">
                  <c:v>Transport</c:v>
                </c:pt>
                <c:pt idx="5">
                  <c:v>Hebergement</c:v>
                </c:pt>
                <c:pt idx="6">
                  <c:v>Personnel</c:v>
                </c:pt>
                <c:pt idx="7">
                  <c:v>Autres </c:v>
                </c:pt>
              </c:strCache>
            </c:strRef>
          </c:cat>
          <c:val>
            <c:numRef>
              <c:f>tcd!$N$2:$N$9</c:f>
              <c:numCache>
                <c:formatCode>0.00</c:formatCode>
                <c:ptCount val="8"/>
                <c:pt idx="0">
                  <c:v>784524.24999999977</c:v>
                </c:pt>
                <c:pt idx="1">
                  <c:v>160280.875</c:v>
                </c:pt>
                <c:pt idx="2">
                  <c:v>19563.47</c:v>
                </c:pt>
                <c:pt idx="3">
                  <c:v>23735.97</c:v>
                </c:pt>
                <c:pt idx="4">
                  <c:v>63874.240000000005</c:v>
                </c:pt>
                <c:pt idx="5">
                  <c:v>60769.94</c:v>
                </c:pt>
                <c:pt idx="6">
                  <c:v>3256239.4200000009</c:v>
                </c:pt>
                <c:pt idx="7">
                  <c:v>5591.65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4-4CE9-B64A-4178480D5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Cout unitaire par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tcd!$P$2:$P$7</c:f>
              <c:strCache>
                <c:ptCount val="6"/>
                <c:pt idx="0">
                  <c:v>Restauration</c:v>
                </c:pt>
                <c:pt idx="1">
                  <c:v>Acceuil de Loisirs</c:v>
                </c:pt>
                <c:pt idx="2">
                  <c:v>Acceuil périscolaire</c:v>
                </c:pt>
                <c:pt idx="3">
                  <c:v>Etudes surveillés</c:v>
                </c:pt>
                <c:pt idx="4">
                  <c:v>Espace Ados</c:v>
                </c:pt>
                <c:pt idx="5">
                  <c:v>Séjours</c:v>
                </c:pt>
              </c:strCache>
            </c:strRef>
          </c:cat>
          <c:val>
            <c:numRef>
              <c:f>tcd!$Q$2:$Q$7</c:f>
              <c:numCache>
                <c:formatCode>0.00</c:formatCode>
                <c:ptCount val="6"/>
                <c:pt idx="0">
                  <c:v>11.481164577001014</c:v>
                </c:pt>
                <c:pt idx="1">
                  <c:v>5868.0740349264706</c:v>
                </c:pt>
                <c:pt idx="2">
                  <c:v>582.54357427055709</c:v>
                </c:pt>
                <c:pt idx="3">
                  <c:v>353.00084337349398</c:v>
                </c:pt>
                <c:pt idx="4">
                  <c:v>1268.248063063063</c:v>
                </c:pt>
                <c:pt idx="5">
                  <c:v>2021.2775471698114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A-45AF-8143-E84DB3178D9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85215551"/>
        <c:axId val="1685212671"/>
      </c:barChart>
      <c:catAx>
        <c:axId val="1685215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5212671"/>
        <c:crosses val="autoZero"/>
        <c:auto val="1"/>
        <c:lblAlgn val="ctr"/>
        <c:lblOffset val="100"/>
        <c:noMultiLvlLbl val="0"/>
      </c:catAx>
      <c:valAx>
        <c:axId val="16852126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521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548652</xdr:colOff>
      <xdr:row>15</xdr:row>
      <xdr:rowOff>39700</xdr:rowOff>
    </xdr:from>
    <xdr:to>
      <xdr:col>3</xdr:col>
      <xdr:colOff>268471</xdr:colOff>
      <xdr:row>31</xdr:row>
      <xdr:rowOff>100792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B3A0FCC-7572-FC43-F6E9-4055B0AF0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664321</xdr:colOff>
      <xdr:row>15</xdr:row>
      <xdr:rowOff>53979</xdr:rowOff>
    </xdr:from>
    <xdr:to>
      <xdr:col>6</xdr:col>
      <xdr:colOff>1019046</xdr:colOff>
      <xdr:row>31</xdr:row>
      <xdr:rowOff>88793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014C404-1E92-E7E1-FE1B-00373621B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1262670</xdr:colOff>
      <xdr:row>32</xdr:row>
      <xdr:rowOff>120811</xdr:rowOff>
    </xdr:from>
    <xdr:to>
      <xdr:col>4</xdr:col>
      <xdr:colOff>1294657</xdr:colOff>
      <xdr:row>48</xdr:row>
      <xdr:rowOff>136492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B773413-29AB-A694-1C77-AC2C95B6C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finances1/Downloads/Edition_d_un_journal_de_paie_142129.slk" TargetMode="External" Type="http://schemas.openxmlformats.org/officeDocument/2006/relationships/externalLinkPath"/><Relationship Id="rId2" Target="file:///C:/Users/finances1/Downloads/Edition_d_un_journal_de_paie_142129.slk" TargetMode="External" Type="http://schemas.openxmlformats.org/officeDocument/2006/relationships/externalLinkPath"/><Relationship Id="rId3" Target="../../finances1/Downloads/Edition_d_un_journal_de_paie_142129.slk" TargetMode="External" Type="http://schemas.openxmlformats.org/officeDocument/2006/relationships/externalLinkPath"/></Relationships>
</file>

<file path=xl/externalLinks/_rels/externalLink2.xml.rels><?xml version="1.0" encoding="UTF-8" standalone="yes"?><Relationships xmlns="http://schemas.openxmlformats.org/package/2006/relationships"><Relationship Id="rId1" Target="/Users/finances1/AppData/Roaming/Microsoft/Windows/Network%20Shortcuts/Suivi%20consos%20et%20facturations%20ELEC%20sur%20BP2024-2025-2026.xlsx" TargetMode="External" Type="http://schemas.openxmlformats.org/officeDocument/2006/relationships/externalLinkPath"/><Relationship Id="rId2" Target="file:///C:/Users/finances1/AppData/Roaming/Microsoft/Windows/Network%20Shortcuts/Suivi%20consos%20et%20facturations%20ELEC%20sur%20BP2024-2025-2026.xlsx" TargetMode="External" Type="http://schemas.openxmlformats.org/officeDocument/2006/relationships/externalLinkPath"/><Relationship Id="rId3" Target="../../finances1/AppData/Roaming/Microsoft/Windows/Network%20Shortcuts/Suivi%20consos%20et%20facturations%20ELEC%20sur%20BP2024-2025-2026.xlsx" TargetMode="External" Type="http://schemas.openxmlformats.org/officeDocument/2006/relationships/externalLinkPath"/></Relationships>
</file>

<file path=xl/externalLinks/_rels/externalLink3.xml.rels><?xml version="1.0" encoding="UTF-8" standalone="yes"?><Relationships xmlns="http://schemas.openxmlformats.org/package/2006/relationships"><Relationship Id="rId1" Target="/Users/finances1/Downloads/conso%20elec.xlsx" TargetMode="External" Type="http://schemas.openxmlformats.org/officeDocument/2006/relationships/externalLinkPath"/><Relationship Id="rId2" Target="file:///C:/Users/finances1/Downloads/conso%20elec.xlsx" TargetMode="External" Type="http://schemas.openxmlformats.org/officeDocument/2006/relationships/externalLinkPath"/><Relationship Id="rId3" Target="../../finances1/Downloads/conso%20elec.xlsx" TargetMode="External" Type="http://schemas.openxmlformats.org/officeDocument/2006/relationships/externalLinkPath"/></Relationships>
</file>

<file path=xl/externalLinks/_rels/externalLink4.xml.rels><?xml version="1.0" encoding="UTF-8" standalone="yes"?><Relationships xmlns="http://schemas.openxmlformats.org/package/2006/relationships"><Relationship Id="rId1" Target="/Users/finances1/Downloads/Conso%20GAZ.xlsx" TargetMode="External" Type="http://schemas.openxmlformats.org/officeDocument/2006/relationships/externalLinkPath"/><Relationship Id="rId2" Target="file:///C:/Users/finances1/Downloads/Conso%20GAZ.xlsx" TargetMode="External" Type="http://schemas.openxmlformats.org/officeDocument/2006/relationships/externalLinkPath"/><Relationship Id="rId3" Target="../../finances1/Downloads/Conso%20GAZ.xlsx" TargetMode="External" Type="http://schemas.openxmlformats.org/officeDocument/2006/relationships/externalLinkPath"/></Relationships>
</file>

<file path=xl/externalLinks/_rels/externalLink5.xml.rels><?xml version="1.0" encoding="UTF-8" standalone="yes"?><Relationships xmlns="http://schemas.openxmlformats.org/package/2006/relationships"><Relationship Id="rId1" Target="/Users/finances1/Downloads/conso%20EAU.xlsx" TargetMode="External" Type="http://schemas.openxmlformats.org/officeDocument/2006/relationships/externalLinkPath"/><Relationship Id="rId2" Target="file:///C:/Users/finances1/Downloads/conso%20EAU.xlsx" TargetMode="External" Type="http://schemas.openxmlformats.org/officeDocument/2006/relationships/externalLinkPath"/><Relationship Id="rId3" Target="../../finances1/Downloads/conso%20EAU.xlsx" TargetMode="External" Type="http://schemas.openxmlformats.org/officeDocument/2006/relationships/externalLinkPath"/></Relationships>
</file>

<file path=xl/externalLinks/_rels/externalLink6.xml.rels><?xml version="1.0" encoding="UTF-8" standalone="yes"?><Relationships xmlns="http://schemas.openxmlformats.org/package/2006/relationships"><Relationship Id="rId1" Target="depenses%20centre%20de%20loisirs%202025.xlsx" TargetMode="External" Type="http://schemas.openxmlformats.org/officeDocument/2006/relationships/externalLinkPath"/><Relationship Id="rId2" Target="file:///C:/Users/finances1/Downloads/depenses%20centre%20de%20loisirs%202025.xlsx" TargetMode="External" Type="http://schemas.openxmlformats.org/officeDocument/2006/relationships/externalLinkPath"/></Relationships>
</file>

<file path=xl/externalLinks/_rels/externalLink7.xml.rels><?xml version="1.0" encoding="UTF-8" standalone="yes"?><Relationships xmlns="http://schemas.openxmlformats.org/package/2006/relationships"><Relationship Id="rId1" Target="/Users/finances1/Downloads/_ShowList%20(4).xls.xlsm" TargetMode="External" Type="http://schemas.openxmlformats.org/officeDocument/2006/relationships/externalLinkPath"/><Relationship Id="rId2" Target="file:///C:/Users/finances1/Downloads/_ShowList%20(4).xls.xlsm" TargetMode="External" Type="http://schemas.openxmlformats.org/officeDocument/2006/relationships/externalLinkPath"/><Relationship Id="rId3" Target="../../finances1/Downloads/_ShowList%20(4).xls.xlsm" TargetMode="External" Type="http://schemas.openxmlformats.org/officeDocument/2006/relationships/externalLinkPath"/></Relationships>
</file>

<file path=xl/externalLinks/_rels/externalLink8.xml.rels><?xml version="1.0" encoding="UTF-8" standalone="yes"?><Relationships xmlns="http://schemas.openxmlformats.org/package/2006/relationships"><Relationship Id="rId1" Target="/Users/finances1/AppData/Roaming/Microsoft/Windows/Network%20Shortcuts/Suivi%20consos%20et%20facturations%20EAU%20sur%20BP2024-2025-2026.xlsx" TargetMode="External" Type="http://schemas.openxmlformats.org/officeDocument/2006/relationships/externalLinkPath"/><Relationship Id="rId2" Target="file:///C:/Users/finances1/AppData/Roaming/Microsoft/Windows/Network%20Shortcuts/Suivi%20consos%20et%20facturations%20EAU%20sur%20BP2024-2025-2026.xlsx" TargetMode="External" Type="http://schemas.openxmlformats.org/officeDocument/2006/relationships/externalLinkPath"/><Relationship Id="rId3" Target="../../finances1/AppData/Roaming/Microsoft/Windows/Network%20Shortcuts/Suivi%20consos%20et%20facturations%20EAU%20sur%20BP2024-2025-2026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dition_d_un_journal_de_paie_14"/>
    </sheetNames>
    <sheetDataSet>
      <sheetData sheetId="0">
        <row r="7">
          <cell r="B7">
            <v>664758.87</v>
          </cell>
        </row>
        <row r="8">
          <cell r="B8">
            <v>661314.32999999996</v>
          </cell>
        </row>
        <row r="9">
          <cell r="B9">
            <v>268883.59000000003</v>
          </cell>
        </row>
        <row r="10">
          <cell r="B10">
            <v>171094.89</v>
          </cell>
        </row>
        <row r="11">
          <cell r="B11">
            <v>157998.9</v>
          </cell>
        </row>
        <row r="12">
          <cell r="B12">
            <v>435474.22</v>
          </cell>
        </row>
        <row r="13">
          <cell r="B13">
            <v>97360.35</v>
          </cell>
        </row>
        <row r="14">
          <cell r="B14">
            <v>518185.07</v>
          </cell>
        </row>
        <row r="15">
          <cell r="B15">
            <v>58598.14</v>
          </cell>
        </row>
        <row r="16">
          <cell r="B16">
            <v>119794.89</v>
          </cell>
        </row>
        <row r="17">
          <cell r="B17">
            <v>102776.17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tat consos TOTAL sur BP2025 "/>
      <sheetName val="Etats consos TOTAL sur BP 2026"/>
      <sheetName val="Etat consos EDF sur BP 2024"/>
    </sheetNames>
    <sheetDataSet>
      <sheetData sheetId="0">
        <row r="11">
          <cell r="K11">
            <v>3295.15</v>
          </cell>
          <cell r="AA11">
            <v>989.36</v>
          </cell>
          <cell r="AI11">
            <v>694.8</v>
          </cell>
          <cell r="AQ11">
            <v>694.63</v>
          </cell>
          <cell r="AU11">
            <v>834.55</v>
          </cell>
          <cell r="BC11">
            <v>750.18</v>
          </cell>
          <cell r="BK11">
            <v>856.87</v>
          </cell>
          <cell r="BS11">
            <v>1745.05</v>
          </cell>
          <cell r="CI11">
            <v>3275.03</v>
          </cell>
          <cell r="CM11">
            <v>1956.47</v>
          </cell>
          <cell r="DS11">
            <v>3012.55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tat consos TOTAL sur BP2025 "/>
      <sheetName val="Etats consos TOTAL sur BP 2026"/>
      <sheetName val="Etat consos EDF sur BP 2024"/>
    </sheetNames>
    <sheetDataSet>
      <sheetData sheetId="0">
        <row r="11">
          <cell r="K11">
            <v>3295.15</v>
          </cell>
          <cell r="O11">
            <v>1770.92</v>
          </cell>
          <cell r="AA11">
            <v>989.36</v>
          </cell>
          <cell r="AI11">
            <v>694.8</v>
          </cell>
          <cell r="AQ11">
            <v>694.63</v>
          </cell>
          <cell r="AU11">
            <v>834.55</v>
          </cell>
          <cell r="BC11">
            <v>750.18</v>
          </cell>
          <cell r="BK11">
            <v>856.87</v>
          </cell>
          <cell r="BS11">
            <v>1745.05</v>
          </cell>
          <cell r="CI11">
            <v>3275.03</v>
          </cell>
          <cell r="CM11">
            <v>1956.47</v>
          </cell>
          <cell r="CQ11">
            <v>8054.69</v>
          </cell>
        </row>
        <row r="14">
          <cell r="K14">
            <v>2147.6799999999998</v>
          </cell>
          <cell r="O14">
            <v>1384.31</v>
          </cell>
          <cell r="AA14">
            <v>1101.95</v>
          </cell>
          <cell r="AI14">
            <v>756.07</v>
          </cell>
          <cell r="AQ14">
            <v>601.74</v>
          </cell>
          <cell r="BS14">
            <v>1399.69</v>
          </cell>
          <cell r="CI14">
            <v>1836.2</v>
          </cell>
          <cell r="CM14">
            <v>986.99</v>
          </cell>
        </row>
        <row r="17">
          <cell r="K17">
            <v>3440.84</v>
          </cell>
          <cell r="O17">
            <v>1726.13</v>
          </cell>
          <cell r="AA17">
            <v>1049.46</v>
          </cell>
          <cell r="AI17">
            <v>854.57</v>
          </cell>
          <cell r="AQ17">
            <v>784.92</v>
          </cell>
          <cell r="AU17">
            <v>1381.87</v>
          </cell>
          <cell r="BC17">
            <v>791.34</v>
          </cell>
          <cell r="BK17">
            <v>926.54</v>
          </cell>
          <cell r="BS17">
            <v>1623.26</v>
          </cell>
          <cell r="CI17">
            <v>3702.78</v>
          </cell>
          <cell r="CM17">
            <v>2371.4499999999998</v>
          </cell>
          <cell r="DS17">
            <v>3184.79</v>
          </cell>
        </row>
        <row r="18">
          <cell r="K18"/>
          <cell r="O18"/>
          <cell r="AA18"/>
          <cell r="AI18"/>
          <cell r="AQ18"/>
          <cell r="AU18"/>
          <cell r="BC18"/>
          <cell r="BK18"/>
          <cell r="BS18"/>
          <cell r="CI18"/>
          <cell r="CM18"/>
          <cell r="DS18"/>
        </row>
        <row r="22">
          <cell r="K22">
            <v>1198.3399999999999</v>
          </cell>
          <cell r="O22">
            <v>880.84</v>
          </cell>
          <cell r="AA22">
            <v>740.26</v>
          </cell>
          <cell r="AI22">
            <v>574.98</v>
          </cell>
          <cell r="AQ22">
            <v>496.99</v>
          </cell>
          <cell r="AU22">
            <v>627.79</v>
          </cell>
          <cell r="BC22">
            <v>608.69000000000005</v>
          </cell>
          <cell r="BK22">
            <v>625.01</v>
          </cell>
          <cell r="BS22">
            <v>961.25</v>
          </cell>
          <cell r="CI22">
            <v>1086.95</v>
          </cell>
          <cell r="CM22">
            <v>831.87</v>
          </cell>
          <cell r="CQ22">
            <v>1918.82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tat consos GAZ 2024-2025"/>
      <sheetName val="Etats consos GAZ 2026"/>
      <sheetName val="Etat consos GAZ 2023"/>
    </sheetNames>
    <sheetDataSet>
      <sheetData sheetId="0">
        <row r="12">
          <cell r="HN12">
            <v>16697</v>
          </cell>
        </row>
        <row r="15">
          <cell r="HN15">
            <v>16055</v>
          </cell>
        </row>
        <row r="19">
          <cell r="HN19">
            <v>16318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s eau 2026"/>
      <sheetName val="Consos eau 2025"/>
      <sheetName val="Consos eau 2024"/>
    </sheetNames>
    <sheetDataSet>
      <sheetData sheetId="0">
        <row r="11">
          <cell r="I11">
            <v>1418.78</v>
          </cell>
        </row>
        <row r="15">
          <cell r="I15">
            <v>1709.62</v>
          </cell>
        </row>
        <row r="17">
          <cell r="I17">
            <v>1636.07</v>
          </cell>
        </row>
      </sheetData>
      <sheetData sheetId="1">
        <row r="11">
          <cell r="S11">
            <v>5530.99</v>
          </cell>
        </row>
        <row r="15">
          <cell r="I15">
            <v>879.26</v>
          </cell>
          <cell r="S15">
            <v>4483.21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1"/>
    </sheetNames>
    <sheetDataSet>
      <sheetData sheetId="0">
        <row r="10">
          <cell r="N10">
            <v>482</v>
          </cell>
        </row>
        <row r="11">
          <cell r="N11">
            <v>924</v>
          </cell>
        </row>
        <row r="12">
          <cell r="N12">
            <v>149.68</v>
          </cell>
        </row>
        <row r="13">
          <cell r="N13">
            <v>127.34</v>
          </cell>
        </row>
        <row r="14">
          <cell r="N14">
            <v>99.99</v>
          </cell>
        </row>
        <row r="15">
          <cell r="N15">
            <v>29.64</v>
          </cell>
        </row>
        <row r="16">
          <cell r="N16">
            <v>198.79</v>
          </cell>
        </row>
        <row r="17">
          <cell r="N17">
            <v>28.93</v>
          </cell>
        </row>
        <row r="18">
          <cell r="N18">
            <v>27.81</v>
          </cell>
        </row>
        <row r="19">
          <cell r="N19">
            <v>29.08</v>
          </cell>
        </row>
        <row r="20">
          <cell r="N20">
            <v>885.35</v>
          </cell>
        </row>
        <row r="21">
          <cell r="N21">
            <v>30</v>
          </cell>
        </row>
        <row r="22">
          <cell r="N22">
            <v>99.39</v>
          </cell>
        </row>
        <row r="23">
          <cell r="N23">
            <v>150</v>
          </cell>
        </row>
        <row r="24">
          <cell r="N24">
            <v>72.56</v>
          </cell>
        </row>
        <row r="25">
          <cell r="N25">
            <v>198.89</v>
          </cell>
        </row>
        <row r="26">
          <cell r="N26">
            <v>150.38999999999999</v>
          </cell>
        </row>
        <row r="27">
          <cell r="N27">
            <v>502</v>
          </cell>
        </row>
        <row r="28">
          <cell r="N28">
            <v>117.29</v>
          </cell>
        </row>
        <row r="29">
          <cell r="N29">
            <v>83.74</v>
          </cell>
        </row>
        <row r="30">
          <cell r="N30">
            <v>695</v>
          </cell>
        </row>
        <row r="31">
          <cell r="N31">
            <v>81.2</v>
          </cell>
        </row>
        <row r="32">
          <cell r="N32">
            <v>291.5</v>
          </cell>
        </row>
        <row r="33">
          <cell r="N33">
            <v>1021.18</v>
          </cell>
        </row>
        <row r="34">
          <cell r="N34">
            <v>379</v>
          </cell>
        </row>
        <row r="35">
          <cell r="N35">
            <v>183.61</v>
          </cell>
        </row>
        <row r="36">
          <cell r="N36">
            <v>109.7</v>
          </cell>
        </row>
        <row r="37">
          <cell r="N37">
            <v>440</v>
          </cell>
        </row>
        <row r="38">
          <cell r="N38">
            <v>69.599999999999994</v>
          </cell>
        </row>
        <row r="39">
          <cell r="N39">
            <v>29.74</v>
          </cell>
        </row>
        <row r="40">
          <cell r="N40">
            <v>29.41</v>
          </cell>
        </row>
        <row r="41">
          <cell r="N41">
            <v>135.15</v>
          </cell>
        </row>
        <row r="42">
          <cell r="N42">
            <v>400</v>
          </cell>
        </row>
        <row r="43">
          <cell r="N43">
            <v>120</v>
          </cell>
        </row>
        <row r="44">
          <cell r="N44">
            <v>3236.51</v>
          </cell>
        </row>
        <row r="46">
          <cell r="N46">
            <v>19.03</v>
          </cell>
        </row>
        <row r="47">
          <cell r="N47">
            <v>62.15</v>
          </cell>
        </row>
        <row r="48">
          <cell r="N48">
            <v>160.15</v>
          </cell>
        </row>
        <row r="49">
          <cell r="N49">
            <v>142.38999999999999</v>
          </cell>
        </row>
        <row r="50">
          <cell r="N50">
            <v>203.64</v>
          </cell>
        </row>
        <row r="51">
          <cell r="N51">
            <v>194.4</v>
          </cell>
        </row>
        <row r="52">
          <cell r="N52">
            <v>149.35</v>
          </cell>
        </row>
        <row r="53">
          <cell r="N53">
            <v>150</v>
          </cell>
        </row>
        <row r="54">
          <cell r="N54">
            <v>99.88</v>
          </cell>
        </row>
        <row r="55">
          <cell r="N55">
            <v>310.63</v>
          </cell>
        </row>
        <row r="56">
          <cell r="N56">
            <v>284.75</v>
          </cell>
        </row>
        <row r="57">
          <cell r="N57">
            <v>29.86</v>
          </cell>
        </row>
        <row r="58">
          <cell r="N58">
            <v>29.93</v>
          </cell>
        </row>
        <row r="59">
          <cell r="N59">
            <v>29.8</v>
          </cell>
        </row>
        <row r="60">
          <cell r="N60">
            <v>149.82</v>
          </cell>
        </row>
        <row r="61">
          <cell r="N61">
            <v>252</v>
          </cell>
        </row>
        <row r="62">
          <cell r="N62">
            <v>1274.3699999999999</v>
          </cell>
        </row>
        <row r="63">
          <cell r="N63">
            <v>132</v>
          </cell>
        </row>
        <row r="64">
          <cell r="N64">
            <v>227.66</v>
          </cell>
        </row>
        <row r="65">
          <cell r="N65">
            <v>391</v>
          </cell>
        </row>
        <row r="66">
          <cell r="N66">
            <v>399</v>
          </cell>
        </row>
        <row r="67">
          <cell r="N67">
            <v>555</v>
          </cell>
        </row>
        <row r="68">
          <cell r="N68">
            <v>405</v>
          </cell>
        </row>
        <row r="70">
          <cell r="N70">
            <v>198</v>
          </cell>
        </row>
        <row r="71">
          <cell r="N71">
            <v>99.99</v>
          </cell>
        </row>
        <row r="72">
          <cell r="N72">
            <v>687.64</v>
          </cell>
        </row>
        <row r="73">
          <cell r="N73">
            <v>146.51</v>
          </cell>
        </row>
        <row r="74">
          <cell r="N74">
            <v>28.28</v>
          </cell>
        </row>
        <row r="75">
          <cell r="N75">
            <v>79.41</v>
          </cell>
        </row>
        <row r="76">
          <cell r="N76">
            <v>99.39</v>
          </cell>
        </row>
        <row r="77">
          <cell r="N77">
            <v>29.55</v>
          </cell>
        </row>
        <row r="78">
          <cell r="N78">
            <v>29.67</v>
          </cell>
        </row>
        <row r="79">
          <cell r="N79">
            <v>99.28</v>
          </cell>
        </row>
        <row r="80">
          <cell r="N80">
            <v>29.4</v>
          </cell>
        </row>
        <row r="81">
          <cell r="N81">
            <v>330</v>
          </cell>
        </row>
        <row r="82">
          <cell r="N82">
            <v>29.46</v>
          </cell>
        </row>
        <row r="83">
          <cell r="N83">
            <v>99.24</v>
          </cell>
        </row>
        <row r="84">
          <cell r="N84">
            <v>29.78</v>
          </cell>
        </row>
        <row r="85">
          <cell r="N85">
            <v>29.61</v>
          </cell>
        </row>
        <row r="86">
          <cell r="N86">
            <v>119.5</v>
          </cell>
        </row>
        <row r="87">
          <cell r="N87">
            <v>99.32</v>
          </cell>
        </row>
        <row r="88">
          <cell r="N88">
            <v>149.79</v>
          </cell>
        </row>
        <row r="89">
          <cell r="N89">
            <v>149.65</v>
          </cell>
        </row>
        <row r="90">
          <cell r="N90">
            <v>196.77</v>
          </cell>
        </row>
        <row r="92">
          <cell r="N92">
            <v>149.94</v>
          </cell>
        </row>
        <row r="93">
          <cell r="N93">
            <v>480.13</v>
          </cell>
        </row>
        <row r="94">
          <cell r="N94">
            <v>116.99</v>
          </cell>
        </row>
        <row r="95">
          <cell r="N95">
            <v>379.39</v>
          </cell>
        </row>
        <row r="96">
          <cell r="N96">
            <v>59.24</v>
          </cell>
        </row>
        <row r="97">
          <cell r="N97">
            <v>298.95999999999998</v>
          </cell>
        </row>
        <row r="98">
          <cell r="N98">
            <v>46.4</v>
          </cell>
        </row>
        <row r="99">
          <cell r="N99">
            <v>12.98</v>
          </cell>
        </row>
        <row r="100">
          <cell r="N100">
            <v>190.96</v>
          </cell>
        </row>
        <row r="101">
          <cell r="N101">
            <v>74.19</v>
          </cell>
        </row>
        <row r="102">
          <cell r="N102">
            <v>199.45</v>
          </cell>
        </row>
        <row r="103">
          <cell r="N103">
            <v>33.76</v>
          </cell>
        </row>
        <row r="104">
          <cell r="N104">
            <v>96.95</v>
          </cell>
        </row>
        <row r="105">
          <cell r="N105">
            <v>149.88</v>
          </cell>
        </row>
        <row r="106">
          <cell r="N106">
            <v>136.62</v>
          </cell>
        </row>
        <row r="107">
          <cell r="N107">
            <v>187.77</v>
          </cell>
        </row>
        <row r="108">
          <cell r="N108">
            <v>43.67</v>
          </cell>
        </row>
        <row r="109">
          <cell r="N109">
            <v>17.34</v>
          </cell>
        </row>
        <row r="110">
          <cell r="N110">
            <v>93.57</v>
          </cell>
        </row>
        <row r="112">
          <cell r="N112">
            <v>74.38</v>
          </cell>
        </row>
        <row r="113">
          <cell r="N113">
            <v>79.819999999999993</v>
          </cell>
        </row>
        <row r="114">
          <cell r="N114">
            <v>90</v>
          </cell>
        </row>
        <row r="115">
          <cell r="N115">
            <v>99.67</v>
          </cell>
        </row>
        <row r="116">
          <cell r="N116">
            <v>128.76</v>
          </cell>
        </row>
        <row r="117">
          <cell r="N117">
            <v>298.79000000000002</v>
          </cell>
        </row>
        <row r="118">
          <cell r="N118">
            <v>200</v>
          </cell>
        </row>
        <row r="119">
          <cell r="N119">
            <v>134.41</v>
          </cell>
        </row>
        <row r="120">
          <cell r="N120">
            <v>198.6</v>
          </cell>
        </row>
        <row r="121">
          <cell r="N121">
            <v>570</v>
          </cell>
        </row>
        <row r="122">
          <cell r="N122">
            <v>208</v>
          </cell>
        </row>
        <row r="123">
          <cell r="N123">
            <v>199.5</v>
          </cell>
        </row>
        <row r="124">
          <cell r="N124">
            <v>365.5</v>
          </cell>
        </row>
        <row r="125">
          <cell r="N125">
            <v>159.84</v>
          </cell>
        </row>
        <row r="126">
          <cell r="N126">
            <v>1045.21</v>
          </cell>
        </row>
        <row r="127">
          <cell r="N127">
            <v>129.86000000000001</v>
          </cell>
        </row>
        <row r="128">
          <cell r="N128">
            <v>56.06</v>
          </cell>
        </row>
        <row r="129">
          <cell r="N129">
            <v>853.67</v>
          </cell>
        </row>
        <row r="130">
          <cell r="N130">
            <v>65.62</v>
          </cell>
        </row>
        <row r="131">
          <cell r="N131">
            <v>144.4</v>
          </cell>
        </row>
        <row r="132">
          <cell r="N132">
            <v>508</v>
          </cell>
        </row>
        <row r="133">
          <cell r="N133">
            <v>97</v>
          </cell>
        </row>
        <row r="134">
          <cell r="N134">
            <v>28.6</v>
          </cell>
        </row>
        <row r="135">
          <cell r="N135">
            <v>200.13</v>
          </cell>
        </row>
        <row r="136">
          <cell r="N136">
            <v>29.52</v>
          </cell>
        </row>
        <row r="137">
          <cell r="N137">
            <v>149.25</v>
          </cell>
        </row>
        <row r="138">
          <cell r="N138">
            <v>248.27</v>
          </cell>
        </row>
        <row r="139">
          <cell r="N139">
            <v>29.3</v>
          </cell>
        </row>
        <row r="140">
          <cell r="N140">
            <v>1027.3699999999999</v>
          </cell>
        </row>
        <row r="141">
          <cell r="N141">
            <v>89.6</v>
          </cell>
        </row>
        <row r="142">
          <cell r="N142">
            <v>374</v>
          </cell>
        </row>
        <row r="143">
          <cell r="N143">
            <v>344</v>
          </cell>
        </row>
        <row r="144">
          <cell r="N144">
            <v>169.98</v>
          </cell>
        </row>
        <row r="145">
          <cell r="N145">
            <v>97.73</v>
          </cell>
        </row>
        <row r="146">
          <cell r="N146">
            <v>29.62</v>
          </cell>
        </row>
        <row r="147">
          <cell r="N147">
            <v>21.59</v>
          </cell>
        </row>
        <row r="148">
          <cell r="N148">
            <v>30.32</v>
          </cell>
        </row>
        <row r="149">
          <cell r="N149">
            <v>28.19</v>
          </cell>
        </row>
        <row r="150">
          <cell r="N150">
            <v>29.58</v>
          </cell>
        </row>
        <row r="151">
          <cell r="N151">
            <v>29.24</v>
          </cell>
        </row>
        <row r="152">
          <cell r="N152">
            <v>29.21</v>
          </cell>
        </row>
        <row r="153">
          <cell r="N153">
            <v>154</v>
          </cell>
        </row>
        <row r="154">
          <cell r="N154">
            <v>119.86</v>
          </cell>
        </row>
        <row r="155">
          <cell r="N155">
            <v>28.72</v>
          </cell>
        </row>
        <row r="156">
          <cell r="N156">
            <v>29.1</v>
          </cell>
        </row>
        <row r="157">
          <cell r="N157">
            <v>99.3</v>
          </cell>
        </row>
        <row r="158">
          <cell r="N158">
            <v>99.46</v>
          </cell>
        </row>
        <row r="159">
          <cell r="N159">
            <v>368.4</v>
          </cell>
        </row>
        <row r="160">
          <cell r="N160">
            <v>24.97</v>
          </cell>
        </row>
        <row r="161">
          <cell r="N161">
            <v>1934.41</v>
          </cell>
        </row>
        <row r="162">
          <cell r="N162">
            <v>228</v>
          </cell>
        </row>
        <row r="163">
          <cell r="N163">
            <v>99.96</v>
          </cell>
        </row>
        <row r="164">
          <cell r="N164">
            <v>34.200000000000003</v>
          </cell>
        </row>
        <row r="165">
          <cell r="N165">
            <v>34.200000000000003</v>
          </cell>
        </row>
        <row r="166">
          <cell r="N166">
            <v>200</v>
          </cell>
        </row>
        <row r="167">
          <cell r="N167">
            <v>51.8</v>
          </cell>
        </row>
        <row r="168">
          <cell r="N168">
            <v>627</v>
          </cell>
        </row>
        <row r="169">
          <cell r="N169">
            <v>100</v>
          </cell>
        </row>
        <row r="170">
          <cell r="N170">
            <v>124</v>
          </cell>
        </row>
        <row r="171">
          <cell r="N171">
            <v>115.6</v>
          </cell>
        </row>
        <row r="172">
          <cell r="N172">
            <v>92.76</v>
          </cell>
        </row>
        <row r="173">
          <cell r="N173">
            <v>332</v>
          </cell>
        </row>
        <row r="174">
          <cell r="N174">
            <v>620</v>
          </cell>
        </row>
        <row r="175">
          <cell r="N175">
            <v>62</v>
          </cell>
        </row>
        <row r="177">
          <cell r="N177">
            <v>968</v>
          </cell>
        </row>
        <row r="178">
          <cell r="N178">
            <v>440</v>
          </cell>
        </row>
        <row r="179">
          <cell r="N179">
            <v>418</v>
          </cell>
        </row>
        <row r="180">
          <cell r="N180">
            <v>297.2</v>
          </cell>
        </row>
        <row r="181">
          <cell r="N181">
            <v>135.59</v>
          </cell>
        </row>
        <row r="182">
          <cell r="N182">
            <v>500</v>
          </cell>
        </row>
        <row r="183">
          <cell r="N183">
            <v>667.2</v>
          </cell>
        </row>
        <row r="184">
          <cell r="N184">
            <v>539</v>
          </cell>
        </row>
        <row r="185">
          <cell r="N185">
            <v>336</v>
          </cell>
        </row>
        <row r="186">
          <cell r="N186">
            <v>286</v>
          </cell>
        </row>
        <row r="187">
          <cell r="N187">
            <v>103.54</v>
          </cell>
        </row>
        <row r="188">
          <cell r="N188">
            <v>148.96</v>
          </cell>
        </row>
        <row r="189">
          <cell r="N189">
            <v>550</v>
          </cell>
        </row>
        <row r="190">
          <cell r="N190">
            <v>638</v>
          </cell>
        </row>
        <row r="192">
          <cell r="N192">
            <v>53.8</v>
          </cell>
        </row>
        <row r="193">
          <cell r="N193">
            <v>29.99</v>
          </cell>
        </row>
        <row r="194">
          <cell r="N194">
            <v>77.599999999999994</v>
          </cell>
        </row>
        <row r="195">
          <cell r="N195">
            <v>63.6</v>
          </cell>
        </row>
        <row r="196">
          <cell r="N196">
            <v>2.1</v>
          </cell>
        </row>
        <row r="197">
          <cell r="N197">
            <v>338</v>
          </cell>
        </row>
        <row r="198">
          <cell r="N198">
            <v>111</v>
          </cell>
        </row>
        <row r="199">
          <cell r="N199">
            <v>28.57</v>
          </cell>
        </row>
        <row r="200">
          <cell r="N200">
            <v>28.62</v>
          </cell>
        </row>
        <row r="201">
          <cell r="N201">
            <v>29.98</v>
          </cell>
        </row>
        <row r="202">
          <cell r="N202">
            <v>5775</v>
          </cell>
        </row>
        <row r="203">
          <cell r="N203">
            <v>5694.06</v>
          </cell>
        </row>
        <row r="204">
          <cell r="N204">
            <v>4959.97</v>
          </cell>
        </row>
        <row r="205">
          <cell r="N205">
            <v>1934.41</v>
          </cell>
        </row>
        <row r="206">
          <cell r="N206">
            <v>1934.41</v>
          </cell>
        </row>
        <row r="207">
          <cell r="N207">
            <v>539</v>
          </cell>
        </row>
        <row r="208">
          <cell r="N208">
            <v>506</v>
          </cell>
        </row>
        <row r="209">
          <cell r="N209">
            <v>147.72999999999999</v>
          </cell>
        </row>
        <row r="210">
          <cell r="N210">
            <v>5334.78</v>
          </cell>
        </row>
        <row r="211">
          <cell r="N211">
            <v>35</v>
          </cell>
        </row>
        <row r="212">
          <cell r="N212">
            <v>35</v>
          </cell>
        </row>
        <row r="213">
          <cell r="N213">
            <v>23.76</v>
          </cell>
        </row>
        <row r="214">
          <cell r="N214">
            <v>79.53</v>
          </cell>
        </row>
        <row r="215">
          <cell r="N215">
            <v>29.99</v>
          </cell>
        </row>
        <row r="216">
          <cell r="N216">
            <v>23.83</v>
          </cell>
        </row>
        <row r="217">
          <cell r="N217">
            <v>98.89</v>
          </cell>
        </row>
        <row r="218">
          <cell r="N218">
            <v>160</v>
          </cell>
        </row>
        <row r="219">
          <cell r="N219">
            <v>107</v>
          </cell>
        </row>
        <row r="220">
          <cell r="N220">
            <v>699</v>
          </cell>
        </row>
        <row r="221">
          <cell r="N221">
            <v>405</v>
          </cell>
        </row>
        <row r="222">
          <cell r="N222">
            <v>646</v>
          </cell>
        </row>
        <row r="223">
          <cell r="N223">
            <v>206.62</v>
          </cell>
        </row>
        <row r="224">
          <cell r="N224">
            <v>1078</v>
          </cell>
        </row>
        <row r="225">
          <cell r="N225">
            <v>214.98</v>
          </cell>
        </row>
        <row r="226">
          <cell r="N226">
            <v>400</v>
          </cell>
        </row>
        <row r="227">
          <cell r="N227">
            <v>29.35</v>
          </cell>
        </row>
        <row r="228">
          <cell r="N228">
            <v>29.26</v>
          </cell>
        </row>
        <row r="229">
          <cell r="N229">
            <v>29.31</v>
          </cell>
        </row>
        <row r="230">
          <cell r="N230">
            <v>29.28</v>
          </cell>
        </row>
        <row r="231">
          <cell r="N231">
            <v>29.63</v>
          </cell>
        </row>
        <row r="232">
          <cell r="N232">
            <v>95.64</v>
          </cell>
        </row>
        <row r="233">
          <cell r="N233">
            <v>1590.6</v>
          </cell>
        </row>
        <row r="234">
          <cell r="N234">
            <v>199.97</v>
          </cell>
        </row>
        <row r="237">
          <cell r="N237">
            <v>149.55000000000001</v>
          </cell>
        </row>
        <row r="238">
          <cell r="N238">
            <v>29.88</v>
          </cell>
        </row>
        <row r="239">
          <cell r="N239">
            <v>29.7</v>
          </cell>
        </row>
        <row r="240">
          <cell r="N240">
            <v>29.57</v>
          </cell>
        </row>
        <row r="241">
          <cell r="N241">
            <v>29.74</v>
          </cell>
        </row>
        <row r="242">
          <cell r="N242">
            <v>27.57</v>
          </cell>
        </row>
        <row r="243">
          <cell r="N243">
            <v>194.86</v>
          </cell>
        </row>
        <row r="244">
          <cell r="N244">
            <v>28.79</v>
          </cell>
        </row>
        <row r="245">
          <cell r="N245">
            <v>112.38</v>
          </cell>
        </row>
        <row r="246">
          <cell r="N246">
            <v>297</v>
          </cell>
        </row>
        <row r="247">
          <cell r="N247">
            <v>643.5</v>
          </cell>
        </row>
        <row r="248">
          <cell r="N248">
            <v>49.23</v>
          </cell>
        </row>
        <row r="249">
          <cell r="N249">
            <v>85.08</v>
          </cell>
        </row>
        <row r="250">
          <cell r="N250">
            <v>374</v>
          </cell>
        </row>
        <row r="251">
          <cell r="N251">
            <v>199.8</v>
          </cell>
        </row>
        <row r="252">
          <cell r="N252">
            <v>14.26</v>
          </cell>
        </row>
        <row r="253">
          <cell r="N253">
            <v>99.81</v>
          </cell>
        </row>
        <row r="254">
          <cell r="N254">
            <v>62.29</v>
          </cell>
        </row>
        <row r="255">
          <cell r="N255">
            <v>199.72</v>
          </cell>
        </row>
        <row r="256">
          <cell r="N256">
            <v>641.1</v>
          </cell>
        </row>
        <row r="257">
          <cell r="N257">
            <v>267.89999999999998</v>
          </cell>
        </row>
        <row r="258">
          <cell r="N258">
            <v>342</v>
          </cell>
        </row>
        <row r="259">
          <cell r="N259">
            <v>496.15</v>
          </cell>
        </row>
        <row r="260">
          <cell r="N260">
            <v>29.14</v>
          </cell>
        </row>
        <row r="261">
          <cell r="N261">
            <v>587.52</v>
          </cell>
        </row>
        <row r="262">
          <cell r="N262">
            <v>349.28</v>
          </cell>
        </row>
        <row r="263">
          <cell r="N263">
            <v>348.61</v>
          </cell>
        </row>
        <row r="264">
          <cell r="N264">
            <v>232.85</v>
          </cell>
        </row>
        <row r="265">
          <cell r="N265">
            <v>138.52000000000001</v>
          </cell>
        </row>
        <row r="266">
          <cell r="N266">
            <v>890.15</v>
          </cell>
        </row>
        <row r="267">
          <cell r="N267">
            <v>650</v>
          </cell>
        </row>
        <row r="268">
          <cell r="N268">
            <v>99.31</v>
          </cell>
        </row>
        <row r="269">
          <cell r="N269">
            <v>199.96</v>
          </cell>
        </row>
        <row r="270">
          <cell r="N270">
            <v>48.25</v>
          </cell>
        </row>
        <row r="271">
          <cell r="N271">
            <v>140.08000000000001</v>
          </cell>
        </row>
        <row r="272">
          <cell r="N272">
            <v>248.92</v>
          </cell>
        </row>
        <row r="273">
          <cell r="N273">
            <v>697.18</v>
          </cell>
        </row>
        <row r="274">
          <cell r="N274">
            <v>250.05</v>
          </cell>
        </row>
        <row r="275">
          <cell r="N275">
            <v>300.35000000000002</v>
          </cell>
        </row>
        <row r="276">
          <cell r="N276">
            <v>500.16</v>
          </cell>
        </row>
        <row r="277">
          <cell r="N277">
            <v>462</v>
          </cell>
        </row>
        <row r="278">
          <cell r="N278">
            <v>722.96</v>
          </cell>
        </row>
        <row r="279">
          <cell r="N279">
            <v>522.39</v>
          </cell>
        </row>
        <row r="280">
          <cell r="N280">
            <v>476.5</v>
          </cell>
        </row>
        <row r="281">
          <cell r="N281">
            <v>636.74</v>
          </cell>
        </row>
        <row r="282">
          <cell r="N282">
            <v>160</v>
          </cell>
        </row>
        <row r="283">
          <cell r="N283">
            <v>785</v>
          </cell>
        </row>
        <row r="284">
          <cell r="N284">
            <v>94.7</v>
          </cell>
        </row>
        <row r="285">
          <cell r="N285">
            <v>380</v>
          </cell>
        </row>
        <row r="286">
          <cell r="N286">
            <v>15</v>
          </cell>
        </row>
        <row r="287">
          <cell r="N287">
            <v>60</v>
          </cell>
        </row>
        <row r="288">
          <cell r="N288">
            <v>150</v>
          </cell>
        </row>
        <row r="289">
          <cell r="N289">
            <v>150</v>
          </cell>
        </row>
        <row r="290">
          <cell r="N290">
            <v>100</v>
          </cell>
        </row>
        <row r="291">
          <cell r="N291">
            <v>100</v>
          </cell>
        </row>
        <row r="292">
          <cell r="N292">
            <v>144</v>
          </cell>
        </row>
        <row r="293">
          <cell r="N293">
            <v>139.19999999999999</v>
          </cell>
        </row>
        <row r="294">
          <cell r="N294">
            <v>34.92</v>
          </cell>
        </row>
        <row r="295">
          <cell r="N295">
            <v>30</v>
          </cell>
        </row>
        <row r="296">
          <cell r="N296">
            <v>200</v>
          </cell>
        </row>
        <row r="297">
          <cell r="N297">
            <v>250</v>
          </cell>
        </row>
        <row r="298">
          <cell r="N298">
            <v>100</v>
          </cell>
        </row>
        <row r="299">
          <cell r="N299">
            <v>18.02</v>
          </cell>
        </row>
        <row r="300">
          <cell r="N300">
            <v>100</v>
          </cell>
        </row>
        <row r="301">
          <cell r="N301">
            <v>400</v>
          </cell>
        </row>
        <row r="302">
          <cell r="N302">
            <v>300</v>
          </cell>
        </row>
        <row r="303">
          <cell r="N303">
            <v>370</v>
          </cell>
        </row>
        <row r="304">
          <cell r="N304">
            <v>340</v>
          </cell>
        </row>
        <row r="305">
          <cell r="N305">
            <v>992</v>
          </cell>
        </row>
        <row r="306">
          <cell r="N306">
            <v>30</v>
          </cell>
        </row>
        <row r="307">
          <cell r="N307">
            <v>30</v>
          </cell>
        </row>
        <row r="308">
          <cell r="N308">
            <v>30</v>
          </cell>
        </row>
        <row r="309">
          <cell r="N309">
            <v>30</v>
          </cell>
        </row>
        <row r="310">
          <cell r="N310">
            <v>80</v>
          </cell>
        </row>
        <row r="311">
          <cell r="N311">
            <v>80</v>
          </cell>
        </row>
        <row r="312">
          <cell r="N312">
            <v>100</v>
          </cell>
        </row>
        <row r="313">
          <cell r="N313">
            <v>100</v>
          </cell>
        </row>
        <row r="314">
          <cell r="N314">
            <v>374</v>
          </cell>
        </row>
        <row r="315">
          <cell r="N315">
            <v>374</v>
          </cell>
        </row>
        <row r="316">
          <cell r="N316">
            <v>374</v>
          </cell>
        </row>
        <row r="317">
          <cell r="N317">
            <v>374</v>
          </cell>
        </row>
        <row r="318">
          <cell r="N318">
            <v>695</v>
          </cell>
        </row>
        <row r="319">
          <cell r="N319">
            <v>478.61</v>
          </cell>
        </row>
        <row r="320">
          <cell r="N320">
            <v>400</v>
          </cell>
        </row>
        <row r="321">
          <cell r="N321">
            <v>700</v>
          </cell>
        </row>
        <row r="322">
          <cell r="N322">
            <v>1176</v>
          </cell>
        </row>
        <row r="323">
          <cell r="N323">
            <v>400</v>
          </cell>
        </row>
        <row r="324">
          <cell r="N324">
            <v>840</v>
          </cell>
        </row>
        <row r="325">
          <cell r="N325">
            <v>600</v>
          </cell>
        </row>
        <row r="326">
          <cell r="N326">
            <v>540</v>
          </cell>
        </row>
        <row r="327">
          <cell r="N327">
            <v>150</v>
          </cell>
        </row>
        <row r="328">
          <cell r="N328">
            <v>100</v>
          </cell>
        </row>
        <row r="329">
          <cell r="N329">
            <v>200</v>
          </cell>
        </row>
        <row r="330">
          <cell r="N330">
            <v>643.5</v>
          </cell>
        </row>
        <row r="331">
          <cell r="N331">
            <v>418</v>
          </cell>
        </row>
        <row r="332">
          <cell r="N332">
            <v>479</v>
          </cell>
        </row>
        <row r="333">
          <cell r="N333">
            <v>500</v>
          </cell>
        </row>
        <row r="334">
          <cell r="N334">
            <v>240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uil1"/>
    </sheetNames>
    <sheetDataSet>
      <sheetData sheetId="0">
        <row r="2">
          <cell r="H2">
            <v>29454</v>
          </cell>
        </row>
        <row r="3">
          <cell r="H3">
            <v>14415</v>
          </cell>
        </row>
        <row r="4">
          <cell r="H4">
            <v>8160</v>
          </cell>
        </row>
        <row r="5">
          <cell r="H5">
            <v>9900</v>
          </cell>
        </row>
        <row r="6">
          <cell r="H6">
            <v>59.24</v>
          </cell>
        </row>
        <row r="7">
          <cell r="H7">
            <v>298.95999999999998</v>
          </cell>
        </row>
        <row r="8">
          <cell r="H8">
            <v>129.86000000000001</v>
          </cell>
        </row>
        <row r="9">
          <cell r="H9">
            <v>23.48</v>
          </cell>
        </row>
        <row r="10">
          <cell r="H10">
            <v>53.8</v>
          </cell>
        </row>
        <row r="11">
          <cell r="H11">
            <v>29.99</v>
          </cell>
        </row>
        <row r="12">
          <cell r="H12">
            <v>77.599999999999994</v>
          </cell>
        </row>
        <row r="13">
          <cell r="H13">
            <v>5775</v>
          </cell>
        </row>
        <row r="14">
          <cell r="H14">
            <v>5694.06</v>
          </cell>
        </row>
        <row r="15">
          <cell r="H15">
            <v>4959.97</v>
          </cell>
        </row>
        <row r="16">
          <cell r="H16">
            <v>28.57</v>
          </cell>
        </row>
        <row r="17">
          <cell r="H17">
            <v>28.62</v>
          </cell>
        </row>
        <row r="18">
          <cell r="H18">
            <v>29.98</v>
          </cell>
        </row>
        <row r="19">
          <cell r="H19">
            <v>1934.41</v>
          </cell>
        </row>
        <row r="20">
          <cell r="H20">
            <v>1934.41</v>
          </cell>
        </row>
        <row r="22">
          <cell r="H22">
            <v>29.14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s eau 2026"/>
      <sheetName val="Consos eau 2025"/>
      <sheetName val="Consos eau 2024"/>
    </sheetNames>
    <sheetDataSet>
      <sheetData sheetId="0">
        <row r="20">
          <cell r="I20">
            <v>1244.69</v>
          </cell>
        </row>
      </sheetData>
      <sheetData sheetId="1">
        <row r="20">
          <cell r="S20">
            <v>1294.3399999999999</v>
          </cell>
        </row>
      </sheetData>
      <sheetData sheetId="2"/>
    </sheetDataSet>
  </externalBook>
</externalLink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_rels/pivotCacheDefinition2.xml.rels><?xml version="1.0" encoding="UTF-8" standalone="yes"?><Relationships xmlns="http://schemas.openxmlformats.org/package/2006/relationships"><Relationship Id="rId1" Target="pivotCacheRecords2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s 1" refreshedDate="46105.697331365744" createdVersion="8" refreshedVersion="8" minRefreshableVersion="3" recordCount="87" xr:uid="{95D437BD-FFBF-41F2-90E4-ED5DEB42DF7C}">
  <cacheSource type="worksheet">
    <worksheetSource ref="A1:Y88" sheet="Depenses restau 2025"/>
  </cacheSource>
  <cacheFields count="25">
    <cacheField name="Numéro" numFmtId="0">
      <sharedItems containsSemiMixedTypes="0" containsString="0" containsNumber="1" containsInteger="1" minValue="401932" maxValue="420777" count="87">
        <n v="401932"/>
        <n v="401933"/>
        <n v="401935"/>
        <n v="401936"/>
        <n v="403041"/>
        <n v="403097"/>
        <n v="403098"/>
        <n v="403099"/>
        <n v="403106"/>
        <n v="403203"/>
        <n v="406094"/>
        <n v="406095"/>
        <n v="406096"/>
        <n v="406097"/>
        <n v="406098"/>
        <n v="406099"/>
        <n v="406100"/>
        <n v="407926"/>
        <n v="407927"/>
        <n v="407928"/>
        <n v="407929"/>
        <n v="407944"/>
        <n v="407952"/>
        <n v="407953"/>
        <n v="407925"/>
        <n v="409339"/>
        <n v="409340"/>
        <n v="409341"/>
        <n v="409358"/>
        <n v="409359"/>
        <n v="409360"/>
        <n v="409361"/>
        <n v="409972"/>
        <n v="409973"/>
        <n v="409988"/>
        <n v="411303"/>
        <n v="411309"/>
        <n v="412277"/>
        <n v="412733"/>
        <n v="412756"/>
        <n v="412757"/>
        <n v="412758"/>
        <n v="412760"/>
        <n v="412761"/>
        <n v="412874"/>
        <n v="412875"/>
        <n v="412876"/>
        <n v="412879"/>
        <n v="412880"/>
        <n v="413725"/>
        <n v="414786"/>
        <n v="414787"/>
        <n v="415883"/>
        <n v="415886"/>
        <n v="415887"/>
        <n v="415888"/>
        <n v="415889"/>
        <n v="415890"/>
        <n v="415945"/>
        <n v="415923"/>
        <n v="415924"/>
        <n v="415927"/>
        <n v="415928"/>
        <n v="415929"/>
        <n v="415930"/>
        <n v="415931"/>
        <n v="415932"/>
        <n v="415933"/>
        <n v="415935"/>
        <n v="415936"/>
        <n v="415937"/>
        <n v="415938"/>
        <n v="417907"/>
        <n v="419292"/>
        <n v="419293"/>
        <n v="419294"/>
        <n v="419295"/>
        <n v="419663"/>
        <n v="419685"/>
        <n v="419686"/>
        <n v="419687"/>
        <n v="419688"/>
        <n v="419697"/>
        <n v="419698"/>
        <n v="420775"/>
        <n v="420776"/>
        <n v="420777"/>
      </sharedItems>
    </cacheField>
    <cacheField name="N° bordereau" numFmtId="0">
      <sharedItems containsSemiMixedTypes="0" containsString="0" containsNumber="1" containsInteger="1" minValue="19" maxValue="461" count="26">
        <n v="19"/>
        <n v="25"/>
        <n v="31"/>
        <n v="42"/>
        <n v="69"/>
        <n v="93"/>
        <n v="96"/>
        <n v="97"/>
        <n v="137"/>
        <n v="142"/>
        <n v="166"/>
        <n v="172"/>
        <n v="198"/>
        <n v="201"/>
        <n v="227"/>
        <n v="243"/>
        <n v="246"/>
        <n v="258"/>
        <n v="270"/>
        <n v="304"/>
        <n v="333"/>
        <n v="336"/>
        <n v="363"/>
        <n v="419"/>
        <n v="441"/>
        <n v="461"/>
      </sharedItems>
    </cacheField>
    <cacheField name="N° mandat/titre" numFmtId="0">
      <sharedItems containsSemiMixedTypes="0" containsString="0" containsNumber="1" containsInteger="1" minValue="135" maxValue="3120" count="79">
        <n v="135"/>
        <n v="136"/>
        <n v="137"/>
        <n v="174"/>
        <n v="232"/>
        <n v="233"/>
        <n v="234"/>
        <n v="241"/>
        <n v="285"/>
        <n v="533"/>
        <n v="534"/>
        <n v="535"/>
        <n v="536"/>
        <n v="537"/>
        <n v="538"/>
        <n v="539"/>
        <n v="708"/>
        <n v="709"/>
        <n v="722"/>
        <n v="729"/>
        <n v="730"/>
        <n v="733"/>
        <n v="938"/>
        <n v="939"/>
        <n v="940"/>
        <n v="970"/>
        <n v="971"/>
        <n v="972"/>
        <n v="973"/>
        <n v="1115"/>
        <n v="1116"/>
        <n v="1146"/>
        <n v="1322"/>
        <n v="1332"/>
        <n v="1531"/>
        <n v="1584"/>
        <n v="1591"/>
        <n v="1592"/>
        <n v="1593"/>
        <n v="1664"/>
        <n v="1665"/>
        <n v="1734"/>
        <n v="1900"/>
        <n v="1901"/>
        <n v="2162"/>
        <n v="2163"/>
        <n v="2164"/>
        <n v="2165"/>
        <n v="2166"/>
        <n v="2167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488"/>
        <n v="2834"/>
        <n v="2835"/>
        <n v="2836"/>
        <n v="2837"/>
        <n v="2999"/>
        <n v="3000"/>
        <n v="3001"/>
        <n v="3002"/>
        <n v="3003"/>
        <n v="3004"/>
        <n v="3005"/>
        <n v="3118"/>
        <n v="3119"/>
        <n v="3120"/>
      </sharedItems>
    </cacheField>
    <cacheField name="Libellé" numFmtId="0">
      <sharedItems count="84">
        <s v="FAC. 9100490723 DU 16/01/2025                               RS24011001R - RATT RESTAURATION TOUS SITES NOVEMBRE ET DECEM"/>
        <s v="FAC. 9100490713 DU 16/01/2025                               RS24011001R - RATT RESTAURATION TOUS SITES NOVEMBRE ET DECEM"/>
        <s v="RATTACHE  FAC. 9100488685 DU 07/01/2025                     RS24011001R - RATT RESTAURATION TOUS SITES NOVEMBRE ET DECEM"/>
        <s v="RATTACHE  FAC. 9100488685 DU 07/01/2025                     RS25002801 - RESTAURATION SCOLAIRE 1ER TRIMESTREREPAS POUR L"/>
        <s v="FAC. 9100503210 DU 31/01/2025 Restauration scolaire         Période 01.01.2025 au 31.01.2025                            "/>
        <s v="FAC. 9100503291 DU 31/01/2025                               REPAS LM JANVIER                                            "/>
        <s v="FAC. 9100503218 DU 31/01/2025                               REPAS RC JANVIER                                            "/>
        <s v="FAC. 9100504971 DU 31/01/2025                               REPAS PP JANVIER                                            "/>
        <s v="FAC. 9100509029 DU 17/02/2025                               REPAS CA JANVIER                                            "/>
        <s v="FAC. 9100503227 DU 31/01/2025                               RESTAURATION CRECHE JANVIER                                 "/>
        <s v="FAC. 9100507827 DU 12/02/2025                               RS25004701 - CARTON DE 250 SACS POUR LE RESTAURANT COMMUNAL "/>
        <s v="FAC. 9100516880 DU 28/02/2025                                RESTAURATION DES ENFANTS DE LA CRECHE FEVRIER              "/>
        <s v="FAC. 9100520585 DU 28/02/2025                               RESTAURATION SCOLAIRE 1ER TRIMESTRE ECOLE FEVRIER           "/>
        <s v="FAC. 9100521148 DU 28/02/2025                               RESTAURATION CENTRE DE LOISIRS LOUISE MICHEL FEVRIER        "/>
        <s v="FAC. 9100522762 DU 07/03/2025                               REPAS RESTAURANT COMMUNAL 1ER TRIMESTRE FEVRIER             "/>
        <s v="FAC. 9100522867 DU 10/03/2025                               RESTAURATION CENTRE DE LOISIRS LE PETIT PRINCE FEVRIER      "/>
        <s v="FAC. 9100523011 DU 10/03/2025                               RESTAURATION ESPACE ADOS 1ER TRIMESTRE FEVRIER              "/>
        <s v="FAC. 9100533274 DU 31/03/2025                               RS25002801 - RESTAURATION SCOLAIRE 1ER TRIMESTREREPAS POUR L"/>
        <s v="FAC. 9100533274 DU 31/03/2025                               RS25004801 - COMPLEMENT POUR LA RESTAURATION SCOLAIRE DE MAR"/>
        <s v="FAC. 9100533274 DU 31/03/2025                               RS25004901 - RESTAURATION SCOLAIRE AVRIL 2025REPAS POUR LES "/>
        <s v="FAC. 9100533155 DU 31/03/2025                               RS25003001 - RESTAURATION CENTRE DE LOISIRS LOUISE MICHEL 1E"/>
        <s v="FAC. 9100533335 DU 31/03/2025                               RS25002901 - RESTAURATION CENTRE DE LOISIRS LE PETIT PRINCE "/>
        <s v="FAC. 9100540729 DU 07/04/2025                               RS25003201 - REPAS RESTAURANT COMMUNAL 1ER TRIMESTRE        "/>
        <s v="FAC. 9100540729 DU 07/04/2025                               RS25005201 - REPAS RESTAURANT COMMUNAL AVRIL 2025           "/>
        <s v="FAC. 9100533352 DU 31/03/2025                               ME25000101 - RESTAURATION DES ENFANTS DE LA CRECHE Repas et "/>
        <s v="FAC. 9100551618 DU 30/04/2025                               RS25005201 - REPAS RESTAURANT COMMUNAL AVRIL 2025           "/>
        <s v="FAC. 9100551618 DU 30/04/2025                               RS25006001 - REPAS RESTAURANT COMMUNAL AVRIL 2025 - COMPLEME"/>
        <s v="FAC. 9100551632 DU 30/04/2025                               RS25005001 - RESTAURATION ACCUEIL DE LOISIRS PETIT PRINCE AV"/>
        <s v="FAC. 9100554578 DU 30/04/2025                               RS25005101 - RESTAURATION ACCUEIL DE LOUISE MICHEL AVRIL 202"/>
        <s v="FAC. 9100554523 DU 30/04/2025                               RS25004901 - RESTAURATION SCOLAIRE AVRIL 2025REPAS POUR LES "/>
        <s v="FAC. 9100554523 DU 30/04/2025                               RS25006101 - RESTAURATION SCOLAIRE AVRIL 2025 COMPLEMENTREPA"/>
        <s v="FAC. 9100554533 DU 30/04/2025                               ME25000101 - RESTAURATION DES ENFANTS DE LA CRECHE Repas et "/>
        <s v="FACTURE N°9100479000 DU 23/12/2024                                                                                      "/>
        <s v="FACTURE N°9100478999 DU 23/12/2024                                                                                      "/>
        <s v="FAC. 9100564477 DU 29/05/2025                               ME25000101 - RESTAURATION DES ENFANTS DE LA CRECHE Repas et "/>
        <s v="FAC. 9100571391 DU 31/05/2025                               RS25006301 - REPAS RESTAURANT COMMUNAL MAI 2025             "/>
        <s v="FAC. 9100571388 DU 31/05/2025                               RS25006201 - RESTAURATION SCOLAIRE MAI 2025REPAS POUR LES EC"/>
        <s v="FAC. 9100578104 DU 25/06/2025                               RS25003101 - RESTAURATION ESPACE ADOS 1ER TRIMESTREUNIQUEMEN"/>
        <s v="FAC. 9100571404 DU 31/05/2025                               RS25002901 - RESTAURATION CENTRE DE LOISIRS LE PETIT PRINCE "/>
        <s v="FAC. 9100585443 DU 30/06/2025                               RS25002901 - RESTAURATION CENTRE DE LOISIRS LE PETIT PRINCE "/>
        <s v="FAC. 9100585443 DU 30/06/2025                               RS25007201 - RESTAURATION ACCUEIL DE LOISIRS PETIT PRINCE JU"/>
        <s v="FAC. 9100585395 DU 30/06/2025                               ME25000101 - RESTAURATION DES ENFANTS DE LA CRECHE Repas et "/>
        <s v="FAC. 9100585420 DU 30/06/2025                               RS25003001 - RESTAURATION CENTRE DE LOISIRS LOUISE MICHEL 1E"/>
        <s v="FAC. 9100585420 DU 30/06/2025                               RS25005101 - RESTAURATION ACCUEIL DE LOUISE MICHEL AVRIL 202"/>
        <s v="FAC. 9100571401 DU 31/05/2025                               RS25005101 - RESTAURATION ACCUEIL DE LOUISE MICHEL AVRIL 202"/>
        <s v="FAC. 9100571401 DU 31/05/2025                               RS25007101 - RESTAURATION ACCUEIL DE LOUISE MICHEL JUIN 2025"/>
        <s v="FAC. 9100571401 DU 31/05/2025                               RS25008201 - RESTAURATION ACCUEIL DE LOUISE MICHEL MERCREDIS"/>
        <s v="FAC. 9100585311 DU 30/06/2025                               RS25007301 - REPAS RESTAURANT COMMUNAL JUIN 2025            "/>
        <s v="FAC. 9100585311 DU 30/06/2025                               RS25008401 - REPAS RESTAURANT COMMUNAL JUILLET ET AOUT 2025 "/>
        <s v="FAC. 9100585305 DU 30/06/2025                               RS25007001 - RESTAURATION SCOLAIRE JUIN 2025REPAS POUR LES E"/>
        <s v="FAC. 9100602113 DU 31/07/2025                               RS25008001 - RESTAURATION SCOLAIRE JUILLET 2025REPAS POUR LE"/>
        <s v="FAC. 9100602108 DU 31/07/2025                               ME25000101 - RESTAURATION DES ENFANTS DE LA CRECHE Repas et "/>
        <s v="FAC. 9100608458 DU 27/08/2025                               RS25008401 - REPAS RESTAURANT COMMUNAL JUILLET ET AOUT 2025 "/>
        <s v="FAC. 9100615685 DU 31/08/2025                               ME25000101 - RESTAURATION DES ENFANTS DE LA CRECHE Repas et "/>
        <s v="FAC. 9100616378 DU 04/09/2025                               RS25008101 - RESTAURATION ACCUEIL DE LOISIRS PETIT PRINCE ME"/>
        <s v="FAC. 9100616381 DU 04/09/2025                               RS25008301 - RESTAURATION ESPACE ADOS VACANCES SCOLAIRES JUI"/>
        <s v="FAC. 9100616377 DU 04/09/2025                               RS25008401 - REPAS RESTAURANT COMMUNAL JUILLET ET AOUT 2025 "/>
        <s v="FAC. 9100616379 DU 04/09/2025                               RS25008201 - RESTAURATION ACCUEIL DE LOUISE MICHEL MERCREDIS"/>
        <s v="FAC. 9100617242 DU 09/09/2025                               RS25008101 - RESTAURATION ACCUEIL DE LOISIRS PETIT PRINCE ME"/>
        <s v="FAC. 9100617244 DU 09/09/2025                               RS25008201 - RESTAURATION ACCUEIL DE LOUISE MICHEL MERCREDIS"/>
        <s v="FAC. 9100619450 DU 17/09/2025                               RS25003101 - RESTAURATION ESPACE ADOS 1ER TRIMESTREUNIQUEMEN"/>
        <s v="FAC. 9100619450 DU 17/09/2025                               RS25008301 - RESTAURATION ESPACE ADOS VACANCES SCOLAIRES JUI"/>
        <s v="FAC. 9100619450 DU 17/09/2025                               RS25008901 - RESTAURATION ESPACE ADOS VACANCES SCOLAIRES JUI"/>
        <s v="FAC. 9100629206 DU 30/09/2025                               RS25008201 - RESTAURATION ACCUEIL DE LOUISE MICHEL MERCREDIS"/>
        <s v="FAC. 9100629190 DU 30/09/2025                               RS25006101 - RESTAURATION SCOLAIRE AVRIL 2025 COMPLEMENTREPA"/>
        <s v="FAC. 9100629190 DU 30/09/2025                               RS25006201 - RESTAURATION SCOLAIRE MAI 2025REPAS POUR LES EC"/>
        <s v="FAC. 9100629190 DU 30/09/2025                               RS25007001 - RESTAURATION SCOLAIRE JUIN 2025REPAS POUR LES E"/>
        <s v="FAC. 9100629190 DU 30/09/2025                               RS25008701 - RESTAURATION SCOLAIRE SEPTEMBRE 2025REPAS POUR "/>
        <s v="FAC. 9100629190 DU 30/09/2025                               RS25009501 - COMPLEMENT RESTAURATION SCOLAIRE SEPTEMBRE     "/>
        <s v="FAC. 9100629219 DU 30/09/2025                               RS25008801 - REPAS RESTAURANT COMMUNAL SEPTEMBRE 2025       "/>
        <s v="FAC. 9100629198 DU 30/09/2025                               RS25009801 - RESTAURATION ACCUEIL DE LOISIRS PETIT PRINCE ME"/>
        <s v="FAC. 9100629187 DU 30/09/2025                               ME25000101 - RESTAURATION DES ENFANTS DE LA CRECHE Repas et "/>
        <s v="FAC. 9100650666 DU 31/10/2025                               RS25012401 - RESTAURATION ACCUEIL DE LOUISE MICHEL MERCREDIS"/>
        <s v="FAC. 9100649792 DU 31/10/2025                               RS25009601 - RESTAURATION SCOLAIRE OCTOBRE 2025 - REPAS DES "/>
        <s v="FAC. 9100650670 DU 31/10/2025                               RS25009901 - RESTAURATION ACCUEIL DE LOISIRS PETIT PRINCE ME"/>
        <s v="FAC. 9100649802 DU 31/10/2025                               RS25010101 - RESTAURATION ESPACE ADOS VACANCES SCOLAIRES OCT"/>
        <s v="FAC. 9100649796 DU 31/10/2025                               REPAS RESTAURANT COMMUNAL OCTOBRE 2025                      "/>
        <s v="FAC. 9100662903 DU 30/11/2025                               RESTAURATION ACCUEIL DE LOISIRS PETIT PRINCE NOVEMBRE 25    "/>
        <s v="FAC. 9100662936 DU 30/11/2025                               RESTAURATION ACCUEIL DE LOUISE MICHEL MERCREDIS NOV 25      "/>
        <s v="FAC. 9100662758 DU 30/11/2025                               REPAS RESTAURANT COMMUNAL NOVEMBRE 25                       "/>
        <s v="FAC. 9100662751 DU 30/11/2025                               RESTAU SCOLAIRE NOVEMBRE  2025 - PREVERT SANS BRASSENS CURIE"/>
        <s v="FAC. 9100619650 DU 18/09/2025                               RESTAURATION DES ENFANTS DE LA CRECHE 01.09.25              "/>
        <s v="FAC. 9100649800 DU 31/10/2025                               RESTAURATION DES ENFANTS DE LA CRECHE OCT 25                "/>
        <s v="FAC. 9100662830 DU 30/11/2025                               RESTAURATION DES ENFANTS DE LA CRECHE NOV 25                "/>
      </sharedItems>
    </cacheField>
    <cacheField name="Saisie le" numFmtId="14">
      <sharedItems containsSemiMixedTypes="0" containsNonDate="0" containsDate="1" containsString="0" minDate="2025-02-10T00:00:00" maxDate="2025-12-18T00:00:00"/>
    </cacheField>
    <cacheField name="Montant HT" numFmtId="4">
      <sharedItems containsSemiMixedTypes="0" containsString="0" containsNumber="1" minValue="0.13" maxValue="62325.38" count="83">
        <n v="546.45000000000005"/>
        <n v="440.06"/>
        <n v="19508.61"/>
        <n v="30293.52"/>
        <n v="62325.38"/>
        <n v="4422.03"/>
        <n v="382.23"/>
        <n v="4147.84"/>
        <n v="199.37"/>
        <n v="3569.64"/>
        <n v="167.49"/>
        <n v="2809.38"/>
        <n v="31011.98"/>
        <n v="9713.07"/>
        <n v="7898.46"/>
        <n v="487.35"/>
        <n v="37506.559999999998"/>
        <n v="28436.02"/>
        <n v="725.07"/>
        <n v="3331.51"/>
        <n v="3092.16"/>
        <n v="372.99"/>
        <n v="161.01"/>
        <n v="3471.97"/>
        <n v="312.92"/>
        <n v="80.55"/>
        <n v="7228.61"/>
        <n v="8442.0499999999993"/>
        <n v="30554.55"/>
        <n v="1292.49"/>
        <n v="3023.92"/>
        <n v="3488.17"/>
        <n v="3430.04"/>
        <n v="2961.54"/>
        <n v="398.1"/>
        <n v="50363.11"/>
        <n v="819.62"/>
        <n v="2992.21"/>
        <n v="1305.47"/>
        <n v="1895.73"/>
        <n v="3313.13"/>
        <n v="3386.47"/>
        <n v="120.79"/>
        <n v="1389.77"/>
        <n v="253"/>
        <n v="473.93"/>
        <n v="65.69"/>
        <n v="57249.36"/>
        <n v="11326.6"/>
        <n v="2734.64"/>
        <n v="219.22"/>
        <n v="352.6"/>
        <n v="8494.64"/>
        <n v="3041.46"/>
        <n v="44.97"/>
        <n v="9419.8700000000008"/>
        <n v="34.72"/>
        <n v="12773.28"/>
        <n v="13084.64"/>
        <n v="237.83"/>
        <n v="1697.88"/>
        <n v="947.87"/>
        <n v="2539.84"/>
        <n v="8186.18"/>
        <n v="6508.93"/>
        <n v="715.26"/>
        <n v="47393.36"/>
        <n v="4928.8999999999996"/>
        <n v="393.47"/>
        <n v="2387.12"/>
        <n v="3151.51"/>
        <n v="9789.0400000000009"/>
        <n v="36712.300000000003"/>
        <n v="10664.63"/>
        <n v="1584.44"/>
        <n v="0.13"/>
        <n v="2843.6"/>
        <n v="636.32000000000005"/>
        <n v="3368.42"/>
        <n v="60832.98"/>
        <n v="35.5"/>
        <n v="3202.37"/>
        <n v="3149.55"/>
      </sharedItems>
    </cacheField>
    <cacheField name="Montant TVA" numFmtId="4">
      <sharedItems containsSemiMixedTypes="0" containsString="0" containsNumber="1" minValue="0.01" maxValue="3427.9"/>
    </cacheField>
    <cacheField name="Montant TTC" numFmtId="4">
      <sharedItems containsSemiMixedTypes="0" containsString="0" containsNumber="1" minValue="0.14000000000000001" maxValue="65753.279999999999" count="83">
        <n v="576.51"/>
        <n v="464.26"/>
        <n v="20581.580000000002"/>
        <n v="31959.66"/>
        <n v="65753.279999999999"/>
        <n v="4665.24"/>
        <n v="403.25"/>
        <n v="4375.97"/>
        <n v="210.34"/>
        <n v="3765.97"/>
        <n v="200.99"/>
        <n v="2963.9"/>
        <n v="32717.64"/>
        <n v="10247.290000000001"/>
        <n v="8332.8799999999992"/>
        <n v="514.15"/>
        <n v="39569.42"/>
        <n v="30000"/>
        <n v="764.95"/>
        <n v="3514.74"/>
        <n v="3262.23"/>
        <n v="393.5"/>
        <n v="169.87"/>
        <n v="3662.93"/>
        <n v="330.13"/>
        <n v="84.98"/>
        <n v="7626.18"/>
        <n v="8906.36"/>
        <n v="32235.05"/>
        <n v="1363.58"/>
        <n v="3190.24"/>
        <n v="4185.8"/>
        <n v="4116.05"/>
        <n v="3124.42"/>
        <n v="420"/>
        <n v="53133.08"/>
        <n v="864.7"/>
        <n v="3156.78"/>
        <n v="1377.27"/>
        <n v="2000"/>
        <n v="3495.35"/>
        <n v="3572.73"/>
        <n v="127.43"/>
        <n v="1466.21"/>
        <n v="266.91000000000003"/>
        <n v="500"/>
        <n v="69.3"/>
        <n v="60398.07"/>
        <n v="11949.56"/>
        <n v="2885.05"/>
        <n v="231.28"/>
        <n v="371.99"/>
        <n v="8961.84"/>
        <n v="3208.74"/>
        <n v="47.44"/>
        <n v="9937.9599999999991"/>
        <n v="36.630000000000003"/>
        <n v="13475.81"/>
        <n v="13804.3"/>
        <n v="250.91"/>
        <n v="1791.26"/>
        <n v="1000"/>
        <n v="2679.53"/>
        <n v="8636.42"/>
        <n v="6866.92"/>
        <n v="754.6"/>
        <n v="50000"/>
        <n v="5199.99"/>
        <n v="415.11"/>
        <n v="2518.41"/>
        <n v="3324.84"/>
        <n v="10327.44"/>
        <n v="38731.480000000003"/>
        <n v="11251.18"/>
        <n v="1671.58"/>
        <n v="0.14000000000000001"/>
        <n v="3000"/>
        <n v="671.32"/>
        <n v="3553.68"/>
        <n v="64178.79"/>
        <n v="37.450000000000003"/>
        <n v="3378.5"/>
        <n v="3322.78"/>
      </sharedItems>
    </cacheField>
    <cacheField name="Tiers (Code)" numFmtId="0">
      <sharedItems count="1">
        <s v="8930"/>
      </sharedItems>
    </cacheField>
    <cacheField name="Tiers (Nom)" numFmtId="0">
      <sharedItems count="1">
        <s v="SCOLAREST COMPASS GROUP FRANCE"/>
      </sharedItems>
    </cacheField>
    <cacheField name="Engagement" numFmtId="0">
      <sharedItems containsBlank="1" count="41">
        <s v="RS24011001R"/>
        <s v="RS25002801"/>
        <s v="RS25003001"/>
        <s v="RS25003201"/>
        <s v="RS25002901"/>
        <s v="RS25003101"/>
        <s v="ME25000101"/>
        <s v="RS25004701"/>
        <s v="RS25004801"/>
        <s v="RS25004901"/>
        <s v="RS25005201"/>
        <s v="RS25006001"/>
        <s v="RS25005001"/>
        <s v="RS25005101"/>
        <s v="RS25006101"/>
        <m/>
        <s v="RS25006301"/>
        <s v="RS25006201"/>
        <s v="RS25007201"/>
        <s v="RS25007101"/>
        <s v="RS25008201"/>
        <s v="RS25007301"/>
        <s v="RS25008401"/>
        <s v="RS25007001"/>
        <s v="RS25008001"/>
        <s v="RS25008101"/>
        <s v="RS25008301"/>
        <s v="RS25008901"/>
        <s v="RS25008701"/>
        <s v="RS25009501"/>
        <s v="RS25008801"/>
        <s v="RS25009801"/>
        <s v="RS25012401"/>
        <s v="RS25009601"/>
        <s v="RS25009901"/>
        <s v="RS25010101"/>
        <s v="RS25010201"/>
        <s v="RS25010001"/>
        <s v="RS25012301"/>
        <s v="RS25012601"/>
        <s v="RS25009701"/>
      </sharedItems>
    </cacheField>
    <cacheField name="Marché" numFmtId="0">
      <sharedItems containsBlank="1" count="2">
        <s v="23003PA"/>
        <m/>
      </sharedItems>
    </cacheField>
    <cacheField name="Lot" numFmtId="0">
      <sharedItems containsBlank="1"/>
    </cacheField>
    <cacheField name="Contrat" numFmtId="0">
      <sharedItems containsNonDate="0" containsString="0" containsBlank="1"/>
    </cacheField>
    <cacheField name="Gestionnaire" numFmtId="0">
      <sharedItems/>
    </cacheField>
    <cacheField name="Fonction" numFmtId="0">
      <sharedItems/>
    </cacheField>
    <cacheField name="Nature" numFmtId="0">
      <sharedItems count="1">
        <s v="6042"/>
      </sharedItems>
    </cacheField>
    <cacheField name="Opération" numFmtId="0">
      <sharedItems/>
    </cacheField>
    <cacheField name="Service" numFmtId="0">
      <sharedItems count="2">
        <s v="2-RE"/>
        <s v="6-MP"/>
      </sharedItems>
    </cacheField>
    <cacheField name="Antenne" numFmtId="0">
      <sharedItems count="6">
        <s v=" "/>
        <s v="RESTMICH"/>
        <s v="RESTCOMM"/>
        <s v="RESTGAV"/>
        <s v="RESTCA"/>
        <s v="CRCOLL"/>
      </sharedItems>
    </cacheField>
    <cacheField name="Code_x000a_subvention" numFmtId="0">
      <sharedItems containsNonDate="0" containsString="0" containsBlank="1" count="1">
        <m/>
      </sharedItems>
    </cacheField>
    <cacheField name="Libellé_x000a_subvention" numFmtId="0">
      <sharedItems containsNonDate="0" containsString="0" containsBlank="1"/>
    </cacheField>
    <cacheField name="Millésime" numFmtId="0">
      <sharedItems containsNonDate="0" containsString="0" containsBlank="1"/>
    </cacheField>
    <cacheField name="Réf. dossier" numFmtId="0">
      <sharedItems containsNonDate="0" containsString="0" containsBlank="1" count="1">
        <m/>
      </sharedItems>
    </cacheField>
    <cacheField name="Enveloppe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s 1" refreshedDate="46106.696533796297" createdVersion="8" refreshedVersion="8" minRefreshableVersion="3" recordCount="346" xr:uid="{CB83C074-C969-4BED-874F-761B42A586EB}">
  <cacheSource type="worksheet">
    <worksheetSource ref="A1:AQ347" sheet="DEP ALIM MODIF"/>
  </cacheSource>
  <cacheFields count="69">
    <cacheField name="Type écriture" numFmtId="0">
      <sharedItems count="3">
        <s v="Mandat ordinaire"/>
        <s v="Mandat de régie"/>
        <s v="Mandat de rattachement"/>
      </sharedItems>
    </cacheField>
    <cacheField name="Nb. ann/rej" numFmtId="0">
      <sharedItems containsBlank="1"/>
    </cacheField>
    <cacheField name="Exercice" numFmtId="0">
      <sharedItems/>
    </cacheField>
    <cacheField name="Budget" numFmtId="0">
      <sharedItems/>
    </cacheField>
    <cacheField name="N° écriture" numFmtId="0">
      <sharedItems containsSemiMixedTypes="0" containsString="0" containsNumber="1" containsInteger="1" minValue="401938" maxValue="423660"/>
    </cacheField>
    <cacheField name="N° pièce" numFmtId="0">
      <sharedItems containsSemiMixedTypes="0" containsString="0" containsNumber="1" containsInteger="1" minValue="61" maxValue="3699"/>
    </cacheField>
    <cacheField name="N° bordereau" numFmtId="0">
      <sharedItems containsSemiMixedTypes="0" containsString="0" containsNumber="1" containsInteger="1" minValue="11" maxValue="483"/>
    </cacheField>
    <cacheField name="N° ordre" numFmtId="0">
      <sharedItems containsSemiMixedTypes="0" containsString="0" containsNumber="1" containsInteger="1" minValue="0" maxValue="6"/>
    </cacheField>
    <cacheField name="Date pièce" numFmtId="14">
      <sharedItems containsSemiMixedTypes="0" containsNonDate="0" containsDate="1" containsString="0" minDate="2025-02-10T00:00:00" maxDate="2026-01-01T00:00:00"/>
    </cacheField>
    <cacheField name="Lot" numFmtId="0">
      <sharedItems/>
    </cacheField>
    <cacheField name="Libellé" numFmtId="0">
      <sharedItems count="344">
        <s v="FAC. 14D DU 31/12/2024 RS24009004R - RATT ACCUEIL LE PETIT PRINCE                  "/>
        <s v="FAC. 16D DU 31/12/2024 RS24009001R - RATT RESTAURANT COMMUNAL                      "/>
        <s v="FAC. 12DEC DU 31/12/2024 RS24009002R - RATT RESTAURATION SCOLAIRE                    "/>
        <s v="FAC. 13D DU 31/12/2024 RS24009003R - RATT ACCUEIL JP1                              "/>
        <s v="FAC. 15D DU 31/12/2024 RS24009005R - RATT ACCUEIL LOUISE MICHEL                    "/>
        <s v="REGULARISATION RA 20052 ETATS 7.8                                                             "/>
        <s v="REGULARISATION RA 20052 ETATS 6.10.11.12                                                             "/>
        <s v="RATT FAC. 2412HY1319371 DU          23/12/2024 JS24011601R - RATT GOUTERS VACANCES NOEL 2024               "/>
        <s v="FAC. 2502HY0226458 DU          17/02/2025 PATISSERIE 01 VACANCES HIVERS 2025                          "/>
        <s v="Goûter vacances scolaires d'hiver 2025 FAC. 2502HY0232115 DU          18/02/2025                   "/>
        <s v="Repas au club 01 vacances hiver 2025 FAC. 2502HY0232145 DU          18/02/2025                   "/>
        <s v="FAC. 487 DU 31/01/2025 PAIN RESTAURANT COMMUNAL JANVIER                            "/>
        <s v="FAC. 486 DU 31/01/2025 PAIN ACCUEIL LM JANVIER                                     "/>
        <s v="FAC. 485 DU 31/01/2025 PAIN ACCUEIL PP JANVIER                                     "/>
        <s v="FAC. 484 DU 31/01/2025 PAIN ACCUEIL  JP1 JANVIER                                   "/>
        <s v="FAC. 483 DU 31/01/2025 PAIN POUR LA RESTAURATION SCOLAIRE JANVIER                  "/>
        <s v="FAC. 455 DU 19/12/2024 RATT MINI VIENNOISERIES JP1                                 "/>
        <s v="VIENNOISERIES - LEGISLATIVES JUIN 2024 RATT FAC. 394 DU 28/06/2024                                 "/>
        <s v="HA goûter et petit-déjeuner - FA. 2501HY0123697 du 28.01.25 FAC. 2501HY0123697 DU          28/01/2025                   "/>
        <s v="HA repas CM2 du 29/01 - FAC. 2502HY0165620 DU 05/02/2025 CL25001001 - REPAS DES CHAMPIONS 29/01 REPAS DES CM2 SUR LA "/>
        <s v="HA repas créole gp CP - FAC. 2502HY0232136 DU 18/02/2025 CL25002201 - REPAS CREOLE GROUPE DES CP 27/02               "/>
        <s v="HA pâtisseries vacances  fév./ FA. 2502HY0232120 DU 18/02/25 CL25002001 - PATISSERIE VAC DE FEVRIER ELEM 2               "/>
        <s v="FAC. 2502HY0203412 DU          12/02/2025 PATISSERIE FEVRIER 1 LM                                     "/>
        <s v="FAC. 2502HY0203413 DU          12/02/2025 PATISSERIE FEVRIER 2 LM                                     "/>
        <s v="FAC. 2502HY0232118 DU          18/02/2025 PATISSERIE VAC DE FEVRIER MATER 1 LM                        "/>
        <s v="FAC. 2502HY0250713 DU          20/02/2025 PATISSERIE VAC DE FEVRIER MATER 2 LM                        "/>
        <s v="FAC. 2502HY0250716 DU          20/02/2025 VEILLEE PIZZA 20/02 LM                                      "/>
        <s v="FAC. 2502HY0273215 DU          25/02/2025 REPAS AU CLUB 01 VACANCES HIVERS 2025 CA                    "/>
        <s v="FAC. 2502HY0216694 DU          14/02/2025 GOUTER DE BIENVENUE - 15 FEVRIER                            "/>
        <s v="FAC. 50140202202 DU 14/01/2025 CL25000701 - GOUTER + PETIT DEJEUNER JP1 JANVIER 2025       "/>
        <s v="FAC. 50420102489 DU 11/02/2025 CL25000801 - PETITS DEJEUNER + GOUTER JP1 2025              "/>
        <s v="FAC. 50580102492 DU 27/02/2025 JS25000701 - PATISSERIE 02 VACANCES HIVERS 2025             "/>
        <s v="FAC. 2502HY0292345 DU          26/02/2025 CL25003501 - VEILLEE FONDUE                                 "/>
        <s v="FAC. 2502HY0292332 DU          26/02/2025 CL25002101 - VEILLEE DEGUSTATION ELEMENTAIRES 28/02         "/>
        <s v="RATT  FAC. 2412HY1331121 DU          26/12/2024 CL24034001R - RATT PATISSERIE, VEILLEE, CHOCOLAT DE NOËL, GO"/>
        <s v="FAC. 2502HY0273212 DU          25/02/2025 CL25003101 - LAITAGES, VIENOISERIE,                         "/>
        <s v="FAC. 2502HY0267380 DU          24/02/2025 CL25001901 - PATISSERIE VAC DE FEVRIER ELEM 1               "/>
        <s v="FAC. 2502HY0267376 DU          24/02/2025 CL25002301 - PATISSERIE VAC DE FEVRIER MATER 3              "/>
        <s v="FAC. 2502HY0267378 DU          24/02/2025 CL25000201 - GOUTERS ET PETITS DEJEUNERS JANVIER 2          "/>
        <s v="FAC. 50760102497 DU 17/03/2025 CU25001001 - ALIMENTATION BOISSONS POUR LE BUFFET DE  BUFFET"/>
        <s v="FAC. 50660202214 DU 07/03/2025 CU25000501 - REPAS POUR LE CONCERT DU VENDREDI 7 MARS  REPAS"/>
        <s v="FAC. 2504HY0505378 DU          16/04/2025 JS25002201 - REPAS SEMAINE 01 VACS PRINTEMPS 2025           "/>
        <s v="FAC. 50770102499 DU 18/03/2025 CL25003701 - GOUTER + PETIT DEJEUNER MARS 2025              "/>
        <s v="REGULARISATION JANVIER, FEVRIER, MARS 2025 ETATS  1,3, 5, 7, 8 -  ALIMENTATION                         "/>
        <s v="FAC. 2503HY0379616 DU          17/03/2025 CL25000301 - GOUTERS ET PETITS DEJEUNER FEVRIER 1           "/>
        <s v="FAC. 2503HY0379618 DU          17/03/2025 CL25004101 - PETITS DEJEUNERS ET GOUTERS MARS 1             "/>
        <s v="FAC. 2503HY0379613 DU          17/03/2025 CL25000401 - GOUTERS ET PETITS DEJEUNERS FEVRIER 2          "/>
        <s v="FAC. 2504HY0467625 DU          08/04/2025 CL25002601 - PATISSERIE VAC DE FEVRIER ELEM 4               "/>
        <s v="FAC. 2504HY0467624 DU          08/04/2025 CL25002501 - PATISSERIE VAC DE FEVRIER ELEM 3               "/>
        <s v="FAC. 2504HY0467623 DU          08/04/2025 CL25002401 - PATISSERIE VAC DE FEVRIER MATER 4              "/>
        <s v="FAC. 2504HY0467620 DU          08/04/2025 CL25004201 - PETITS DEJEUNERS ET GOUTERS AVRIL 1            "/>
        <s v="FAC. 2504HY0512914 DU          18/04/2025 JS25002301 - SOIREE SEMAINE 01 VACS PRINTEMPS 2025          "/>
        <s v="FAC. 2504HY0536170 DU          24/04/2025 ME25001601 - Achat de biscuit pour le gouters des enfants et"/>
        <s v="REGULARISATION AVRIL ETATS  2                                                             "/>
        <s v="FAC. 2401HY0009650 DU 04/01/2024 JS25001601 - ATELIER BURGER - 28/02                         "/>
        <s v="FAC. 2504HY0478535 DU          10/04/2025 JS25003201 - GOÛTER AVRIL / MAI / JUIN                      "/>
        <s v="FAC. 51130202228 DU 23/04/2025 CU25001701 - BUFFET DE LA CEREMONIE DU 27 AVRIL ET DU 8 MAI "/>
        <s v="FAC. 51080102507 DU 18/04/2025 SC25005601 - MINI VIENNOISERIES POUR BUFFET DU 18 AVRIL     "/>
        <s v="FAC. 50660202215 DU 07/03/2025 CU25000201 - CATERING DU CONCERT DU VENDREDI 7 MARS  CATERIN"/>
        <s v="FAC. 2504HY0462511 DU          07/04/2025 JS25001901 - RENCONTRE ATHLETISME ECOLE - 8 AVRIL GOUTER REN"/>
        <s v="FAC. 6av DU 30/04/2025 RS25001101 - PAIN POUR LA RESTAURATION SCOLAIREMOIS DE FEVRI"/>
        <s v="FAC. 7AV DU 30/04/2025 RS25001401 - PAIN ACCUEIL PERISCOLAIRE JP1MOIS DE FEVRIER - "/>
        <s v="FAC. 8AV DU 30/04/2025 RS25001201 - PAIN ACCUEIL PERISCOLAIRE CENTRE DE LOISIRS PET"/>
        <s v="FAC. 9AV DU 30/04/2025 RS25001301 - PAIN ACCUEIL PERISCOLAIRE CENTRE DE LOISIRS LOU"/>
        <s v="FAC. 10AV DU 30/04/2025 RS25001501 - PAIN RESTAURANT COMMUNALMOIS DE FEVRIER - AVRIL"/>
        <s v="FAC. 91560 DU 30/04/2025 RS25001101 - PAIN POUR LA RESTAURATION SCOLAIREMOIS DE FEVRI"/>
        <s v="FAC. 508 DU 31/03/2025 RS25000801 - PAIN ACCUEIL PERISCOLAIRE CENTRE DE LOISIRS LOU"/>
        <s v="FAC. 509 DU 31/03/2025 RS25001001 - PAIN RESTAURANT COMMUNALMOIS DE JANVIER - MARS "/>
        <s v="FAC. 505 DU 31/03/2025 RS25000601 - PAIN POUR LA RESTAURATION SCOLAIREMOIS DE JANVI"/>
        <s v="REGULARISATION  MAI ETAT 3                                                             "/>
        <s v="REGULARISATION JUIN ETAT 4                                                             "/>
        <s v="REGULARISATION JUIN ETAT 5 ET 7                                                             "/>
        <s v="REGULARISATION JUIN ETATS 5 ET 7                                                             "/>
        <s v="FAC. 2501HY0005257 DU          02/01/2025 JS24012701R - RATT GOUTER MDJ                               "/>
        <s v="FAC. 518 DU 31/05/2025 RS25001001 - PAIN RESTAURANT COMMUNALMOIS DE JANVIER - MARS "/>
        <s v="FAC. 517 DU 31/05/2025 RS25000801 - PAIN ACCUEIL PERISCOLAIRE CENTRE DE LOISIRS LOU"/>
        <s v="FAC. 515 DU 31/05/2025 RS25000901 - PAIN ACCUEIL PERISCOLAIRE JP1MOIS DE JANVIER - "/>
        <s v="FAC. 514 DU 31/05/2025 RS25000601 - PAIN POUR LA RESTAURATION SCOLAIREMOIS DE JANVI"/>
        <s v="FAC. 51400202231 DU 20/05/2025 CL25007101 - GOUTER + PETIT DJEUNER JP1 MAI 2025            "/>
        <s v="FAC. 2504HY0495220 DU          14/04/2025 CL25007801 - PATISSERIE VAC AVRIL 1 MATER                   "/>
        <s v="FAC. 2504HY0495353 DU          14/04/2025 CL25006401 - VEILLEE BOOM GOURMANDE 15/04                   "/>
        <s v="FAC. 2504HY0495306 DU          14/04/2025 CL25006501 - VEILLEE PIZZA 15/04                            "/>
        <s v="FAC. 2504HY0505334 DU          16/04/2025 CL25008201 - PATISSERIE VAC DAVRIL ELEM 1                   "/>
        <s v="FAC. 2504HY0505375 DU          16/04/2025 CL25008301 - PATISSERIE VAC DAVRIL ELEM 2                   "/>
        <s v="FAC. 2504HY0505370 DU          16/04/2025 CL25006601 - VEILLEE REPAS ITALIEN  16/04                   "/>
        <s v="FAC. 2504HY0505359 DU          16/04/2025 CL25007901 - PATISSERIE VAC AVRIL MATER 2                   "/>
        <s v="FAC. 2504HY0536183 DU          24/04/2025 CL25008101 - PATISSERIE VAC DAVRIL MATER 4                  "/>
        <s v="FAC. 2504HY0536180 DU          24/04/2025 CL25007001 - VEILLEE DISNEY 24/04                           "/>
        <s v="FAC. 2504HY0536150 DU          24/04/2025 CL25008501 - PATISSERIE VAC DAVRIL ELEM 4                   "/>
        <s v="FAC. 2504HY0524495 DU          22/04/2025 CL25008001 - PATISSERIE VAC DAVRIL MATER 3                  "/>
        <s v="FAC. 2504HY0524489 DU          22/04/2025 CL25006901 - VEILLEE REPAS AFRICAIN 23/04                   "/>
        <s v="FAC. 2504HY0524477 DU          22/04/2025 CL25006801 - VEILLEE DEGUSTATION 22/04                      "/>
        <s v="FAC. 2505HY0651250 DU          16/05/2025 CL25004401 - PETITS DEJEUNERS ET GOUTERS MAI 2              "/>
        <s v="FAC. 2505HY0651252 DU          16/05/2025 CL25004301 - PETITS DEJEUNERS ET GOUTERS MAI 1              "/>
        <s v="FAC. 2506HY0763479 DU          11/06/2025 CL25004501 - PETITS DEJEUNERS ET GOUTERS JUIN 1             "/>
        <s v="FAC. 2506HY0784480 DU          12/06/2025 SC25004301 - ALIMENTATION BUFFET                            "/>
        <s v="FAC. 521 DU 14/06/2025 SC25007801 - MINI VIENNOISERIES POUR PETIT DEJEUNER DU 14 JU"/>
        <s v="FAC. 21JFE DU 30/06/2025 RS25001101 - PAIN POUR LA RESTAURATION SCOLAIREMOIS DE FEVRI"/>
        <s v="FAC. 20JFE DU 30/06/2025 RS25001501 - PAIN RESTAURANT COMMUNALMOIS DE FEVRIER - AVRIL"/>
        <s v="REGULARISATION JUILLET ETAT 1                                                             "/>
        <s v="FAC. 51720202240 DU 21/06/2025 CU25001501 - CATERING ET REPAS DU GROUPE DE MUSIQUE  REPAS +"/>
        <s v="FAC. 2506HY0748303 DU          06/06/2025 JS25008501 - GOUTER PERMIS VELO ET PIETONS - JUIN 25 GOUTER "/>
        <s v="FAC. 2504HY0524497 DU          22/04/2025 JS25002501 - REPAS SEMAINE 02 VACS PRINTEMPS 2025           "/>
        <s v="FAC. 2504HY0524458 DU          22/04/2025 JS25002401 - TOP CHEF VACS PRINTEMPS 2025                   "/>
        <s v="FAC. 2505HY0643825 DU          15/05/2025 JS25003401 - SOIREE PIZZA DU 16/05/25                       "/>
        <s v="FAC. 507 DU 31/03/2025 RS25000701 - PAIN ACCUEIL PERISCOLAIRE CENTRE DE LOISIRS PET"/>
        <s v="FAC. 506 DU 31/03/2025 RS25000601 - PAIN POUR LA RESTAURATION SCOLAIREMOIS DE JANVI"/>
        <s v="FAC. 2506HY0748301 DU          06/06/2025 JS25003801 - BARBECUE FIN D'ANNEE                           "/>
        <s v="FAC. 2507HY0871180 DU          04/07/2025 JS25005101 - BRUNCH ET REPAS 07 JUILLET                     "/>
        <s v="FAC. 2507HY0905825 DU          12/07/2025 CL25019601 - GOUTER ADOS SEJOUR 2 GOUTER ADOS SEJOUR        "/>
        <s v="FAC. 2507HY0885510 DU          07/07/2025 JS25004901 - GOUTERS 1ERE QUINZAINE JUILLET                 "/>
        <s v="REGULARISATION JUILLET 2025 - ETATS 2 ET 3                                                             "/>
        <s v="REGULARISATION JUILLET 2025 - ETAT 6                                                             "/>
        <s v="FAC. 2504HY0473043 DU          09/04/2025 CL25005201 - GOÛTER MATERNELSPETIT DEJEUNER MATERNELS ELEMEN"/>
        <s v="FAC. 2504HY0495275 DU          14/04/2025 CL25007701 - FRUIS &amp; LEGUMES CHOCOLATS                      "/>
        <s v="FAC. 2504HY0507659 DU          17/04/2025 CL25009001 - VEILLEE BURGER                                 "/>
        <s v="FAC. 2507HY0950453 DU          28/07/2025 CL25018901 - VIANDES BBQ, CHIPS, BOISSONS, FRUITS ...       "/>
        <s v="FAC. 2507HY0950520 DU          28/07/2025 CL25019201 - ACTIVITE CULINAIRE                             "/>
        <s v="FAC. 2506HY0742598 DU          05/06/2025 CL25010201 - GOÛTER, LAITAGES, GÂTEAUX, JUS DE FRUIT        "/>
        <s v="FAC. 2507HY0939799 DU          22/07/2025 CL25019101 - FRUITS, JUS ...                                "/>
        <s v="FAC. 2505HY0667533 DU          20/05/2025 CL25007501 - VEILLEEPATISSERIE                              "/>
        <s v="FAC. 2507HY0871174 DU          04/07/2025 CL25018801 - BARBE A PAPA, GATEAUX, CHIPS, JUS DE FRUITS    "/>
        <s v="FAC. 2506HY0839456 DU          27/06/2025 CL25010301 - LAITAGES, GÂTEAUX, JUS DE FRUITS               "/>
        <s v="FAC. 2507HY0871177 DU          04/07/2025 CL25016401 - LAIT, VIENOISERIES, JUS DE FRUITS              "/>
        <s v="FAC. 2506HY0742594 DU          05/06/2025 CL25005101 - YAOURTS - GÂTEAUX- JUS DE FRUITS               "/>
        <s v="FAC. 2507HY0939767 DU          22/07/2025 CL25019001 - GATEAUX, GLACES, BONBONS, BOISSONS...          "/>
        <s v="REGULARISATION_ ETAT 2 ALIMENTATION BARBECUE MDJ                                   "/>
        <s v="REGULARISATION_ ETAT 4 ALIMENTATION BUREAU MAIRE                                   "/>
        <s v="REGULARISATION_ ETAT 5 ALIMENTATION REUNION PUBLIQUE                               "/>
        <s v="FAC. 17FEV DU 28/02/2025 RS25001401 - PAIN ACCUEIL PERISCOLAIRE JP1MOIS DE FEVRIER - "/>
        <s v="FAC. 18FEV DU 28/02/2025 RS25001201 - PAIN ACCUEIL PERISCOLAIRE CENTRE DE LOISIRS PET"/>
        <s v="FAC. 19FEV DU 28/02/2025 RS25001301 - PAIN ACCUEIL PERISCOLAIRE CENTRE DE LOISIRS LOU"/>
        <s v="FAC. 13JUN DU 30/06/2025 RS25001101 - PAIN POUR LA RESTAURATION SCOLAIREMOIS DE FEVRI"/>
        <s v="FAC. 14JUN DU 30/06/2025 RS25001401 - PAIN ACCUEIL PERISCOLAIRE JP1MOIS DE FEVRIER - "/>
        <s v="FAC. DECROSNE91560 DU          30/06/2025 RS25001201 - PAIN ACCUEIL PERISCOLAIRE CENTRE DE LOISIRS PET"/>
        <s v="FAC. 17JUN DU 30/06/2025 RS25001501 - PAIN RESTAURANT COMMUNALMOIS DE FEVRIER - AVRIL"/>
        <s v="FAC. 2507HY0885572 DU          07/07/2025 CL25011001 - ATELIER PATISSERIE JUILLET MATER 1             "/>
        <s v="FAC. 51680202238 DU 17/06/2025 CL25007201 - PETIT DEJEUNER + GOUTER JP1 JUIN 2025          "/>
        <s v="FAC. 2507HY0885541 DU          07/07/2025 CL25012301 - PATISSERIE JUILLET ELEM 2                      "/>
        <s v="FAC. 2507HY0871176 DU          04/07/2025 CL25004601 - GOUTERS ET PETITS DEJEUNERS JUIN 2             "/>
        <s v="FAC. 2507HY0885430 DU          07/07/2025 CL25012201 - PATISSERIE JUILLET ELEM 1                      "/>
        <s v="FAC. 2507HY0897860 DU          10/07/2025 CL25015201 - VEILLEE REPAS LE RETOUR DE VAIANA 15 ENFANTS 10"/>
        <s v="FAC. 2507HY0909530 DU          15/07/2025 CL25015301 - VEILLEE REPAS BOB L EPONGE LE 15 JUILLET 15 ENF"/>
        <s v="FAC. 2507HY0909620 DU          15/07/2025 CL25011101 - ATELIER PATISSERIE JUILLET MATER 2             "/>
        <s v="FAC. 2507HY0909579 DU          15/07/2025 CL25012401 - PATISSERIE JUILLET ELEM 3                      "/>
        <s v="FAC. 2507HY0939832 DU          24/07/2025 CL25011301 - ATELIER PATISSERIE JUILLET MATER 4             "/>
        <s v="FAC. 2507HY0939867 DU          21/07/2025 CL25011201 - ATELIER PATISSERIE JUILLET MATER 3             "/>
        <s v="FAC. 2507HY0939816 DU          21/07/2025 CL25012501 - PATISSERIE JUILLET ELEM 4                      "/>
        <s v="FAC. 2507HY0950488 DU          28/07/2025 CL25012601 - PATISSERIE JUILLET ELEM 5                      "/>
        <s v="FAC. 2507HY0980744 DU          30/07/2025 CL25011501 - ATELIER PATISSERIE JUILLET MATER 6             "/>
        <s v="FAC. 2507HY0980702 DU          30/07/2025 CL25015401 - VEILLEE REPAS REMISE DES OSCARS31 JUILLETMATER/"/>
        <s v="FAC. 2507HY0980665 DU          30/07/2025 CL25011401 - ATELIER PATISSERIE JUILLET MATER 5             "/>
        <s v="FAC. 2508HY1086979 DU          05/08/2025 CL25013801 - ATELIER PATISSERIE AOUT ELEM 1                 "/>
        <s v="FAC. 2508HY1099895 DU          07/08/2025 CL25015601 - VEILLEE GRECQUE 7/08MATERNELS                  "/>
        <s v="FAC. 2508HY0986285 DU          31/07/2025 CL25015501 - VEILLEE REPAS L ANNIVERSAIRE DE VAIANA         "/>
        <s v="FAC. 2508HY1155895 DU          21/08/2025 CL25013401 - ATELIER PATISSERIE AOUT MATER 1                "/>
        <s v="FAC. 541 DU 31/07/2025 RS25001001 - PAIN RESTAURANT COMMUNALMOIS DE JANVIER - MARS "/>
        <s v="FAC. 540 DU 31/07/2025 RS25000801 - PAIN ACCUEIL PERISCOLAIRE CENTRE DE LOISIRS LOU"/>
        <s v="FAC. 538 DU 31/07/2025 RS25000901 - PAIN ACCUEIL PERISCOLAIRE JP1MOIS DE JANVIER - "/>
        <s v="FAC. 2508HY1115913 DU          11/08/2025 CL25015701 - VEILLEE ASIE11/08MATER/ELEM                    "/>
        <s v="FAC. 539 DU 31/07/2025 RS25000701 - PAIN ACCUEIL PERISCOLAIRE CENTRE DE LOISIRS PET"/>
        <s v="FAC. 537 DU 31/07/2025 RS25000601 - PAIN POUR LA RESTAURATION SCOLAIREMOIS DE JANVI"/>
        <s v="FAC. 516A DU 31/05/2025 RS25000701 - PAIN ACCUEIL PERISCOLAIRE CENTRE DE LOISIRS PET"/>
        <s v="FAC. 2507HY0909562 DU          15/07/2025 JS25005601 - ATELIER CUISINE - 16 JUILLET                   "/>
        <s v="FAC. 2507HY0955397 DU          29/07/2025 JS25006301 - ATELIER MOCKTAILS                              "/>
        <s v="FAC. 2507HY0955426 DU          29/07/2025 JS25006401 - TACOS                                          "/>
        <s v="FAC. 2508HY1065538 DU          04/08/2025 JS25006701 - BRUNCH                                         "/>
        <s v="FAC. 2508HY1098007 DU          06/08/2025 JS25006801 - MEILLEUR PATISSIER                             "/>
        <s v="FAC. 2508HY1098023 DU          06/08/2025 JS25006501 - GOUTER 1ERE QUINZAINE D AOUT                   "/>
        <s v="FAC. 52040202244 DU 23/07/2025 JS25006001 - ATELIER COOKIE                                 "/>
        <s v="FAC. 2508HY1144960 DU          08/08/2025 REPAS SOIREE                                                "/>
        <s v="FAC. 2508HY1155834 DU          21/08/2025 VEILLEE MARIO/PIZZA19/08ELEMENTAIRES                        "/>
        <s v="FAC. 52090202245 DU 28/07/2025 JS25006201 - MOELLEUX AUX CHOCOLAT                          "/>
        <s v="FAC. 2508HY1118243 DU          12/08/2025 JS25006901 - MUFFINS                                        "/>
        <s v="FAC. 2504HY0478532 DU          10/04/2025 JS25003101 - INGREDIENTS CRÊPE PARTY LE 15/04               "/>
        <s v="FAC. 2506HY0832820 DU          26/06/2025 JS25009001 - Buffet Dinatoire soirée portes ouvertes Parents"/>
        <s v="FAC. 2507HY0871173 DU          04/07/2025 JS25009101 - Organisation d'une soirée Barbecue environ 25 p"/>
        <s v="FAC. 2508HY1126444 DU          13/08/2025 JS25009201 - Gouter structure Juillet / Aôut                "/>
        <s v="FAC. 2508HY1115942 DU          11/08/2025 CL25019301 - GATEAUX, BOISSONS, GLACES, BONBONS ...         "/>
        <s v="FAC. 543 DU 27/08/2025 MINI VIENNOISERIES                                          "/>
        <s v="FAC. 2509HY1235846 DU          09/09/2025 JUS DE FRUTS CEREALE LAIT                                   "/>
        <s v="FAC. 2509HY1235800 DU          09/09/2025 JUS DE FRUITS CEREALE LAIT ...                              "/>
        <s v="REGULARISATION INTERMARCHE BUFFET CME 23/07/25                                                    "/>
        <s v="REGALARISATION BUFFET SOIREE CLOTURE 17/07/25                                                    "/>
        <s v="AUCHAN BUFFET -CME                                                 "/>
        <s v="REGULARISATION REPAS ANILS SORTIE LA CERISE SUR LE GATEAU                                     "/>
        <s v="REGULARISATION FRANPRIX ESPACE ADOS OEUF PATISSERIE                                 "/>
        <s v="REGULARISATION REPAS ANIMS SORTIE SENAT                                                             "/>
        <s v="REGULARISATION PETIT DEJEUNER RENTREE AGENT                                                             "/>
        <s v="REPAS FORMATION ET SEMINAIRE CODIR                                                             "/>
        <s v="ALIMENTATION SALLE DE REUNION MAIRE                                                             "/>
        <s v="FAC. 2507HY0848407 DU          30/06/2025 JS25004501 - SOIRÉE CLOTURE CME SOIRÉE CLOTURE CMEBUFFET AVE"/>
        <s v="FAC. 2507HY0871172 DU          04/07/2025 JS25007801 - BUFFET PORTE OUVERTE PS MATER - JUILLET PORTE O"/>
        <s v="FAC. 2507HY0939781 DU          18/07/2025 CL25014701 - REPAS ANIMS SEJOUR 3 REPAS ANIMS SEJOUR 3      "/>
        <s v="FAC. 2507HY0947278 DU          26/07/2025 CL25014601 - REPAS ANIMS SEJOUR 2 REPAS ANIMS SEJOUR 2      "/>
        <s v="FAC. 2507HY0947245 DU          26/07/2025 CL25014801 - REPAS ANIMS SEJOUR 4 REPAS ANIMS SEJOUR 4      "/>
        <s v="FAC. 51190102509 DU 29/04/2025 CL25003801 - GOUTER + PETIT DEJEUNER 2025                   "/>
        <s v="FAC. 51040102505 DU 14/04/2025 JS25002101 - ATELIER PATISSERIE SEMAINE 01 VACS PRINTEMPS 20"/>
        <s v="FAC. 2507HY0891195 DU          09/07/2025 JS25005401 - ATELIER PATISSERIE : DESSERT MAISON DU 10/07   "/>
        <s v="FAC. 2507HY0891196 DU          09/07/2025 JS25005301 - ATELIER TOP CHEF                               "/>
        <s v="FAC. 2507HY0902191 DU          11/07/2025 JS25005501 - SOIREE CLUEDO                                  "/>
        <s v="FAC. 2507HY0909603 DU          15/07/2025 JS25005701 - SMOOTHIE MAISON                                "/>
        <s v="FAC. 2507HY0909544 DU          15/07/2025 JS25005801 - STAND SUCREE                                   "/>
        <s v="FAC. 2507HY0939847 DU          23/07/2025 JS25005001 - GOUTERS 2EME QUINZAINE JUILLET                 "/>
        <s v="FAC. 2507HY0939861 DU          18/07/2025 JS25005901 - VEILLEE PIZZA - 18 JUILLET                     "/>
        <s v="FAC. 2507HY0939855 DU          23/07/2025 JS25006101 - KFC MAISON                                     "/>
        <s v="FAC. 51680202239 DU 17/06/2025 CU25001001 - ALIMENTATION BOISSONS POUR LE BUFFET DE  BUFFET"/>
        <s v="FAC. 2508HY1145387 DU          19/08/2025 JS25007201 - CREATION DE SORBET                             "/>
        <s v="FAC. 2508HY1145387 DU          19/08/2025 JS25007301 - LASAGNES                                       "/>
        <s v="FAC. 2508HY1169579 DU          25/08/2025 JS25007401 - BROCHETTES DE FRUIT                            "/>
        <s v="RATT FAC. 2412HY1348323 DU          30/12/2024 JS25000301 - SOIREE HAPPY NEW YEAR DU 02 JANVIER            "/>
        <s v="FAC. 2508HY1174218 DU          26/08/2025 JS25006601 - GOUTER 2EME QUINZAINE D AOUT                   "/>
        <s v="FAC. 2504HY0536164 DU          24/04/2025 CL25008401 - PATISSERIE VAC DAVRIL ELEM 3                   "/>
        <s v="FAC. 2504HY0524485 DU          22/04/2025 CL25006701 - VEILLEE FONDUE CHOCOLAT                        "/>
        <s v="FAC. 2508HY1126494 DU          13/08/2025 CL25013901 - ATELIER PATISSERIE AOUT ELEM 2                 "/>
        <s v="FAC. 2508HY1174188 DU          26/08/2025 CL25013501 - ATELIER PATISSERIE AOUT MATER 2                "/>
        <s v="FAC. 2508HY1174272 DU          26/08/2025 CL25015901 - VEILLEE QUIZZ/ REPAS26/08                      "/>
        <s v="FAC. 52130202247 DU 01/08/2025 JS25005201 - CREPE PARTY                                    "/>
        <s v="FAC. 52410202250 DU 29/08/2025 CU25003201 - ALIMENTATIONS, BOISSONS POUR LA RENTREE  ALIMEN"/>
        <s v="FAC. ECO5 DU 30/06/2025 RS25001301 - PAIN ACCUEIL PERISCOLAIRE CENTRE DE LOISIRS LOU"/>
        <s v="FAC. 02/2025 DU 09/09/2025 CU25004001 - REPAS DES AGENTS POUR LE FORUM DES ASSOCIATIONS"/>
        <s v="FAC. 01/2025 DU 09/09/2025 CU25004001 - REPAS DES AGENTS POUR LE FORUM DES ASSOCIATIONS"/>
        <s v="FAC. 2509HY1273344 DU          17/09/2025 JS25010101 - SOIREE FAJITAS DU 12/09/2025                   "/>
        <s v="FAC. 2506HY0758680 DU 10/06/2025 ME25002601 - Café, thé, boissons, gâteaux sucrés/salés      "/>
        <s v="FAC. 548 DU 07/09/2025 PETIT DEJEUNER POUR LA BROCANTE  PETIT DEJEUNER POUR LES EL "/>
        <s v="FAC. 519 DU 17/05/2025 CL25010001 - REPAS ANIMS REUNION ETE 17 MAI REPAS ANIMATEURS"/>
        <s v="ALIMENTATION BUREAU DU MAIRE                                                             "/>
        <s v="FAC. 2510HY1385917 DU          02/10/2025 CL25014101 - ATELIER PATISSERIE AOUT ELEM 4                 "/>
        <s v="FAC. 2510HY1386030 DU          02/10/2025 CL25013701 - ATELIER PATISSERIE AOUT MATER 4                "/>
        <s v="FAC. 2510HY1385970 DU          02/10/2025 CL25013601 - ATELIER PATISSERIE AOUT MATER 3                "/>
        <s v="FAC. 2510HY1386118 DU          02/10/2025 CL25014001 - ATELIER PATISSERIE AOUT ELEM 3                 "/>
        <s v="FAC. 2510HY1386067 DU          02/10/2025 CL25011701 - ATELIER PATISSERIE JUILLET MATER 8             "/>
        <s v="REGULARISATION MOIS OCTOBRE-ETAT 9                                                             "/>
        <s v="REGULARISATION MOIS OCTOBRE-ETAT 10                                                             "/>
        <s v="FAC. 52680202257 DU 25/09/2025 CU25003701 - BUFFET DE LA BIENNALE  BUFFET DE LA BIENNALE LE"/>
        <s v="FAC. 549 DU 10/09/2025 REPAS ADULTES GREVE DU 10 SEPTEMBRE OUVERTURE ACCU EIL LOUI "/>
        <s v="FAC. 559 DU 30/09/2025 RS25009001 - PAIN RESTAURANT COMMUNALMOIS DE SEPTEMBRE ET NO"/>
        <s v="FAC. 558 DU 30/09/2025 RS25000801 - PAIN ACCUEIL PERISCOLAIRE CENTRE DE LOISIRS LOU"/>
        <s v="FAC. 557 DU 30/09/2025 RS25000701 - PAIN ACCUEIL PERISCOLAIRE CENTRE DE LOISIRS PET"/>
        <s v="FAC. 556 DU 30/09/2025 RS25000901 - PAIN ACCUEIL PERISCOLAIRE JP1MOIS DE JANVIER - "/>
        <s v="FAC. 555 DU 30/09/2025 RS25000601 - PAIN POUR LA RESTAURATION SCOLAIREMOIS DE JANVI"/>
        <s v="FAC. 550 DU 18/09/2025 REPAS ADULTES GREVE DU 18 SEPTEMBRE RESTAURATION A TSEM SAN "/>
        <s v="FAC. 2510HY1408417 DU          08/10/2025 CL25022801 - GOUTERS ET PETITS DEJEUNERS OCTOBRE 1          "/>
        <s v="FAC. 2509HY1273428 DU          17/09/2025 PATISSERIE JUILLET ELEM 7                                   "/>
        <s v="FAC. 2509HY1273391 DU          17/09/2025 ATELIER PATISSERIE JUILLET MATER 7                          "/>
        <s v="FAC. 2509HY1273287 DU          17/09/2025 PATISSERIE JUILLET ELEM 6                                   "/>
        <s v="FAC. 2509HY1273469 DU          17/09/2025 PATISSERIE JUILLET ELEM 8                                   "/>
        <s v="FAC. 2510HY1460408 DU          20/10/2025 PATISSERIE VAC D OCTOBRE ELEM 1                             "/>
        <s v="FAC. 52520102550 DU 09/09/2025 CL25009701 - GOUTER + PETIT DEJEUNER SEPTEMBRE 2025         "/>
        <s v="FAC. 2510HY1460421 DU          20/10/2025 PATISSERIE VAC D OCTOBRE MATER 1                            "/>
        <s v="FAC. 2510HY1490183 DU          27/10/2025 BONBONS POUR LE 31 MATERNELS                                "/>
        <s v="FAC. 2510HY1490222 DU          27/10/2025 REPAS D HALLOWEEN 21 OCTOBRE                                "/>
        <s v="FAC. 2504HY0495241 DU          14/04/2025 GOUTERS VACANCES PRINTEMPS 2025                             "/>
        <s v="FAC. 2510HY1439105 DU          15/10/2025 YAOURTS, GATEAUX, JUS, VIENOISERIES ...                     "/>
        <s v="FAC. 2510HY1439089 DU          15/10/2025 BONBONS                                                     "/>
        <s v="FAC. 2510HY1439100 DU          15/10/2025 BOISSONS GATEAUX                                            "/>
        <s v="FAC. 2510HY1464546 DU          21/10/2025 GOUTERS VACANCES AUTOMNE 2025                               "/>
        <s v="FAC. 2510HY1469956 DU          22/10/2025 REPAS SEMAINE 01 VACS AUTOMNE 2025                          "/>
        <s v="FAC. 2510HY1470003 DU          22/10/2025 INGREDIENTS POUR ATELIER PIZZA DU 22.10.25                  "/>
        <s v="FAC. 2510HY1481763 DU          24/10/2025 GOUTER OCTOBRE - NOVEMBRE - DECEMBRE 2025                   "/>
        <s v="FAC. 2510HY1497315 DU          28/10/2025 CHASSE AUX BONBONS VACS AUTOMNE 2025                        "/>
        <s v="FAC. 2510HY1500116 DU          29/10/2025 REPAS SEMAINE 02 VACS AUTOMNE 2025                          "/>
        <s v="FAC. 2511HY1511285 DU          31/10/2025 FRIANDISES POUR HALLOWEEN                                   "/>
        <s v="FAC. 2511HY1511353 DU          31/10/2025 YAOURTS GATEAUX VIENOISERIES JUS DE FRUITS ...              "/>
        <s v="REGULARISATION RA 20052 ETATS 3 ET 9                                                             "/>
        <s v="REGULARISATION RA 20052 ETATS 2 ET 4                                                             "/>
        <s v="REGULARISATION RA 20052 ETAT 5                                                             "/>
        <s v="REGULARISATION RA 20052 ETAT 7                                                             "/>
        <s v="FAC. 2507HY0876731 DU          05/07/2025 REPAS ANIMS SEJOUR                                          "/>
        <s v="FAC. 2511HY1517812 DU          03/11/2025 BUFFET SOIREE ELECTION CME                                  "/>
        <s v="FAC. 2511HY1533354 DU          06/11/2025 GOUTERS TELETHON NOVEMBRE 2025                              "/>
        <s v="FAC. 2511HY1587821 DU          19/11/2025 ALIMENTATION + DECO BUFFET POUR LES PARENTS NOV 25          "/>
        <s v="FAC. 2511HY1600560 DU          21/11/2025 JUS DE FRUITS ET CHOCOLATS DE NOEL                          "/>
        <s v="FAC. 52800102559 DU 07/10/2025 GOUTER + PETIT DEJEUNER OCTOBRE 2025                        "/>
        <s v="FAC. 15 OC BIS DU 31/10/2025 PAIN ACCUEIL PERISCOLAIRE JP1MOIS OCTOBRE 25                "/>
        <s v="FAC. 18 OC DU 31/10/2025 PAIN RESTAURANT COMMUNALMOIS DE FEVRIER - AOUT              "/>
        <s v="FAC. 17 OC DU 31/10/2025 PAIN ACCUEIL PERISCOLAIRE CENTRE DE LOISIRS                 "/>
        <s v="FAC. 16 OC DU 31/10/2025 PAIN ACCUEIL PERISCOLAIRE CENTRE DE LOISIRS                 "/>
        <s v="FAC. 14 OC DU 31/10/2025 PAIN POUR LA RESTAURATION SCOLAIREMOIS OCT 25               "/>
        <s v="FAC. 568 DU 30/11/2025 PAIN RESTAURANT COMMUNALMOIS DE SEPTEMBRE ET NOVEMBRE 25    "/>
        <s v="FAC. 567 DU 30/11/2025 PAIN ACCUEIL PERISCOLAIRE CENTRE DE LOISIRS LOUISE M        "/>
        <s v="FAC. 566 DU 30/11/2025 PAIN ACCUEIL PERISCOLAIRE CENTRE DE LOISIRS PETIT P         "/>
        <s v="FAC. 565 DU 30/11/2025 PAIN ACCUEIL PERISCOLAIRE JP1MOIS NOV 25                    "/>
        <s v="FAC. 53080202263 DU 04/11/2025 ALIMENTATION DES BUFFETS DES CEREMONIES                     "/>
        <s v="FAC. 53320202267 DU 28/11/2025 PETITS CHOCOLATS DE NOEL                                    "/>
        <s v="FAC. 564 DU 30/11/2025 PAIN POUR LA RESTAURATION SCOLAIREMOIS DE NOV 25            "/>
        <s v="FAC. 564 DU 30/11/2025 PAIN ACCUEIL PERISCOLAIRE JP1MOIS DE NOV 2025               "/>
        <s v="FAC. 53170102580 DU 13/11/2025 GOUTER + PETIT DEJEUNER NOVEMBRE 2025                       "/>
        <s v="FAC. CJC15102025 DU 15/10/2025 REGULARISATION DES TICKETS REPAS POUR LE FORUM DES ASSO     "/>
        <s v="FAC. 2512HY1654153 DU          02/12/2025 YAOURTS VINNOISERIES GATEAUX JUS DE FRUITS ...              "/>
        <s v="FAC. 2512HY1654185 DU          02/12/2025 GATEAUX CHOCOLTAT LAIT JUS DE FRUITS                        "/>
        <s v="FAC. 2512HY1654171 DU          02/12/2025 YAOURTS GATEAUX VIENNOISERIES JUS DE FRUITS ...             "/>
        <s v="FAC. 2512HY1654191 DU          02/12/2025 CHOCOLATS DE NOEL POUR LES ENFANTS                          "/>
        <s v="FAC. 2026 DU 21/07/2025 ME25008501 - Achat de baguettes pour accompagner les repas d"/>
        <s v="RATTACHEMENT 2025 REPAS CODIR "/>
        <s v="BUFFET DE NOEL POUR LES PARENTS SUCRE /SALE "/>
        <s v="PRODUITS FRAIS YAOURTS + FRUITS GOUTER JP1 "/>
        <s v="GOUTERS ET PETITS DEJEUNERS NOVEMBRE 1 "/>
        <s v="GOUTERS ET PETITS DEJEUNERS DECEMBRE 1 "/>
        <s v="GOUTERS ET PETITS DEJEUNERS NOVEMBRE 2 "/>
        <s v="GOUTERS ET PETITS DEJEUNERS DECEMBRE 2 "/>
        <s v="REPAS D HALLOWEEN 21 OCTOBRE "/>
        <s v="PATISSERIE VAC D OCTOBRE ELEM 2 "/>
        <s v="YAOURTS GATEAUX VIENOISERIES JUS DE FRUITS ... "/>
        <s v="YAOURTS VIENNOISERIES GATEAUX JUS DE FRUITS ... "/>
        <s v="GATEAUX BOISSONS BONBONS "/>
        <s v="FARINE OEUFS CHOCOLAT... "/>
        <s v="CHOCOLATS BOISSONS APERITIFS INGREDIENTS POUR PREP ATION CUL INAIRE"/>
        <s v="AMUSE-BOUCHE SALEE SUCREE "/>
        <s v="PATISSERIE VAC DE NOEL MATER 1 "/>
        <s v="PATISSERIE VAC DE NOEL ELEM 1 "/>
        <s v="PATISSERIE VAC DE NOEL MATER 2 "/>
        <s v="PATISSERIE VAC DE NOEL ELEM 2 "/>
        <s v="GOUTER AMELIORE VAC DE NOEL SEMAINE 1 "/>
        <s v="GOUTER AMELIORE VAC DE NOEL SEMAINE 2 "/>
        <s v="VEILLEE TARTIFLETTE "/>
        <s v="FARINE, BEURRE, OEUFS ... "/>
        <s v="VEILLEE RACLETTE "/>
        <s v="GOUTER AMELIORE CHOCOLATS "/>
        <s v="RATTACHEMENT 2025 REUNION PM ET BAILLEURS "/>
        <s v="ACHAT D'OEUFS EN CHOCOLAT  ACHAT D'OEUFS EN CHOCOLATS POUR L A CHASSE AUX OEUF"/>
        <s v="ACHAT DE BONBONS POUR LE MARCHE DE NOEL  ACHAT DE BONBONS PO UR LE MARCHE DE NOEL "/>
        <s v="RATTACHEMENT 2025  REPAS LOTO CLUB ADOS "/>
        <s v="ATELIER PATISSERIE SEMAINE 01 VACS AUTOMNE 2025 "/>
        <s v="ATELIER PATISSERIE SEMAINE 02 VACS AUTOMNE 2025 "/>
        <s v="GOUTERS VACANCES DE NOEL 2025 "/>
        <s v="REPAS AU CLUB 01 VACANCES DE NOEL 2025 "/>
        <s v="REPAS AU CLUB 02 VACANCES DE NOEL 2025 "/>
        <s v="ATELIER PATISSERIE 01 VACANCES DE NOEL 2025 "/>
        <s v="SOIREE VACANCES DE NOEL 2025 "/>
        <s v="ATELIER PATISSERIE GATEAU DE BONBONS VACANCES DE N OEL "/>
        <s v="ATELIER PATISSERIE CREPES PARTY DU 12/11 "/>
        <s v="ATELIER PATISSERIE COOKIES DE NOEL DU 03/12 "/>
        <s v="course alimentaire pour la prestation du comédien  David DES CLOS le 21/11"/>
        <s v="course pour le BAL D'HIVER pour 60 personnes "/>
        <s v="Course fin d'année  (café, goûter jeunes, farine e tc) "/>
        <s v="Achat de baguettes pour accompagner les repas des  enfants d e la MPE de l'année 2025."/>
        <s v="PAIN POUR LA RESTAURATION SCOLAIREMOIS DE FEVRIER  - AVRIL -  JUIN - OCTOBRE - DECEMBRE"/>
        <s v="PAIN ACCUEIL PERISCOLAIRE CENTRE DE LOISIRS PETIT  PRINCEMOI S DE FEVRIER - AVRIL - JUIN - OCTOBRE - D"/>
        <s v="PAIN ACCUEIL PERISCOLAIRE CENTRE DE LOISIRS LOUISE  MICHELMO IS DE FEVRIER - AVRIL - JUIN - OCTOBRE - "/>
        <s v="PAIN ACCUEIL PERISCOLAIRE JP1MOIS DE FEVRIER - AVR IL - JUIN  - OCTOBRE - DECEMBRE"/>
        <s v="PAIN RESTAURANT COMMUNALMOIS DE FEVRIER - AVRIL -  JUIN - AO UT / OCTOBRE - DECEMBRE"/>
        <s v="PAIN RESTAURANT COMMUNALMOIS DE FEVRIER - AOUT OCT OBRE ET D ECEMBRE"/>
        <s v="MINI VIENNOISERIES POUR LE GOUTER DE NOEL DES ECOL ES MATERN ELLES"/>
      </sharedItems>
    </cacheField>
    <cacheField name="Montant HT" numFmtId="4">
      <sharedItems containsSemiMixedTypes="0" containsString="0" containsNumber="1" minValue="3.38" maxValue="1357.42"/>
    </cacheField>
    <cacheField name="Montant TVA" numFmtId="4">
      <sharedItems containsSemiMixedTypes="0" containsString="0" containsNumber="1" minValue="0" maxValue="133.69999999999999"/>
    </cacheField>
    <cacheField name="Montant TTC" numFmtId="4">
      <sharedItems containsSemiMixedTypes="0" containsString="0" containsNumber="1" minValue="4.05" maxValue="1432.08"/>
    </cacheField>
    <cacheField name="Réf. dossier" numFmtId="0">
      <sharedItems containsNonDate="0" containsString="0" containsBlank="1"/>
    </cacheField>
    <cacheField name="Date règlement" numFmtId="14">
      <sharedItems containsNonDate="0" containsDate="1" containsString="0" containsBlank="1" minDate="2025-02-13T00:00:00" maxDate="2026-01-10T00:00:00"/>
    </cacheField>
    <cacheField name="Montant pour le C.A." numFmtId="4">
      <sharedItems containsSemiMixedTypes="0" containsString="0" containsNumber="1" minValue="4.05" maxValue="1432.08"/>
    </cacheField>
    <cacheField name="Engagement" numFmtId="0">
      <sharedItems containsBlank="1" count="223">
        <s v="RS24009004R"/>
        <s v="RS24009001R"/>
        <s v="RS24009002R"/>
        <s v="RS24009003R"/>
        <s v="RS24009005R"/>
        <m/>
        <s v="JS24011601R"/>
        <s v="JS25000601"/>
        <s v="JS25000501"/>
        <s v="JS25000801"/>
        <s v="RS25001001"/>
        <s v="RS25000801"/>
        <s v="RS25000701"/>
        <s v="RS25000901"/>
        <s v="RS25000601"/>
        <s v="SC24020701R"/>
        <s v="AG24002701R"/>
        <s v="CL25000101"/>
        <s v="CL25001001"/>
        <s v="CL25002201"/>
        <s v="CL25002001"/>
        <s v="CL25001101"/>
        <s v="CL25001201"/>
        <s v="CL25001701"/>
        <s v="CL25001801"/>
        <s v="CL25001601"/>
        <s v="JS25000901"/>
        <s v="JS25001201"/>
        <s v="CL25000701"/>
        <s v="CL25000801"/>
        <s v="JS25000701"/>
        <s v="CL25003501"/>
        <s v="CL25002101"/>
        <s v="CL24034001R"/>
        <s v="CL25003101"/>
        <s v="CL25001901"/>
        <s v="CL25002301"/>
        <s v="CL25000201"/>
        <s v="CU25001001"/>
        <s v="CU25000501"/>
        <s v="JS25002201"/>
        <s v="CL25003701"/>
        <s v="CL25000301"/>
        <s v="CL25004101"/>
        <s v="CL25000401"/>
        <s v="CL25002601"/>
        <s v="CL25002501"/>
        <s v="CL25002401"/>
        <s v="CL25004201"/>
        <s v="JS25002301"/>
        <s v="ME25001601"/>
        <s v="JS25001601"/>
        <s v="JS25003201"/>
        <s v="CU25001701"/>
        <s v="SC25005601"/>
        <s v="CU25000201"/>
        <s v="JS25001901"/>
        <s v="RS25001101"/>
        <s v="RS25001401"/>
        <s v="RS25001201"/>
        <s v="RS25001301"/>
        <s v="RS25001501"/>
        <s v="JS24012701R"/>
        <s v="CL25007101"/>
        <s v="CL25007801"/>
        <s v="CL25006401"/>
        <s v="CL25006501"/>
        <s v="CL25008201"/>
        <s v="CL25008301"/>
        <s v="CL25006601"/>
        <s v="CL25007901"/>
        <s v="CL25008101"/>
        <s v="CL25007001"/>
        <s v="CL25008501"/>
        <s v="CL25008001"/>
        <s v="CL25006901"/>
        <s v="CL25006801"/>
        <s v="CL25004401"/>
        <s v="CL25004301"/>
        <s v="CL25004501"/>
        <s v="SC25004301"/>
        <s v="SC25007801"/>
        <s v="CU25001501"/>
        <s v="JS25008501"/>
        <s v="JS25002501"/>
        <s v="JS25002401"/>
        <s v="JS25003401"/>
        <s v="JS25003801"/>
        <s v="JS25005101"/>
        <s v="CL25019601"/>
        <s v="JS25004901"/>
        <s v="CL25005201"/>
        <s v="CL25007701"/>
        <s v="CL25009001"/>
        <s v="CL25018901"/>
        <s v="CL25019201"/>
        <s v="CL25010201"/>
        <s v="CL25019101"/>
        <s v="CL25007501"/>
        <s v="CL25018801"/>
        <s v="CL25010301"/>
        <s v="CL25016401"/>
        <s v="CL25005101"/>
        <s v="CL25019001"/>
        <s v="CL25011001"/>
        <s v="CL25007201"/>
        <s v="CL25012301"/>
        <s v="CL25004601"/>
        <s v="CL25012201"/>
        <s v="CL25015201"/>
        <s v="CL25015301"/>
        <s v="CL25011101"/>
        <s v="CL25012401"/>
        <s v="CL25011301"/>
        <s v="CL25011201"/>
        <s v="CL25012501"/>
        <s v="CL25012601"/>
        <s v="CL25011501"/>
        <s v="CL25015401"/>
        <s v="CL25011401"/>
        <s v="CL25013801"/>
        <s v="CL25015601"/>
        <s v="CL25015501"/>
        <s v="CL25013401"/>
        <s v="CL25015701"/>
        <s v="JS25005601"/>
        <s v="JS25006301"/>
        <s v="JS25006401"/>
        <s v="JS25006701"/>
        <s v="JS25006801"/>
        <s v="JS25006501"/>
        <s v="JS25006001"/>
        <s v="JS25007001"/>
        <s v="CL25015801"/>
        <s v="JS25006201"/>
        <s v="JS25006901"/>
        <s v="JS25003101"/>
        <s v="JS25009001"/>
        <s v="JS25009101"/>
        <s v="JS25009201"/>
        <s v="CL25019301"/>
        <s v="RS25009401"/>
        <s v="CL25018601"/>
        <s v="CL25018701"/>
        <s v="JS25004501"/>
        <s v="JS25007801"/>
        <s v="CL25014701"/>
        <s v="CL25014601"/>
        <s v="CL25014801"/>
        <s v="CL25003801"/>
        <s v="JS25002101"/>
        <s v="JS25005401"/>
        <s v="JS25005301"/>
        <s v="JS25005501"/>
        <s v="JS25005701"/>
        <s v="JS25005801"/>
        <s v="JS25005001"/>
        <s v="JS25005901"/>
        <s v="JS25006101"/>
        <s v="JS25007201"/>
        <s v="JS25007301"/>
        <s v="JS25007401"/>
        <s v="JS25000301"/>
        <s v="JS25006601"/>
        <s v="CL25008401"/>
        <s v="CL25006701"/>
        <s v="CL25013901"/>
        <s v="CL25013501"/>
        <s v="CL25015901"/>
        <s v="JS25005201"/>
        <s v="CU25003201"/>
        <s v="CU25004001"/>
        <s v="JS25010101"/>
        <s v="ME25002601"/>
        <s v="CU25003401"/>
        <s v="CL25010001"/>
        <s v="CL25014101"/>
        <s v="CL25013701"/>
        <s v="CL25013601"/>
        <s v="CL25014001"/>
        <s v="CL25011701"/>
        <s v="CU25003701"/>
        <s v="RS25011301"/>
        <s v="RS25009001"/>
        <s v="RS25011501"/>
        <s v="CL25022801"/>
        <s v="CL25012801"/>
        <s v="CL25011601"/>
        <s v="CL25012701"/>
        <s v="CL25012901"/>
        <s v="CL25024301"/>
        <s v="CL25009701"/>
        <s v="CL25024201"/>
        <s v="CL25024601"/>
        <s v="CL25024101"/>
        <s v="JS25002001"/>
        <s v="CL25024901"/>
        <s v="CL25025701"/>
        <s v="CL25025501"/>
        <s v="JS25010501"/>
        <s v="JS25010701"/>
        <s v="JS25012901"/>
        <s v="JS25012801"/>
        <s v="JS25011001"/>
        <s v="JS25010901"/>
        <s v="CL25026001"/>
        <s v="CL25025001"/>
        <s v="CL25014501"/>
        <s v="JS25012501"/>
        <s v="JS25013801"/>
        <s v="CL25010601"/>
        <s v="SC25018801"/>
        <s v="CL25009801"/>
        <s v="RS25009101"/>
        <s v="CU25003801"/>
        <s v="CL25010801"/>
        <s v="CL25010501"/>
        <s v="CU25005501"/>
        <s v="CL25025301"/>
        <s v="CL25030501"/>
        <s v="CL25025201"/>
        <s v="CL25027001"/>
        <s v="ME25008501"/>
      </sharedItems>
    </cacheField>
    <cacheField name="Solde eng." numFmtId="4">
      <sharedItems containsSemiMixedTypes="0" containsString="0" containsNumber="1" containsInteger="1" minValue="0" maxValue="0"/>
    </cacheField>
    <cacheField name="Marché" numFmtId="0">
      <sharedItems containsNonDate="0" containsString="0" containsBlank="1"/>
    </cacheField>
    <cacheField name="Reconduction" numFmtId="0">
      <sharedItems containsNonDate="0" containsString="0" containsBlank="1"/>
    </cacheField>
    <cacheField name="Lot2" numFmtId="0">
      <sharedItems containsNonDate="0" containsString="0" containsBlank="1"/>
    </cacheField>
    <cacheField name="Tranche" numFmtId="0">
      <sharedItems containsNonDate="0" containsString="0" containsBlank="1"/>
    </cacheField>
    <cacheField name="Ligne" numFmtId="0">
      <sharedItems containsNonDate="0" containsString="0" containsBlank="1"/>
    </cacheField>
    <cacheField name="Avenant" numFmtId="0">
      <sharedItems containsNonDate="0" containsString="0" containsBlank="1"/>
    </cacheField>
    <cacheField name="Mt révision HT" numFmtId="4">
      <sharedItems containsSemiMixedTypes="0" containsString="0" containsNumber="1" containsInteger="1" minValue="0" maxValue="0"/>
    </cacheField>
    <cacheField name="Mt révision TVA" numFmtId="4">
      <sharedItems containsSemiMixedTypes="0" containsString="0" containsNumber="1" containsInteger="1" minValue="0" maxValue="0"/>
    </cacheField>
    <cacheField name="Mt révision TTC" numFmtId="4">
      <sharedItems containsSemiMixedTypes="0" containsString="0" containsNumber="1" containsInteger="1" minValue="0" maxValue="0"/>
    </cacheField>
    <cacheField name="Code contrat" numFmtId="0">
      <sharedItems containsNonDate="0" containsString="0" containsBlank="1" count="1">
        <m/>
      </sharedItems>
    </cacheField>
    <cacheField name="Code tiers" numFmtId="0">
      <sharedItems count="11">
        <s v="5384"/>
        <s v="1462"/>
        <s v="1507"/>
        <s v="7485"/>
        <s v="7727"/>
        <s v="2858"/>
        <s v="2638"/>
        <s v="1494"/>
        <s v="3341"/>
        <s v="9401"/>
        <s v="163"/>
      </sharedItems>
    </cacheField>
    <cacheField name="Libellé tiers" numFmtId="0">
      <sharedItems count="11">
        <s v="SAS VERMAR L ORGE ET LE BLE "/>
        <s v="RA 20052 AFFAIRES GENERALES "/>
        <s v="AUCHAN HYPERMARCHE "/>
        <s v="SAS PATAUX LA CERISE SUR LE GATE"/>
        <s v="INTERMARCHE ACROSNIM CROSNE "/>
        <s v="RA 20050 JEUNESSE ET SPORTS "/>
        <s v="RA 20051 CENTRE DE LOISIRS "/>
        <s v="AMITIE FRANCO PORTUGAISE "/>
        <s v="COMITE DE JUMELAGE DE CROSNE "/>
        <s v="SAS LA TRADITION CROSNOISE "/>
        <s v="CENTRE DES FINANCES PUBLIQUES YE"/>
      </sharedItems>
    </cacheField>
    <cacheField name="Gestionnaire" numFmtId="0">
      <sharedItems/>
    </cacheField>
    <cacheField name="Fonction" numFmtId="0">
      <sharedItems/>
    </cacheField>
    <cacheField name="Nature" numFmtId="0">
      <sharedItems/>
    </cacheField>
    <cacheField name="Opération" numFmtId="0">
      <sharedItems/>
    </cacheField>
    <cacheField name="Pgm (opé)" numFmtId="0">
      <sharedItems containsNonDate="0" containsString="0" containsBlank="1"/>
    </cacheField>
    <cacheField name="Service" numFmtId="0">
      <sharedItems count="9">
        <s v="2-RE"/>
        <s v="0-CA"/>
        <s v="3-CU"/>
        <s v="4-JE"/>
        <s v="2-SC"/>
        <s v="0-AG"/>
        <s v="4-CT"/>
        <s v="6-MP"/>
        <s v="0-FI"/>
      </sharedItems>
    </cacheField>
    <cacheField name="Antenne" numFmtId="0">
      <sharedItems count="16">
        <s v="RESTGAV"/>
        <s v="RESTCOMM"/>
        <s v=" "/>
        <s v="CLJP1"/>
        <s v="RESTMICH"/>
        <s v="CAB"/>
        <s v="CA"/>
        <s v="ETATCIV"/>
        <s v="CLMICH"/>
        <s v="MDJ"/>
        <s v="CLGAV"/>
        <s v="CRCOLL"/>
        <s v="MANIFSPORT"/>
        <s v="CMJ"/>
        <s v="FIN"/>
        <s v="RAM"/>
      </sharedItems>
    </cacheField>
    <cacheField name="Chapitre" numFmtId="0">
      <sharedItems/>
    </cacheField>
    <cacheField name="Libellé chapitre" numFmtId="0">
      <sharedItems/>
    </cacheField>
    <cacheField name="Cha. voté" numFmtId="0">
      <sharedItems/>
    </cacheField>
    <cacheField name="Libellé chapitre voté" numFmtId="0">
      <sharedItems/>
    </cacheField>
    <cacheField name="Nomenclature" numFmtId="0">
      <sharedItems containsNonDate="0" containsString="0" containsBlank="1"/>
    </cacheField>
    <cacheField name="Libellé nomenclature" numFmtId="0">
      <sharedItems containsNonDate="0" containsString="0" containsBlank="1"/>
    </cacheField>
    <cacheField name="Type dep." numFmtId="0">
      <sharedItems containsNonDate="0" containsString="0" containsBlank="1"/>
    </cacheField>
    <cacheField name="Objectif" numFmtId="0">
      <sharedItems containsNonDate="0" containsString="0" containsBlank="1"/>
    </cacheField>
    <cacheField name="Code famille Nomemclature" numFmtId="0">
      <sharedItems containsNonDate="0" containsString="0" containsBlank="1"/>
    </cacheField>
    <cacheField name="Libellé famille Nomenclature" numFmtId="0">
      <sharedItems containsNonDate="0" containsString="0" containsBlank="1"/>
    </cacheField>
    <cacheField name="Ligne AGEC" numFmtId="0">
      <sharedItems containsNonDate="0" containsString="0" containsBlank="1"/>
    </cacheField>
    <cacheField name="Montant réemploi ou réutilisation" numFmtId="164">
      <sharedItems containsNonDate="0" containsString="0" containsBlank="1"/>
    </cacheField>
    <cacheField name="Taux minimum" numFmtId="4">
      <sharedItems containsNonDate="0" containsString="0" containsBlank="1"/>
    </cacheField>
    <cacheField name="Montant matières recyclées" numFmtId="164">
      <sharedItems containsNonDate="0" containsString="0" containsBlank="1"/>
    </cacheField>
    <cacheField name="Taux minimum2" numFmtId="4">
      <sharedItems containsNonDate="0" containsString="0" containsBlank="1"/>
    </cacheField>
    <cacheField name="Inscription" numFmtId="0">
      <sharedItems containsBlank="1"/>
    </cacheField>
    <cacheField name="Immobilisation" numFmtId="0">
      <sharedItems containsNonDate="0" containsString="0" containsBlank="1"/>
    </cacheField>
    <cacheField name="N° inventaire" numFmtId="0">
      <sharedItems containsNonDate="0" containsString="0" containsBlank="1"/>
    </cacheField>
    <cacheField name="Programme" numFmtId="0">
      <sharedItems containsNonDate="0" containsString="0" containsBlank="1"/>
    </cacheField>
    <cacheField name="Année d’AP" numFmtId="0">
      <sharedItems containsNonDate="0" containsString="0" containsBlank="1"/>
    </cacheField>
    <cacheField name="Engagement AP" numFmtId="0">
      <sharedItems containsNonDate="0" containsString="0" containsBlank="1"/>
    </cacheField>
    <cacheField name="N° facture" numFmtId="0">
      <sharedItems containsBlank="1"/>
    </cacheField>
    <cacheField name="Nombre PJ" numFmtId="0">
      <sharedItems containsSemiMixedTypes="0" containsString="0" containsNumber="1" containsInteger="1" minValue="0" maxValue="1"/>
    </cacheField>
    <cacheField name="Nombre CA" numFmtId="0">
      <sharedItems containsSemiMixedTypes="0" containsString="0" containsNumber="1" containsInteger="1" minValue="0" maxValue="0"/>
    </cacheField>
    <cacheField name="Début Prestation" numFmtId="14">
      <sharedItems containsNonDate="0" containsString="0" containsBlank="1"/>
    </cacheField>
    <cacheField name="Fin Prestation" numFmtId="14">
      <sharedItems containsNonDate="0" containsString="0" containsBlank="1"/>
    </cacheField>
    <cacheField name="Objet Prestation" numFmtId="0">
      <sharedItems containsNonDate="0" containsString="0" containsBlank="1"/>
    </cacheField>
    <cacheField name="Prise en charge" numFmtId="14">
      <sharedItems containsNonDate="0" containsDate="1" containsString="0" containsBlank="1" minDate="2025-02-13T00:00:00" maxDate="2026-01-10T00:00:00"/>
    </cacheField>
    <cacheField name="Acquittement du flux" numFmtId="14">
      <sharedItems containsNonDate="0" containsDate="1" containsString="0" containsBlank="1" minDate="2025-02-13T00:00:00" maxDate="2026-02-20T00:00:00"/>
    </cacheField>
    <cacheField name="Montant payé/encaissé" numFmtId="4">
      <sharedItems containsSemiMixedTypes="0" containsString="0" containsNumber="1" minValue="0" maxValue="1432.08"/>
    </cacheField>
    <cacheField name="Génération du flux" numFmtId="14">
      <sharedItems containsSemiMixedTypes="0" containsNonDate="0" containsDate="1" containsString="0" minDate="2025-02-12T00:00:00" maxDate="2026-02-19T00:00:00"/>
    </cacheField>
  </cacheFields>
  <extLst>
    <ext xmlns:x14="http://schemas.microsoft.com/office/spreadsheetml/2009/9/main" uri="{725AE2AE-9491-48be-B2B4-4EB974FC3084}">
      <x14:pivotCacheDefinition pivotCacheId="5413485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x v="0"/>
    <x v="0"/>
    <x v="0"/>
    <x v="0"/>
    <d v="2025-02-10T00:00:00"/>
    <x v="0"/>
    <n v="30.06"/>
    <x v="0"/>
    <x v="0"/>
    <x v="0"/>
    <x v="0"/>
    <x v="0"/>
    <s v="001"/>
    <m/>
    <s v=" "/>
    <s v="281"/>
    <x v="0"/>
    <s v=" "/>
    <x v="0"/>
    <x v="0"/>
    <x v="0"/>
    <m/>
    <m/>
    <x v="0"/>
    <x v="0"/>
  </r>
  <r>
    <x v="1"/>
    <x v="0"/>
    <x v="1"/>
    <x v="1"/>
    <d v="2025-02-10T00:00:00"/>
    <x v="1"/>
    <n v="24.2"/>
    <x v="1"/>
    <x v="0"/>
    <x v="0"/>
    <x v="0"/>
    <x v="0"/>
    <s v="001"/>
    <m/>
    <s v=" "/>
    <s v="281"/>
    <x v="0"/>
    <s v=" "/>
    <x v="0"/>
    <x v="0"/>
    <x v="0"/>
    <m/>
    <m/>
    <x v="0"/>
    <x v="0"/>
  </r>
  <r>
    <x v="2"/>
    <x v="0"/>
    <x v="2"/>
    <x v="2"/>
    <d v="2025-02-10T00:00:00"/>
    <x v="2"/>
    <n v="1072.97"/>
    <x v="2"/>
    <x v="0"/>
    <x v="0"/>
    <x v="0"/>
    <x v="0"/>
    <s v="001"/>
    <m/>
    <s v=" "/>
    <s v="281"/>
    <x v="0"/>
    <s v=" "/>
    <x v="0"/>
    <x v="0"/>
    <x v="0"/>
    <m/>
    <m/>
    <x v="0"/>
    <x v="0"/>
  </r>
  <r>
    <x v="3"/>
    <x v="0"/>
    <x v="2"/>
    <x v="3"/>
    <d v="2025-02-10T00:00:00"/>
    <x v="3"/>
    <n v="1666.14"/>
    <x v="3"/>
    <x v="0"/>
    <x v="0"/>
    <x v="1"/>
    <x v="0"/>
    <s v="001"/>
    <m/>
    <s v=" "/>
    <s v="281"/>
    <x v="0"/>
    <s v=" "/>
    <x v="0"/>
    <x v="0"/>
    <x v="0"/>
    <m/>
    <m/>
    <x v="0"/>
    <x v="0"/>
  </r>
  <r>
    <x v="4"/>
    <x v="1"/>
    <x v="3"/>
    <x v="4"/>
    <d v="2025-02-18T00:00:00"/>
    <x v="4"/>
    <n v="3427.9"/>
    <x v="4"/>
    <x v="0"/>
    <x v="0"/>
    <x v="1"/>
    <x v="0"/>
    <s v="001"/>
    <m/>
    <s v=" "/>
    <s v="281"/>
    <x v="0"/>
    <s v=" "/>
    <x v="0"/>
    <x v="0"/>
    <x v="0"/>
    <m/>
    <m/>
    <x v="0"/>
    <x v="0"/>
  </r>
  <r>
    <x v="5"/>
    <x v="2"/>
    <x v="4"/>
    <x v="5"/>
    <d v="2025-02-21T00:00:00"/>
    <x v="5"/>
    <n v="243.21"/>
    <x v="5"/>
    <x v="0"/>
    <x v="0"/>
    <x v="2"/>
    <x v="0"/>
    <s v="001"/>
    <m/>
    <s v=" "/>
    <s v="331"/>
    <x v="0"/>
    <s v=" "/>
    <x v="0"/>
    <x v="1"/>
    <x v="0"/>
    <m/>
    <m/>
    <x v="0"/>
    <x v="0"/>
  </r>
  <r>
    <x v="6"/>
    <x v="2"/>
    <x v="5"/>
    <x v="6"/>
    <d v="2025-02-21T00:00:00"/>
    <x v="6"/>
    <n v="21.02"/>
    <x v="6"/>
    <x v="0"/>
    <x v="0"/>
    <x v="3"/>
    <x v="0"/>
    <s v="001"/>
    <m/>
    <s v=" "/>
    <s v="020"/>
    <x v="0"/>
    <s v=" "/>
    <x v="0"/>
    <x v="2"/>
    <x v="0"/>
    <m/>
    <m/>
    <x v="0"/>
    <x v="0"/>
  </r>
  <r>
    <x v="7"/>
    <x v="2"/>
    <x v="6"/>
    <x v="7"/>
    <d v="2025-02-21T00:00:00"/>
    <x v="7"/>
    <n v="228.13"/>
    <x v="7"/>
    <x v="0"/>
    <x v="0"/>
    <x v="4"/>
    <x v="0"/>
    <s v="001"/>
    <m/>
    <s v=" "/>
    <s v="331"/>
    <x v="0"/>
    <s v=" "/>
    <x v="0"/>
    <x v="3"/>
    <x v="0"/>
    <m/>
    <m/>
    <x v="0"/>
    <x v="0"/>
  </r>
  <r>
    <x v="8"/>
    <x v="2"/>
    <x v="7"/>
    <x v="8"/>
    <d v="2025-02-21T00:00:00"/>
    <x v="8"/>
    <n v="10.97"/>
    <x v="8"/>
    <x v="0"/>
    <x v="0"/>
    <x v="5"/>
    <x v="0"/>
    <s v="001"/>
    <m/>
    <s v=" "/>
    <s v="338"/>
    <x v="0"/>
    <s v=" "/>
    <x v="0"/>
    <x v="4"/>
    <x v="0"/>
    <m/>
    <m/>
    <x v="0"/>
    <x v="0"/>
  </r>
  <r>
    <x v="9"/>
    <x v="3"/>
    <x v="8"/>
    <x v="9"/>
    <d v="2025-02-27T00:00:00"/>
    <x v="9"/>
    <n v="196.33"/>
    <x v="9"/>
    <x v="0"/>
    <x v="0"/>
    <x v="6"/>
    <x v="0"/>
    <s v="001"/>
    <m/>
    <s v=" "/>
    <s v="4221"/>
    <x v="0"/>
    <s v=" "/>
    <x v="1"/>
    <x v="5"/>
    <x v="0"/>
    <m/>
    <m/>
    <x v="0"/>
    <x v="0"/>
  </r>
  <r>
    <x v="10"/>
    <x v="4"/>
    <x v="9"/>
    <x v="10"/>
    <d v="2025-03-20T00:00:00"/>
    <x v="10"/>
    <n v="33.5"/>
    <x v="10"/>
    <x v="0"/>
    <x v="0"/>
    <x v="7"/>
    <x v="0"/>
    <s v="001"/>
    <m/>
    <s v=" "/>
    <s v="020"/>
    <x v="0"/>
    <s v=" "/>
    <x v="0"/>
    <x v="2"/>
    <x v="0"/>
    <m/>
    <m/>
    <x v="0"/>
    <x v="0"/>
  </r>
  <r>
    <x v="11"/>
    <x v="4"/>
    <x v="10"/>
    <x v="11"/>
    <d v="2025-03-20T00:00:00"/>
    <x v="11"/>
    <n v="154.52000000000001"/>
    <x v="11"/>
    <x v="0"/>
    <x v="0"/>
    <x v="6"/>
    <x v="0"/>
    <s v="001"/>
    <m/>
    <s v=" "/>
    <s v="4221"/>
    <x v="0"/>
    <s v=" "/>
    <x v="1"/>
    <x v="5"/>
    <x v="0"/>
    <m/>
    <m/>
    <x v="0"/>
    <x v="0"/>
  </r>
  <r>
    <x v="12"/>
    <x v="4"/>
    <x v="11"/>
    <x v="12"/>
    <d v="2025-03-20T00:00:00"/>
    <x v="12"/>
    <n v="1705.66"/>
    <x v="12"/>
    <x v="0"/>
    <x v="0"/>
    <x v="1"/>
    <x v="0"/>
    <s v="001"/>
    <m/>
    <s v=" "/>
    <s v="281"/>
    <x v="0"/>
    <s v=" "/>
    <x v="0"/>
    <x v="0"/>
    <x v="0"/>
    <m/>
    <m/>
    <x v="0"/>
    <x v="0"/>
  </r>
  <r>
    <x v="13"/>
    <x v="4"/>
    <x v="12"/>
    <x v="13"/>
    <d v="2025-03-20T00:00:00"/>
    <x v="13"/>
    <n v="534.22"/>
    <x v="13"/>
    <x v="0"/>
    <x v="0"/>
    <x v="2"/>
    <x v="0"/>
    <s v="001"/>
    <m/>
    <s v=" "/>
    <s v="331"/>
    <x v="0"/>
    <s v=" "/>
    <x v="0"/>
    <x v="1"/>
    <x v="0"/>
    <m/>
    <m/>
    <x v="0"/>
    <x v="0"/>
  </r>
  <r>
    <x v="14"/>
    <x v="4"/>
    <x v="13"/>
    <x v="14"/>
    <d v="2025-03-20T00:00:00"/>
    <x v="6"/>
    <n v="21.02"/>
    <x v="6"/>
    <x v="0"/>
    <x v="0"/>
    <x v="3"/>
    <x v="0"/>
    <s v="001"/>
    <m/>
    <s v=" "/>
    <s v="020"/>
    <x v="0"/>
    <s v=" "/>
    <x v="0"/>
    <x v="2"/>
    <x v="0"/>
    <m/>
    <m/>
    <x v="0"/>
    <x v="0"/>
  </r>
  <r>
    <x v="15"/>
    <x v="4"/>
    <x v="14"/>
    <x v="15"/>
    <d v="2025-03-20T00:00:00"/>
    <x v="14"/>
    <n v="434.42"/>
    <x v="14"/>
    <x v="0"/>
    <x v="0"/>
    <x v="4"/>
    <x v="0"/>
    <s v="001"/>
    <m/>
    <s v=" "/>
    <s v="331"/>
    <x v="0"/>
    <s v=" "/>
    <x v="0"/>
    <x v="3"/>
    <x v="0"/>
    <m/>
    <m/>
    <x v="0"/>
    <x v="0"/>
  </r>
  <r>
    <x v="16"/>
    <x v="4"/>
    <x v="15"/>
    <x v="16"/>
    <d v="2025-03-20T00:00:00"/>
    <x v="15"/>
    <n v="26.8"/>
    <x v="15"/>
    <x v="0"/>
    <x v="0"/>
    <x v="5"/>
    <x v="0"/>
    <s v="001"/>
    <m/>
    <s v=" "/>
    <s v="338"/>
    <x v="0"/>
    <s v=" "/>
    <x v="0"/>
    <x v="4"/>
    <x v="0"/>
    <m/>
    <m/>
    <x v="0"/>
    <x v="0"/>
  </r>
  <r>
    <x v="17"/>
    <x v="5"/>
    <x v="16"/>
    <x v="17"/>
    <d v="2025-04-11T00:00:00"/>
    <x v="16"/>
    <n v="2062.86"/>
    <x v="16"/>
    <x v="0"/>
    <x v="0"/>
    <x v="1"/>
    <x v="0"/>
    <s v="001"/>
    <m/>
    <s v=" "/>
    <s v="281"/>
    <x v="0"/>
    <s v=" "/>
    <x v="0"/>
    <x v="0"/>
    <x v="0"/>
    <m/>
    <m/>
    <x v="0"/>
    <x v="0"/>
  </r>
  <r>
    <x v="18"/>
    <x v="5"/>
    <x v="16"/>
    <x v="18"/>
    <d v="2025-04-11T00:00:00"/>
    <x v="17"/>
    <n v="1563.98"/>
    <x v="17"/>
    <x v="0"/>
    <x v="0"/>
    <x v="8"/>
    <x v="0"/>
    <s v="001"/>
    <m/>
    <s v=" "/>
    <s v="281"/>
    <x v="0"/>
    <s v=" "/>
    <x v="0"/>
    <x v="0"/>
    <x v="0"/>
    <m/>
    <m/>
    <x v="0"/>
    <x v="0"/>
  </r>
  <r>
    <x v="19"/>
    <x v="5"/>
    <x v="16"/>
    <x v="19"/>
    <d v="2025-04-11T00:00:00"/>
    <x v="18"/>
    <n v="39.880000000000003"/>
    <x v="18"/>
    <x v="0"/>
    <x v="0"/>
    <x v="9"/>
    <x v="0"/>
    <s v="001"/>
    <m/>
    <s v=" "/>
    <s v="281"/>
    <x v="0"/>
    <s v=" "/>
    <x v="0"/>
    <x v="0"/>
    <x v="0"/>
    <m/>
    <m/>
    <x v="0"/>
    <x v="0"/>
  </r>
  <r>
    <x v="20"/>
    <x v="5"/>
    <x v="17"/>
    <x v="20"/>
    <d v="2025-04-11T00:00:00"/>
    <x v="19"/>
    <n v="183.23"/>
    <x v="19"/>
    <x v="0"/>
    <x v="0"/>
    <x v="2"/>
    <x v="0"/>
    <s v="001"/>
    <m/>
    <s v=" "/>
    <s v="331"/>
    <x v="0"/>
    <s v=" "/>
    <x v="0"/>
    <x v="1"/>
    <x v="0"/>
    <m/>
    <m/>
    <x v="0"/>
    <x v="0"/>
  </r>
  <r>
    <x v="21"/>
    <x v="6"/>
    <x v="18"/>
    <x v="21"/>
    <d v="2025-04-14T00:00:00"/>
    <x v="20"/>
    <n v="170.07"/>
    <x v="20"/>
    <x v="0"/>
    <x v="0"/>
    <x v="4"/>
    <x v="0"/>
    <s v="001"/>
    <m/>
    <s v=" "/>
    <s v="331"/>
    <x v="0"/>
    <s v=" "/>
    <x v="0"/>
    <x v="3"/>
    <x v="0"/>
    <m/>
    <m/>
    <x v="0"/>
    <x v="0"/>
  </r>
  <r>
    <x v="22"/>
    <x v="6"/>
    <x v="19"/>
    <x v="22"/>
    <d v="2025-04-14T00:00:00"/>
    <x v="21"/>
    <n v="20.51"/>
    <x v="21"/>
    <x v="0"/>
    <x v="0"/>
    <x v="3"/>
    <x v="0"/>
    <s v="001"/>
    <m/>
    <s v=" "/>
    <s v="020"/>
    <x v="0"/>
    <s v=" "/>
    <x v="0"/>
    <x v="2"/>
    <x v="0"/>
    <m/>
    <m/>
    <x v="0"/>
    <x v="0"/>
  </r>
  <r>
    <x v="23"/>
    <x v="6"/>
    <x v="20"/>
    <x v="23"/>
    <d v="2025-04-14T00:00:00"/>
    <x v="22"/>
    <n v="8.86"/>
    <x v="22"/>
    <x v="0"/>
    <x v="0"/>
    <x v="10"/>
    <x v="0"/>
    <s v="001"/>
    <m/>
    <s v=" "/>
    <s v="020"/>
    <x v="0"/>
    <s v=" "/>
    <x v="0"/>
    <x v="2"/>
    <x v="0"/>
    <m/>
    <m/>
    <x v="0"/>
    <x v="0"/>
  </r>
  <r>
    <x v="24"/>
    <x v="7"/>
    <x v="21"/>
    <x v="24"/>
    <d v="2025-04-11T00:00:00"/>
    <x v="23"/>
    <n v="190.96"/>
    <x v="23"/>
    <x v="0"/>
    <x v="0"/>
    <x v="6"/>
    <x v="0"/>
    <s v="001"/>
    <m/>
    <s v=" "/>
    <s v="4221"/>
    <x v="0"/>
    <s v=" "/>
    <x v="1"/>
    <x v="5"/>
    <x v="0"/>
    <m/>
    <m/>
    <x v="0"/>
    <x v="0"/>
  </r>
  <r>
    <x v="25"/>
    <x v="8"/>
    <x v="22"/>
    <x v="25"/>
    <d v="2025-05-13T00:00:00"/>
    <x v="24"/>
    <n v="17.21"/>
    <x v="24"/>
    <x v="0"/>
    <x v="0"/>
    <x v="10"/>
    <x v="0"/>
    <s v="001"/>
    <m/>
    <s v=" "/>
    <s v="020"/>
    <x v="0"/>
    <s v=" "/>
    <x v="0"/>
    <x v="2"/>
    <x v="0"/>
    <m/>
    <m/>
    <x v="0"/>
    <x v="0"/>
  </r>
  <r>
    <x v="26"/>
    <x v="8"/>
    <x v="23"/>
    <x v="26"/>
    <d v="2025-05-13T00:00:00"/>
    <x v="25"/>
    <n v="4.43"/>
    <x v="25"/>
    <x v="0"/>
    <x v="0"/>
    <x v="11"/>
    <x v="0"/>
    <s v="001"/>
    <m/>
    <s v=" "/>
    <s v="020"/>
    <x v="0"/>
    <s v=" "/>
    <x v="0"/>
    <x v="2"/>
    <x v="0"/>
    <m/>
    <m/>
    <x v="0"/>
    <x v="0"/>
  </r>
  <r>
    <x v="27"/>
    <x v="8"/>
    <x v="24"/>
    <x v="27"/>
    <d v="2025-05-13T00:00:00"/>
    <x v="26"/>
    <n v="397.57"/>
    <x v="26"/>
    <x v="0"/>
    <x v="0"/>
    <x v="12"/>
    <x v="0"/>
    <s v="001"/>
    <m/>
    <s v=" "/>
    <s v="331"/>
    <x v="0"/>
    <s v=" "/>
    <x v="0"/>
    <x v="3"/>
    <x v="0"/>
    <m/>
    <m/>
    <x v="0"/>
    <x v="0"/>
  </r>
  <r>
    <x v="28"/>
    <x v="9"/>
    <x v="25"/>
    <x v="28"/>
    <d v="2025-05-14T00:00:00"/>
    <x v="27"/>
    <n v="464.31"/>
    <x v="27"/>
    <x v="0"/>
    <x v="0"/>
    <x v="13"/>
    <x v="0"/>
    <s v="001"/>
    <m/>
    <s v=" "/>
    <s v="331"/>
    <x v="0"/>
    <s v=" "/>
    <x v="0"/>
    <x v="1"/>
    <x v="0"/>
    <m/>
    <m/>
    <x v="0"/>
    <x v="0"/>
  </r>
  <r>
    <x v="29"/>
    <x v="9"/>
    <x v="26"/>
    <x v="29"/>
    <d v="2025-05-14T00:00:00"/>
    <x v="28"/>
    <n v="1680.5"/>
    <x v="28"/>
    <x v="0"/>
    <x v="0"/>
    <x v="9"/>
    <x v="0"/>
    <s v="001"/>
    <m/>
    <s v=" "/>
    <s v="281"/>
    <x v="0"/>
    <s v=" "/>
    <x v="0"/>
    <x v="0"/>
    <x v="0"/>
    <m/>
    <m/>
    <x v="0"/>
    <x v="0"/>
  </r>
  <r>
    <x v="30"/>
    <x v="9"/>
    <x v="27"/>
    <x v="30"/>
    <d v="2025-05-14T00:00:00"/>
    <x v="29"/>
    <n v="71.09"/>
    <x v="29"/>
    <x v="0"/>
    <x v="0"/>
    <x v="14"/>
    <x v="0"/>
    <s v="001"/>
    <m/>
    <s v=" "/>
    <s v="281"/>
    <x v="0"/>
    <s v=" "/>
    <x v="0"/>
    <x v="0"/>
    <x v="0"/>
    <m/>
    <m/>
    <x v="0"/>
    <x v="0"/>
  </r>
  <r>
    <x v="31"/>
    <x v="9"/>
    <x v="28"/>
    <x v="31"/>
    <d v="2025-05-14T00:00:00"/>
    <x v="30"/>
    <n v="166.32"/>
    <x v="30"/>
    <x v="0"/>
    <x v="0"/>
    <x v="6"/>
    <x v="0"/>
    <s v="001"/>
    <m/>
    <s v=" "/>
    <s v="4221"/>
    <x v="0"/>
    <s v=" "/>
    <x v="1"/>
    <x v="5"/>
    <x v="0"/>
    <m/>
    <m/>
    <x v="0"/>
    <x v="0"/>
  </r>
  <r>
    <x v="32"/>
    <x v="10"/>
    <x v="29"/>
    <x v="32"/>
    <d v="2025-06-06T00:00:00"/>
    <x v="31"/>
    <n v="697.63"/>
    <x v="31"/>
    <x v="0"/>
    <x v="0"/>
    <x v="15"/>
    <x v="1"/>
    <m/>
    <m/>
    <s v=" "/>
    <s v="331"/>
    <x v="0"/>
    <s v=" "/>
    <x v="0"/>
    <x v="1"/>
    <x v="0"/>
    <m/>
    <m/>
    <x v="0"/>
    <x v="0"/>
  </r>
  <r>
    <x v="33"/>
    <x v="10"/>
    <x v="30"/>
    <x v="33"/>
    <d v="2025-06-06T00:00:00"/>
    <x v="32"/>
    <n v="686.01"/>
    <x v="32"/>
    <x v="0"/>
    <x v="0"/>
    <x v="15"/>
    <x v="1"/>
    <m/>
    <m/>
    <s v=" "/>
    <s v="331"/>
    <x v="0"/>
    <s v=" "/>
    <x v="0"/>
    <x v="3"/>
    <x v="0"/>
    <m/>
    <m/>
    <x v="0"/>
    <x v="0"/>
  </r>
  <r>
    <x v="34"/>
    <x v="11"/>
    <x v="31"/>
    <x v="34"/>
    <d v="2025-06-06T00:00:00"/>
    <x v="33"/>
    <n v="162.88"/>
    <x v="33"/>
    <x v="0"/>
    <x v="0"/>
    <x v="6"/>
    <x v="0"/>
    <s v="001"/>
    <m/>
    <s v=" "/>
    <s v="4221"/>
    <x v="0"/>
    <s v=" "/>
    <x v="1"/>
    <x v="5"/>
    <x v="0"/>
    <m/>
    <m/>
    <x v="0"/>
    <x v="0"/>
  </r>
  <r>
    <x v="35"/>
    <x v="12"/>
    <x v="32"/>
    <x v="35"/>
    <d v="2025-07-02T00:00:00"/>
    <x v="34"/>
    <n v="21.9"/>
    <x v="34"/>
    <x v="0"/>
    <x v="0"/>
    <x v="16"/>
    <x v="0"/>
    <s v="001"/>
    <m/>
    <s v=" "/>
    <s v="020"/>
    <x v="0"/>
    <s v=" "/>
    <x v="0"/>
    <x v="2"/>
    <x v="0"/>
    <m/>
    <m/>
    <x v="0"/>
    <x v="0"/>
  </r>
  <r>
    <x v="36"/>
    <x v="13"/>
    <x v="33"/>
    <x v="36"/>
    <d v="2025-07-03T00:00:00"/>
    <x v="35"/>
    <n v="2769.97"/>
    <x v="35"/>
    <x v="0"/>
    <x v="0"/>
    <x v="17"/>
    <x v="0"/>
    <s v="001"/>
    <m/>
    <s v=" "/>
    <s v="281"/>
    <x v="0"/>
    <s v=" "/>
    <x v="0"/>
    <x v="0"/>
    <x v="0"/>
    <m/>
    <m/>
    <x v="0"/>
    <x v="0"/>
  </r>
  <r>
    <x v="37"/>
    <x v="14"/>
    <x v="34"/>
    <x v="37"/>
    <d v="2025-07-15T00:00:00"/>
    <x v="36"/>
    <n v="45.08"/>
    <x v="36"/>
    <x v="0"/>
    <x v="0"/>
    <x v="5"/>
    <x v="0"/>
    <s v="001"/>
    <m/>
    <s v=" "/>
    <s v="338"/>
    <x v="0"/>
    <s v=" "/>
    <x v="0"/>
    <x v="4"/>
    <x v="0"/>
    <m/>
    <m/>
    <x v="0"/>
    <x v="0"/>
  </r>
  <r>
    <x v="38"/>
    <x v="15"/>
    <x v="35"/>
    <x v="38"/>
    <d v="2025-07-25T00:00:00"/>
    <x v="37"/>
    <n v="164.57"/>
    <x v="37"/>
    <x v="0"/>
    <x v="0"/>
    <x v="4"/>
    <x v="0"/>
    <s v="001"/>
    <m/>
    <s v=" "/>
    <s v="331"/>
    <x v="0"/>
    <s v=" "/>
    <x v="0"/>
    <x v="3"/>
    <x v="0"/>
    <m/>
    <m/>
    <x v="0"/>
    <x v="0"/>
  </r>
  <r>
    <x v="39"/>
    <x v="16"/>
    <x v="36"/>
    <x v="39"/>
    <d v="2025-07-28T00:00:00"/>
    <x v="38"/>
    <n v="71.8"/>
    <x v="38"/>
    <x v="0"/>
    <x v="0"/>
    <x v="4"/>
    <x v="0"/>
    <s v="001"/>
    <m/>
    <s v=" "/>
    <s v="331"/>
    <x v="0"/>
    <s v=" "/>
    <x v="0"/>
    <x v="3"/>
    <x v="0"/>
    <m/>
    <m/>
    <x v="0"/>
    <x v="0"/>
  </r>
  <r>
    <x v="40"/>
    <x v="16"/>
    <x v="36"/>
    <x v="40"/>
    <d v="2025-07-28T00:00:00"/>
    <x v="39"/>
    <n v="104.27"/>
    <x v="39"/>
    <x v="0"/>
    <x v="0"/>
    <x v="18"/>
    <x v="0"/>
    <s v="001"/>
    <m/>
    <s v=" "/>
    <s v="331"/>
    <x v="0"/>
    <s v=" "/>
    <x v="0"/>
    <x v="3"/>
    <x v="0"/>
    <m/>
    <m/>
    <x v="0"/>
    <x v="0"/>
  </r>
  <r>
    <x v="41"/>
    <x v="16"/>
    <x v="37"/>
    <x v="41"/>
    <d v="2025-07-28T00:00:00"/>
    <x v="40"/>
    <n v="182.22"/>
    <x v="40"/>
    <x v="0"/>
    <x v="0"/>
    <x v="6"/>
    <x v="0"/>
    <s v="001"/>
    <m/>
    <s v=" "/>
    <s v="4221"/>
    <x v="0"/>
    <s v=" "/>
    <x v="1"/>
    <x v="5"/>
    <x v="0"/>
    <m/>
    <m/>
    <x v="0"/>
    <x v="0"/>
  </r>
  <r>
    <x v="42"/>
    <x v="16"/>
    <x v="38"/>
    <x v="42"/>
    <d v="2025-07-28T00:00:00"/>
    <x v="41"/>
    <n v="186.26"/>
    <x v="41"/>
    <x v="0"/>
    <x v="0"/>
    <x v="2"/>
    <x v="0"/>
    <s v="001"/>
    <m/>
    <s v=" "/>
    <s v="331"/>
    <x v="0"/>
    <s v=" "/>
    <x v="0"/>
    <x v="1"/>
    <x v="0"/>
    <m/>
    <m/>
    <x v="0"/>
    <x v="0"/>
  </r>
  <r>
    <x v="43"/>
    <x v="16"/>
    <x v="38"/>
    <x v="43"/>
    <d v="2025-07-28T00:00:00"/>
    <x v="42"/>
    <n v="6.64"/>
    <x v="42"/>
    <x v="0"/>
    <x v="0"/>
    <x v="13"/>
    <x v="0"/>
    <s v="001"/>
    <m/>
    <s v=" "/>
    <s v="331"/>
    <x v="0"/>
    <s v=" "/>
    <x v="0"/>
    <x v="1"/>
    <x v="0"/>
    <m/>
    <m/>
    <x v="0"/>
    <x v="0"/>
  </r>
  <r>
    <x v="44"/>
    <x v="17"/>
    <x v="39"/>
    <x v="44"/>
    <d v="2025-08-06T00:00:00"/>
    <x v="43"/>
    <n v="76.44"/>
    <x v="43"/>
    <x v="0"/>
    <x v="0"/>
    <x v="13"/>
    <x v="0"/>
    <s v="001"/>
    <m/>
    <s v=" "/>
    <s v="331"/>
    <x v="0"/>
    <s v=" "/>
    <x v="0"/>
    <x v="1"/>
    <x v="0"/>
    <m/>
    <m/>
    <x v="0"/>
    <x v="0"/>
  </r>
  <r>
    <x v="45"/>
    <x v="17"/>
    <x v="39"/>
    <x v="45"/>
    <d v="2025-08-06T00:00:00"/>
    <x v="39"/>
    <n v="104.27"/>
    <x v="39"/>
    <x v="0"/>
    <x v="0"/>
    <x v="19"/>
    <x v="0"/>
    <s v="001"/>
    <m/>
    <s v=" "/>
    <s v="331"/>
    <x v="0"/>
    <s v=" "/>
    <x v="0"/>
    <x v="1"/>
    <x v="0"/>
    <m/>
    <m/>
    <x v="0"/>
    <x v="0"/>
  </r>
  <r>
    <x v="46"/>
    <x v="17"/>
    <x v="39"/>
    <x v="46"/>
    <d v="2025-08-06T00:00:00"/>
    <x v="44"/>
    <n v="13.91"/>
    <x v="44"/>
    <x v="0"/>
    <x v="0"/>
    <x v="20"/>
    <x v="0"/>
    <s v="001"/>
    <m/>
    <s v=" "/>
    <s v="331"/>
    <x v="0"/>
    <s v=" "/>
    <x v="0"/>
    <x v="1"/>
    <x v="0"/>
    <m/>
    <m/>
    <x v="0"/>
    <x v="0"/>
  </r>
  <r>
    <x v="47"/>
    <x v="17"/>
    <x v="40"/>
    <x v="47"/>
    <d v="2025-08-06T00:00:00"/>
    <x v="45"/>
    <n v="26.07"/>
    <x v="45"/>
    <x v="0"/>
    <x v="0"/>
    <x v="21"/>
    <x v="0"/>
    <s v="001"/>
    <m/>
    <s v=" "/>
    <s v="020"/>
    <x v="0"/>
    <s v=" "/>
    <x v="0"/>
    <x v="2"/>
    <x v="0"/>
    <m/>
    <m/>
    <x v="0"/>
    <x v="0"/>
  </r>
  <r>
    <x v="48"/>
    <x v="17"/>
    <x v="40"/>
    <x v="48"/>
    <d v="2025-08-06T00:00:00"/>
    <x v="46"/>
    <n v="3.61"/>
    <x v="46"/>
    <x v="0"/>
    <x v="0"/>
    <x v="22"/>
    <x v="0"/>
    <s v="001"/>
    <m/>
    <s v=" "/>
    <s v="020"/>
    <x v="0"/>
    <s v=" "/>
    <x v="0"/>
    <x v="2"/>
    <x v="0"/>
    <m/>
    <m/>
    <x v="0"/>
    <x v="0"/>
  </r>
  <r>
    <x v="49"/>
    <x v="18"/>
    <x v="41"/>
    <x v="49"/>
    <d v="2025-08-12T00:00:00"/>
    <x v="47"/>
    <n v="3148.71"/>
    <x v="47"/>
    <x v="0"/>
    <x v="0"/>
    <x v="23"/>
    <x v="0"/>
    <s v="001"/>
    <m/>
    <s v=" "/>
    <s v="281"/>
    <x v="0"/>
    <s v=" "/>
    <x v="0"/>
    <x v="0"/>
    <x v="0"/>
    <m/>
    <m/>
    <x v="0"/>
    <x v="0"/>
  </r>
  <r>
    <x v="50"/>
    <x v="19"/>
    <x v="42"/>
    <x v="50"/>
    <d v="2025-09-02T00:00:00"/>
    <x v="48"/>
    <n v="622.96"/>
    <x v="48"/>
    <x v="0"/>
    <x v="0"/>
    <x v="24"/>
    <x v="0"/>
    <s v="001"/>
    <m/>
    <s v=" "/>
    <s v="281"/>
    <x v="0"/>
    <s v=" "/>
    <x v="0"/>
    <x v="0"/>
    <x v="0"/>
    <m/>
    <m/>
    <x v="0"/>
    <x v="0"/>
  </r>
  <r>
    <x v="51"/>
    <x v="19"/>
    <x v="43"/>
    <x v="51"/>
    <d v="2025-09-02T00:00:00"/>
    <x v="49"/>
    <n v="150.41"/>
    <x v="49"/>
    <x v="0"/>
    <x v="0"/>
    <x v="6"/>
    <x v="0"/>
    <s v="001"/>
    <m/>
    <s v=" "/>
    <s v="4221"/>
    <x v="0"/>
    <s v=" "/>
    <x v="1"/>
    <x v="5"/>
    <x v="0"/>
    <m/>
    <m/>
    <x v="0"/>
    <x v="0"/>
  </r>
  <r>
    <x v="52"/>
    <x v="20"/>
    <x v="44"/>
    <x v="52"/>
    <d v="2025-10-01T00:00:00"/>
    <x v="50"/>
    <n v="12.06"/>
    <x v="50"/>
    <x v="0"/>
    <x v="0"/>
    <x v="22"/>
    <x v="0"/>
    <s v="001"/>
    <m/>
    <s v=" "/>
    <s v="020"/>
    <x v="0"/>
    <s v=" "/>
    <x v="0"/>
    <x v="2"/>
    <x v="0"/>
    <m/>
    <m/>
    <x v="0"/>
    <x v="0"/>
  </r>
  <r>
    <x v="53"/>
    <x v="20"/>
    <x v="45"/>
    <x v="53"/>
    <d v="2025-10-01T00:00:00"/>
    <x v="51"/>
    <n v="19.39"/>
    <x v="51"/>
    <x v="0"/>
    <x v="0"/>
    <x v="6"/>
    <x v="0"/>
    <s v="001"/>
    <m/>
    <s v=" "/>
    <s v="4221"/>
    <x v="0"/>
    <s v=" "/>
    <x v="1"/>
    <x v="5"/>
    <x v="0"/>
    <m/>
    <m/>
    <x v="0"/>
    <x v="0"/>
  </r>
  <r>
    <x v="54"/>
    <x v="20"/>
    <x v="46"/>
    <x v="54"/>
    <d v="2025-10-01T00:00:00"/>
    <x v="52"/>
    <n v="467.2"/>
    <x v="52"/>
    <x v="0"/>
    <x v="0"/>
    <x v="25"/>
    <x v="0"/>
    <s v="001"/>
    <m/>
    <s v=" "/>
    <s v="331"/>
    <x v="0"/>
    <s v=" "/>
    <x v="0"/>
    <x v="3"/>
    <x v="0"/>
    <m/>
    <m/>
    <x v="0"/>
    <x v="0"/>
  </r>
  <r>
    <x v="55"/>
    <x v="20"/>
    <x v="47"/>
    <x v="55"/>
    <d v="2025-10-01T00:00:00"/>
    <x v="53"/>
    <n v="167.28"/>
    <x v="53"/>
    <x v="0"/>
    <x v="0"/>
    <x v="26"/>
    <x v="0"/>
    <s v="001"/>
    <m/>
    <s v=" "/>
    <s v="338"/>
    <x v="0"/>
    <s v=" "/>
    <x v="0"/>
    <x v="4"/>
    <x v="0"/>
    <m/>
    <m/>
    <x v="0"/>
    <x v="0"/>
  </r>
  <r>
    <x v="56"/>
    <x v="20"/>
    <x v="48"/>
    <x v="56"/>
    <d v="2025-10-01T00:00:00"/>
    <x v="54"/>
    <n v="2.4700000000000002"/>
    <x v="54"/>
    <x v="0"/>
    <x v="0"/>
    <x v="22"/>
    <x v="0"/>
    <s v="001"/>
    <m/>
    <s v=" "/>
    <s v="020"/>
    <x v="0"/>
    <s v=" "/>
    <x v="0"/>
    <x v="2"/>
    <x v="0"/>
    <m/>
    <m/>
    <x v="0"/>
    <x v="0"/>
  </r>
  <r>
    <x v="57"/>
    <x v="20"/>
    <x v="49"/>
    <x v="57"/>
    <d v="2025-10-01T00:00:00"/>
    <x v="55"/>
    <n v="518.09"/>
    <x v="55"/>
    <x v="0"/>
    <x v="0"/>
    <x v="20"/>
    <x v="0"/>
    <s v="001"/>
    <m/>
    <s v=" "/>
    <s v="331"/>
    <x v="0"/>
    <s v=" "/>
    <x v="0"/>
    <x v="1"/>
    <x v="0"/>
    <m/>
    <m/>
    <x v="0"/>
    <x v="0"/>
  </r>
  <r>
    <x v="58"/>
    <x v="21"/>
    <x v="50"/>
    <x v="35"/>
    <d v="2025-10-07T00:00:00"/>
    <x v="56"/>
    <n v="1.91"/>
    <x v="56"/>
    <x v="0"/>
    <x v="0"/>
    <x v="22"/>
    <x v="0"/>
    <s v="001"/>
    <m/>
    <s v=" "/>
    <s v="020"/>
    <x v="0"/>
    <s v=" "/>
    <x v="0"/>
    <x v="2"/>
    <x v="0"/>
    <m/>
    <m/>
    <x v="0"/>
    <x v="0"/>
  </r>
  <r>
    <x v="59"/>
    <x v="21"/>
    <x v="51"/>
    <x v="58"/>
    <d v="2025-10-07T00:00:00"/>
    <x v="57"/>
    <n v="702.53"/>
    <x v="57"/>
    <x v="0"/>
    <x v="0"/>
    <x v="25"/>
    <x v="0"/>
    <s v="001"/>
    <m/>
    <s v=" "/>
    <s v="331"/>
    <x v="0"/>
    <s v=" "/>
    <x v="0"/>
    <x v="3"/>
    <x v="0"/>
    <m/>
    <m/>
    <x v="0"/>
    <x v="0"/>
  </r>
  <r>
    <x v="60"/>
    <x v="21"/>
    <x v="52"/>
    <x v="59"/>
    <d v="2025-10-07T00:00:00"/>
    <x v="58"/>
    <n v="719.66"/>
    <x v="58"/>
    <x v="0"/>
    <x v="0"/>
    <x v="20"/>
    <x v="0"/>
    <s v="001"/>
    <m/>
    <s v=" "/>
    <s v="331"/>
    <x v="0"/>
    <s v=" "/>
    <x v="0"/>
    <x v="1"/>
    <x v="0"/>
    <m/>
    <m/>
    <x v="0"/>
    <x v="0"/>
  </r>
  <r>
    <x v="61"/>
    <x v="21"/>
    <x v="53"/>
    <x v="60"/>
    <d v="2025-10-07T00:00:00"/>
    <x v="59"/>
    <n v="13.08"/>
    <x v="59"/>
    <x v="0"/>
    <x v="0"/>
    <x v="5"/>
    <x v="0"/>
    <s v="001"/>
    <m/>
    <s v=" "/>
    <s v="338"/>
    <x v="0"/>
    <s v=" "/>
    <x v="0"/>
    <x v="4"/>
    <x v="0"/>
    <m/>
    <m/>
    <x v="0"/>
    <x v="0"/>
  </r>
  <r>
    <x v="62"/>
    <x v="21"/>
    <x v="54"/>
    <x v="61"/>
    <d v="2025-10-07T00:00:00"/>
    <x v="60"/>
    <n v="93.38"/>
    <x v="60"/>
    <x v="0"/>
    <x v="0"/>
    <x v="26"/>
    <x v="0"/>
    <s v="001"/>
    <m/>
    <s v=" "/>
    <s v="338"/>
    <x v="0"/>
    <s v=" "/>
    <x v="0"/>
    <x v="4"/>
    <x v="0"/>
    <m/>
    <m/>
    <x v="0"/>
    <x v="0"/>
  </r>
  <r>
    <x v="63"/>
    <x v="21"/>
    <x v="55"/>
    <x v="62"/>
    <d v="2025-10-07T00:00:00"/>
    <x v="61"/>
    <n v="52.13"/>
    <x v="61"/>
    <x v="0"/>
    <x v="0"/>
    <x v="27"/>
    <x v="0"/>
    <s v="001"/>
    <m/>
    <s v=" "/>
    <s v="338"/>
    <x v="0"/>
    <s v=" "/>
    <x v="0"/>
    <x v="4"/>
    <x v="0"/>
    <m/>
    <m/>
    <x v="0"/>
    <x v="0"/>
  </r>
  <r>
    <x v="64"/>
    <x v="21"/>
    <x v="56"/>
    <x v="63"/>
    <d v="2025-10-07T00:00:00"/>
    <x v="62"/>
    <n v="139.69"/>
    <x v="62"/>
    <x v="0"/>
    <x v="0"/>
    <x v="20"/>
    <x v="0"/>
    <s v="001"/>
    <m/>
    <s v=" "/>
    <s v="331"/>
    <x v="0"/>
    <s v=" "/>
    <x v="0"/>
    <x v="1"/>
    <x v="0"/>
    <m/>
    <m/>
    <x v="0"/>
    <x v="0"/>
  </r>
  <r>
    <x v="65"/>
    <x v="21"/>
    <x v="57"/>
    <x v="64"/>
    <d v="2025-10-07T00:00:00"/>
    <x v="63"/>
    <n v="450.24"/>
    <x v="63"/>
    <x v="0"/>
    <x v="0"/>
    <x v="14"/>
    <x v="0"/>
    <s v="001"/>
    <m/>
    <s v=" "/>
    <s v="281"/>
    <x v="0"/>
    <s v=" "/>
    <x v="0"/>
    <x v="0"/>
    <x v="0"/>
    <m/>
    <m/>
    <x v="0"/>
    <x v="0"/>
  </r>
  <r>
    <x v="66"/>
    <x v="21"/>
    <x v="58"/>
    <x v="65"/>
    <d v="2025-10-07T00:00:00"/>
    <x v="64"/>
    <n v="357.99"/>
    <x v="64"/>
    <x v="0"/>
    <x v="0"/>
    <x v="17"/>
    <x v="0"/>
    <s v="001"/>
    <m/>
    <s v=" "/>
    <s v="281"/>
    <x v="0"/>
    <s v=" "/>
    <x v="0"/>
    <x v="0"/>
    <x v="0"/>
    <m/>
    <m/>
    <x v="0"/>
    <x v="0"/>
  </r>
  <r>
    <x v="67"/>
    <x v="21"/>
    <x v="59"/>
    <x v="66"/>
    <d v="2025-10-07T00:00:00"/>
    <x v="65"/>
    <n v="39.340000000000003"/>
    <x v="65"/>
    <x v="0"/>
    <x v="0"/>
    <x v="23"/>
    <x v="0"/>
    <s v="001"/>
    <m/>
    <s v=" "/>
    <s v="281"/>
    <x v="0"/>
    <s v=" "/>
    <x v="0"/>
    <x v="0"/>
    <x v="0"/>
    <m/>
    <m/>
    <x v="0"/>
    <x v="0"/>
  </r>
  <r>
    <x v="68"/>
    <x v="21"/>
    <x v="60"/>
    <x v="67"/>
    <d v="2025-10-07T00:00:00"/>
    <x v="66"/>
    <n v="2606.64"/>
    <x v="66"/>
    <x v="0"/>
    <x v="0"/>
    <x v="28"/>
    <x v="0"/>
    <s v="001"/>
    <m/>
    <s v=" "/>
    <s v="281"/>
    <x v="0"/>
    <s v=" "/>
    <x v="0"/>
    <x v="0"/>
    <x v="0"/>
    <m/>
    <m/>
    <x v="0"/>
    <x v="0"/>
  </r>
  <r>
    <x v="69"/>
    <x v="21"/>
    <x v="61"/>
    <x v="68"/>
    <d v="2025-10-07T00:00:00"/>
    <x v="67"/>
    <n v="271.08999999999997"/>
    <x v="67"/>
    <x v="0"/>
    <x v="0"/>
    <x v="29"/>
    <x v="0"/>
    <s v="001"/>
    <m/>
    <s v=" "/>
    <s v="281"/>
    <x v="0"/>
    <s v=" "/>
    <x v="0"/>
    <x v="0"/>
    <x v="0"/>
    <m/>
    <m/>
    <x v="0"/>
    <x v="0"/>
  </r>
  <r>
    <x v="70"/>
    <x v="21"/>
    <x v="62"/>
    <x v="69"/>
    <d v="2025-10-07T00:00:00"/>
    <x v="68"/>
    <n v="21.64"/>
    <x v="68"/>
    <x v="0"/>
    <x v="0"/>
    <x v="30"/>
    <x v="0"/>
    <s v="001"/>
    <m/>
    <s v=" "/>
    <s v="020"/>
    <x v="0"/>
    <s v=" "/>
    <x v="0"/>
    <x v="2"/>
    <x v="0"/>
    <m/>
    <m/>
    <x v="0"/>
    <x v="0"/>
  </r>
  <r>
    <x v="71"/>
    <x v="21"/>
    <x v="63"/>
    <x v="70"/>
    <d v="2025-10-07T00:00:00"/>
    <x v="69"/>
    <n v="131.29"/>
    <x v="69"/>
    <x v="0"/>
    <x v="0"/>
    <x v="31"/>
    <x v="0"/>
    <s v="001"/>
    <m/>
    <s v=" "/>
    <s v="331"/>
    <x v="0"/>
    <s v=" "/>
    <x v="0"/>
    <x v="3"/>
    <x v="0"/>
    <m/>
    <m/>
    <x v="0"/>
    <x v="0"/>
  </r>
  <r>
    <x v="72"/>
    <x v="22"/>
    <x v="64"/>
    <x v="71"/>
    <d v="2025-10-29T00:00:00"/>
    <x v="70"/>
    <n v="173.33"/>
    <x v="70"/>
    <x v="0"/>
    <x v="0"/>
    <x v="6"/>
    <x v="0"/>
    <s v="001"/>
    <m/>
    <s v=" "/>
    <s v="4221"/>
    <x v="0"/>
    <s v=" "/>
    <x v="1"/>
    <x v="5"/>
    <x v="0"/>
    <m/>
    <m/>
    <x v="0"/>
    <x v="0"/>
  </r>
  <r>
    <x v="73"/>
    <x v="23"/>
    <x v="65"/>
    <x v="72"/>
    <d v="2025-11-26T00:00:00"/>
    <x v="71"/>
    <n v="538.4"/>
    <x v="71"/>
    <x v="0"/>
    <x v="0"/>
    <x v="32"/>
    <x v="0"/>
    <s v="001"/>
    <m/>
    <s v=" "/>
    <s v="331"/>
    <x v="0"/>
    <s v=" "/>
    <x v="0"/>
    <x v="1"/>
    <x v="0"/>
    <m/>
    <m/>
    <x v="0"/>
    <x v="0"/>
  </r>
  <r>
    <x v="74"/>
    <x v="23"/>
    <x v="66"/>
    <x v="73"/>
    <d v="2025-11-26T00:00:00"/>
    <x v="72"/>
    <n v="2019.18"/>
    <x v="72"/>
    <x v="0"/>
    <x v="0"/>
    <x v="33"/>
    <x v="0"/>
    <s v="001"/>
    <m/>
    <s v=" "/>
    <s v="281"/>
    <x v="0"/>
    <s v=" "/>
    <x v="0"/>
    <x v="0"/>
    <x v="0"/>
    <m/>
    <m/>
    <x v="0"/>
    <x v="0"/>
  </r>
  <r>
    <x v="75"/>
    <x v="23"/>
    <x v="67"/>
    <x v="74"/>
    <d v="2025-11-26T00:00:00"/>
    <x v="73"/>
    <n v="586.54999999999995"/>
    <x v="73"/>
    <x v="0"/>
    <x v="0"/>
    <x v="34"/>
    <x v="0"/>
    <s v="001"/>
    <m/>
    <s v=" "/>
    <s v="331"/>
    <x v="0"/>
    <s v=" "/>
    <x v="0"/>
    <x v="3"/>
    <x v="0"/>
    <m/>
    <m/>
    <x v="0"/>
    <x v="0"/>
  </r>
  <r>
    <x v="76"/>
    <x v="23"/>
    <x v="68"/>
    <x v="75"/>
    <d v="2025-11-26T00:00:00"/>
    <x v="74"/>
    <n v="87.14"/>
    <x v="74"/>
    <x v="0"/>
    <x v="0"/>
    <x v="35"/>
    <x v="0"/>
    <s v="001"/>
    <m/>
    <s v=" "/>
    <s v="338"/>
    <x v="0"/>
    <s v=" "/>
    <x v="0"/>
    <x v="4"/>
    <x v="0"/>
    <m/>
    <m/>
    <x v="0"/>
    <x v="0"/>
  </r>
  <r>
    <x v="77"/>
    <x v="24"/>
    <x v="69"/>
    <x v="76"/>
    <d v="2025-12-10T00:00:00"/>
    <x v="68"/>
    <n v="21.64"/>
    <x v="68"/>
    <x v="0"/>
    <x v="0"/>
    <x v="36"/>
    <x v="0"/>
    <s v="001"/>
    <m/>
    <s v=" "/>
    <s v="020"/>
    <x v="0"/>
    <s v=" "/>
    <x v="0"/>
    <x v="2"/>
    <x v="0"/>
    <m/>
    <m/>
    <x v="0"/>
    <x v="0"/>
  </r>
  <r>
    <x v="78"/>
    <x v="24"/>
    <x v="70"/>
    <x v="77"/>
    <d v="2025-12-10T00:00:00"/>
    <x v="75"/>
    <n v="0.01"/>
    <x v="75"/>
    <x v="0"/>
    <x v="0"/>
    <x v="34"/>
    <x v="0"/>
    <s v="001"/>
    <m/>
    <s v=" "/>
    <s v="331"/>
    <x v="0"/>
    <s v=" "/>
    <x v="0"/>
    <x v="3"/>
    <x v="0"/>
    <m/>
    <m/>
    <x v="0"/>
    <x v="0"/>
  </r>
  <r>
    <x v="79"/>
    <x v="24"/>
    <x v="71"/>
    <x v="77"/>
    <d v="2025-12-10T00:00:00"/>
    <x v="76"/>
    <n v="156.4"/>
    <x v="76"/>
    <x v="0"/>
    <x v="0"/>
    <x v="37"/>
    <x v="0"/>
    <s v="001"/>
    <m/>
    <s v=" "/>
    <s v="331"/>
    <x v="0"/>
    <s v=" "/>
    <x v="0"/>
    <x v="3"/>
    <x v="0"/>
    <m/>
    <m/>
    <x v="0"/>
    <x v="0"/>
  </r>
  <r>
    <x v="80"/>
    <x v="24"/>
    <x v="72"/>
    <x v="77"/>
    <d v="2025-12-10T00:00:00"/>
    <x v="77"/>
    <n v="35"/>
    <x v="77"/>
    <x v="0"/>
    <x v="0"/>
    <x v="38"/>
    <x v="0"/>
    <s v="001"/>
    <m/>
    <s v=" "/>
    <s v="331"/>
    <x v="0"/>
    <s v=" "/>
    <x v="0"/>
    <x v="3"/>
    <x v="0"/>
    <m/>
    <m/>
    <x v="0"/>
    <x v="0"/>
  </r>
  <r>
    <x v="81"/>
    <x v="24"/>
    <x v="73"/>
    <x v="78"/>
    <d v="2025-12-10T00:00:00"/>
    <x v="78"/>
    <n v="185.26"/>
    <x v="78"/>
    <x v="0"/>
    <x v="0"/>
    <x v="39"/>
    <x v="0"/>
    <s v="001"/>
    <m/>
    <s v=" "/>
    <s v="331"/>
    <x v="0"/>
    <s v=" "/>
    <x v="0"/>
    <x v="1"/>
    <x v="0"/>
    <m/>
    <m/>
    <x v="0"/>
    <x v="0"/>
  </r>
  <r>
    <x v="82"/>
    <x v="24"/>
    <x v="74"/>
    <x v="79"/>
    <d v="2025-12-10T00:00:00"/>
    <x v="68"/>
    <n v="21.64"/>
    <x v="68"/>
    <x v="0"/>
    <x v="0"/>
    <x v="36"/>
    <x v="0"/>
    <s v="001"/>
    <m/>
    <s v=" "/>
    <s v="020"/>
    <x v="0"/>
    <s v=" "/>
    <x v="0"/>
    <x v="2"/>
    <x v="0"/>
    <m/>
    <m/>
    <x v="0"/>
    <x v="0"/>
  </r>
  <r>
    <x v="83"/>
    <x v="24"/>
    <x v="75"/>
    <x v="80"/>
    <d v="2025-12-10T00:00:00"/>
    <x v="79"/>
    <n v="3345.81"/>
    <x v="79"/>
    <x v="0"/>
    <x v="0"/>
    <x v="40"/>
    <x v="0"/>
    <s v="001"/>
    <m/>
    <s v=" "/>
    <s v="281"/>
    <x v="0"/>
    <s v=" "/>
    <x v="0"/>
    <x v="0"/>
    <x v="0"/>
    <m/>
    <m/>
    <x v="0"/>
    <x v="0"/>
  </r>
  <r>
    <x v="84"/>
    <x v="25"/>
    <x v="76"/>
    <x v="81"/>
    <d v="2025-12-17T00:00:00"/>
    <x v="80"/>
    <n v="1.95"/>
    <x v="80"/>
    <x v="0"/>
    <x v="0"/>
    <x v="6"/>
    <x v="0"/>
    <s v="001"/>
    <m/>
    <s v=" "/>
    <s v="4221"/>
    <x v="0"/>
    <s v=" "/>
    <x v="1"/>
    <x v="5"/>
    <x v="0"/>
    <m/>
    <m/>
    <x v="0"/>
    <x v="0"/>
  </r>
  <r>
    <x v="85"/>
    <x v="25"/>
    <x v="77"/>
    <x v="82"/>
    <d v="2025-12-17T00:00:00"/>
    <x v="81"/>
    <n v="176.13"/>
    <x v="81"/>
    <x v="0"/>
    <x v="0"/>
    <x v="6"/>
    <x v="0"/>
    <s v="001"/>
    <m/>
    <s v=" "/>
    <s v="4221"/>
    <x v="0"/>
    <s v=" "/>
    <x v="1"/>
    <x v="5"/>
    <x v="0"/>
    <m/>
    <m/>
    <x v="0"/>
    <x v="0"/>
  </r>
  <r>
    <x v="86"/>
    <x v="25"/>
    <x v="78"/>
    <x v="83"/>
    <d v="2025-12-17T00:00:00"/>
    <x v="82"/>
    <n v="173.23"/>
    <x v="82"/>
    <x v="0"/>
    <x v="0"/>
    <x v="6"/>
    <x v="0"/>
    <s v="001"/>
    <m/>
    <s v=" "/>
    <s v="4221"/>
    <x v="0"/>
    <s v=" "/>
    <x v="1"/>
    <x v="5"/>
    <x v="0"/>
    <m/>
    <m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6">
  <r>
    <x v="0"/>
    <m/>
    <s v="2025"/>
    <s v="CR"/>
    <n v="401938"/>
    <n v="65"/>
    <n v="11"/>
    <n v="0"/>
    <d v="2025-02-10T00:00:00"/>
    <s v="ARFF"/>
    <x v="0"/>
    <n v="28.16"/>
    <n v="1.55"/>
    <n v="29.71"/>
    <m/>
    <d v="2025-02-13T00:00:00"/>
    <n v="29.71"/>
    <x v="0"/>
    <n v="0"/>
    <m/>
    <m/>
    <m/>
    <m/>
    <m/>
    <m/>
    <n v="0"/>
    <n v="0"/>
    <n v="0"/>
    <x v="0"/>
    <x v="0"/>
    <x v="0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s v="CPRAT - RATT ACCUEIL LE PETIT PRINCE "/>
    <m/>
    <m/>
    <m/>
    <m/>
    <m/>
    <s v="20250140"/>
    <n v="1"/>
    <n v="0"/>
    <m/>
    <m/>
    <m/>
    <d v="2025-02-13T00:00:00"/>
    <d v="2025-02-13T00:00:00"/>
    <n v="29.71"/>
    <d v="2025-02-12T00:00:00"/>
  </r>
  <r>
    <x v="0"/>
    <m/>
    <s v="2025"/>
    <s v="CR"/>
    <n v="401939"/>
    <n v="64"/>
    <n v="11"/>
    <n v="0"/>
    <d v="2025-02-10T00:00:00"/>
    <s v="ARFF"/>
    <x v="1"/>
    <n v="19.36"/>
    <n v="1.06"/>
    <n v="20.420000000000002"/>
    <m/>
    <d v="2025-02-13T00:00:00"/>
    <n v="20.420000000000002"/>
    <x v="1"/>
    <n v="0"/>
    <m/>
    <m/>
    <m/>
    <m/>
    <m/>
    <m/>
    <n v="0"/>
    <n v="0"/>
    <n v="0"/>
    <x v="0"/>
    <x v="0"/>
    <x v="0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s v="CPRAT - RATT RESTAURANT COMMUNAL "/>
    <m/>
    <m/>
    <m/>
    <m/>
    <m/>
    <s v="20250139"/>
    <n v="1"/>
    <n v="0"/>
    <m/>
    <m/>
    <m/>
    <d v="2025-02-13T00:00:00"/>
    <d v="2025-02-13T00:00:00"/>
    <n v="20.420000000000002"/>
    <d v="2025-02-12T00:00:00"/>
  </r>
  <r>
    <x v="0"/>
    <m/>
    <s v="2025"/>
    <s v="CR"/>
    <n v="401940"/>
    <n v="63"/>
    <n v="11"/>
    <n v="0"/>
    <d v="2025-02-10T00:00:00"/>
    <s v="ARFF"/>
    <x v="2"/>
    <n v="696.96"/>
    <n v="38.33"/>
    <n v="735.29"/>
    <m/>
    <d v="2025-02-13T00:00:00"/>
    <n v="735.29"/>
    <x v="2"/>
    <n v="0"/>
    <m/>
    <m/>
    <m/>
    <m/>
    <m/>
    <m/>
    <n v="0"/>
    <n v="0"/>
    <n v="0"/>
    <x v="0"/>
    <x v="0"/>
    <x v="0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s v="CPRAT - RATT RESTAURATION SCOLAIRE "/>
    <m/>
    <m/>
    <m/>
    <m/>
    <m/>
    <s v="20250138"/>
    <n v="1"/>
    <n v="0"/>
    <m/>
    <m/>
    <m/>
    <d v="2025-02-13T00:00:00"/>
    <d v="2025-02-13T00:00:00"/>
    <n v="735.29"/>
    <d v="2025-02-12T00:00:00"/>
  </r>
  <r>
    <x v="0"/>
    <m/>
    <s v="2025"/>
    <s v="CR"/>
    <n v="401942"/>
    <n v="62"/>
    <n v="11"/>
    <n v="0"/>
    <d v="2025-02-10T00:00:00"/>
    <s v="ARFF"/>
    <x v="3"/>
    <n v="28.16"/>
    <n v="1.55"/>
    <n v="29.71"/>
    <m/>
    <d v="2025-02-13T00:00:00"/>
    <n v="29.71"/>
    <x v="3"/>
    <n v="0"/>
    <m/>
    <m/>
    <m/>
    <m/>
    <m/>
    <m/>
    <n v="0"/>
    <n v="0"/>
    <n v="0"/>
    <x v="0"/>
    <x v="0"/>
    <x v="0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s v="CPRAT - RATT ACCUEIL JP1 "/>
    <m/>
    <m/>
    <m/>
    <m/>
    <m/>
    <s v="20250137"/>
    <n v="1"/>
    <n v="0"/>
    <m/>
    <m/>
    <m/>
    <d v="2025-02-13T00:00:00"/>
    <d v="2025-02-13T00:00:00"/>
    <n v="29.71"/>
    <d v="2025-02-12T00:00:00"/>
  </r>
  <r>
    <x v="0"/>
    <m/>
    <s v="2025"/>
    <s v="CR"/>
    <n v="401943"/>
    <n v="61"/>
    <n v="11"/>
    <n v="0"/>
    <d v="2025-02-10T00:00:00"/>
    <s v="ARFF"/>
    <x v="4"/>
    <n v="41.36"/>
    <n v="2.27"/>
    <n v="43.63"/>
    <m/>
    <d v="2025-02-13T00:00:00"/>
    <n v="43.63"/>
    <x v="4"/>
    <n v="0"/>
    <m/>
    <m/>
    <m/>
    <m/>
    <m/>
    <m/>
    <n v="0"/>
    <n v="0"/>
    <n v="0"/>
    <x v="0"/>
    <x v="0"/>
    <x v="0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s v="CPRAT - RATT ACCUEIL LOUISE MICHEL "/>
    <m/>
    <m/>
    <m/>
    <m/>
    <m/>
    <s v="20250136"/>
    <n v="1"/>
    <n v="0"/>
    <m/>
    <m/>
    <m/>
    <d v="2025-02-13T00:00:00"/>
    <d v="2025-02-13T00:00:00"/>
    <n v="43.63"/>
    <d v="2025-02-12T00:00:00"/>
  </r>
  <r>
    <x v="0"/>
    <m/>
    <s v="2025"/>
    <s v="CR"/>
    <n v="402989"/>
    <n v="148"/>
    <n v="22"/>
    <n v="5"/>
    <d v="2025-02-17T00:00:00"/>
    <s v="RADE"/>
    <x v="5"/>
    <n v="115.88"/>
    <n v="23.18"/>
    <n v="139.06"/>
    <m/>
    <d v="2025-03-04T00:00:00"/>
    <n v="139.06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3-04T00:00:00"/>
    <d v="2025-02-26T00:00:00"/>
    <n v="139.06"/>
    <d v="2025-02-25T00:00:00"/>
  </r>
  <r>
    <x v="0"/>
    <m/>
    <s v="2025"/>
    <s v="CR"/>
    <n v="402990"/>
    <n v="148"/>
    <n v="22"/>
    <n v="6"/>
    <d v="2025-02-17T00:00:00"/>
    <s v="RADE"/>
    <x v="6"/>
    <n v="338.21"/>
    <n v="67.64"/>
    <n v="405.85"/>
    <m/>
    <d v="2025-03-04T00:00:00"/>
    <n v="405.85"/>
    <x v="5"/>
    <n v="0"/>
    <m/>
    <m/>
    <m/>
    <m/>
    <m/>
    <m/>
    <n v="0"/>
    <n v="0"/>
    <n v="0"/>
    <x v="0"/>
    <x v="1"/>
    <x v="1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3-04T00:00:00"/>
    <d v="2025-02-26T00:00:00"/>
    <n v="405.85"/>
    <d v="2025-02-25T00:00:00"/>
  </r>
  <r>
    <x v="0"/>
    <m/>
    <s v="2025"/>
    <s v="CR"/>
    <n v="403011"/>
    <n v="182"/>
    <n v="28"/>
    <n v="0"/>
    <d v="2025-02-18T00:00:00"/>
    <s v="CSFF"/>
    <x v="7"/>
    <n v="185.57"/>
    <n v="13.77"/>
    <n v="199.34"/>
    <m/>
    <d v="2025-02-27T00:00:00"/>
    <n v="199.34"/>
    <x v="6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PRAT - RATT GOUTERS VACANCES NOEL 2024 "/>
    <m/>
    <m/>
    <m/>
    <m/>
    <m/>
    <s v="20234517"/>
    <n v="1"/>
    <n v="0"/>
    <m/>
    <m/>
    <m/>
    <d v="2025-02-27T00:00:00"/>
    <d v="2025-02-26T00:00:00"/>
    <n v="199.34"/>
    <d v="2025-02-25T00:00:00"/>
  </r>
  <r>
    <x v="0"/>
    <m/>
    <s v="2025"/>
    <s v="CR"/>
    <n v="403075"/>
    <n v="203"/>
    <n v="28"/>
    <n v="0"/>
    <d v="2025-02-18T00:00:00"/>
    <s v="CSFF"/>
    <x v="8"/>
    <n v="46.23"/>
    <n v="2.54"/>
    <n v="48.77"/>
    <m/>
    <d v="2025-02-27T00:00:00"/>
    <n v="48.77"/>
    <x v="7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13"/>
    <n v="1"/>
    <n v="0"/>
    <m/>
    <m/>
    <m/>
    <d v="2025-02-27T00:00:00"/>
    <d v="2025-02-26T00:00:00"/>
    <n v="48.77"/>
    <d v="2025-02-25T00:00:00"/>
  </r>
  <r>
    <x v="0"/>
    <m/>
    <s v="2025"/>
    <s v="CR"/>
    <n v="403082"/>
    <n v="246"/>
    <n v="34"/>
    <n v="0"/>
    <d v="2025-02-24T00:00:00"/>
    <s v="MMFF"/>
    <x v="9"/>
    <n v="181.58"/>
    <n v="11.46"/>
    <n v="193.04"/>
    <m/>
    <d v="2025-02-26T00:00:00"/>
    <n v="193.04"/>
    <x v="8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38"/>
    <n v="1"/>
    <n v="0"/>
    <m/>
    <m/>
    <m/>
    <d v="2025-02-26T00:00:00"/>
    <d v="2025-02-25T00:00:00"/>
    <n v="193.04"/>
    <d v="2025-02-24T00:00:00"/>
  </r>
  <r>
    <x v="0"/>
    <m/>
    <s v="2025"/>
    <s v="CR"/>
    <n v="403084"/>
    <n v="245"/>
    <n v="34"/>
    <n v="0"/>
    <d v="2025-02-24T00:00:00"/>
    <s v="MMFF"/>
    <x v="10"/>
    <n v="127.93"/>
    <n v="7.04"/>
    <n v="134.97"/>
    <m/>
    <d v="2025-02-26T00:00:00"/>
    <n v="134.97"/>
    <x v="9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34"/>
    <n v="1"/>
    <n v="0"/>
    <m/>
    <m/>
    <m/>
    <d v="2025-02-26T00:00:00"/>
    <d v="2025-02-25T00:00:00"/>
    <n v="134.97"/>
    <d v="2025-02-24T00:00:00"/>
  </r>
  <r>
    <x v="0"/>
    <m/>
    <s v="2025"/>
    <s v="CR"/>
    <n v="403107"/>
    <n v="219"/>
    <n v="30"/>
    <n v="0"/>
    <d v="2025-02-21T00:00:00"/>
    <s v="CSFF"/>
    <x v="11"/>
    <n v="28.83"/>
    <n v="1.59"/>
    <n v="30.42"/>
    <m/>
    <d v="2025-02-26T00:00:00"/>
    <n v="30.42"/>
    <x v="10"/>
    <n v="0"/>
    <m/>
    <m/>
    <m/>
    <m/>
    <m/>
    <m/>
    <n v="0"/>
    <n v="0"/>
    <n v="0"/>
    <x v="0"/>
    <x v="3"/>
    <x v="3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24"/>
    <n v="1"/>
    <n v="0"/>
    <m/>
    <m/>
    <m/>
    <d v="2025-02-26T00:00:00"/>
    <d v="2025-02-25T00:00:00"/>
    <n v="30.42"/>
    <d v="2025-02-24T00:00:00"/>
  </r>
  <r>
    <x v="0"/>
    <m/>
    <s v="2025"/>
    <s v="CR"/>
    <n v="403108"/>
    <n v="220"/>
    <n v="30"/>
    <n v="0"/>
    <d v="2025-02-21T00:00:00"/>
    <s v="CSFF"/>
    <x v="12"/>
    <n v="66.540000000000006"/>
    <n v="3.66"/>
    <n v="70.2"/>
    <m/>
    <d v="2025-02-26T00:00:00"/>
    <n v="70.2"/>
    <x v="11"/>
    <n v="0"/>
    <m/>
    <m/>
    <m/>
    <m/>
    <m/>
    <m/>
    <n v="0"/>
    <n v="0"/>
    <n v="0"/>
    <x v="0"/>
    <x v="3"/>
    <x v="3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25"/>
    <n v="1"/>
    <n v="0"/>
    <m/>
    <m/>
    <m/>
    <d v="2025-02-26T00:00:00"/>
    <d v="2025-02-25T00:00:00"/>
    <n v="70.2"/>
    <d v="2025-02-24T00:00:00"/>
  </r>
  <r>
    <x v="0"/>
    <m/>
    <s v="2025"/>
    <s v="CR"/>
    <n v="403109"/>
    <n v="221"/>
    <n v="30"/>
    <n v="0"/>
    <d v="2025-02-21T00:00:00"/>
    <s v="CSFF"/>
    <x v="13"/>
    <n v="53.23"/>
    <n v="2.93"/>
    <n v="56.16"/>
    <m/>
    <d v="2025-02-26T00:00:00"/>
    <n v="56.16"/>
    <x v="12"/>
    <n v="0"/>
    <m/>
    <m/>
    <m/>
    <m/>
    <m/>
    <m/>
    <n v="0"/>
    <n v="0"/>
    <n v="0"/>
    <x v="0"/>
    <x v="3"/>
    <x v="3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26"/>
    <n v="1"/>
    <n v="0"/>
    <m/>
    <m/>
    <m/>
    <d v="2025-02-26T00:00:00"/>
    <d v="2025-02-25T00:00:00"/>
    <n v="56.16"/>
    <d v="2025-02-24T00:00:00"/>
  </r>
  <r>
    <x v="0"/>
    <m/>
    <s v="2025"/>
    <s v="CR"/>
    <n v="403110"/>
    <n v="222"/>
    <n v="30"/>
    <n v="0"/>
    <d v="2025-02-21T00:00:00"/>
    <s v="CSFF"/>
    <x v="14"/>
    <n v="53.23"/>
    <n v="2.93"/>
    <n v="56.16"/>
    <m/>
    <d v="2025-02-26T00:00:00"/>
    <n v="56.16"/>
    <x v="13"/>
    <n v="0"/>
    <m/>
    <m/>
    <m/>
    <m/>
    <m/>
    <m/>
    <n v="0"/>
    <n v="0"/>
    <n v="0"/>
    <x v="0"/>
    <x v="3"/>
    <x v="3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27"/>
    <n v="1"/>
    <n v="0"/>
    <m/>
    <m/>
    <m/>
    <d v="2025-02-26T00:00:00"/>
    <d v="2025-02-25T00:00:00"/>
    <n v="56.16"/>
    <d v="2025-02-24T00:00:00"/>
  </r>
  <r>
    <x v="0"/>
    <m/>
    <s v="2025"/>
    <s v="CR"/>
    <n v="403111"/>
    <n v="223"/>
    <n v="30"/>
    <n v="0"/>
    <d v="2025-02-21T00:00:00"/>
    <s v="CSFF"/>
    <x v="15"/>
    <n v="1255.3900000000001"/>
    <n v="69.05"/>
    <n v="1324.44"/>
    <m/>
    <d v="2025-02-26T00:00:00"/>
    <n v="1324.44"/>
    <x v="1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28"/>
    <n v="1"/>
    <n v="0"/>
    <m/>
    <m/>
    <m/>
    <d v="2025-02-26T00:00:00"/>
    <d v="2025-02-25T00:00:00"/>
    <n v="1324.44"/>
    <d v="2025-02-24T00:00:00"/>
  </r>
  <r>
    <x v="0"/>
    <m/>
    <s v="2025"/>
    <s v="CR"/>
    <n v="403112"/>
    <n v="224"/>
    <n v="30"/>
    <n v="0"/>
    <d v="2025-02-21T00:00:00"/>
    <s v="CSFF"/>
    <x v="16"/>
    <n v="389.43"/>
    <n v="21.42"/>
    <n v="410.85"/>
    <m/>
    <d v="2025-02-26T00:00:00"/>
    <n v="410.85"/>
    <x v="15"/>
    <n v="0"/>
    <m/>
    <m/>
    <m/>
    <m/>
    <m/>
    <m/>
    <n v="0"/>
    <n v="0"/>
    <n v="0"/>
    <x v="0"/>
    <x v="3"/>
    <x v="3"/>
    <s v=" "/>
    <s v="201"/>
    <s v="60623"/>
    <s v=" "/>
    <m/>
    <x v="4"/>
    <x v="2"/>
    <s v="011"/>
    <s v="CHARGES A CARACTERE GENERAL"/>
    <s v="011"/>
    <s v="CHARGES A CARACTERE GENERAL"/>
    <m/>
    <m/>
    <m/>
    <m/>
    <m/>
    <m/>
    <m/>
    <m/>
    <m/>
    <m/>
    <m/>
    <s v="CPRAT - RATT MINI VIENNOISERIES JP1 "/>
    <m/>
    <m/>
    <m/>
    <m/>
    <m/>
    <s v="20250329"/>
    <n v="1"/>
    <n v="0"/>
    <m/>
    <m/>
    <m/>
    <d v="2025-02-26T00:00:00"/>
    <d v="2025-02-25T00:00:00"/>
    <n v="410.85"/>
    <d v="2025-02-24T00:00:00"/>
  </r>
  <r>
    <x v="0"/>
    <m/>
    <s v="2025"/>
    <s v="CR"/>
    <n v="403165"/>
    <n v="271"/>
    <n v="39"/>
    <n v="0"/>
    <d v="2025-02-26T00:00:00"/>
    <s v="MMFF"/>
    <x v="17"/>
    <n v="92.56"/>
    <n v="5.09"/>
    <n v="97.65"/>
    <m/>
    <d v="2025-03-10T00:00:00"/>
    <n v="97.65"/>
    <x v="16"/>
    <n v="0"/>
    <m/>
    <m/>
    <m/>
    <m/>
    <m/>
    <m/>
    <n v="0"/>
    <n v="0"/>
    <n v="0"/>
    <x v="0"/>
    <x v="3"/>
    <x v="3"/>
    <s v=" "/>
    <s v="026"/>
    <s v="60623"/>
    <s v=" "/>
    <m/>
    <x v="5"/>
    <x v="7"/>
    <s v="011"/>
    <s v="CHARGES A CARACTERE GENERAL"/>
    <s v="011"/>
    <s v="CHARGES A CARACTERE GENERAL"/>
    <m/>
    <m/>
    <m/>
    <m/>
    <m/>
    <m/>
    <m/>
    <m/>
    <m/>
    <m/>
    <m/>
    <s v="CPRAT - RATT VIENNOISERIES LEGISLATIVES  30 JUIN"/>
    <m/>
    <m/>
    <m/>
    <m/>
    <m/>
    <s v="20233053"/>
    <n v="1"/>
    <n v="0"/>
    <m/>
    <m/>
    <m/>
    <d v="2025-03-10T00:00:00"/>
    <d v="2025-03-10T00:00:00"/>
    <n v="97.65"/>
    <d v="2025-03-09T00:00:00"/>
  </r>
  <r>
    <x v="0"/>
    <m/>
    <s v="2025"/>
    <s v="CR"/>
    <n v="403191"/>
    <n v="267"/>
    <n v="39"/>
    <n v="0"/>
    <d v="2025-02-26T00:00:00"/>
    <s v="MMFF"/>
    <x v="18"/>
    <n v="141.16"/>
    <n v="8.52"/>
    <n v="149.68"/>
    <m/>
    <d v="2025-03-10T00:00:00"/>
    <n v="149.68"/>
    <x v="1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168"/>
    <n v="1"/>
    <n v="0"/>
    <m/>
    <m/>
    <m/>
    <d v="2025-03-10T00:00:00"/>
    <d v="2025-03-10T00:00:00"/>
    <n v="149.68"/>
    <d v="2025-03-09T00:00:00"/>
  </r>
  <r>
    <x v="0"/>
    <m/>
    <s v="2025"/>
    <s v="CR"/>
    <n v="403192"/>
    <n v="268"/>
    <n v="39"/>
    <n v="0"/>
    <d v="2025-02-26T00:00:00"/>
    <s v="MMFF"/>
    <x v="19"/>
    <n v="119.61"/>
    <n v="7.73"/>
    <n v="127.34"/>
    <m/>
    <d v="2025-03-10T00:00:00"/>
    <n v="127.34"/>
    <x v="1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276"/>
    <n v="1"/>
    <n v="0"/>
    <m/>
    <m/>
    <m/>
    <d v="2025-03-10T00:00:00"/>
    <d v="2025-03-10T00:00:00"/>
    <n v="127.34"/>
    <d v="2025-03-09T00:00:00"/>
  </r>
  <r>
    <x v="0"/>
    <m/>
    <s v="2025"/>
    <s v="CR"/>
    <n v="403193"/>
    <n v="269"/>
    <n v="39"/>
    <n v="0"/>
    <d v="2025-02-26T00:00:00"/>
    <s v="MMFF"/>
    <x v="20"/>
    <n v="93.69"/>
    <n v="6.3"/>
    <n v="99.99"/>
    <m/>
    <d v="2025-03-10T00:00:00"/>
    <n v="99.99"/>
    <x v="19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35"/>
    <n v="1"/>
    <n v="0"/>
    <m/>
    <m/>
    <m/>
    <d v="2025-03-10T00:00:00"/>
    <d v="2025-03-10T00:00:00"/>
    <n v="99.99"/>
    <d v="2025-03-09T00:00:00"/>
  </r>
  <r>
    <x v="0"/>
    <m/>
    <s v="2025"/>
    <s v="CR"/>
    <n v="403194"/>
    <n v="270"/>
    <n v="39"/>
    <n v="0"/>
    <d v="2025-02-26T00:00:00"/>
    <s v="MMFF"/>
    <x v="21"/>
    <n v="27.47"/>
    <n v="2.17"/>
    <n v="29.64"/>
    <m/>
    <d v="2025-03-10T00:00:00"/>
    <n v="29.64"/>
    <x v="20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36"/>
    <n v="1"/>
    <n v="0"/>
    <m/>
    <m/>
    <m/>
    <d v="2025-03-10T00:00:00"/>
    <d v="2025-03-10T00:00:00"/>
    <n v="29.64"/>
    <d v="2025-03-09T00:00:00"/>
  </r>
  <r>
    <x v="0"/>
    <m/>
    <s v="2025"/>
    <s v="CR"/>
    <n v="403208"/>
    <n v="289"/>
    <n v="43"/>
    <n v="0"/>
    <d v="2025-02-27T00:00:00"/>
    <s v="CSFF"/>
    <x v="22"/>
    <n v="27.42"/>
    <n v="1.51"/>
    <n v="28.93"/>
    <m/>
    <d v="2025-03-10T00:00:00"/>
    <n v="28.93"/>
    <x v="21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292"/>
    <n v="1"/>
    <n v="0"/>
    <m/>
    <m/>
    <m/>
    <d v="2025-03-10T00:00:00"/>
    <d v="2025-03-10T00:00:00"/>
    <n v="28.93"/>
    <d v="2025-03-09T00:00:00"/>
  </r>
  <r>
    <x v="0"/>
    <m/>
    <s v="2025"/>
    <s v="CR"/>
    <n v="403209"/>
    <n v="290"/>
    <n v="43"/>
    <n v="0"/>
    <d v="2025-02-27T00:00:00"/>
    <s v="CSFF"/>
    <x v="23"/>
    <n v="26.15"/>
    <n v="1.66"/>
    <n v="27.81"/>
    <m/>
    <d v="2025-03-10T00:00:00"/>
    <n v="27.81"/>
    <x v="22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293"/>
    <n v="1"/>
    <n v="0"/>
    <m/>
    <m/>
    <m/>
    <d v="2025-03-10T00:00:00"/>
    <d v="2025-03-10T00:00:00"/>
    <n v="27.81"/>
    <d v="2025-03-09T00:00:00"/>
  </r>
  <r>
    <x v="0"/>
    <m/>
    <s v="2025"/>
    <s v="CR"/>
    <n v="403211"/>
    <n v="291"/>
    <n v="43"/>
    <n v="0"/>
    <d v="2025-02-27T00:00:00"/>
    <s v="CSFF"/>
    <x v="24"/>
    <n v="25.48"/>
    <n v="3.6"/>
    <n v="29.08"/>
    <m/>
    <d v="2025-03-10T00:00:00"/>
    <n v="29.08"/>
    <x v="23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37"/>
    <n v="1"/>
    <n v="0"/>
    <m/>
    <m/>
    <m/>
    <d v="2025-03-10T00:00:00"/>
    <d v="2025-03-10T00:00:00"/>
    <n v="29.08"/>
    <d v="2025-03-09T00:00:00"/>
  </r>
  <r>
    <x v="0"/>
    <m/>
    <s v="2025"/>
    <s v="CR"/>
    <n v="403213"/>
    <n v="293"/>
    <n v="43"/>
    <n v="0"/>
    <d v="2025-02-27T00:00:00"/>
    <s v="CSFF"/>
    <x v="25"/>
    <n v="28.44"/>
    <n v="1.56"/>
    <n v="30"/>
    <m/>
    <d v="2025-03-10T00:00:00"/>
    <n v="30"/>
    <x v="2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45"/>
    <n v="1"/>
    <n v="0"/>
    <m/>
    <m/>
    <m/>
    <d v="2025-03-10T00:00:00"/>
    <d v="2025-03-10T00:00:00"/>
    <n v="30"/>
    <d v="2025-03-09T00:00:00"/>
  </r>
  <r>
    <x v="0"/>
    <m/>
    <s v="2025"/>
    <s v="CR"/>
    <n v="403214"/>
    <n v="294"/>
    <n v="43"/>
    <n v="0"/>
    <d v="2025-02-27T00:00:00"/>
    <s v="CSFF"/>
    <x v="26"/>
    <n v="93.43"/>
    <n v="5.96"/>
    <n v="99.39"/>
    <m/>
    <d v="2025-03-10T00:00:00"/>
    <n v="99.39"/>
    <x v="2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46"/>
    <n v="1"/>
    <n v="0"/>
    <m/>
    <m/>
    <m/>
    <d v="2025-03-10T00:00:00"/>
    <d v="2025-03-10T00:00:00"/>
    <n v="99.39"/>
    <d v="2025-03-09T00:00:00"/>
  </r>
  <r>
    <x v="0"/>
    <m/>
    <s v="2025"/>
    <s v="CR"/>
    <n v="403221"/>
    <n v="299"/>
    <n v="43"/>
    <n v="0"/>
    <d v="2025-02-27T00:00:00"/>
    <s v="CSFF"/>
    <x v="27"/>
    <n v="121.05"/>
    <n v="24.21"/>
    <n v="145.26"/>
    <m/>
    <d v="2025-03-10T00:00:00"/>
    <n v="145.26"/>
    <x v="26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64"/>
    <n v="1"/>
    <n v="0"/>
    <m/>
    <m/>
    <m/>
    <d v="2025-03-10T00:00:00"/>
    <d v="2025-03-10T00:00:00"/>
    <n v="145.26"/>
    <d v="2025-03-09T00:00:00"/>
  </r>
  <r>
    <x v="0"/>
    <m/>
    <s v="2025"/>
    <s v="CR"/>
    <n v="403373"/>
    <n v="486"/>
    <n v="65"/>
    <n v="0"/>
    <d v="2025-03-20T00:00:00"/>
    <s v="CSFF"/>
    <x v="28"/>
    <n v="138.07"/>
    <n v="10.77"/>
    <n v="148.84"/>
    <m/>
    <d v="2025-03-25T00:00:00"/>
    <n v="148.84"/>
    <x v="27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04"/>
    <n v="1"/>
    <n v="0"/>
    <m/>
    <m/>
    <m/>
    <d v="2025-03-24T00:00:00"/>
    <d v="2025-03-24T00:00:00"/>
    <n v="148.84"/>
    <d v="2025-03-23T00:00:00"/>
  </r>
  <r>
    <x v="0"/>
    <m/>
    <s v="2025"/>
    <s v="CR"/>
    <n v="404335"/>
    <n v="407"/>
    <n v="58"/>
    <n v="0"/>
    <d v="2025-03-12T00:00:00"/>
    <s v="ARFF"/>
    <x v="29"/>
    <n v="187.08"/>
    <n v="11.81"/>
    <n v="198.89"/>
    <m/>
    <d v="2025-03-17T00:00:00"/>
    <n v="198.89"/>
    <x v="28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473"/>
    <n v="1"/>
    <n v="0"/>
    <m/>
    <m/>
    <m/>
    <d v="2025-03-17T00:00:00"/>
    <d v="2025-03-17T00:00:00"/>
    <n v="198.89"/>
    <d v="2025-03-16T00:00:00"/>
  </r>
  <r>
    <x v="0"/>
    <m/>
    <s v="2025"/>
    <s v="CR"/>
    <n v="404336"/>
    <n v="408"/>
    <n v="58"/>
    <n v="0"/>
    <d v="2025-03-12T00:00:00"/>
    <s v="ARFF"/>
    <x v="30"/>
    <n v="142.55000000000001"/>
    <n v="7.84"/>
    <n v="150.38999999999999"/>
    <m/>
    <d v="2025-03-17T00:00:00"/>
    <n v="150.38999999999999"/>
    <x v="29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474"/>
    <n v="1"/>
    <n v="0"/>
    <m/>
    <m/>
    <m/>
    <d v="2025-03-17T00:00:00"/>
    <d v="2025-03-17T00:00:00"/>
    <n v="150.38999999999999"/>
    <d v="2025-03-16T00:00:00"/>
  </r>
  <r>
    <x v="0"/>
    <m/>
    <s v="2025"/>
    <s v="CR"/>
    <n v="405097"/>
    <n v="409"/>
    <n v="58"/>
    <n v="0"/>
    <d v="2025-03-12T00:00:00"/>
    <s v="ARFF"/>
    <x v="31"/>
    <n v="23.33"/>
    <n v="1.28"/>
    <n v="24.61"/>
    <m/>
    <d v="2025-03-17T00:00:00"/>
    <n v="24.61"/>
    <x v="30"/>
    <n v="0"/>
    <m/>
    <m/>
    <m/>
    <m/>
    <m/>
    <m/>
    <n v="0"/>
    <n v="0"/>
    <n v="0"/>
    <x v="0"/>
    <x v="4"/>
    <x v="4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475"/>
    <n v="1"/>
    <n v="0"/>
    <m/>
    <m/>
    <m/>
    <d v="2025-03-17T00:00:00"/>
    <d v="2025-03-17T00:00:00"/>
    <n v="24.61"/>
    <d v="2025-03-16T00:00:00"/>
  </r>
  <r>
    <x v="0"/>
    <m/>
    <s v="2025"/>
    <s v="CR"/>
    <n v="405099"/>
    <n v="405"/>
    <n v="58"/>
    <n v="0"/>
    <d v="2025-03-12T00:00:00"/>
    <s v="ARFF"/>
    <x v="32"/>
    <n v="110.81"/>
    <n v="6.48"/>
    <n v="117.29"/>
    <m/>
    <d v="2025-03-17T00:00:00"/>
    <n v="117.29"/>
    <x v="31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90"/>
    <n v="1"/>
    <n v="0"/>
    <m/>
    <m/>
    <m/>
    <d v="2025-03-17T00:00:00"/>
    <d v="2025-03-17T00:00:00"/>
    <n v="117.29"/>
    <d v="2025-03-16T00:00:00"/>
  </r>
  <r>
    <x v="0"/>
    <m/>
    <s v="2025"/>
    <s v="CR"/>
    <n v="405100"/>
    <n v="406"/>
    <n v="58"/>
    <n v="0"/>
    <d v="2025-03-12T00:00:00"/>
    <s v="ARFF"/>
    <x v="33"/>
    <n v="78.69"/>
    <n v="5.05"/>
    <n v="83.74"/>
    <m/>
    <d v="2025-03-17T00:00:00"/>
    <n v="83.74"/>
    <x v="32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91"/>
    <n v="1"/>
    <n v="0"/>
    <m/>
    <m/>
    <m/>
    <d v="2025-03-17T00:00:00"/>
    <d v="2025-03-17T00:00:00"/>
    <n v="83.74"/>
    <d v="2025-03-16T00:00:00"/>
  </r>
  <r>
    <x v="0"/>
    <m/>
    <s v="2025"/>
    <s v="CR"/>
    <n v="406028"/>
    <n v="440"/>
    <n v="61"/>
    <n v="0"/>
    <d v="2025-03-20T00:00:00"/>
    <s v="ARFF"/>
    <x v="34"/>
    <n v="952.59"/>
    <n v="68.59"/>
    <n v="1021.18"/>
    <m/>
    <d v="2025-03-25T00:00:00"/>
    <n v="1021.18"/>
    <x v="33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PRAT - RATT PATISSERIE, VEILLEE, CHOCOLAT DE NOËL, GOUTER DE F IN D"/>
    <m/>
    <m/>
    <m/>
    <m/>
    <m/>
    <s v="20234547"/>
    <n v="1"/>
    <n v="0"/>
    <m/>
    <m/>
    <m/>
    <d v="2025-03-20T00:00:00"/>
    <d v="2025-03-20T00:00:00"/>
    <n v="1021.18"/>
    <d v="2025-03-19T00:00:00"/>
  </r>
  <r>
    <x v="0"/>
    <m/>
    <s v="2025"/>
    <s v="CR"/>
    <n v="406071"/>
    <n v="490"/>
    <n v="65"/>
    <n v="0"/>
    <d v="2025-03-20T00:00:00"/>
    <s v="CSFF"/>
    <x v="35"/>
    <n v="174.04"/>
    <n v="9.57"/>
    <n v="183.61"/>
    <m/>
    <d v="2025-03-25T00:00:00"/>
    <n v="183.61"/>
    <x v="34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63"/>
    <n v="1"/>
    <n v="0"/>
    <m/>
    <m/>
    <m/>
    <d v="2025-03-24T00:00:00"/>
    <d v="2025-03-24T00:00:00"/>
    <n v="183.61"/>
    <d v="2025-03-23T00:00:00"/>
  </r>
  <r>
    <x v="0"/>
    <m/>
    <s v="2025"/>
    <s v="CR"/>
    <n v="406085"/>
    <n v="504"/>
    <n v="65"/>
    <n v="0"/>
    <d v="2025-03-20T00:00:00"/>
    <s v="CSFF"/>
    <x v="36"/>
    <n v="28.19"/>
    <n v="1.55"/>
    <n v="29.74"/>
    <m/>
    <d v="2025-03-25T00:00:00"/>
    <n v="29.74"/>
    <x v="3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65"/>
    <n v="1"/>
    <n v="0"/>
    <m/>
    <m/>
    <m/>
    <d v="2025-03-24T00:00:00"/>
    <d v="2025-03-24T00:00:00"/>
    <n v="29.74"/>
    <d v="2025-03-23T00:00:00"/>
  </r>
  <r>
    <x v="0"/>
    <m/>
    <s v="2025"/>
    <s v="CR"/>
    <n v="406086"/>
    <n v="505"/>
    <n v="65"/>
    <n v="0"/>
    <d v="2025-03-20T00:00:00"/>
    <s v="CSFF"/>
    <x v="37"/>
    <n v="27.88"/>
    <n v="1.53"/>
    <n v="29.41"/>
    <m/>
    <d v="2025-03-25T00:00:00"/>
    <n v="29.41"/>
    <x v="3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66"/>
    <n v="1"/>
    <n v="0"/>
    <m/>
    <m/>
    <m/>
    <d v="2025-03-24T00:00:00"/>
    <d v="2025-03-24T00:00:00"/>
    <n v="29.41"/>
    <d v="2025-03-23T00:00:00"/>
  </r>
  <r>
    <x v="0"/>
    <m/>
    <s v="2025"/>
    <s v="CR"/>
    <n v="406087"/>
    <n v="506"/>
    <n v="65"/>
    <n v="0"/>
    <d v="2025-03-20T00:00:00"/>
    <s v="CSFF"/>
    <x v="38"/>
    <n v="126.83"/>
    <n v="8.32"/>
    <n v="135.15"/>
    <m/>
    <d v="2025-03-25T00:00:00"/>
    <n v="135.15"/>
    <x v="3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67"/>
    <n v="1"/>
    <n v="0"/>
    <m/>
    <m/>
    <m/>
    <d v="2025-03-24T00:00:00"/>
    <d v="2025-03-24T00:00:00"/>
    <n v="135.15"/>
    <d v="2025-03-23T00:00:00"/>
  </r>
  <r>
    <x v="0"/>
    <m/>
    <s v="2025"/>
    <s v="CR"/>
    <n v="407974"/>
    <n v="746"/>
    <n v="99"/>
    <n v="0"/>
    <d v="2025-04-18T00:00:00"/>
    <s v="CMFF"/>
    <x v="39"/>
    <n v="79.540000000000006"/>
    <n v="6.01"/>
    <n v="85.55"/>
    <m/>
    <d v="2025-05-05T00:00:00"/>
    <n v="85.55"/>
    <x v="38"/>
    <n v="0"/>
    <m/>
    <m/>
    <m/>
    <m/>
    <m/>
    <m/>
    <n v="0"/>
    <n v="0"/>
    <n v="0"/>
    <x v="0"/>
    <x v="4"/>
    <x v="4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690"/>
    <n v="1"/>
    <n v="0"/>
    <m/>
    <m/>
    <m/>
    <d v="2025-05-05T00:00:00"/>
    <d v="2025-05-05T00:00:00"/>
    <n v="85.55"/>
    <d v="2025-05-04T00:00:00"/>
  </r>
  <r>
    <x v="0"/>
    <m/>
    <s v="2025"/>
    <s v="CR"/>
    <n v="407975"/>
    <n v="747"/>
    <n v="99"/>
    <n v="0"/>
    <d v="2025-04-18T00:00:00"/>
    <s v="CMFF"/>
    <x v="40"/>
    <n v="235.32"/>
    <n v="13.62"/>
    <n v="248.94"/>
    <m/>
    <d v="2025-05-05T00:00:00"/>
    <n v="248.94"/>
    <x v="39"/>
    <n v="0"/>
    <m/>
    <m/>
    <m/>
    <m/>
    <m/>
    <m/>
    <n v="0"/>
    <n v="0"/>
    <n v="0"/>
    <x v="0"/>
    <x v="4"/>
    <x v="4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691"/>
    <n v="1"/>
    <n v="0"/>
    <m/>
    <m/>
    <m/>
    <d v="2025-05-05T00:00:00"/>
    <d v="2025-05-05T00:00:00"/>
    <n v="248.94"/>
    <d v="2025-05-04T00:00:00"/>
  </r>
  <r>
    <x v="0"/>
    <m/>
    <s v="2025"/>
    <s v="CR"/>
    <n v="407983"/>
    <n v="756"/>
    <n v="102"/>
    <n v="0"/>
    <d v="2025-04-18T00:00:00"/>
    <s v="CMFF"/>
    <x v="41"/>
    <n v="119.18"/>
    <n v="6.56"/>
    <n v="125.74"/>
    <m/>
    <d v="2025-05-05T00:00:00"/>
    <n v="125.74"/>
    <x v="40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40"/>
    <n v="1"/>
    <n v="0"/>
    <m/>
    <m/>
    <m/>
    <d v="2025-05-05T00:00:00"/>
    <d v="2025-05-05T00:00:00"/>
    <n v="125.74"/>
    <d v="2025-05-04T00:00:00"/>
  </r>
  <r>
    <x v="0"/>
    <m/>
    <s v="2025"/>
    <s v="CR"/>
    <n v="408081"/>
    <n v="829"/>
    <n v="115"/>
    <n v="0"/>
    <d v="2025-04-28T00:00:00"/>
    <s v="CMFF"/>
    <x v="42"/>
    <n v="162"/>
    <n v="32.4"/>
    <n v="194.4"/>
    <m/>
    <d v="2025-05-05T00:00:00"/>
    <n v="194.4"/>
    <x v="41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693"/>
    <n v="1"/>
    <n v="0"/>
    <m/>
    <m/>
    <m/>
    <d v="2025-05-05T00:00:00"/>
    <d v="2025-05-05T00:00:00"/>
    <n v="194.4"/>
    <d v="2025-05-04T00:00:00"/>
  </r>
  <r>
    <x v="1"/>
    <m/>
    <s v="2025"/>
    <s v="CR"/>
    <n v="408120"/>
    <n v="846"/>
    <n v="119"/>
    <n v="1"/>
    <d v="2025-04-29T00:00:00"/>
    <s v="RADE"/>
    <x v="43"/>
    <n v="187.23"/>
    <n v="0"/>
    <n v="187.23"/>
    <m/>
    <d v="2025-05-05T00:00:00"/>
    <n v="187.23"/>
    <x v="5"/>
    <n v="0"/>
    <m/>
    <m/>
    <m/>
    <m/>
    <m/>
    <m/>
    <n v="0"/>
    <n v="0"/>
    <n v="0"/>
    <x v="0"/>
    <x v="5"/>
    <x v="5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5-05T00:00:00"/>
    <d v="2025-05-05T00:00:00"/>
    <n v="187.23"/>
    <d v="2025-05-04T00:00:00"/>
  </r>
  <r>
    <x v="0"/>
    <m/>
    <s v="2025"/>
    <s v="CR"/>
    <n v="408156"/>
    <n v="854"/>
    <n v="124"/>
    <n v="0"/>
    <d v="2025-05-09T00:00:00"/>
    <s v="CMFF"/>
    <x v="44"/>
    <n v="141.56"/>
    <n v="7.79"/>
    <n v="149.35"/>
    <m/>
    <d v="2025-05-19T00:00:00"/>
    <n v="149.35"/>
    <x v="42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558"/>
    <n v="1"/>
    <n v="0"/>
    <m/>
    <m/>
    <m/>
    <d v="2025-05-19T00:00:00"/>
    <d v="2025-05-19T00:00:00"/>
    <n v="149.35"/>
    <d v="2025-05-18T00:00:00"/>
  </r>
  <r>
    <x v="0"/>
    <m/>
    <s v="2025"/>
    <s v="CR"/>
    <n v="408157"/>
    <n v="855"/>
    <n v="124"/>
    <n v="0"/>
    <d v="2025-05-09T00:00:00"/>
    <s v="CMFF"/>
    <x v="45"/>
    <n v="142.18"/>
    <n v="7.82"/>
    <n v="150"/>
    <m/>
    <d v="2025-05-19T00:00:00"/>
    <n v="150"/>
    <x v="43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559"/>
    <n v="1"/>
    <n v="0"/>
    <m/>
    <m/>
    <m/>
    <d v="2025-05-19T00:00:00"/>
    <d v="2025-05-19T00:00:00"/>
    <n v="150"/>
    <d v="2025-05-18T00:00:00"/>
  </r>
  <r>
    <x v="0"/>
    <m/>
    <s v="2025"/>
    <s v="CR"/>
    <n v="408158"/>
    <n v="856"/>
    <n v="124"/>
    <n v="0"/>
    <d v="2025-05-09T00:00:00"/>
    <s v="CMFF"/>
    <x v="46"/>
    <n v="93.62"/>
    <n v="6.26"/>
    <n v="99.88"/>
    <m/>
    <d v="2025-05-19T00:00:00"/>
    <n v="99.88"/>
    <x v="4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560"/>
    <n v="1"/>
    <n v="0"/>
    <m/>
    <m/>
    <m/>
    <d v="2025-05-19T00:00:00"/>
    <d v="2025-05-19T00:00:00"/>
    <n v="99.88"/>
    <d v="2025-05-18T00:00:00"/>
  </r>
  <r>
    <x v="0"/>
    <m/>
    <s v="2025"/>
    <s v="CR"/>
    <n v="408165"/>
    <n v="862"/>
    <n v="124"/>
    <n v="0"/>
    <d v="2025-05-09T00:00:00"/>
    <s v="CMFF"/>
    <x v="47"/>
    <n v="27.63"/>
    <n v="2.23"/>
    <n v="29.86"/>
    <m/>
    <d v="2025-05-19T00:00:00"/>
    <n v="29.86"/>
    <x v="4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697"/>
    <n v="1"/>
    <n v="0"/>
    <m/>
    <m/>
    <m/>
    <d v="2025-05-19T00:00:00"/>
    <d v="2025-05-19T00:00:00"/>
    <n v="29.86"/>
    <d v="2025-05-18T00:00:00"/>
  </r>
  <r>
    <x v="0"/>
    <m/>
    <s v="2025"/>
    <s v="CR"/>
    <n v="408166"/>
    <n v="863"/>
    <n v="124"/>
    <n v="0"/>
    <d v="2025-05-09T00:00:00"/>
    <s v="CMFF"/>
    <x v="48"/>
    <n v="28.37"/>
    <n v="1.56"/>
    <n v="29.93"/>
    <m/>
    <d v="2025-05-19T00:00:00"/>
    <n v="29.93"/>
    <x v="4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01"/>
    <n v="1"/>
    <n v="0"/>
    <m/>
    <m/>
    <m/>
    <d v="2025-05-19T00:00:00"/>
    <d v="2025-05-19T00:00:00"/>
    <n v="29.93"/>
    <d v="2025-05-18T00:00:00"/>
  </r>
  <r>
    <x v="0"/>
    <m/>
    <s v="2025"/>
    <s v="CR"/>
    <n v="408167"/>
    <n v="864"/>
    <n v="124"/>
    <n v="0"/>
    <d v="2025-05-09T00:00:00"/>
    <s v="CMFF"/>
    <x v="49"/>
    <n v="28.25"/>
    <n v="1.55"/>
    <n v="29.8"/>
    <m/>
    <d v="2025-05-19T00:00:00"/>
    <n v="29.8"/>
    <x v="4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02"/>
    <n v="1"/>
    <n v="0"/>
    <m/>
    <m/>
    <m/>
    <d v="2025-05-19T00:00:00"/>
    <d v="2025-05-19T00:00:00"/>
    <n v="29.8"/>
    <d v="2025-05-18T00:00:00"/>
  </r>
  <r>
    <x v="0"/>
    <m/>
    <s v="2025"/>
    <s v="CR"/>
    <n v="408168"/>
    <n v="865"/>
    <n v="124"/>
    <n v="0"/>
    <d v="2025-05-09T00:00:00"/>
    <s v="CMFF"/>
    <x v="50"/>
    <n v="142.01"/>
    <n v="7.81"/>
    <n v="149.82"/>
    <m/>
    <d v="2025-05-19T00:00:00"/>
    <n v="149.82"/>
    <x v="4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03"/>
    <n v="1"/>
    <n v="0"/>
    <m/>
    <m/>
    <m/>
    <d v="2025-05-19T00:00:00"/>
    <d v="2025-05-19T00:00:00"/>
    <n v="149.82"/>
    <d v="2025-05-18T00:00:00"/>
  </r>
  <r>
    <x v="0"/>
    <m/>
    <s v="2025"/>
    <s v="CR"/>
    <n v="408224"/>
    <n v="883"/>
    <n v="129"/>
    <n v="0"/>
    <d v="2025-05-12T00:00:00"/>
    <s v="CMFF"/>
    <x v="51"/>
    <n v="70.98"/>
    <n v="4.3099999999999996"/>
    <n v="75.290000000000006"/>
    <m/>
    <d v="2025-05-19T00:00:00"/>
    <n v="75.290000000000006"/>
    <x v="49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55"/>
    <n v="1"/>
    <n v="0"/>
    <m/>
    <m/>
    <m/>
    <d v="2025-05-19T00:00:00"/>
    <d v="2025-05-19T00:00:00"/>
    <n v="75.290000000000006"/>
    <d v="2025-05-18T00:00:00"/>
  </r>
  <r>
    <x v="0"/>
    <m/>
    <s v="2025"/>
    <s v="CR"/>
    <n v="408241"/>
    <n v="889"/>
    <n v="131"/>
    <n v="0"/>
    <d v="2025-05-12T00:00:00"/>
    <s v="CMFF"/>
    <x v="52"/>
    <n v="63.1"/>
    <n v="5.83"/>
    <n v="68.930000000000007"/>
    <m/>
    <d v="2025-05-19T00:00:00"/>
    <n v="68.930000000000007"/>
    <x v="50"/>
    <n v="0"/>
    <m/>
    <m/>
    <m/>
    <m/>
    <m/>
    <m/>
    <n v="0"/>
    <n v="0"/>
    <n v="0"/>
    <x v="0"/>
    <x v="2"/>
    <x v="2"/>
    <s v=" "/>
    <s v="4221"/>
    <s v="60623"/>
    <s v=" "/>
    <m/>
    <x v="7"/>
    <x v="1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87"/>
    <n v="1"/>
    <n v="0"/>
    <m/>
    <m/>
    <m/>
    <d v="2025-05-19T00:00:00"/>
    <d v="2025-05-19T00:00:00"/>
    <n v="68.930000000000007"/>
    <d v="2025-05-18T00:00:00"/>
  </r>
  <r>
    <x v="1"/>
    <m/>
    <s v="2025"/>
    <s v="CR"/>
    <n v="409402"/>
    <n v="994"/>
    <n v="146"/>
    <n v="1"/>
    <d v="2025-05-16T00:00:00"/>
    <s v="RADE"/>
    <x v="53"/>
    <n v="18.239999999999998"/>
    <n v="3.65"/>
    <n v="21.89"/>
    <m/>
    <d v="2025-05-19T00:00:00"/>
    <n v="21.89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5-19T00:00:00"/>
    <d v="2025-05-19T00:00:00"/>
    <n v="21.89"/>
    <d v="2025-05-18T00:00:00"/>
  </r>
  <r>
    <x v="0"/>
    <m/>
    <s v="2025"/>
    <s v="CR"/>
    <n v="409425"/>
    <n v="998"/>
    <n v="147"/>
    <n v="0"/>
    <d v="2025-05-21T00:00:00"/>
    <s v="ARFF"/>
    <x v="54"/>
    <n v="82.47"/>
    <n v="16.489999999999998"/>
    <n v="98.96"/>
    <m/>
    <d v="2025-06-03T00:00:00"/>
    <n v="98.96"/>
    <x v="51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31893"/>
    <n v="1"/>
    <n v="0"/>
    <m/>
    <m/>
    <m/>
    <d v="2025-06-03T00:00:00"/>
    <d v="2025-06-03T00:00:00"/>
    <n v="98.96"/>
    <d v="2025-06-02T00:00:00"/>
  </r>
  <r>
    <x v="0"/>
    <m/>
    <s v="2025"/>
    <s v="CR"/>
    <n v="409433"/>
    <n v="999"/>
    <n v="147"/>
    <n v="0"/>
    <d v="2025-05-21T00:00:00"/>
    <s v="ARFF"/>
    <x v="55"/>
    <n v="166.29"/>
    <n v="14.2"/>
    <n v="180.49"/>
    <m/>
    <d v="2025-06-03T00:00:00"/>
    <n v="180.49"/>
    <x v="52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14"/>
    <n v="1"/>
    <n v="0"/>
    <m/>
    <m/>
    <m/>
    <d v="2025-06-03T00:00:00"/>
    <d v="2025-06-03T00:00:00"/>
    <n v="180.49"/>
    <d v="2025-06-02T00:00:00"/>
  </r>
  <r>
    <x v="0"/>
    <m/>
    <s v="2025"/>
    <s v="CR"/>
    <n v="409437"/>
    <n v="1000"/>
    <n v="147"/>
    <n v="0"/>
    <d v="2025-05-21T00:00:00"/>
    <s v="ARFF"/>
    <x v="56"/>
    <n v="113.71"/>
    <n v="10.34"/>
    <n v="124.05"/>
    <m/>
    <d v="2025-06-03T00:00:00"/>
    <n v="124.05"/>
    <x v="53"/>
    <n v="0"/>
    <m/>
    <m/>
    <m/>
    <m/>
    <m/>
    <m/>
    <n v="0"/>
    <n v="0"/>
    <n v="0"/>
    <x v="0"/>
    <x v="4"/>
    <x v="4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29"/>
    <n v="1"/>
    <n v="0"/>
    <m/>
    <m/>
    <m/>
    <d v="2025-06-03T00:00:00"/>
    <d v="2025-06-03T00:00:00"/>
    <n v="124.05"/>
    <d v="2025-06-02T00:00:00"/>
  </r>
  <r>
    <x v="0"/>
    <m/>
    <s v="2025"/>
    <s v="CR"/>
    <n v="409438"/>
    <n v="1001"/>
    <n v="147"/>
    <n v="0"/>
    <d v="2025-05-21T00:00:00"/>
    <s v="ARFF"/>
    <x v="57"/>
    <n v="11.75"/>
    <n v="0.65"/>
    <n v="12.4"/>
    <m/>
    <d v="2025-06-03T00:00:00"/>
    <n v="12.4"/>
    <x v="54"/>
    <n v="0"/>
    <m/>
    <m/>
    <m/>
    <m/>
    <m/>
    <m/>
    <n v="0"/>
    <n v="0"/>
    <n v="0"/>
    <x v="0"/>
    <x v="4"/>
    <x v="4"/>
    <s v=" "/>
    <s v="201"/>
    <s v="60623"/>
    <s v=" "/>
    <m/>
    <x v="4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36"/>
    <n v="1"/>
    <n v="0"/>
    <m/>
    <m/>
    <m/>
    <d v="2025-06-03T00:00:00"/>
    <d v="2025-06-03T00:00:00"/>
    <n v="12.4"/>
    <d v="2025-06-02T00:00:00"/>
  </r>
  <r>
    <x v="0"/>
    <m/>
    <s v="2025"/>
    <s v="CR"/>
    <n v="409473"/>
    <n v="1030"/>
    <n v="152"/>
    <n v="0"/>
    <d v="2025-05-27T00:00:00"/>
    <s v="CMFF"/>
    <x v="58"/>
    <n v="86.27"/>
    <n v="11.88"/>
    <n v="98.15"/>
    <m/>
    <d v="2025-06-02T00:00:00"/>
    <n v="98.15"/>
    <x v="55"/>
    <n v="0"/>
    <m/>
    <m/>
    <m/>
    <m/>
    <m/>
    <m/>
    <n v="0"/>
    <n v="0"/>
    <n v="0"/>
    <x v="0"/>
    <x v="4"/>
    <x v="4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692"/>
    <n v="1"/>
    <n v="0"/>
    <m/>
    <m/>
    <m/>
    <d v="2025-06-02T00:00:00"/>
    <d v="2025-06-02T00:00:00"/>
    <n v="98.15"/>
    <d v="2025-06-01T00:00:00"/>
  </r>
  <r>
    <x v="0"/>
    <m/>
    <s v="2025"/>
    <s v="CR"/>
    <n v="409545"/>
    <n v="1067"/>
    <n v="158"/>
    <n v="0"/>
    <d v="2025-06-03T00:00:00"/>
    <s v="CMFF"/>
    <x v="59"/>
    <n v="362.96"/>
    <n v="30.61"/>
    <n v="393.57"/>
    <m/>
    <d v="2025-06-13T00:00:00"/>
    <n v="393.57"/>
    <x v="56"/>
    <n v="0"/>
    <m/>
    <m/>
    <m/>
    <m/>
    <m/>
    <m/>
    <n v="0"/>
    <n v="0"/>
    <n v="0"/>
    <x v="0"/>
    <x v="2"/>
    <x v="2"/>
    <s v=" "/>
    <s v="338"/>
    <s v="60623"/>
    <s v=" "/>
    <m/>
    <x v="3"/>
    <x v="1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687"/>
    <n v="1"/>
    <n v="0"/>
    <m/>
    <m/>
    <m/>
    <d v="2025-06-13T00:00:00"/>
    <d v="2025-06-13T00:00:00"/>
    <n v="393.57"/>
    <d v="2025-06-12T00:00:00"/>
  </r>
  <r>
    <x v="0"/>
    <m/>
    <s v="2025"/>
    <s v="CR"/>
    <n v="409926"/>
    <n v="1076"/>
    <n v="160"/>
    <n v="0"/>
    <d v="2025-06-04T00:00:00"/>
    <s v="CMFF"/>
    <x v="60"/>
    <n v="469.04"/>
    <n v="25.8"/>
    <n v="494.84"/>
    <m/>
    <d v="2025-06-13T00:00:00"/>
    <n v="494.84"/>
    <x v="57"/>
    <n v="0"/>
    <m/>
    <m/>
    <m/>
    <m/>
    <m/>
    <m/>
    <n v="0"/>
    <n v="0"/>
    <n v="0"/>
    <x v="0"/>
    <x v="0"/>
    <x v="0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61"/>
    <n v="1"/>
    <n v="0"/>
    <m/>
    <m/>
    <m/>
    <d v="2025-06-13T00:00:00"/>
    <d v="2025-06-13T00:00:00"/>
    <n v="494.84"/>
    <d v="2025-06-12T00:00:00"/>
  </r>
  <r>
    <x v="0"/>
    <m/>
    <s v="2025"/>
    <s v="CR"/>
    <n v="409927"/>
    <n v="1077"/>
    <n v="160"/>
    <n v="0"/>
    <d v="2025-06-04T00:00:00"/>
    <s v="CMFF"/>
    <x v="61"/>
    <n v="24.64"/>
    <n v="1.36"/>
    <n v="26"/>
    <m/>
    <d v="2025-06-13T00:00:00"/>
    <n v="26"/>
    <x v="58"/>
    <n v="0"/>
    <m/>
    <m/>
    <m/>
    <m/>
    <m/>
    <m/>
    <n v="0"/>
    <n v="0"/>
    <n v="0"/>
    <x v="0"/>
    <x v="0"/>
    <x v="0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62"/>
    <n v="1"/>
    <n v="0"/>
    <m/>
    <m/>
    <m/>
    <d v="2025-06-13T00:00:00"/>
    <d v="2025-06-13T00:00:00"/>
    <n v="26"/>
    <d v="2025-06-12T00:00:00"/>
  </r>
  <r>
    <x v="0"/>
    <m/>
    <s v="2025"/>
    <s v="CR"/>
    <n v="409928"/>
    <n v="1078"/>
    <n v="160"/>
    <n v="0"/>
    <d v="2025-06-04T00:00:00"/>
    <s v="CMFF"/>
    <x v="62"/>
    <n v="24.64"/>
    <n v="1.36"/>
    <n v="26"/>
    <m/>
    <d v="2025-06-13T00:00:00"/>
    <n v="26"/>
    <x v="59"/>
    <n v="0"/>
    <m/>
    <m/>
    <m/>
    <m/>
    <m/>
    <m/>
    <n v="0"/>
    <n v="0"/>
    <n v="0"/>
    <x v="0"/>
    <x v="0"/>
    <x v="0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63"/>
    <n v="1"/>
    <n v="0"/>
    <m/>
    <m/>
    <m/>
    <d v="2025-06-13T00:00:00"/>
    <d v="2025-06-13T00:00:00"/>
    <n v="26"/>
    <d v="2025-06-12T00:00:00"/>
  </r>
  <r>
    <x v="0"/>
    <m/>
    <s v="2025"/>
    <s v="CR"/>
    <n v="409929"/>
    <n v="1079"/>
    <n v="160"/>
    <n v="0"/>
    <d v="2025-06-04T00:00:00"/>
    <s v="CMFF"/>
    <x v="63"/>
    <n v="30.8"/>
    <n v="1.69"/>
    <n v="32.49"/>
    <m/>
    <d v="2025-06-13T00:00:00"/>
    <n v="32.49"/>
    <x v="60"/>
    <n v="0"/>
    <m/>
    <m/>
    <m/>
    <m/>
    <m/>
    <m/>
    <n v="0"/>
    <n v="0"/>
    <n v="0"/>
    <x v="0"/>
    <x v="0"/>
    <x v="0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64"/>
    <n v="1"/>
    <n v="0"/>
    <m/>
    <m/>
    <m/>
    <d v="2025-06-13T00:00:00"/>
    <d v="2025-06-13T00:00:00"/>
    <n v="32.49"/>
    <d v="2025-06-12T00:00:00"/>
  </r>
  <r>
    <x v="0"/>
    <m/>
    <s v="2025"/>
    <s v="CR"/>
    <n v="409930"/>
    <n v="1080"/>
    <n v="160"/>
    <n v="0"/>
    <d v="2025-06-04T00:00:00"/>
    <s v="CMFF"/>
    <x v="64"/>
    <n v="23.76"/>
    <n v="1.31"/>
    <n v="25.07"/>
    <m/>
    <d v="2025-06-13T00:00:00"/>
    <n v="25.07"/>
    <x v="61"/>
    <n v="0"/>
    <m/>
    <m/>
    <m/>
    <m/>
    <m/>
    <m/>
    <n v="0"/>
    <n v="0"/>
    <n v="0"/>
    <x v="0"/>
    <x v="0"/>
    <x v="0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65"/>
    <n v="1"/>
    <n v="0"/>
    <m/>
    <m/>
    <m/>
    <d v="2025-06-13T00:00:00"/>
    <d v="2025-06-13T00:00:00"/>
    <n v="25.07"/>
    <d v="2025-06-12T00:00:00"/>
  </r>
  <r>
    <x v="0"/>
    <m/>
    <s v="2025"/>
    <s v="CR"/>
    <n v="409940"/>
    <n v="1087"/>
    <n v="160"/>
    <n v="0"/>
    <d v="2025-06-04T00:00:00"/>
    <s v="CMFF"/>
    <x v="65"/>
    <n v="101.2"/>
    <n v="5.57"/>
    <n v="106.77"/>
    <m/>
    <d v="2025-06-13T00:00:00"/>
    <n v="106.77"/>
    <x v="57"/>
    <n v="0"/>
    <m/>
    <m/>
    <m/>
    <m/>
    <m/>
    <m/>
    <n v="0"/>
    <n v="0"/>
    <n v="0"/>
    <x v="0"/>
    <x v="0"/>
    <x v="0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78"/>
    <n v="1"/>
    <n v="0"/>
    <m/>
    <m/>
    <m/>
    <d v="2025-06-13T00:00:00"/>
    <d v="2025-06-13T00:00:00"/>
    <n v="106.77"/>
    <d v="2025-06-12T00:00:00"/>
  </r>
  <r>
    <x v="0"/>
    <m/>
    <s v="2025"/>
    <s v="CR"/>
    <n v="409968"/>
    <n v="1109"/>
    <n v="164"/>
    <n v="0"/>
    <d v="2025-06-05T00:00:00"/>
    <s v="CMFF"/>
    <x v="66"/>
    <n v="72.09"/>
    <n v="3.96"/>
    <n v="76.05"/>
    <m/>
    <d v="2025-06-13T00:00:00"/>
    <n v="76.05"/>
    <x v="11"/>
    <n v="0"/>
    <m/>
    <m/>
    <m/>
    <m/>
    <m/>
    <m/>
    <n v="0"/>
    <n v="0"/>
    <n v="0"/>
    <x v="0"/>
    <x v="3"/>
    <x v="3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10"/>
    <n v="1"/>
    <n v="0"/>
    <m/>
    <m/>
    <m/>
    <d v="2025-06-13T00:00:00"/>
    <d v="2025-06-13T00:00:00"/>
    <n v="76.05"/>
    <d v="2025-06-12T00:00:00"/>
  </r>
  <r>
    <x v="0"/>
    <m/>
    <s v="2025"/>
    <s v="CR"/>
    <n v="409969"/>
    <n v="1110"/>
    <n v="164"/>
    <n v="0"/>
    <d v="2025-06-05T00:00:00"/>
    <s v="CMFF"/>
    <x v="67"/>
    <n v="32.159999999999997"/>
    <n v="1.77"/>
    <n v="33.93"/>
    <m/>
    <d v="2025-06-13T00:00:00"/>
    <n v="33.93"/>
    <x v="10"/>
    <n v="0"/>
    <m/>
    <m/>
    <m/>
    <m/>
    <m/>
    <m/>
    <n v="0"/>
    <n v="0"/>
    <n v="0"/>
    <x v="0"/>
    <x v="3"/>
    <x v="3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11"/>
    <n v="1"/>
    <n v="0"/>
    <m/>
    <m/>
    <m/>
    <d v="2025-06-13T00:00:00"/>
    <d v="2025-06-13T00:00:00"/>
    <n v="33.93"/>
    <d v="2025-06-12T00:00:00"/>
  </r>
  <r>
    <x v="0"/>
    <m/>
    <s v="2025"/>
    <s v="CR"/>
    <n v="409970"/>
    <n v="1111"/>
    <n v="164"/>
    <n v="0"/>
    <d v="2025-06-05T00:00:00"/>
    <s v="CMFF"/>
    <x v="68"/>
    <n v="1357.42"/>
    <n v="74.66"/>
    <n v="1432.08"/>
    <m/>
    <d v="2025-06-13T00:00:00"/>
    <n v="1432.08"/>
    <x v="1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14"/>
    <n v="1"/>
    <n v="0"/>
    <m/>
    <m/>
    <m/>
    <d v="2025-06-13T00:00:00"/>
    <d v="2025-06-13T00:00:00"/>
    <n v="1432.08"/>
    <d v="2025-06-12T00:00:00"/>
  </r>
  <r>
    <x v="1"/>
    <m/>
    <s v="2025"/>
    <s v="CR"/>
    <n v="410817"/>
    <n v="1166"/>
    <n v="174"/>
    <n v="0"/>
    <d v="2025-06-16T00:00:00"/>
    <s v="RADE"/>
    <x v="69"/>
    <n v="218.33"/>
    <n v="43.67"/>
    <n v="262"/>
    <m/>
    <d v="2025-06-18T00:00:00"/>
    <n v="262"/>
    <x v="5"/>
    <n v="0"/>
    <m/>
    <m/>
    <m/>
    <m/>
    <m/>
    <m/>
    <n v="0"/>
    <n v="0"/>
    <n v="0"/>
    <x v="0"/>
    <x v="1"/>
    <x v="1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6-18T00:00:00"/>
    <d v="2025-06-17T00:00:00"/>
    <n v="262"/>
    <d v="2025-06-16T00:00:00"/>
  </r>
  <r>
    <x v="1"/>
    <s v="1"/>
    <s v="2025"/>
    <s v="CR"/>
    <n v="410824"/>
    <n v="1173"/>
    <n v="175"/>
    <n v="0"/>
    <d v="2025-06-16T00:00:00"/>
    <s v="RADE"/>
    <x v="70"/>
    <n v="15.88"/>
    <n v="3.17"/>
    <n v="19.05"/>
    <m/>
    <m/>
    <n v="19.05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m/>
    <d v="2025-06-17T00:00:00"/>
    <n v="0"/>
    <d v="2025-06-16T00:00:00"/>
  </r>
  <r>
    <x v="1"/>
    <s v="1"/>
    <s v="2025"/>
    <s v="CR"/>
    <n v="410825"/>
    <n v="1174"/>
    <n v="175"/>
    <n v="0"/>
    <d v="2025-06-16T00:00:00"/>
    <s v="RADE"/>
    <x v="71"/>
    <n v="37.42"/>
    <n v="7.48"/>
    <n v="44.9"/>
    <m/>
    <m/>
    <n v="44.9"/>
    <x v="5"/>
    <n v="0"/>
    <m/>
    <m/>
    <m/>
    <m/>
    <m/>
    <m/>
    <n v="0"/>
    <n v="0"/>
    <n v="0"/>
    <x v="0"/>
    <x v="1"/>
    <x v="1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m/>
    <d v="2025-06-17T00:00:00"/>
    <n v="0"/>
    <d v="2025-06-16T00:00:00"/>
  </r>
  <r>
    <x v="1"/>
    <m/>
    <s v="2025"/>
    <s v="CR"/>
    <n v="410903"/>
    <n v="1199"/>
    <n v="182"/>
    <n v="0"/>
    <d v="2025-06-18T00:00:00"/>
    <s v="RADE"/>
    <x v="70"/>
    <n v="15.88"/>
    <n v="3.17"/>
    <n v="19.05"/>
    <m/>
    <d v="2025-06-24T00:00:00"/>
    <n v="19.05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6-19T00:00:00"/>
    <d v="2025-06-19T00:00:00"/>
    <n v="19.05"/>
    <d v="2025-06-18T00:00:00"/>
  </r>
  <r>
    <x v="1"/>
    <m/>
    <s v="2025"/>
    <s v="CR"/>
    <n v="410904"/>
    <n v="1200"/>
    <n v="182"/>
    <n v="0"/>
    <d v="2025-06-18T00:00:00"/>
    <s v="RADE"/>
    <x v="72"/>
    <n v="37.42"/>
    <n v="7.48"/>
    <n v="44.9"/>
    <m/>
    <d v="2025-06-24T00:00:00"/>
    <n v="44.9"/>
    <x v="5"/>
    <n v="0"/>
    <m/>
    <m/>
    <m/>
    <m/>
    <m/>
    <m/>
    <n v="0"/>
    <n v="0"/>
    <n v="0"/>
    <x v="0"/>
    <x v="1"/>
    <x v="1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6-19T00:00:00"/>
    <d v="2025-06-19T00:00:00"/>
    <n v="44.9"/>
    <d v="2025-06-18T00:00:00"/>
  </r>
  <r>
    <x v="0"/>
    <m/>
    <s v="2025"/>
    <s v="CR"/>
    <n v="410939"/>
    <n v="1233"/>
    <n v="190"/>
    <n v="0"/>
    <d v="2025-06-24T00:00:00"/>
    <s v="CMFF"/>
    <x v="73"/>
    <n v="186.76"/>
    <n v="12.65"/>
    <n v="199.41"/>
    <m/>
    <d v="2025-07-04T00:00:00"/>
    <n v="199.41"/>
    <x v="62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s v="CPRAT - RATT GOUTER MDJ"/>
    <m/>
    <m/>
    <m/>
    <m/>
    <m/>
    <s v="20234607"/>
    <n v="1"/>
    <n v="0"/>
    <m/>
    <m/>
    <m/>
    <d v="2025-07-04T00:00:00"/>
    <d v="2025-07-04T00:00:00"/>
    <n v="199.41"/>
    <d v="2025-07-03T00:00:00"/>
  </r>
  <r>
    <x v="0"/>
    <m/>
    <s v="2025"/>
    <s v="CR"/>
    <n v="410963"/>
    <n v="1242"/>
    <n v="190"/>
    <n v="0"/>
    <d v="2025-06-24T00:00:00"/>
    <s v="CMFF"/>
    <x v="74"/>
    <n v="24.4"/>
    <n v="1.34"/>
    <n v="25.74"/>
    <m/>
    <d v="2025-07-04T00:00:00"/>
    <n v="25.74"/>
    <x v="10"/>
    <n v="0"/>
    <m/>
    <m/>
    <m/>
    <m/>
    <m/>
    <m/>
    <n v="0"/>
    <n v="0"/>
    <n v="0"/>
    <x v="0"/>
    <x v="3"/>
    <x v="3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49"/>
    <n v="1"/>
    <n v="0"/>
    <m/>
    <m/>
    <m/>
    <d v="2025-07-04T00:00:00"/>
    <d v="2025-07-04T00:00:00"/>
    <n v="25.74"/>
    <d v="2025-07-03T00:00:00"/>
  </r>
  <r>
    <x v="0"/>
    <m/>
    <s v="2025"/>
    <s v="CR"/>
    <n v="410965"/>
    <n v="1244"/>
    <n v="190"/>
    <n v="0"/>
    <d v="2025-06-24T00:00:00"/>
    <s v="CMFF"/>
    <x v="75"/>
    <n v="55.45"/>
    <n v="3.05"/>
    <n v="58.5"/>
    <m/>
    <d v="2025-07-04T00:00:00"/>
    <n v="58.5"/>
    <x v="11"/>
    <n v="0"/>
    <m/>
    <m/>
    <m/>
    <m/>
    <m/>
    <m/>
    <n v="0"/>
    <n v="0"/>
    <n v="0"/>
    <x v="0"/>
    <x v="3"/>
    <x v="3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54"/>
    <n v="1"/>
    <n v="0"/>
    <m/>
    <m/>
    <m/>
    <d v="2025-07-04T00:00:00"/>
    <d v="2025-07-04T00:00:00"/>
    <n v="58.5"/>
    <d v="2025-07-03T00:00:00"/>
  </r>
  <r>
    <x v="0"/>
    <m/>
    <s v="2025"/>
    <s v="CR"/>
    <n v="410966"/>
    <n v="1245"/>
    <n v="190"/>
    <n v="0"/>
    <d v="2025-06-24T00:00:00"/>
    <s v="CMFF"/>
    <x v="76"/>
    <n v="44.36"/>
    <n v="2.44"/>
    <n v="46.8"/>
    <m/>
    <d v="2025-07-04T00:00:00"/>
    <n v="46.8"/>
    <x v="13"/>
    <n v="0"/>
    <m/>
    <m/>
    <m/>
    <m/>
    <m/>
    <m/>
    <n v="0"/>
    <n v="0"/>
    <n v="0"/>
    <x v="0"/>
    <x v="3"/>
    <x v="3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55"/>
    <n v="1"/>
    <n v="0"/>
    <m/>
    <m/>
    <m/>
    <d v="2025-07-04T00:00:00"/>
    <d v="2025-07-04T00:00:00"/>
    <n v="46.8"/>
    <d v="2025-07-03T00:00:00"/>
  </r>
  <r>
    <x v="0"/>
    <m/>
    <s v="2025"/>
    <s v="CR"/>
    <n v="410967"/>
    <n v="1246"/>
    <n v="190"/>
    <n v="0"/>
    <d v="2025-06-24T00:00:00"/>
    <s v="CMFF"/>
    <x v="77"/>
    <n v="1005.87"/>
    <n v="55.32"/>
    <n v="1061.19"/>
    <m/>
    <d v="2025-07-04T00:00:00"/>
    <n v="1061.19"/>
    <x v="1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56"/>
    <n v="1"/>
    <n v="0"/>
    <m/>
    <m/>
    <m/>
    <d v="2025-07-04T00:00:00"/>
    <d v="2025-07-04T00:00:00"/>
    <n v="1061.19"/>
    <d v="2025-07-03T00:00:00"/>
  </r>
  <r>
    <x v="0"/>
    <m/>
    <s v="2025"/>
    <s v="CR"/>
    <n v="411279"/>
    <n v="1401"/>
    <n v="212"/>
    <n v="0"/>
    <d v="2025-07-10T00:00:00"/>
    <s v="ARFF"/>
    <x v="78"/>
    <n v="138.87"/>
    <n v="7.64"/>
    <n v="146.51"/>
    <m/>
    <d v="2025-07-18T00:00:00"/>
    <n v="146.51"/>
    <x v="63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101"/>
    <n v="1"/>
    <n v="0"/>
    <m/>
    <m/>
    <m/>
    <d v="2025-07-18T00:00:00"/>
    <d v="2025-07-17T00:00:00"/>
    <n v="146.51"/>
    <d v="2025-07-16T00:00:00"/>
  </r>
  <r>
    <x v="0"/>
    <m/>
    <s v="2025"/>
    <s v="CR"/>
    <n v="411351"/>
    <n v="1347"/>
    <n v="204"/>
    <n v="0"/>
    <d v="2025-07-08T00:00:00"/>
    <s v="CMFF"/>
    <x v="79"/>
    <n v="25.16"/>
    <n v="3.12"/>
    <n v="28.28"/>
    <m/>
    <d v="2025-07-10T00:00:00"/>
    <n v="28.28"/>
    <x v="6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23"/>
    <n v="1"/>
    <n v="0"/>
    <m/>
    <m/>
    <m/>
    <d v="2025-07-10T00:00:00"/>
    <d v="2025-07-10T00:00:00"/>
    <n v="28.28"/>
    <d v="2025-07-09T00:00:00"/>
  </r>
  <r>
    <x v="0"/>
    <m/>
    <s v="2025"/>
    <s v="CR"/>
    <n v="411352"/>
    <n v="1348"/>
    <n v="204"/>
    <n v="0"/>
    <d v="2025-07-08T00:00:00"/>
    <s v="CMFF"/>
    <x v="80"/>
    <n v="72.709999999999994"/>
    <n v="6.7"/>
    <n v="79.41"/>
    <m/>
    <d v="2025-07-10T00:00:00"/>
    <n v="79.41"/>
    <x v="6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24"/>
    <n v="1"/>
    <n v="0"/>
    <m/>
    <m/>
    <m/>
    <d v="2025-07-10T00:00:00"/>
    <d v="2025-07-10T00:00:00"/>
    <n v="79.41"/>
    <d v="2025-07-09T00:00:00"/>
  </r>
  <r>
    <x v="0"/>
    <m/>
    <s v="2025"/>
    <s v="CR"/>
    <n v="411353"/>
    <n v="1349"/>
    <n v="204"/>
    <n v="0"/>
    <d v="2025-07-08T00:00:00"/>
    <s v="CMFF"/>
    <x v="81"/>
    <n v="94.21"/>
    <n v="5.18"/>
    <n v="99.39"/>
    <m/>
    <d v="2025-07-10T00:00:00"/>
    <n v="99.39"/>
    <x v="6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27"/>
    <n v="1"/>
    <n v="0"/>
    <m/>
    <m/>
    <m/>
    <d v="2025-07-10T00:00:00"/>
    <d v="2025-07-10T00:00:00"/>
    <n v="99.39"/>
    <d v="2025-07-09T00:00:00"/>
  </r>
  <r>
    <x v="0"/>
    <m/>
    <s v="2025"/>
    <s v="CR"/>
    <n v="411354"/>
    <n v="1350"/>
    <n v="204"/>
    <n v="0"/>
    <d v="2025-07-08T00:00:00"/>
    <s v="CMFF"/>
    <x v="82"/>
    <n v="28.01"/>
    <n v="1.54"/>
    <n v="29.55"/>
    <m/>
    <d v="2025-07-10T00:00:00"/>
    <n v="29.55"/>
    <x v="6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37"/>
    <n v="1"/>
    <n v="0"/>
    <m/>
    <m/>
    <m/>
    <d v="2025-07-10T00:00:00"/>
    <d v="2025-07-10T00:00:00"/>
    <n v="29.55"/>
    <d v="2025-07-09T00:00:00"/>
  </r>
  <r>
    <x v="0"/>
    <m/>
    <s v="2025"/>
    <s v="CR"/>
    <n v="411355"/>
    <n v="1351"/>
    <n v="204"/>
    <n v="0"/>
    <d v="2025-07-08T00:00:00"/>
    <s v="CMFF"/>
    <x v="83"/>
    <n v="26.94"/>
    <n v="2.73"/>
    <n v="29.67"/>
    <m/>
    <d v="2025-07-10T00:00:00"/>
    <n v="29.67"/>
    <x v="6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38"/>
    <n v="1"/>
    <n v="0"/>
    <m/>
    <m/>
    <m/>
    <d v="2025-07-10T00:00:00"/>
    <d v="2025-07-10T00:00:00"/>
    <n v="29.67"/>
    <d v="2025-07-09T00:00:00"/>
  </r>
  <r>
    <x v="0"/>
    <m/>
    <s v="2025"/>
    <s v="CR"/>
    <n v="411356"/>
    <n v="1352"/>
    <n v="204"/>
    <n v="0"/>
    <d v="2025-07-08T00:00:00"/>
    <s v="CMFF"/>
    <x v="84"/>
    <n v="91.98"/>
    <n v="7.3"/>
    <n v="99.28"/>
    <m/>
    <d v="2025-07-10T00:00:00"/>
    <n v="99.28"/>
    <x v="69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39"/>
    <n v="1"/>
    <n v="0"/>
    <m/>
    <m/>
    <m/>
    <d v="2025-07-10T00:00:00"/>
    <d v="2025-07-10T00:00:00"/>
    <n v="99.28"/>
    <d v="2025-07-09T00:00:00"/>
  </r>
  <r>
    <x v="0"/>
    <m/>
    <s v="2025"/>
    <s v="CR"/>
    <n v="411357"/>
    <n v="1353"/>
    <n v="204"/>
    <n v="0"/>
    <d v="2025-07-08T00:00:00"/>
    <s v="CMFF"/>
    <x v="85"/>
    <n v="27.75"/>
    <n v="1.65"/>
    <n v="29.4"/>
    <m/>
    <d v="2025-07-10T00:00:00"/>
    <n v="29.4"/>
    <x v="70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41"/>
    <n v="1"/>
    <n v="0"/>
    <m/>
    <m/>
    <m/>
    <d v="2025-07-10T00:00:00"/>
    <d v="2025-07-10T00:00:00"/>
    <n v="29.4"/>
    <d v="2025-07-09T00:00:00"/>
  </r>
  <r>
    <x v="0"/>
    <m/>
    <s v="2025"/>
    <s v="CR"/>
    <n v="411359"/>
    <n v="1355"/>
    <n v="204"/>
    <n v="0"/>
    <d v="2025-07-08T00:00:00"/>
    <s v="CMFF"/>
    <x v="86"/>
    <n v="27.76"/>
    <n v="1.7"/>
    <n v="29.46"/>
    <m/>
    <d v="2025-07-10T00:00:00"/>
    <n v="29.46"/>
    <x v="71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88"/>
    <n v="1"/>
    <n v="0"/>
    <m/>
    <m/>
    <m/>
    <d v="2025-07-10T00:00:00"/>
    <d v="2025-07-10T00:00:00"/>
    <n v="29.46"/>
    <d v="2025-07-09T00:00:00"/>
  </r>
  <r>
    <x v="0"/>
    <m/>
    <s v="2025"/>
    <s v="CR"/>
    <n v="411360"/>
    <n v="1356"/>
    <n v="204"/>
    <n v="0"/>
    <d v="2025-07-08T00:00:00"/>
    <s v="CMFF"/>
    <x v="87"/>
    <n v="93.22"/>
    <n v="6.02"/>
    <n v="99.24"/>
    <m/>
    <d v="2025-07-10T00:00:00"/>
    <n v="99.24"/>
    <x v="72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89"/>
    <n v="1"/>
    <n v="0"/>
    <m/>
    <m/>
    <m/>
    <d v="2025-07-10T00:00:00"/>
    <d v="2025-07-10T00:00:00"/>
    <n v="99.24"/>
    <d v="2025-07-09T00:00:00"/>
  </r>
  <r>
    <x v="0"/>
    <m/>
    <s v="2025"/>
    <s v="CR"/>
    <n v="411361"/>
    <n v="1357"/>
    <n v="204"/>
    <n v="0"/>
    <d v="2025-07-08T00:00:00"/>
    <s v="CMFF"/>
    <x v="88"/>
    <n v="27.07"/>
    <n v="2.71"/>
    <n v="29.78"/>
    <m/>
    <d v="2025-07-10T00:00:00"/>
    <n v="29.78"/>
    <x v="73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90"/>
    <n v="1"/>
    <n v="0"/>
    <m/>
    <m/>
    <m/>
    <d v="2025-07-10T00:00:00"/>
    <d v="2025-07-10T00:00:00"/>
    <n v="29.78"/>
    <d v="2025-07-09T00:00:00"/>
  </r>
  <r>
    <x v="0"/>
    <m/>
    <s v="2025"/>
    <s v="CR"/>
    <n v="411362"/>
    <n v="1358"/>
    <n v="204"/>
    <n v="0"/>
    <d v="2025-07-08T00:00:00"/>
    <s v="CMFF"/>
    <x v="89"/>
    <n v="26.67"/>
    <n v="2.94"/>
    <n v="29.61"/>
    <m/>
    <d v="2025-07-10T00:00:00"/>
    <n v="29.61"/>
    <x v="7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867"/>
    <n v="1"/>
    <n v="0"/>
    <m/>
    <m/>
    <m/>
    <d v="2025-07-10T00:00:00"/>
    <d v="2025-07-10T00:00:00"/>
    <n v="29.61"/>
    <d v="2025-07-09T00:00:00"/>
  </r>
  <r>
    <x v="0"/>
    <m/>
    <s v="2025"/>
    <s v="CR"/>
    <n v="411363"/>
    <n v="1359"/>
    <n v="204"/>
    <n v="0"/>
    <d v="2025-07-08T00:00:00"/>
    <s v="CMFF"/>
    <x v="90"/>
    <n v="111.15"/>
    <n v="8.35"/>
    <n v="119.5"/>
    <m/>
    <d v="2025-07-10T00:00:00"/>
    <n v="119.5"/>
    <x v="7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869"/>
    <n v="1"/>
    <n v="0"/>
    <m/>
    <m/>
    <m/>
    <d v="2025-07-10T00:00:00"/>
    <d v="2025-07-10T00:00:00"/>
    <n v="119.5"/>
    <d v="2025-07-09T00:00:00"/>
  </r>
  <r>
    <x v="0"/>
    <m/>
    <s v="2025"/>
    <s v="CR"/>
    <n v="411364"/>
    <n v="1360"/>
    <n v="204"/>
    <n v="0"/>
    <d v="2025-07-08T00:00:00"/>
    <s v="CMFF"/>
    <x v="91"/>
    <n v="94.14"/>
    <n v="5.18"/>
    <n v="99.32"/>
    <m/>
    <d v="2025-07-10T00:00:00"/>
    <n v="99.32"/>
    <x v="7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871"/>
    <n v="1"/>
    <n v="0"/>
    <m/>
    <m/>
    <m/>
    <d v="2025-07-10T00:00:00"/>
    <d v="2025-07-10T00:00:00"/>
    <n v="99.32"/>
    <d v="2025-07-09T00:00:00"/>
  </r>
  <r>
    <x v="0"/>
    <m/>
    <s v="2025"/>
    <s v="CR"/>
    <n v="411365"/>
    <n v="1361"/>
    <n v="204"/>
    <n v="0"/>
    <d v="2025-07-08T00:00:00"/>
    <s v="CMFF"/>
    <x v="92"/>
    <n v="141.97999999999999"/>
    <n v="7.81"/>
    <n v="149.79"/>
    <m/>
    <d v="2025-07-10T00:00:00"/>
    <n v="149.79"/>
    <x v="7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54"/>
    <n v="1"/>
    <n v="0"/>
    <m/>
    <m/>
    <m/>
    <d v="2025-07-10T00:00:00"/>
    <d v="2025-07-10T00:00:00"/>
    <n v="149.79"/>
    <d v="2025-07-09T00:00:00"/>
  </r>
  <r>
    <x v="0"/>
    <m/>
    <s v="2025"/>
    <s v="CR"/>
    <n v="411366"/>
    <n v="1362"/>
    <n v="204"/>
    <n v="0"/>
    <d v="2025-07-08T00:00:00"/>
    <s v="CMFF"/>
    <x v="93"/>
    <n v="141.85"/>
    <n v="7.8"/>
    <n v="149.65"/>
    <m/>
    <d v="2025-07-10T00:00:00"/>
    <n v="149.65"/>
    <x v="7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55"/>
    <n v="1"/>
    <n v="0"/>
    <m/>
    <m/>
    <m/>
    <d v="2025-07-10T00:00:00"/>
    <d v="2025-07-10T00:00:00"/>
    <n v="149.65"/>
    <d v="2025-07-09T00:00:00"/>
  </r>
  <r>
    <x v="0"/>
    <m/>
    <s v="2025"/>
    <s v="CR"/>
    <n v="411402"/>
    <n v="1389"/>
    <n v="211"/>
    <n v="0"/>
    <d v="2025-07-10T00:00:00"/>
    <s v="CMFF"/>
    <x v="94"/>
    <n v="141.93"/>
    <n v="8.01"/>
    <n v="149.94"/>
    <m/>
    <d v="2025-07-18T00:00:00"/>
    <n v="149.94"/>
    <x v="79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197"/>
    <n v="1"/>
    <n v="0"/>
    <m/>
    <m/>
    <m/>
    <d v="2025-07-18T00:00:00"/>
    <d v="2025-07-17T00:00:00"/>
    <n v="149.94"/>
    <d v="2025-07-16T00:00:00"/>
  </r>
  <r>
    <x v="0"/>
    <m/>
    <s v="2025"/>
    <s v="CR"/>
    <n v="411415"/>
    <n v="1399"/>
    <n v="212"/>
    <n v="1"/>
    <d v="2025-07-10T00:00:00"/>
    <s v="ARFF"/>
    <x v="95"/>
    <n v="217.31"/>
    <n v="0"/>
    <n v="217.31"/>
    <m/>
    <d v="2025-07-18T00:00:00"/>
    <n v="217.31"/>
    <x v="80"/>
    <n v="0"/>
    <m/>
    <m/>
    <m/>
    <m/>
    <m/>
    <m/>
    <n v="0"/>
    <n v="0"/>
    <n v="0"/>
    <x v="0"/>
    <x v="2"/>
    <x v="2"/>
    <s v=" "/>
    <s v="201"/>
    <s v="60623"/>
    <s v=" "/>
    <m/>
    <x v="4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281"/>
    <n v="1"/>
    <n v="0"/>
    <m/>
    <m/>
    <m/>
    <d v="2025-07-18T00:00:00"/>
    <d v="2025-07-17T00:00:00"/>
    <n v="217.31"/>
    <d v="2025-07-16T00:00:00"/>
  </r>
  <r>
    <x v="0"/>
    <m/>
    <s v="2025"/>
    <s v="CR"/>
    <n v="411417"/>
    <n v="1400"/>
    <n v="212"/>
    <n v="0"/>
    <d v="2025-07-10T00:00:00"/>
    <s v="ARFF"/>
    <x v="96"/>
    <n v="147.16"/>
    <n v="8.09"/>
    <n v="155.25"/>
    <m/>
    <d v="2025-07-18T00:00:00"/>
    <n v="155.25"/>
    <x v="81"/>
    <n v="0"/>
    <m/>
    <m/>
    <m/>
    <m/>
    <m/>
    <m/>
    <n v="0"/>
    <n v="0"/>
    <n v="0"/>
    <x v="0"/>
    <x v="3"/>
    <x v="3"/>
    <s v=" "/>
    <s v="201"/>
    <s v="60623"/>
    <s v=" "/>
    <m/>
    <x v="4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154"/>
    <n v="1"/>
    <n v="0"/>
    <m/>
    <m/>
    <m/>
    <d v="2025-07-18T00:00:00"/>
    <d v="2025-07-17T00:00:00"/>
    <n v="155.25"/>
    <d v="2025-07-16T00:00:00"/>
  </r>
  <r>
    <x v="0"/>
    <m/>
    <s v="2025"/>
    <s v="CR"/>
    <n v="412296"/>
    <n v="1477"/>
    <n v="224"/>
    <n v="0"/>
    <d v="2025-07-16T00:00:00"/>
    <s v="CMFF"/>
    <x v="97"/>
    <n v="506.88"/>
    <n v="27.88"/>
    <n v="534.76"/>
    <m/>
    <d v="2025-07-18T00:00:00"/>
    <n v="534.76"/>
    <x v="57"/>
    <n v="0"/>
    <m/>
    <m/>
    <m/>
    <m/>
    <m/>
    <m/>
    <n v="0"/>
    <n v="0"/>
    <n v="0"/>
    <x v="0"/>
    <x v="0"/>
    <x v="0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19"/>
    <n v="1"/>
    <n v="0"/>
    <m/>
    <m/>
    <m/>
    <d v="2025-07-18T00:00:00"/>
    <d v="2025-07-17T00:00:00"/>
    <n v="534.76"/>
    <d v="2025-07-16T00:00:00"/>
  </r>
  <r>
    <x v="0"/>
    <m/>
    <s v="2025"/>
    <s v="CR"/>
    <n v="412297"/>
    <n v="1478"/>
    <n v="224"/>
    <n v="0"/>
    <d v="2025-07-16T00:00:00"/>
    <s v="CMFF"/>
    <x v="98"/>
    <n v="21.12"/>
    <n v="1.1599999999999999"/>
    <n v="22.28"/>
    <m/>
    <d v="2025-07-18T00:00:00"/>
    <n v="22.28"/>
    <x v="61"/>
    <n v="0"/>
    <m/>
    <m/>
    <m/>
    <m/>
    <m/>
    <m/>
    <n v="0"/>
    <n v="0"/>
    <n v="0"/>
    <x v="0"/>
    <x v="0"/>
    <x v="0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21"/>
    <n v="1"/>
    <n v="0"/>
    <m/>
    <m/>
    <m/>
    <d v="2025-07-18T00:00:00"/>
    <d v="2025-07-17T00:00:00"/>
    <n v="22.28"/>
    <d v="2025-07-16T00:00:00"/>
  </r>
  <r>
    <x v="1"/>
    <m/>
    <s v="2025"/>
    <s v="CR"/>
    <n v="412349"/>
    <n v="1528"/>
    <n v="226"/>
    <n v="0"/>
    <d v="2025-07-17T00:00:00"/>
    <s v="RADE"/>
    <x v="99"/>
    <n v="19.899999999999999"/>
    <n v="3.98"/>
    <n v="23.88"/>
    <m/>
    <d v="2025-07-18T00:00:00"/>
    <n v="23.88"/>
    <x v="5"/>
    <n v="0"/>
    <m/>
    <m/>
    <m/>
    <m/>
    <m/>
    <m/>
    <n v="0"/>
    <n v="0"/>
    <n v="0"/>
    <x v="0"/>
    <x v="1"/>
    <x v="1"/>
    <s v=" "/>
    <s v="201"/>
    <s v="60623"/>
    <s v=" "/>
    <m/>
    <x v="4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7-18T00:00:00"/>
    <d v="2025-07-17T00:00:00"/>
    <n v="23.88"/>
    <d v="2025-07-16T00:00:00"/>
  </r>
  <r>
    <x v="0"/>
    <m/>
    <s v="2025"/>
    <s v="CR"/>
    <n v="412359"/>
    <n v="1553"/>
    <n v="232"/>
    <n v="0"/>
    <d v="2025-07-17T00:00:00"/>
    <s v="CMFF"/>
    <x v="100"/>
    <n v="541.6"/>
    <n v="37.909999999999997"/>
    <n v="579.51"/>
    <m/>
    <d v="2025-07-28T00:00:00"/>
    <n v="579.51"/>
    <x v="82"/>
    <n v="0"/>
    <m/>
    <m/>
    <m/>
    <m/>
    <m/>
    <m/>
    <n v="0"/>
    <n v="0"/>
    <n v="0"/>
    <x v="0"/>
    <x v="4"/>
    <x v="4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84"/>
    <n v="1"/>
    <n v="0"/>
    <m/>
    <m/>
    <m/>
    <d v="2025-07-28T00:00:00"/>
    <d v="2025-07-28T00:00:00"/>
    <n v="579.51"/>
    <d v="2025-07-27T00:00:00"/>
  </r>
  <r>
    <x v="0"/>
    <m/>
    <s v="2025"/>
    <s v="CR"/>
    <n v="412704"/>
    <n v="1564"/>
    <n v="237"/>
    <n v="0"/>
    <d v="2025-07-23T00:00:00"/>
    <s v="ARFF"/>
    <x v="101"/>
    <n v="84.06"/>
    <n v="4.62"/>
    <n v="88.68"/>
    <m/>
    <d v="2025-07-28T00:00:00"/>
    <n v="88.68"/>
    <x v="83"/>
    <n v="0"/>
    <m/>
    <m/>
    <m/>
    <m/>
    <m/>
    <m/>
    <n v="0"/>
    <n v="0"/>
    <n v="0"/>
    <x v="0"/>
    <x v="2"/>
    <x v="2"/>
    <s v=" "/>
    <s v="338"/>
    <s v="60623"/>
    <s v=" "/>
    <m/>
    <x v="3"/>
    <x v="1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105"/>
    <n v="1"/>
    <n v="0"/>
    <m/>
    <m/>
    <m/>
    <d v="2025-07-28T00:00:00"/>
    <d v="2025-07-28T00:00:00"/>
    <n v="88.68"/>
    <d v="2025-07-27T00:00:00"/>
  </r>
  <r>
    <x v="0"/>
    <m/>
    <s v="2025"/>
    <s v="CR"/>
    <n v="412724"/>
    <n v="1571"/>
    <n v="240"/>
    <n v="0"/>
    <d v="2025-07-25T00:00:00"/>
    <s v="CMFF"/>
    <x v="102"/>
    <n v="120.3"/>
    <n v="8.3800000000000008"/>
    <n v="128.68"/>
    <m/>
    <d v="2025-07-29T00:00:00"/>
    <n v="128.68"/>
    <x v="84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868"/>
    <n v="1"/>
    <n v="0"/>
    <m/>
    <m/>
    <m/>
    <d v="2025-07-29T00:00:00"/>
    <d v="2025-07-28T00:00:00"/>
    <n v="128.68"/>
    <d v="2025-07-27T00:00:00"/>
  </r>
  <r>
    <x v="0"/>
    <m/>
    <s v="2025"/>
    <s v="CR"/>
    <n v="412725"/>
    <n v="1572"/>
    <n v="240"/>
    <n v="0"/>
    <d v="2025-07-25T00:00:00"/>
    <s v="CMFF"/>
    <x v="103"/>
    <n v="142.19999999999999"/>
    <n v="7.82"/>
    <n v="150.02000000000001"/>
    <m/>
    <d v="2025-07-31T00:00:00"/>
    <n v="150.02000000000001"/>
    <x v="85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872"/>
    <n v="1"/>
    <n v="0"/>
    <m/>
    <m/>
    <m/>
    <d v="2025-07-30T00:00:00"/>
    <d v="2025-07-28T00:00:00"/>
    <n v="150.02000000000001"/>
    <d v="2025-07-27T00:00:00"/>
  </r>
  <r>
    <x v="0"/>
    <m/>
    <s v="2025"/>
    <s v="CR"/>
    <n v="412726"/>
    <n v="1573"/>
    <n v="240"/>
    <n v="0"/>
    <d v="2025-07-25T00:00:00"/>
    <s v="CMFF"/>
    <x v="104"/>
    <n v="89.05"/>
    <n v="4.9000000000000004"/>
    <n v="93.95"/>
    <m/>
    <d v="2025-07-29T00:00:00"/>
    <n v="93.95"/>
    <x v="86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51"/>
    <n v="1"/>
    <n v="0"/>
    <m/>
    <m/>
    <m/>
    <d v="2025-07-29T00:00:00"/>
    <d v="2025-07-28T00:00:00"/>
    <n v="93.95"/>
    <d v="2025-07-27T00:00:00"/>
  </r>
  <r>
    <x v="0"/>
    <m/>
    <s v="2025"/>
    <s v="CR"/>
    <n v="412728"/>
    <n v="1575"/>
    <n v="240"/>
    <n v="0"/>
    <d v="2025-07-25T00:00:00"/>
    <s v="CMFF"/>
    <x v="105"/>
    <n v="57.67"/>
    <n v="3.17"/>
    <n v="60.84"/>
    <m/>
    <d v="2025-07-29T00:00:00"/>
    <n v="60.84"/>
    <x v="12"/>
    <n v="0"/>
    <m/>
    <m/>
    <m/>
    <m/>
    <m/>
    <m/>
    <n v="0"/>
    <n v="0"/>
    <n v="0"/>
    <x v="0"/>
    <x v="3"/>
    <x v="3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12"/>
    <n v="1"/>
    <n v="0"/>
    <m/>
    <m/>
    <m/>
    <d v="2025-07-29T00:00:00"/>
    <d v="2025-07-28T00:00:00"/>
    <n v="60.84"/>
    <d v="2025-07-27T00:00:00"/>
  </r>
  <r>
    <x v="0"/>
    <m/>
    <s v="2025"/>
    <s v="CR"/>
    <n v="412729"/>
    <n v="1576"/>
    <n v="240"/>
    <n v="0"/>
    <d v="2025-07-25T00:00:00"/>
    <s v="CMFF"/>
    <x v="106"/>
    <n v="57.67"/>
    <n v="3.17"/>
    <n v="60.84"/>
    <m/>
    <d v="2025-07-29T00:00:00"/>
    <n v="60.84"/>
    <x v="1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13"/>
    <n v="1"/>
    <n v="0"/>
    <m/>
    <m/>
    <m/>
    <d v="2025-07-29T00:00:00"/>
    <d v="2025-07-28T00:00:00"/>
    <n v="60.84"/>
    <d v="2025-07-27T00:00:00"/>
  </r>
  <r>
    <x v="0"/>
    <m/>
    <s v="2025"/>
    <s v="CR"/>
    <n v="412735"/>
    <n v="1574"/>
    <n v="240"/>
    <n v="0"/>
    <d v="2025-07-25T00:00:00"/>
    <s v="CMFF"/>
    <x v="107"/>
    <n v="130.61000000000001"/>
    <n v="9.67"/>
    <n v="140.28"/>
    <m/>
    <d v="2025-07-29T00:00:00"/>
    <n v="140.28"/>
    <x v="87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106"/>
    <n v="1"/>
    <n v="0"/>
    <m/>
    <m/>
    <m/>
    <d v="2025-07-29T00:00:00"/>
    <d v="2025-07-28T00:00:00"/>
    <n v="140.28"/>
    <d v="2025-07-27T00:00:00"/>
  </r>
  <r>
    <x v="0"/>
    <m/>
    <s v="2025"/>
    <s v="CR"/>
    <n v="412747"/>
    <n v="1587"/>
    <n v="244"/>
    <n v="0"/>
    <d v="2025-07-28T00:00:00"/>
    <s v="ARFF"/>
    <x v="108"/>
    <n v="188.06"/>
    <n v="10.34"/>
    <n v="198.4"/>
    <m/>
    <d v="2025-07-29T00:00:00"/>
    <n v="198.4"/>
    <x v="88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50"/>
    <n v="1"/>
    <n v="0"/>
    <m/>
    <m/>
    <m/>
    <d v="2025-07-29T00:00:00"/>
    <d v="2025-07-28T00:00:00"/>
    <n v="198.4"/>
    <d v="2025-07-27T00:00:00"/>
  </r>
  <r>
    <x v="0"/>
    <m/>
    <s v="2025"/>
    <s v="CR"/>
    <n v="412809"/>
    <n v="1621"/>
    <n v="251"/>
    <n v="0"/>
    <d v="2025-07-31T00:00:00"/>
    <s v="CMFF"/>
    <x v="109"/>
    <n v="55.83"/>
    <n v="3.41"/>
    <n v="59.24"/>
    <m/>
    <d v="2025-08-05T00:00:00"/>
    <n v="59.24"/>
    <x v="89"/>
    <n v="0"/>
    <m/>
    <m/>
    <m/>
    <m/>
    <m/>
    <m/>
    <n v="0"/>
    <n v="0"/>
    <n v="0"/>
    <x v="0"/>
    <x v="2"/>
    <x v="2"/>
    <s v=" "/>
    <s v="332"/>
    <s v="60623"/>
    <s v=" "/>
    <m/>
    <x v="6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34"/>
    <n v="1"/>
    <n v="0"/>
    <m/>
    <m/>
    <m/>
    <d v="2025-08-05T00:00:00"/>
    <d v="2025-08-04T00:00:00"/>
    <n v="59.24"/>
    <d v="2025-08-03T00:00:00"/>
  </r>
  <r>
    <x v="0"/>
    <m/>
    <s v="2025"/>
    <s v="CR"/>
    <n v="412814"/>
    <n v="1620"/>
    <n v="251"/>
    <n v="0"/>
    <d v="2025-07-31T00:00:00"/>
    <s v="CMFF"/>
    <x v="110"/>
    <n v="140.94999999999999"/>
    <n v="7.75"/>
    <n v="148.69999999999999"/>
    <m/>
    <d v="2025-08-05T00:00:00"/>
    <n v="148.69999999999999"/>
    <x v="90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02"/>
    <n v="1"/>
    <n v="0"/>
    <m/>
    <m/>
    <m/>
    <d v="2025-08-05T00:00:00"/>
    <d v="2025-08-04T00:00:00"/>
    <n v="148.69999999999999"/>
    <d v="2025-08-03T00:00:00"/>
  </r>
  <r>
    <x v="1"/>
    <m/>
    <s v="2025"/>
    <s v="CR"/>
    <n v="412849"/>
    <n v="1618"/>
    <n v="250"/>
    <n v="1"/>
    <d v="2025-07-31T00:00:00"/>
    <s v="RADE"/>
    <x v="111"/>
    <n v="10.82"/>
    <n v="2.16"/>
    <n v="12.98"/>
    <m/>
    <d v="2025-08-05T00:00:00"/>
    <n v="12.98"/>
    <x v="5"/>
    <n v="0"/>
    <m/>
    <m/>
    <m/>
    <m/>
    <m/>
    <m/>
    <n v="0"/>
    <n v="0"/>
    <n v="0"/>
    <x v="0"/>
    <x v="6"/>
    <x v="6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8-05T00:00:00"/>
    <d v="2025-08-04T00:00:00"/>
    <n v="12.98"/>
    <d v="2025-08-03T00:00:00"/>
  </r>
  <r>
    <x v="1"/>
    <m/>
    <s v="2025"/>
    <s v="CR"/>
    <n v="412851"/>
    <n v="1618"/>
    <n v="250"/>
    <n v="1"/>
    <d v="2025-07-31T00:00:00"/>
    <s v="RADE"/>
    <x v="112"/>
    <n v="61.83"/>
    <n v="12.36"/>
    <n v="74.19"/>
    <m/>
    <d v="2025-08-05T00:00:00"/>
    <n v="74.19"/>
    <x v="5"/>
    <n v="0"/>
    <m/>
    <m/>
    <m/>
    <m/>
    <m/>
    <m/>
    <n v="0"/>
    <n v="0"/>
    <n v="0"/>
    <x v="0"/>
    <x v="6"/>
    <x v="6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8-05T00:00:00"/>
    <d v="2025-08-04T00:00:00"/>
    <n v="74.19"/>
    <d v="2025-08-03T00:00:00"/>
  </r>
  <r>
    <x v="0"/>
    <m/>
    <s v="2025"/>
    <s v="CR"/>
    <n v="412852"/>
    <n v="1629"/>
    <n v="254"/>
    <n v="0"/>
    <d v="2025-08-05T00:00:00"/>
    <s v="CMFF"/>
    <x v="113"/>
    <n v="187.85"/>
    <n v="11.6"/>
    <n v="199.45"/>
    <m/>
    <d v="2025-08-19T00:00:00"/>
    <n v="199.45"/>
    <x v="91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06"/>
    <n v="1"/>
    <n v="0"/>
    <m/>
    <m/>
    <m/>
    <d v="2025-08-19T00:00:00"/>
    <d v="2025-08-18T00:00:00"/>
    <n v="199.45"/>
    <d v="2025-08-17T00:00:00"/>
  </r>
  <r>
    <x v="0"/>
    <m/>
    <s v="2025"/>
    <s v="CR"/>
    <n v="412853"/>
    <n v="1630"/>
    <n v="254"/>
    <n v="0"/>
    <d v="2025-08-05T00:00:00"/>
    <s v="CMFF"/>
    <x v="114"/>
    <n v="31.74"/>
    <n v="2.02"/>
    <n v="33.76"/>
    <m/>
    <d v="2025-08-19T00:00:00"/>
    <n v="33.76"/>
    <x v="92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25"/>
    <n v="1"/>
    <n v="0"/>
    <m/>
    <m/>
    <m/>
    <d v="2025-08-19T00:00:00"/>
    <d v="2025-08-18T00:00:00"/>
    <n v="33.76"/>
    <d v="2025-08-17T00:00:00"/>
  </r>
  <r>
    <x v="0"/>
    <m/>
    <s v="2025"/>
    <s v="CR"/>
    <n v="412854"/>
    <n v="1631"/>
    <n v="254"/>
    <n v="0"/>
    <d v="2025-08-05T00:00:00"/>
    <s v="CMFF"/>
    <x v="115"/>
    <n v="91.9"/>
    <n v="5.05"/>
    <n v="96.95"/>
    <m/>
    <d v="2025-08-19T00:00:00"/>
    <n v="96.95"/>
    <x v="93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865"/>
    <n v="1"/>
    <n v="0"/>
    <m/>
    <m/>
    <m/>
    <d v="2025-08-19T00:00:00"/>
    <d v="2025-08-18T00:00:00"/>
    <n v="96.95"/>
    <d v="2025-08-17T00:00:00"/>
  </r>
  <r>
    <x v="0"/>
    <m/>
    <s v="2025"/>
    <s v="CR"/>
    <n v="412855"/>
    <n v="1635"/>
    <n v="254"/>
    <n v="0"/>
    <d v="2025-08-05T00:00:00"/>
    <s v="CMFF"/>
    <x v="116"/>
    <n v="140.19"/>
    <n v="9.69"/>
    <n v="149.88"/>
    <m/>
    <d v="2025-08-19T00:00:00"/>
    <n v="149.88"/>
    <x v="94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49"/>
    <n v="1"/>
    <n v="0"/>
    <m/>
    <m/>
    <m/>
    <d v="2025-08-19T00:00:00"/>
    <d v="2025-08-18T00:00:00"/>
    <n v="149.88"/>
    <d v="2025-08-17T00:00:00"/>
  </r>
  <r>
    <x v="0"/>
    <m/>
    <s v="2025"/>
    <s v="CR"/>
    <n v="412856"/>
    <n v="1634"/>
    <n v="254"/>
    <n v="0"/>
    <d v="2025-08-05T00:00:00"/>
    <s v="CMFF"/>
    <x v="117"/>
    <n v="128.36000000000001"/>
    <n v="8.26"/>
    <n v="136.62"/>
    <m/>
    <d v="2025-08-19T00:00:00"/>
    <n v="136.62"/>
    <x v="95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48"/>
    <n v="1"/>
    <n v="0"/>
    <m/>
    <m/>
    <m/>
    <d v="2025-08-19T00:00:00"/>
    <d v="2025-08-18T00:00:00"/>
    <n v="136.62"/>
    <d v="2025-08-17T00:00:00"/>
  </r>
  <r>
    <x v="0"/>
    <m/>
    <s v="2025"/>
    <s v="CR"/>
    <n v="412857"/>
    <n v="1632"/>
    <n v="254"/>
    <n v="0"/>
    <d v="2025-08-05T00:00:00"/>
    <s v="CMFF"/>
    <x v="118"/>
    <n v="177.19"/>
    <n v="10.58"/>
    <n v="187.77"/>
    <m/>
    <d v="2025-08-19T00:00:00"/>
    <n v="187.77"/>
    <x v="96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93"/>
    <n v="1"/>
    <n v="0"/>
    <m/>
    <m/>
    <m/>
    <d v="2025-08-19T00:00:00"/>
    <d v="2025-08-18T00:00:00"/>
    <n v="187.77"/>
    <d v="2025-08-17T00:00:00"/>
  </r>
  <r>
    <x v="0"/>
    <m/>
    <s v="2025"/>
    <s v="CR"/>
    <n v="412859"/>
    <n v="1633"/>
    <n v="254"/>
    <n v="0"/>
    <d v="2025-08-05T00:00:00"/>
    <s v="CMFF"/>
    <x v="119"/>
    <n v="40.69"/>
    <n v="2.98"/>
    <n v="43.67"/>
    <m/>
    <d v="2025-08-19T00:00:00"/>
    <n v="43.67"/>
    <x v="97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37"/>
    <n v="1"/>
    <n v="0"/>
    <m/>
    <m/>
    <m/>
    <d v="2025-08-19T00:00:00"/>
    <d v="2025-08-18T00:00:00"/>
    <n v="43.67"/>
    <d v="2025-08-17T00:00:00"/>
  </r>
  <r>
    <x v="0"/>
    <m/>
    <s v="2025"/>
    <s v="CR"/>
    <n v="412861"/>
    <n v="1638"/>
    <n v="255"/>
    <n v="0"/>
    <d v="2025-08-06T00:00:00"/>
    <s v="CMFF"/>
    <x v="120"/>
    <n v="88.69"/>
    <n v="4.88"/>
    <n v="93.57"/>
    <m/>
    <d v="2025-08-19T00:00:00"/>
    <n v="93.57"/>
    <x v="98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67"/>
    <n v="1"/>
    <n v="0"/>
    <m/>
    <m/>
    <m/>
    <d v="2025-08-19T00:00:00"/>
    <d v="2025-08-18T00:00:00"/>
    <n v="93.57"/>
    <d v="2025-08-17T00:00:00"/>
  </r>
  <r>
    <x v="0"/>
    <m/>
    <s v="2025"/>
    <s v="CR"/>
    <n v="412866"/>
    <n v="1640"/>
    <n v="255"/>
    <n v="0"/>
    <d v="2025-08-06T00:00:00"/>
    <s v="CMFF"/>
    <x v="121"/>
    <n v="74.3"/>
    <n v="5.52"/>
    <n v="79.819999999999993"/>
    <m/>
    <d v="2025-08-19T00:00:00"/>
    <n v="79.819999999999993"/>
    <x v="99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51"/>
    <n v="1"/>
    <n v="0"/>
    <m/>
    <m/>
    <m/>
    <d v="2025-08-19T00:00:00"/>
    <d v="2025-08-18T00:00:00"/>
    <n v="79.819999999999993"/>
    <d v="2025-08-17T00:00:00"/>
  </r>
  <r>
    <x v="0"/>
    <m/>
    <s v="2025"/>
    <s v="CR"/>
    <n v="412868"/>
    <n v="1639"/>
    <n v="255"/>
    <n v="0"/>
    <d v="2025-08-06T00:00:00"/>
    <s v="CMFF"/>
    <x v="122"/>
    <n v="94.47"/>
    <n v="5.2"/>
    <n v="99.67"/>
    <m/>
    <d v="2025-08-19T00:00:00"/>
    <n v="99.67"/>
    <x v="100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41"/>
    <n v="1"/>
    <n v="0"/>
    <m/>
    <m/>
    <m/>
    <d v="2025-08-19T00:00:00"/>
    <d v="2025-08-18T00:00:00"/>
    <n v="99.67"/>
    <d v="2025-08-17T00:00:00"/>
  </r>
  <r>
    <x v="0"/>
    <m/>
    <s v="2025"/>
    <s v="CR"/>
    <n v="412883"/>
    <n v="1648"/>
    <n v="256"/>
    <n v="0"/>
    <d v="2025-08-06T00:00:00"/>
    <s v="CMFF"/>
    <x v="123"/>
    <n v="189.57"/>
    <n v="10.43"/>
    <n v="200"/>
    <m/>
    <d v="2025-08-19T00:00:00"/>
    <n v="200"/>
    <x v="101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46"/>
    <n v="1"/>
    <n v="0"/>
    <m/>
    <m/>
    <m/>
    <d v="2025-08-19T00:00:00"/>
    <d v="2025-08-18T00:00:00"/>
    <n v="200"/>
    <d v="2025-08-17T00:00:00"/>
  </r>
  <r>
    <x v="0"/>
    <m/>
    <s v="2025"/>
    <s v="CR"/>
    <n v="412887"/>
    <n v="1658"/>
    <n v="257"/>
    <n v="0"/>
    <d v="2025-08-07T00:00:00"/>
    <s v="CMFF"/>
    <x v="124"/>
    <n v="186.64"/>
    <n v="11.96"/>
    <n v="198.6"/>
    <m/>
    <d v="2025-08-19T00:00:00"/>
    <n v="198.6"/>
    <x v="102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92"/>
    <n v="1"/>
    <n v="0"/>
    <m/>
    <m/>
    <m/>
    <d v="2025-08-19T00:00:00"/>
    <d v="2025-08-18T00:00:00"/>
    <n v="198.6"/>
    <d v="2025-08-17T00:00:00"/>
  </r>
  <r>
    <x v="0"/>
    <m/>
    <s v="2025"/>
    <s v="CR"/>
    <n v="412907"/>
    <n v="1674"/>
    <n v="259"/>
    <n v="0"/>
    <d v="2025-08-08T00:00:00"/>
    <s v="CMFF"/>
    <x v="125"/>
    <n v="149.54"/>
    <n v="10.3"/>
    <n v="159.84"/>
    <m/>
    <d v="2025-08-19T00:00:00"/>
    <n v="159.84"/>
    <x v="103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36"/>
    <n v="1"/>
    <n v="0"/>
    <m/>
    <m/>
    <m/>
    <d v="2025-08-19T00:00:00"/>
    <d v="2025-08-14T00:00:00"/>
    <n v="159.84"/>
    <d v="2025-08-13T00:00:00"/>
  </r>
  <r>
    <x v="1"/>
    <m/>
    <s v="2025"/>
    <s v="CR"/>
    <n v="412933"/>
    <n v="1765"/>
    <n v="276"/>
    <n v="2"/>
    <d v="2025-08-13T00:00:00"/>
    <s v="RADE"/>
    <x v="126"/>
    <n v="153.74"/>
    <n v="30.75"/>
    <n v="184.49"/>
    <m/>
    <d v="2025-08-21T00:00:00"/>
    <n v="184.49"/>
    <x v="5"/>
    <n v="0"/>
    <m/>
    <m/>
    <m/>
    <m/>
    <m/>
    <m/>
    <n v="0"/>
    <n v="0"/>
    <n v="0"/>
    <x v="0"/>
    <x v="1"/>
    <x v="1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8-21T00:00:00"/>
    <d v="2025-08-20T00:00:00"/>
    <n v="184.49"/>
    <d v="2025-08-19T00:00:00"/>
  </r>
  <r>
    <x v="1"/>
    <m/>
    <s v="2025"/>
    <s v="CR"/>
    <n v="412935"/>
    <n v="1765"/>
    <n v="276"/>
    <n v="1"/>
    <d v="2025-08-13T00:00:00"/>
    <s v="RADE"/>
    <x v="127"/>
    <n v="20.37"/>
    <n v="4.07"/>
    <n v="24.44"/>
    <m/>
    <d v="2025-08-21T00:00:00"/>
    <n v="24.44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8-21T00:00:00"/>
    <d v="2025-08-20T00:00:00"/>
    <n v="24.44"/>
    <d v="2025-08-19T00:00:00"/>
  </r>
  <r>
    <x v="1"/>
    <m/>
    <s v="2025"/>
    <s v="CR"/>
    <n v="412936"/>
    <n v="1765"/>
    <n v="276"/>
    <n v="1"/>
    <d v="2025-08-13T00:00:00"/>
    <s v="RADE"/>
    <x v="128"/>
    <n v="32.78"/>
    <n v="6.55"/>
    <n v="39.33"/>
    <m/>
    <d v="2025-08-21T00:00:00"/>
    <n v="39.33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8-21T00:00:00"/>
    <d v="2025-08-20T00:00:00"/>
    <n v="39.33"/>
    <d v="2025-08-19T00:00:00"/>
  </r>
  <r>
    <x v="0"/>
    <m/>
    <s v="2025"/>
    <s v="CR"/>
    <n v="414169"/>
    <n v="1788"/>
    <n v="282"/>
    <n v="0"/>
    <d v="2025-08-20T00:00:00"/>
    <s v="CMFF"/>
    <x v="129"/>
    <n v="21.12"/>
    <n v="1.06"/>
    <n v="22.18"/>
    <m/>
    <d v="2025-09-03T00:00:00"/>
    <n v="22.18"/>
    <x v="58"/>
    <n v="0"/>
    <m/>
    <m/>
    <m/>
    <m/>
    <m/>
    <m/>
    <n v="0"/>
    <n v="0"/>
    <n v="0"/>
    <x v="0"/>
    <x v="0"/>
    <x v="0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1"/>
    <n v="1"/>
    <n v="0"/>
    <m/>
    <m/>
    <m/>
    <d v="2025-09-02T00:00:00"/>
    <d v="2025-09-02T00:00:00"/>
    <n v="22.18"/>
    <d v="2025-09-01T00:00:00"/>
  </r>
  <r>
    <x v="0"/>
    <m/>
    <s v="2025"/>
    <s v="CR"/>
    <n v="414170"/>
    <n v="1789"/>
    <n v="282"/>
    <n v="0"/>
    <d v="2025-08-20T00:00:00"/>
    <s v="CMFF"/>
    <x v="130"/>
    <n v="21.12"/>
    <n v="1.1599999999999999"/>
    <n v="22.28"/>
    <m/>
    <d v="2025-09-03T00:00:00"/>
    <n v="22.28"/>
    <x v="59"/>
    <n v="0"/>
    <m/>
    <m/>
    <m/>
    <m/>
    <m/>
    <m/>
    <n v="0"/>
    <n v="0"/>
    <n v="0"/>
    <x v="0"/>
    <x v="0"/>
    <x v="0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2"/>
    <n v="1"/>
    <n v="0"/>
    <m/>
    <m/>
    <m/>
    <d v="2025-09-02T00:00:00"/>
    <d v="2025-09-02T00:00:00"/>
    <n v="22.28"/>
    <d v="2025-09-01T00:00:00"/>
  </r>
  <r>
    <x v="0"/>
    <m/>
    <s v="2025"/>
    <s v="CR"/>
    <n v="414171"/>
    <n v="1790"/>
    <n v="282"/>
    <n v="0"/>
    <d v="2025-08-20T00:00:00"/>
    <s v="CMFF"/>
    <x v="131"/>
    <n v="26.4"/>
    <n v="1.45"/>
    <n v="27.85"/>
    <m/>
    <d v="2025-09-03T00:00:00"/>
    <n v="27.85"/>
    <x v="60"/>
    <n v="0"/>
    <m/>
    <m/>
    <m/>
    <m/>
    <m/>
    <m/>
    <n v="0"/>
    <n v="0"/>
    <n v="0"/>
    <x v="0"/>
    <x v="0"/>
    <x v="0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3"/>
    <n v="1"/>
    <n v="0"/>
    <m/>
    <m/>
    <m/>
    <d v="2025-09-02T00:00:00"/>
    <d v="2025-09-02T00:00:00"/>
    <n v="27.85"/>
    <d v="2025-09-01T00:00:00"/>
  </r>
  <r>
    <x v="0"/>
    <m/>
    <s v="2025"/>
    <s v="CR"/>
    <n v="414172"/>
    <n v="1791"/>
    <n v="282"/>
    <n v="0"/>
    <d v="2025-08-20T00:00:00"/>
    <s v="CMFF"/>
    <x v="132"/>
    <n v="911.68"/>
    <n v="50.14"/>
    <n v="961.82"/>
    <m/>
    <d v="2025-09-03T00:00:00"/>
    <n v="961.82"/>
    <x v="57"/>
    <n v="0"/>
    <m/>
    <m/>
    <m/>
    <m/>
    <m/>
    <m/>
    <n v="0"/>
    <n v="0"/>
    <n v="0"/>
    <x v="0"/>
    <x v="0"/>
    <x v="0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4"/>
    <n v="1"/>
    <n v="0"/>
    <m/>
    <m/>
    <m/>
    <d v="2025-09-02T00:00:00"/>
    <d v="2025-09-02T00:00:00"/>
    <n v="961.82"/>
    <d v="2025-09-01T00:00:00"/>
  </r>
  <r>
    <x v="0"/>
    <m/>
    <s v="2025"/>
    <s v="CR"/>
    <n v="414173"/>
    <n v="1792"/>
    <n v="282"/>
    <n v="0"/>
    <d v="2025-08-20T00:00:00"/>
    <s v="CMFF"/>
    <x v="133"/>
    <n v="42.24"/>
    <n v="2.3199999999999998"/>
    <n v="44.56"/>
    <m/>
    <d v="2025-09-03T00:00:00"/>
    <n v="44.56"/>
    <x v="58"/>
    <n v="0"/>
    <m/>
    <m/>
    <m/>
    <m/>
    <m/>
    <m/>
    <n v="0"/>
    <n v="0"/>
    <n v="0"/>
    <x v="0"/>
    <x v="0"/>
    <x v="0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5"/>
    <n v="1"/>
    <n v="0"/>
    <m/>
    <m/>
    <m/>
    <d v="2025-09-02T00:00:00"/>
    <d v="2025-09-02T00:00:00"/>
    <n v="44.56"/>
    <d v="2025-09-01T00:00:00"/>
  </r>
  <r>
    <x v="0"/>
    <m/>
    <s v="2025"/>
    <s v="CR"/>
    <n v="414174"/>
    <n v="1793"/>
    <n v="282"/>
    <n v="0"/>
    <d v="2025-08-20T00:00:00"/>
    <s v="CMFF"/>
    <x v="134"/>
    <n v="42.24"/>
    <n v="2.3199999999999998"/>
    <n v="44.56"/>
    <m/>
    <d v="2025-09-03T00:00:00"/>
    <n v="44.56"/>
    <x v="59"/>
    <n v="0"/>
    <m/>
    <m/>
    <m/>
    <m/>
    <m/>
    <m/>
    <n v="0"/>
    <n v="0"/>
    <n v="0"/>
    <x v="0"/>
    <x v="0"/>
    <x v="0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6"/>
    <n v="1"/>
    <n v="0"/>
    <m/>
    <m/>
    <m/>
    <d v="2025-09-02T00:00:00"/>
    <d v="2025-09-02T00:00:00"/>
    <n v="44.56"/>
    <d v="2025-09-01T00:00:00"/>
  </r>
  <r>
    <x v="0"/>
    <m/>
    <s v="2025"/>
    <s v="CR"/>
    <n v="414175"/>
    <n v="1794"/>
    <n v="282"/>
    <n v="0"/>
    <d v="2025-08-20T00:00:00"/>
    <s v="CMFF"/>
    <x v="135"/>
    <n v="24.64"/>
    <n v="1.36"/>
    <n v="26"/>
    <m/>
    <d v="2025-09-03T00:00:00"/>
    <n v="26"/>
    <x v="61"/>
    <n v="0"/>
    <m/>
    <m/>
    <m/>
    <m/>
    <m/>
    <m/>
    <n v="0"/>
    <n v="0"/>
    <n v="0"/>
    <x v="0"/>
    <x v="0"/>
    <x v="0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7"/>
    <n v="1"/>
    <n v="0"/>
    <m/>
    <m/>
    <m/>
    <d v="2025-09-02T00:00:00"/>
    <d v="2025-09-02T00:00:00"/>
    <n v="26"/>
    <d v="2025-09-01T00:00:00"/>
  </r>
  <r>
    <x v="0"/>
    <m/>
    <s v="2025"/>
    <s v="CR"/>
    <n v="414742"/>
    <n v="1863"/>
    <n v="302"/>
    <n v="0"/>
    <d v="2025-09-02T00:00:00"/>
    <s v="ARMF"/>
    <x v="136"/>
    <n v="25.89"/>
    <n v="2.71"/>
    <n v="28.6"/>
    <m/>
    <d v="2025-09-04T00:00:00"/>
    <n v="28.6"/>
    <x v="10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99"/>
    <n v="1"/>
    <n v="0"/>
    <m/>
    <m/>
    <m/>
    <d v="2025-09-04T00:00:00"/>
    <d v="2025-09-04T00:00:00"/>
    <n v="28.6"/>
    <d v="2025-09-03T00:00:00"/>
  </r>
  <r>
    <x v="0"/>
    <m/>
    <s v="2025"/>
    <s v="CR"/>
    <n v="414744"/>
    <n v="1867"/>
    <n v="302"/>
    <n v="0"/>
    <d v="2025-09-02T00:00:00"/>
    <s v="ARMF"/>
    <x v="137"/>
    <n v="186.09"/>
    <n v="14.04"/>
    <n v="200.13"/>
    <m/>
    <d v="2025-09-04T00:00:00"/>
    <n v="200.13"/>
    <x v="105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85"/>
    <n v="1"/>
    <n v="0"/>
    <m/>
    <m/>
    <m/>
    <d v="2025-09-04T00:00:00"/>
    <d v="2025-09-04T00:00:00"/>
    <n v="200.13"/>
    <d v="2025-09-03T00:00:00"/>
  </r>
  <r>
    <x v="0"/>
    <m/>
    <s v="2025"/>
    <s v="CR"/>
    <n v="414746"/>
    <n v="1865"/>
    <n v="302"/>
    <n v="0"/>
    <d v="2025-09-02T00:00:00"/>
    <s v="ARMF"/>
    <x v="138"/>
    <n v="26.47"/>
    <n v="3.05"/>
    <n v="29.52"/>
    <m/>
    <d v="2025-09-04T00:00:00"/>
    <n v="29.52"/>
    <x v="10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03"/>
    <n v="1"/>
    <n v="0"/>
    <m/>
    <m/>
    <m/>
    <d v="2025-09-04T00:00:00"/>
    <d v="2025-09-04T00:00:00"/>
    <n v="29.52"/>
    <d v="2025-09-03T00:00:00"/>
  </r>
  <r>
    <x v="0"/>
    <m/>
    <s v="2025"/>
    <s v="CR"/>
    <n v="414747"/>
    <n v="1862"/>
    <n v="302"/>
    <n v="0"/>
    <d v="2025-09-02T00:00:00"/>
    <s v="ARMF"/>
    <x v="139"/>
    <n v="140.22999999999999"/>
    <n v="9.02"/>
    <n v="149.25"/>
    <m/>
    <d v="2025-09-04T00:00:00"/>
    <n v="149.25"/>
    <x v="10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49"/>
    <n v="1"/>
    <n v="0"/>
    <m/>
    <m/>
    <m/>
    <d v="2025-09-04T00:00:00"/>
    <d v="2025-09-04T00:00:00"/>
    <n v="149.25"/>
    <d v="2025-09-03T00:00:00"/>
  </r>
  <r>
    <x v="0"/>
    <m/>
    <s v="2025"/>
    <s v="CR"/>
    <n v="414749"/>
    <n v="1864"/>
    <n v="302"/>
    <n v="0"/>
    <d v="2025-09-02T00:00:00"/>
    <s v="ARMF"/>
    <x v="140"/>
    <n v="26.59"/>
    <n v="2.71"/>
    <n v="29.3"/>
    <m/>
    <d v="2025-09-04T00:00:00"/>
    <n v="29.3"/>
    <x v="10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01"/>
    <n v="1"/>
    <n v="0"/>
    <m/>
    <m/>
    <m/>
    <d v="2025-09-04T00:00:00"/>
    <d v="2025-09-04T00:00:00"/>
    <n v="29.3"/>
    <d v="2025-09-03T00:00:00"/>
  </r>
  <r>
    <x v="0"/>
    <m/>
    <s v="2025"/>
    <s v="CR"/>
    <n v="414751"/>
    <n v="1866"/>
    <n v="302"/>
    <n v="0"/>
    <d v="2025-09-02T00:00:00"/>
    <s v="ARMF"/>
    <x v="141"/>
    <n v="81.33"/>
    <n v="8.27"/>
    <n v="89.6"/>
    <m/>
    <d v="2025-09-04T00:00:00"/>
    <n v="89.6"/>
    <x v="109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26"/>
    <n v="1"/>
    <n v="0"/>
    <m/>
    <m/>
    <m/>
    <d v="2025-09-04T00:00:00"/>
    <d v="2025-09-04T00:00:00"/>
    <n v="89.6"/>
    <d v="2025-09-03T00:00:00"/>
  </r>
  <r>
    <x v="0"/>
    <m/>
    <s v="2025"/>
    <s v="CR"/>
    <n v="414755"/>
    <n v="1884"/>
    <n v="303"/>
    <n v="0"/>
    <d v="2025-09-02T00:00:00"/>
    <s v="ARFF"/>
    <x v="142"/>
    <n v="92.28"/>
    <n v="5.45"/>
    <n v="97.73"/>
    <m/>
    <d v="2025-09-04T00:00:00"/>
    <n v="97.73"/>
    <x v="110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12"/>
    <n v="1"/>
    <n v="0"/>
    <m/>
    <m/>
    <m/>
    <d v="2025-09-04T00:00:00"/>
    <d v="2025-09-04T00:00:00"/>
    <n v="97.73"/>
    <d v="2025-09-03T00:00:00"/>
  </r>
  <r>
    <x v="0"/>
    <m/>
    <s v="2025"/>
    <s v="CR"/>
    <n v="414756"/>
    <n v="1885"/>
    <n v="303"/>
    <n v="0"/>
    <d v="2025-09-02T00:00:00"/>
    <s v="ARFF"/>
    <x v="143"/>
    <n v="25.98"/>
    <n v="3.64"/>
    <n v="29.62"/>
    <m/>
    <d v="2025-09-04T00:00:00"/>
    <n v="29.62"/>
    <x v="111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13"/>
    <n v="1"/>
    <n v="0"/>
    <m/>
    <m/>
    <m/>
    <d v="2025-09-04T00:00:00"/>
    <d v="2025-09-04T00:00:00"/>
    <n v="29.62"/>
    <d v="2025-09-03T00:00:00"/>
  </r>
  <r>
    <x v="0"/>
    <m/>
    <s v="2025"/>
    <s v="CR"/>
    <n v="414757"/>
    <n v="1886"/>
    <n v="303"/>
    <n v="0"/>
    <d v="2025-09-02T00:00:00"/>
    <s v="ARFF"/>
    <x v="144"/>
    <n v="19.62"/>
    <n v="1.97"/>
    <n v="21.59"/>
    <m/>
    <d v="2025-09-04T00:00:00"/>
    <n v="21.59"/>
    <x v="112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14"/>
    <n v="1"/>
    <n v="0"/>
    <m/>
    <m/>
    <m/>
    <d v="2025-09-04T00:00:00"/>
    <d v="2025-09-04T00:00:00"/>
    <n v="21.59"/>
    <d v="2025-09-03T00:00:00"/>
  </r>
  <r>
    <x v="0"/>
    <m/>
    <s v="2025"/>
    <s v="CR"/>
    <n v="414758"/>
    <n v="1887"/>
    <n v="303"/>
    <n v="0"/>
    <d v="2025-09-02T00:00:00"/>
    <s v="ARFF"/>
    <x v="145"/>
    <n v="26.65"/>
    <n v="3.67"/>
    <n v="30.32"/>
    <m/>
    <d v="2025-09-04T00:00:00"/>
    <n v="30.32"/>
    <x v="113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39"/>
    <n v="1"/>
    <n v="0"/>
    <m/>
    <m/>
    <m/>
    <d v="2025-09-04T00:00:00"/>
    <d v="2025-09-04T00:00:00"/>
    <n v="30.32"/>
    <d v="2025-09-03T00:00:00"/>
  </r>
  <r>
    <x v="0"/>
    <m/>
    <s v="2025"/>
    <s v="CR"/>
    <n v="414759"/>
    <n v="1888"/>
    <n v="303"/>
    <n v="0"/>
    <d v="2025-09-02T00:00:00"/>
    <s v="ARFF"/>
    <x v="146"/>
    <n v="25.92"/>
    <n v="2.27"/>
    <n v="28.19"/>
    <m/>
    <d v="2025-09-04T00:00:00"/>
    <n v="28.19"/>
    <x v="11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40"/>
    <n v="1"/>
    <n v="0"/>
    <m/>
    <m/>
    <m/>
    <d v="2025-09-04T00:00:00"/>
    <d v="2025-09-04T00:00:00"/>
    <n v="28.19"/>
    <d v="2025-09-03T00:00:00"/>
  </r>
  <r>
    <x v="0"/>
    <m/>
    <s v="2025"/>
    <s v="CR"/>
    <n v="414760"/>
    <n v="1889"/>
    <n v="303"/>
    <n v="0"/>
    <d v="2025-09-02T00:00:00"/>
    <s v="ARFF"/>
    <x v="147"/>
    <n v="28.04"/>
    <n v="1.54"/>
    <n v="29.58"/>
    <m/>
    <d v="2025-09-04T00:00:00"/>
    <n v="29.58"/>
    <x v="11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42"/>
    <n v="1"/>
    <n v="0"/>
    <m/>
    <m/>
    <m/>
    <d v="2025-09-04T00:00:00"/>
    <d v="2025-09-04T00:00:00"/>
    <n v="29.58"/>
    <d v="2025-09-03T00:00:00"/>
  </r>
  <r>
    <x v="0"/>
    <m/>
    <s v="2025"/>
    <s v="CR"/>
    <n v="414761"/>
    <n v="1890"/>
    <n v="303"/>
    <n v="0"/>
    <d v="2025-09-02T00:00:00"/>
    <s v="ARFF"/>
    <x v="148"/>
    <n v="27.72"/>
    <n v="1.52"/>
    <n v="29.24"/>
    <m/>
    <d v="2025-09-04T00:00:00"/>
    <n v="29.24"/>
    <x v="11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50"/>
    <n v="1"/>
    <n v="0"/>
    <m/>
    <m/>
    <m/>
    <d v="2025-09-04T00:00:00"/>
    <d v="2025-09-04T00:00:00"/>
    <n v="29.24"/>
    <d v="2025-09-03T00:00:00"/>
  </r>
  <r>
    <x v="0"/>
    <m/>
    <s v="2025"/>
    <s v="CR"/>
    <n v="414763"/>
    <n v="1891"/>
    <n v="303"/>
    <n v="0"/>
    <d v="2025-09-02T00:00:00"/>
    <s v="ARFF"/>
    <x v="149"/>
    <n v="26.61"/>
    <n v="2.6"/>
    <n v="29.21"/>
    <m/>
    <d v="2025-09-04T00:00:00"/>
    <n v="29.21"/>
    <x v="11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70"/>
    <n v="1"/>
    <n v="0"/>
    <m/>
    <m/>
    <m/>
    <d v="2025-09-04T00:00:00"/>
    <d v="2025-09-04T00:00:00"/>
    <n v="29.21"/>
    <d v="2025-09-03T00:00:00"/>
  </r>
  <r>
    <x v="0"/>
    <m/>
    <s v="2025"/>
    <s v="CR"/>
    <n v="414765"/>
    <n v="1892"/>
    <n v="303"/>
    <n v="0"/>
    <d v="2025-09-02T00:00:00"/>
    <s v="ARFF"/>
    <x v="150"/>
    <n v="110.99"/>
    <n v="8.8699999999999992"/>
    <n v="119.86"/>
    <m/>
    <d v="2025-09-04T00:00:00"/>
    <n v="119.86"/>
    <x v="11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71"/>
    <n v="1"/>
    <n v="0"/>
    <m/>
    <m/>
    <m/>
    <d v="2025-09-04T00:00:00"/>
    <d v="2025-09-04T00:00:00"/>
    <n v="119.86"/>
    <d v="2025-09-03T00:00:00"/>
  </r>
  <r>
    <x v="0"/>
    <m/>
    <s v="2025"/>
    <s v="CR"/>
    <n v="414766"/>
    <n v="1893"/>
    <n v="303"/>
    <n v="0"/>
    <d v="2025-09-02T00:00:00"/>
    <s v="ARFF"/>
    <x v="151"/>
    <n v="26.36"/>
    <n v="2.36"/>
    <n v="28.72"/>
    <m/>
    <d v="2025-09-04T00:00:00"/>
    <n v="28.72"/>
    <x v="119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72"/>
    <n v="1"/>
    <n v="0"/>
    <m/>
    <m/>
    <m/>
    <d v="2025-09-04T00:00:00"/>
    <d v="2025-09-04T00:00:00"/>
    <n v="28.72"/>
    <d v="2025-09-03T00:00:00"/>
  </r>
  <r>
    <x v="0"/>
    <m/>
    <s v="2025"/>
    <s v="CR"/>
    <n v="414767"/>
    <n v="1895"/>
    <n v="303"/>
    <n v="0"/>
    <d v="2025-09-02T00:00:00"/>
    <s v="ARFF"/>
    <x v="152"/>
    <n v="27.58"/>
    <n v="1.52"/>
    <n v="29.1"/>
    <m/>
    <d v="2025-09-04T00:00:00"/>
    <n v="29.1"/>
    <x v="120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32"/>
    <n v="1"/>
    <n v="0"/>
    <m/>
    <m/>
    <m/>
    <d v="2025-09-04T00:00:00"/>
    <d v="2025-09-04T00:00:00"/>
    <n v="29.1"/>
    <d v="2025-09-03T00:00:00"/>
  </r>
  <r>
    <x v="0"/>
    <m/>
    <s v="2025"/>
    <s v="CR"/>
    <n v="414768"/>
    <n v="1896"/>
    <n v="303"/>
    <n v="0"/>
    <d v="2025-09-02T00:00:00"/>
    <s v="ARFF"/>
    <x v="153"/>
    <n v="93.32"/>
    <n v="5.98"/>
    <n v="99.3"/>
    <m/>
    <d v="2025-09-04T00:00:00"/>
    <n v="99.3"/>
    <x v="121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67"/>
    <n v="1"/>
    <n v="0"/>
    <m/>
    <m/>
    <m/>
    <d v="2025-09-04T00:00:00"/>
    <d v="2025-09-04T00:00:00"/>
    <n v="99.3"/>
    <d v="2025-09-03T00:00:00"/>
  </r>
  <r>
    <x v="0"/>
    <m/>
    <s v="2025"/>
    <s v="CR"/>
    <n v="414769"/>
    <n v="1894"/>
    <n v="303"/>
    <n v="0"/>
    <d v="2025-09-02T00:00:00"/>
    <s v="ARFF"/>
    <x v="154"/>
    <n v="91.99"/>
    <n v="7.47"/>
    <n v="99.46"/>
    <m/>
    <d v="2025-09-04T00:00:00"/>
    <n v="99.46"/>
    <x v="122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84"/>
    <n v="1"/>
    <n v="0"/>
    <m/>
    <m/>
    <m/>
    <d v="2025-09-04T00:00:00"/>
    <d v="2025-09-04T00:00:00"/>
    <n v="99.46"/>
    <d v="2025-09-03T00:00:00"/>
  </r>
  <r>
    <x v="0"/>
    <m/>
    <s v="2025"/>
    <s v="CR"/>
    <n v="414774"/>
    <n v="1897"/>
    <n v="303"/>
    <n v="0"/>
    <d v="2025-09-02T00:00:00"/>
    <s v="ARFF"/>
    <x v="155"/>
    <n v="23.67"/>
    <n v="1.3"/>
    <n v="24.97"/>
    <m/>
    <d v="2025-09-04T00:00:00"/>
    <n v="24.97"/>
    <x v="123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37"/>
    <n v="1"/>
    <n v="0"/>
    <m/>
    <m/>
    <m/>
    <d v="2025-09-04T00:00:00"/>
    <d v="2025-09-04T00:00:00"/>
    <n v="24.97"/>
    <d v="2025-09-03T00:00:00"/>
  </r>
  <r>
    <x v="0"/>
    <m/>
    <s v="2025"/>
    <s v="CR"/>
    <n v="414781"/>
    <n v="1911"/>
    <n v="304"/>
    <n v="0"/>
    <d v="2025-09-02T00:00:00"/>
    <s v="ARMF"/>
    <x v="156"/>
    <n v="26.62"/>
    <n v="1.46"/>
    <n v="28.08"/>
    <m/>
    <d v="2025-09-04T00:00:00"/>
    <n v="28.08"/>
    <x v="10"/>
    <n v="0"/>
    <m/>
    <m/>
    <m/>
    <m/>
    <m/>
    <m/>
    <n v="0"/>
    <n v="0"/>
    <n v="0"/>
    <x v="0"/>
    <x v="3"/>
    <x v="3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51"/>
    <n v="1"/>
    <n v="0"/>
    <m/>
    <m/>
    <m/>
    <d v="2025-09-04T00:00:00"/>
    <d v="2025-09-04T00:00:00"/>
    <n v="28.08"/>
    <d v="2025-09-03T00:00:00"/>
  </r>
  <r>
    <x v="0"/>
    <m/>
    <s v="2025"/>
    <s v="CR"/>
    <n v="414782"/>
    <n v="1912"/>
    <n v="304"/>
    <n v="0"/>
    <d v="2025-09-02T00:00:00"/>
    <s v="ARMF"/>
    <x v="157"/>
    <n v="15.53"/>
    <n v="0.85"/>
    <n v="16.38"/>
    <m/>
    <d v="2025-09-04T00:00:00"/>
    <n v="16.38"/>
    <x v="11"/>
    <n v="0"/>
    <m/>
    <m/>
    <m/>
    <m/>
    <m/>
    <m/>
    <n v="0"/>
    <n v="0"/>
    <n v="0"/>
    <x v="0"/>
    <x v="3"/>
    <x v="3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52"/>
    <n v="1"/>
    <n v="0"/>
    <m/>
    <m/>
    <m/>
    <d v="2025-09-04T00:00:00"/>
    <d v="2025-09-04T00:00:00"/>
    <n v="16.38"/>
    <d v="2025-09-03T00:00:00"/>
  </r>
  <r>
    <x v="0"/>
    <m/>
    <s v="2025"/>
    <s v="CR"/>
    <n v="414783"/>
    <n v="1913"/>
    <n v="304"/>
    <n v="0"/>
    <d v="2025-09-02T00:00:00"/>
    <s v="ARMF"/>
    <x v="158"/>
    <n v="8.8699999999999992"/>
    <n v="0.49"/>
    <n v="9.36"/>
    <m/>
    <d v="2025-09-04T00:00:00"/>
    <n v="9.36"/>
    <x v="13"/>
    <n v="0"/>
    <m/>
    <m/>
    <m/>
    <m/>
    <m/>
    <m/>
    <n v="0"/>
    <n v="0"/>
    <n v="0"/>
    <x v="0"/>
    <x v="3"/>
    <x v="3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54"/>
    <n v="1"/>
    <n v="0"/>
    <m/>
    <m/>
    <m/>
    <d v="2025-09-04T00:00:00"/>
    <d v="2025-09-04T00:00:00"/>
    <n v="9.36"/>
    <d v="2025-09-03T00:00:00"/>
  </r>
  <r>
    <x v="0"/>
    <m/>
    <s v="2025"/>
    <s v="CR"/>
    <n v="414789"/>
    <n v="1910"/>
    <n v="304"/>
    <n v="0"/>
    <d v="2025-09-02T00:00:00"/>
    <s v="ARMF"/>
    <x v="159"/>
    <n v="94.75"/>
    <n v="5.21"/>
    <n v="99.96"/>
    <m/>
    <d v="2025-09-04T00:00:00"/>
    <n v="99.96"/>
    <x v="12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78"/>
    <n v="1"/>
    <n v="0"/>
    <m/>
    <m/>
    <m/>
    <d v="2025-09-04T00:00:00"/>
    <d v="2025-09-04T00:00:00"/>
    <n v="99.96"/>
    <d v="2025-09-03T00:00:00"/>
  </r>
  <r>
    <x v="0"/>
    <m/>
    <s v="2025"/>
    <s v="CR"/>
    <n v="414797"/>
    <n v="1924"/>
    <n v="306"/>
    <n v="0"/>
    <d v="2025-09-02T00:00:00"/>
    <s v="ARFF"/>
    <x v="160"/>
    <n v="8.8699999999999992"/>
    <n v="0.49"/>
    <n v="9.36"/>
    <m/>
    <d v="2025-09-04T00:00:00"/>
    <n v="9.36"/>
    <x v="12"/>
    <n v="0"/>
    <m/>
    <m/>
    <m/>
    <m/>
    <m/>
    <m/>
    <n v="0"/>
    <n v="0"/>
    <n v="0"/>
    <x v="0"/>
    <x v="3"/>
    <x v="3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53"/>
    <n v="1"/>
    <n v="0"/>
    <m/>
    <m/>
    <m/>
    <d v="2025-09-04T00:00:00"/>
    <d v="2025-09-04T00:00:00"/>
    <n v="9.36"/>
    <d v="2025-09-03T00:00:00"/>
  </r>
  <r>
    <x v="0"/>
    <m/>
    <s v="2025"/>
    <s v="CR"/>
    <n v="414798"/>
    <n v="1925"/>
    <n v="306"/>
    <n v="0"/>
    <d v="2025-09-02T00:00:00"/>
    <s v="ARFF"/>
    <x v="161"/>
    <n v="238.44"/>
    <n v="13.11"/>
    <n v="251.55"/>
    <m/>
    <d v="2025-09-04T00:00:00"/>
    <n v="251.55"/>
    <x v="1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55"/>
    <n v="1"/>
    <n v="0"/>
    <m/>
    <m/>
    <m/>
    <d v="2025-09-04T00:00:00"/>
    <d v="2025-09-04T00:00:00"/>
    <n v="251.55"/>
    <d v="2025-09-03T00:00:00"/>
  </r>
  <r>
    <x v="0"/>
    <m/>
    <s v="2025"/>
    <s v="CR"/>
    <n v="414799"/>
    <n v="1926"/>
    <n v="306"/>
    <n v="0"/>
    <d v="2025-09-02T00:00:00"/>
    <s v="ARFF"/>
    <x v="162"/>
    <n v="39.92"/>
    <n v="2.2000000000000002"/>
    <n v="42.12"/>
    <m/>
    <d v="2025-09-04T00:00:00"/>
    <n v="42.12"/>
    <x v="12"/>
    <n v="0"/>
    <m/>
    <m/>
    <m/>
    <m/>
    <m/>
    <m/>
    <n v="0"/>
    <n v="0"/>
    <n v="0"/>
    <x v="0"/>
    <x v="3"/>
    <x v="3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56"/>
    <n v="1"/>
    <n v="0"/>
    <m/>
    <m/>
    <m/>
    <d v="2025-09-04T00:00:00"/>
    <d v="2025-09-04T00:00:00"/>
    <n v="42.12"/>
    <d v="2025-09-03T00:00:00"/>
  </r>
  <r>
    <x v="0"/>
    <m/>
    <s v="2025"/>
    <s v="CR"/>
    <n v="414856"/>
    <n v="1957"/>
    <n v="313"/>
    <n v="0"/>
    <d v="2025-09-08T00:00:00"/>
    <s v="ARFF"/>
    <x v="163"/>
    <n v="141.34"/>
    <n v="8.33"/>
    <n v="149.66999999999999"/>
    <m/>
    <d v="2025-09-12T00:00:00"/>
    <n v="149.66999999999999"/>
    <x v="125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15"/>
    <n v="1"/>
    <n v="0"/>
    <m/>
    <m/>
    <m/>
    <d v="2025-09-12T00:00:00"/>
    <d v="2025-09-12T00:00:00"/>
    <n v="149.66999999999999"/>
    <d v="2025-09-11T00:00:00"/>
  </r>
  <r>
    <x v="0"/>
    <m/>
    <s v="2025"/>
    <s v="CR"/>
    <n v="414865"/>
    <n v="1958"/>
    <n v="313"/>
    <n v="0"/>
    <d v="2025-09-08T00:00:00"/>
    <s v="ARFF"/>
    <x v="164"/>
    <n v="46.45"/>
    <n v="3.03"/>
    <n v="49.48"/>
    <m/>
    <d v="2025-09-12T00:00:00"/>
    <n v="49.48"/>
    <x v="126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74"/>
    <n v="1"/>
    <n v="0"/>
    <m/>
    <m/>
    <m/>
    <d v="2025-09-12T00:00:00"/>
    <d v="2025-09-12T00:00:00"/>
    <n v="49.48"/>
    <d v="2025-09-11T00:00:00"/>
  </r>
  <r>
    <x v="0"/>
    <m/>
    <s v="2025"/>
    <s v="CR"/>
    <n v="414866"/>
    <n v="1959"/>
    <n v="313"/>
    <n v="0"/>
    <d v="2025-09-08T00:00:00"/>
    <s v="ARFF"/>
    <x v="165"/>
    <n v="142.18"/>
    <n v="7.82"/>
    <n v="150"/>
    <m/>
    <d v="2025-09-12T00:00:00"/>
    <n v="150"/>
    <x v="127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75"/>
    <n v="1"/>
    <n v="0"/>
    <m/>
    <m/>
    <m/>
    <d v="2025-09-12T00:00:00"/>
    <d v="2025-09-12T00:00:00"/>
    <n v="150"/>
    <d v="2025-09-11T00:00:00"/>
  </r>
  <r>
    <x v="0"/>
    <m/>
    <s v="2025"/>
    <s v="CR"/>
    <n v="414867"/>
    <n v="1960"/>
    <n v="313"/>
    <n v="0"/>
    <d v="2025-09-08T00:00:00"/>
    <s v="ARFF"/>
    <x v="166"/>
    <n v="93.68"/>
    <n v="5.15"/>
    <n v="98.83"/>
    <m/>
    <d v="2025-09-12T00:00:00"/>
    <n v="98.83"/>
    <x v="128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04"/>
    <n v="1"/>
    <n v="0"/>
    <m/>
    <m/>
    <m/>
    <d v="2025-09-12T00:00:00"/>
    <d v="2025-09-12T00:00:00"/>
    <n v="98.83"/>
    <d v="2025-09-11T00:00:00"/>
  </r>
  <r>
    <x v="0"/>
    <m/>
    <s v="2025"/>
    <s v="CR"/>
    <n v="414870"/>
    <n v="1967"/>
    <n v="314"/>
    <n v="0"/>
    <d v="2025-09-08T00:00:00"/>
    <s v="ARMF"/>
    <x v="167"/>
    <n v="45.24"/>
    <n v="3.2"/>
    <n v="48.44"/>
    <m/>
    <d v="2025-09-12T00:00:00"/>
    <n v="48.44"/>
    <x v="129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66"/>
    <n v="1"/>
    <n v="0"/>
    <m/>
    <m/>
    <m/>
    <d v="2025-09-12T00:00:00"/>
    <d v="2025-09-12T00:00:00"/>
    <n v="48.44"/>
    <d v="2025-09-11T00:00:00"/>
  </r>
  <r>
    <x v="0"/>
    <m/>
    <s v="2025"/>
    <s v="CR"/>
    <n v="414884"/>
    <n v="1969"/>
    <n v="315"/>
    <n v="0"/>
    <d v="2025-09-10T00:00:00"/>
    <s v="ARMF"/>
    <x v="168"/>
    <n v="140.57"/>
    <n v="9.43"/>
    <n v="150"/>
    <m/>
    <d v="2025-09-12T00:00:00"/>
    <n v="150"/>
    <x v="130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68"/>
    <n v="1"/>
    <n v="0"/>
    <m/>
    <m/>
    <m/>
    <d v="2025-09-12T00:00:00"/>
    <d v="2025-09-12T00:00:00"/>
    <n v="150"/>
    <d v="2025-09-11T00:00:00"/>
  </r>
  <r>
    <x v="0"/>
    <m/>
    <s v="2025"/>
    <s v="CR"/>
    <n v="414885"/>
    <n v="1973"/>
    <n v="315"/>
    <n v="0"/>
    <d v="2025-09-10T00:00:00"/>
    <s v="ARMF"/>
    <x v="169"/>
    <n v="27.73"/>
    <n v="2.86"/>
    <n v="30.59"/>
    <m/>
    <d v="2025-09-12T00:00:00"/>
    <n v="30.59"/>
    <x v="131"/>
    <n v="0"/>
    <m/>
    <m/>
    <m/>
    <m/>
    <m/>
    <m/>
    <n v="0"/>
    <n v="0"/>
    <n v="0"/>
    <x v="0"/>
    <x v="4"/>
    <x v="4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71"/>
    <n v="1"/>
    <n v="0"/>
    <m/>
    <m/>
    <m/>
    <d v="2025-09-12T00:00:00"/>
    <d v="2025-09-12T00:00:00"/>
    <n v="30.59"/>
    <d v="2025-09-11T00:00:00"/>
  </r>
  <r>
    <x v="0"/>
    <m/>
    <s v="2025"/>
    <s v="CR"/>
    <n v="414886"/>
    <n v="1971"/>
    <n v="315"/>
    <n v="0"/>
    <d v="2025-09-10T00:00:00"/>
    <s v="ARMF"/>
    <x v="170"/>
    <n v="74.400000000000006"/>
    <n v="4.09"/>
    <n v="78.489999999999995"/>
    <m/>
    <d v="2025-09-12T00:00:00"/>
    <n v="78.489999999999995"/>
    <x v="132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19"/>
    <n v="1"/>
    <n v="0"/>
    <m/>
    <m/>
    <m/>
    <d v="2025-09-12T00:00:00"/>
    <d v="2025-09-12T00:00:00"/>
    <n v="78.489999999999995"/>
    <d v="2025-09-11T00:00:00"/>
  </r>
  <r>
    <x v="0"/>
    <m/>
    <s v="2025"/>
    <s v="CR"/>
    <n v="414887"/>
    <n v="1972"/>
    <n v="315"/>
    <n v="0"/>
    <d v="2025-09-10T00:00:00"/>
    <s v="ARMF"/>
    <x v="171"/>
    <n v="87.42"/>
    <n v="5.34"/>
    <n v="92.76"/>
    <m/>
    <d v="2025-09-12T00:00:00"/>
    <n v="92.76"/>
    <x v="133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38"/>
    <n v="1"/>
    <n v="0"/>
    <m/>
    <m/>
    <m/>
    <d v="2025-09-12T00:00:00"/>
    <d v="2025-09-12T00:00:00"/>
    <n v="92.76"/>
    <d v="2025-09-11T00:00:00"/>
  </r>
  <r>
    <x v="0"/>
    <m/>
    <s v="2025"/>
    <s v="CR"/>
    <n v="414897"/>
    <n v="1974"/>
    <n v="315"/>
    <n v="0"/>
    <d v="2025-09-10T00:00:00"/>
    <s v="ARMF"/>
    <x v="172"/>
    <n v="27.68"/>
    <n v="2.2799999999999998"/>
    <n v="29.96"/>
    <m/>
    <d v="2025-09-12T00:00:00"/>
    <n v="29.96"/>
    <x v="134"/>
    <n v="0"/>
    <m/>
    <m/>
    <m/>
    <m/>
    <m/>
    <m/>
    <n v="0"/>
    <n v="0"/>
    <n v="0"/>
    <x v="0"/>
    <x v="4"/>
    <x v="4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72"/>
    <n v="1"/>
    <n v="0"/>
    <m/>
    <m/>
    <m/>
    <d v="2025-09-12T00:00:00"/>
    <d v="2025-09-12T00:00:00"/>
    <n v="29.96"/>
    <d v="2025-09-11T00:00:00"/>
  </r>
  <r>
    <x v="0"/>
    <m/>
    <s v="2025"/>
    <s v="CR"/>
    <n v="414899"/>
    <n v="1970"/>
    <n v="315"/>
    <n v="0"/>
    <d v="2025-09-10T00:00:00"/>
    <s v="ARMF"/>
    <x v="173"/>
    <n v="42.89"/>
    <n v="2.36"/>
    <n v="45.25"/>
    <m/>
    <d v="2025-09-12T00:00:00"/>
    <n v="45.25"/>
    <x v="135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85"/>
    <n v="1"/>
    <n v="0"/>
    <m/>
    <m/>
    <m/>
    <d v="2025-09-12T00:00:00"/>
    <d v="2025-09-12T00:00:00"/>
    <n v="45.25"/>
    <d v="2025-09-11T00:00:00"/>
  </r>
  <r>
    <x v="0"/>
    <m/>
    <s v="2025"/>
    <s v="CR"/>
    <n v="415706"/>
    <n v="2008"/>
    <n v="319"/>
    <n v="0"/>
    <d v="2025-09-16T00:00:00"/>
    <s v="ARFF"/>
    <x v="174"/>
    <n v="68.78"/>
    <n v="7.27"/>
    <n v="76.05"/>
    <m/>
    <d v="2025-10-15T00:00:00"/>
    <n v="76.05"/>
    <x v="136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13"/>
    <n v="1"/>
    <n v="0"/>
    <m/>
    <m/>
    <m/>
    <d v="2025-10-15T00:00:00"/>
    <d v="2025-10-15T00:00:00"/>
    <n v="76.05"/>
    <d v="2025-10-14T00:00:00"/>
  </r>
  <r>
    <x v="0"/>
    <m/>
    <s v="2025"/>
    <s v="CR"/>
    <n v="415707"/>
    <n v="2009"/>
    <n v="319"/>
    <n v="0"/>
    <d v="2025-09-16T00:00:00"/>
    <s v="ARFF"/>
    <x v="175"/>
    <n v="131.15"/>
    <n v="11.7"/>
    <n v="142.85"/>
    <m/>
    <d v="2025-10-15T00:00:00"/>
    <n v="142.85"/>
    <x v="137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255"/>
    <n v="1"/>
    <n v="0"/>
    <m/>
    <m/>
    <m/>
    <d v="2025-10-15T00:00:00"/>
    <d v="2025-10-15T00:00:00"/>
    <n v="142.85"/>
    <d v="2025-10-14T00:00:00"/>
  </r>
  <r>
    <x v="0"/>
    <m/>
    <s v="2025"/>
    <s v="CR"/>
    <n v="415708"/>
    <n v="2010"/>
    <n v="319"/>
    <n v="0"/>
    <d v="2025-09-16T00:00:00"/>
    <s v="ARFF"/>
    <x v="176"/>
    <n v="117.07"/>
    <n v="13.26"/>
    <n v="130.33000000000001"/>
    <m/>
    <d v="2025-10-15T00:00:00"/>
    <n v="130.33000000000001"/>
    <x v="138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64"/>
    <n v="1"/>
    <n v="0"/>
    <m/>
    <m/>
    <m/>
    <d v="2025-10-15T00:00:00"/>
    <d v="2025-10-15T00:00:00"/>
    <n v="130.33000000000001"/>
    <d v="2025-10-14T00:00:00"/>
  </r>
  <r>
    <x v="0"/>
    <m/>
    <s v="2025"/>
    <s v="CR"/>
    <n v="415713"/>
    <n v="2042"/>
    <n v="322"/>
    <n v="0"/>
    <d v="2025-09-19T00:00:00"/>
    <s v="ARMF"/>
    <x v="177"/>
    <n v="174"/>
    <n v="16.57"/>
    <n v="190.57"/>
    <m/>
    <d v="2025-10-15T00:00:00"/>
    <n v="190.57"/>
    <x v="139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00"/>
    <n v="1"/>
    <n v="0"/>
    <m/>
    <m/>
    <m/>
    <d v="2025-10-15T00:00:00"/>
    <d v="2025-10-15T00:00:00"/>
    <n v="190.57"/>
    <d v="2025-10-14T00:00:00"/>
  </r>
  <r>
    <x v="0"/>
    <m/>
    <s v="2025"/>
    <s v="CR"/>
    <n v="415737"/>
    <n v="2059"/>
    <n v="324"/>
    <n v="0"/>
    <d v="2025-09-19T00:00:00"/>
    <s v="ARFF"/>
    <x v="178"/>
    <n v="125.36"/>
    <n v="10.23"/>
    <n v="135.59"/>
    <m/>
    <d v="2025-10-02T00:00:00"/>
    <n v="135.59"/>
    <x v="140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79"/>
    <n v="1"/>
    <n v="0"/>
    <m/>
    <m/>
    <m/>
    <d v="2025-10-02T00:00:00"/>
    <d v="2025-10-02T00:00:00"/>
    <n v="135.59"/>
    <d v="2025-10-01T00:00:00"/>
  </r>
  <r>
    <x v="0"/>
    <m/>
    <s v="2025"/>
    <s v="CR"/>
    <n v="415766"/>
    <n v="2081"/>
    <n v="325"/>
    <n v="0"/>
    <d v="2025-09-23T00:00:00"/>
    <s v="ARFF"/>
    <x v="179"/>
    <n v="56.87"/>
    <n v="3.13"/>
    <n v="60"/>
    <m/>
    <d v="2025-10-15T00:00:00"/>
    <n v="60"/>
    <x v="141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835"/>
    <n v="1"/>
    <n v="0"/>
    <m/>
    <m/>
    <m/>
    <d v="2025-10-15T00:00:00"/>
    <d v="2025-10-15T00:00:00"/>
    <n v="60"/>
    <d v="2025-10-14T00:00:00"/>
  </r>
  <r>
    <x v="0"/>
    <m/>
    <s v="2025"/>
    <s v="CR"/>
    <n v="415774"/>
    <n v="2079"/>
    <n v="325"/>
    <n v="0"/>
    <d v="2025-09-23T00:00:00"/>
    <s v="ARFF"/>
    <x v="180"/>
    <n v="98.14"/>
    <n v="5.4"/>
    <n v="103.54"/>
    <m/>
    <d v="2025-10-15T00:00:00"/>
    <n v="103.54"/>
    <x v="142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851"/>
    <n v="1"/>
    <n v="0"/>
    <m/>
    <m/>
    <m/>
    <d v="2025-10-15T00:00:00"/>
    <d v="2025-10-15T00:00:00"/>
    <n v="103.54"/>
    <d v="2025-10-14T00:00:00"/>
  </r>
  <r>
    <x v="0"/>
    <m/>
    <s v="2025"/>
    <s v="CR"/>
    <n v="415775"/>
    <n v="2080"/>
    <n v="325"/>
    <n v="0"/>
    <d v="2025-09-23T00:00:00"/>
    <s v="ARFF"/>
    <x v="181"/>
    <n v="140.91"/>
    <n v="8.0500000000000007"/>
    <n v="148.96"/>
    <m/>
    <d v="2025-10-15T00:00:00"/>
    <n v="148.96"/>
    <x v="143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852"/>
    <n v="1"/>
    <n v="0"/>
    <m/>
    <m/>
    <m/>
    <d v="2025-10-15T00:00:00"/>
    <d v="2025-10-15T00:00:00"/>
    <n v="148.96"/>
    <d v="2025-10-14T00:00:00"/>
  </r>
  <r>
    <x v="1"/>
    <m/>
    <s v="2025"/>
    <s v="CR"/>
    <n v="415789"/>
    <n v="2100"/>
    <n v="326"/>
    <n v="0"/>
    <d v="2025-09-25T00:00:00"/>
    <s v="CMFF"/>
    <x v="182"/>
    <n v="56.92"/>
    <n v="11.38"/>
    <n v="68.3"/>
    <m/>
    <d v="2025-10-15T00:00:00"/>
    <n v="68.3"/>
    <x v="5"/>
    <n v="0"/>
    <m/>
    <m/>
    <m/>
    <m/>
    <m/>
    <m/>
    <n v="0"/>
    <n v="0"/>
    <n v="0"/>
    <x v="0"/>
    <x v="5"/>
    <x v="5"/>
    <s v=" "/>
    <s v="020"/>
    <s v="60623"/>
    <s v=" "/>
    <m/>
    <x v="3"/>
    <x v="13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68.3"/>
    <d v="2025-10-14T00:00:00"/>
  </r>
  <r>
    <x v="1"/>
    <m/>
    <s v="2025"/>
    <s v="CR"/>
    <n v="415790"/>
    <n v="2101"/>
    <n v="326"/>
    <n v="0"/>
    <d v="2025-09-25T00:00:00"/>
    <s v="CMFF"/>
    <x v="183"/>
    <n v="75.83"/>
    <n v="15.16"/>
    <n v="90.99"/>
    <m/>
    <d v="2025-10-15T00:00:00"/>
    <n v="90.99"/>
    <x v="5"/>
    <n v="0"/>
    <m/>
    <m/>
    <m/>
    <m/>
    <m/>
    <m/>
    <n v="0"/>
    <n v="0"/>
    <n v="0"/>
    <x v="0"/>
    <x v="5"/>
    <x v="5"/>
    <s v=" "/>
    <s v="020"/>
    <s v="60623"/>
    <s v=" "/>
    <m/>
    <x v="3"/>
    <x v="13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90.99"/>
    <d v="2025-10-14T00:00:00"/>
  </r>
  <r>
    <x v="1"/>
    <m/>
    <s v="2025"/>
    <s v="CR"/>
    <n v="415795"/>
    <n v="2102"/>
    <n v="326"/>
    <n v="0"/>
    <d v="2025-09-25T00:00:00"/>
    <s v="CMFF"/>
    <x v="184"/>
    <n v="22.48"/>
    <n v="4.5"/>
    <n v="26.98"/>
    <m/>
    <d v="2025-10-15T00:00:00"/>
    <n v="26.98"/>
    <x v="5"/>
    <n v="0"/>
    <m/>
    <m/>
    <m/>
    <m/>
    <m/>
    <m/>
    <n v="0"/>
    <n v="0"/>
    <n v="0"/>
    <x v="0"/>
    <x v="5"/>
    <x v="5"/>
    <s v=" "/>
    <s v="020"/>
    <s v="60623"/>
    <s v=" "/>
    <m/>
    <x v="3"/>
    <x v="13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26.98"/>
    <d v="2025-10-14T00:00:00"/>
  </r>
  <r>
    <x v="1"/>
    <m/>
    <s v="2025"/>
    <s v="CR"/>
    <n v="415800"/>
    <n v="2103"/>
    <n v="326"/>
    <n v="0"/>
    <d v="2025-09-25T00:00:00"/>
    <s v="CMFF"/>
    <x v="185"/>
    <n v="28.79"/>
    <n v="5.76"/>
    <n v="34.549999999999997"/>
    <m/>
    <d v="2025-10-15T00:00:00"/>
    <n v="34.549999999999997"/>
    <x v="5"/>
    <n v="0"/>
    <m/>
    <m/>
    <m/>
    <m/>
    <m/>
    <m/>
    <n v="0"/>
    <n v="0"/>
    <n v="0"/>
    <x v="0"/>
    <x v="5"/>
    <x v="5"/>
    <s v=" "/>
    <s v="020"/>
    <s v="60623"/>
    <s v=" "/>
    <m/>
    <x v="3"/>
    <x v="13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34.549999999999997"/>
    <d v="2025-10-14T00:00:00"/>
  </r>
  <r>
    <x v="1"/>
    <m/>
    <s v="2025"/>
    <s v="CR"/>
    <n v="415802"/>
    <n v="2105"/>
    <n v="326"/>
    <n v="0"/>
    <d v="2025-09-25T00:00:00"/>
    <s v="CMFF"/>
    <x v="186"/>
    <n v="3.38"/>
    <n v="0.67"/>
    <n v="4.05"/>
    <m/>
    <d v="2025-10-15T00:00:00"/>
    <n v="4.05"/>
    <x v="5"/>
    <n v="0"/>
    <m/>
    <m/>
    <m/>
    <m/>
    <m/>
    <m/>
    <n v="0"/>
    <n v="0"/>
    <n v="0"/>
    <x v="0"/>
    <x v="5"/>
    <x v="5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4.05"/>
    <d v="2025-10-14T00:00:00"/>
  </r>
  <r>
    <x v="1"/>
    <m/>
    <s v="2025"/>
    <s v="CR"/>
    <n v="415805"/>
    <n v="2104"/>
    <n v="326"/>
    <n v="0"/>
    <d v="2025-09-25T00:00:00"/>
    <s v="CMFF"/>
    <x v="187"/>
    <n v="19"/>
    <n v="3.8"/>
    <n v="22.8"/>
    <m/>
    <d v="2025-10-15T00:00:00"/>
    <n v="22.8"/>
    <x v="5"/>
    <n v="0"/>
    <m/>
    <m/>
    <m/>
    <m/>
    <m/>
    <m/>
    <n v="0"/>
    <n v="0"/>
    <n v="0"/>
    <x v="0"/>
    <x v="5"/>
    <x v="5"/>
    <s v=" "/>
    <s v="020"/>
    <s v="60623"/>
    <s v=" "/>
    <m/>
    <x v="3"/>
    <x v="13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22.8"/>
    <d v="2025-10-14T00:00:00"/>
  </r>
  <r>
    <x v="1"/>
    <m/>
    <s v="2025"/>
    <s v="CR"/>
    <n v="415807"/>
    <n v="2119"/>
    <n v="327"/>
    <n v="0"/>
    <d v="2025-09-25T00:00:00"/>
    <s v="CMMF"/>
    <x v="188"/>
    <n v="37.18"/>
    <n v="3.22"/>
    <n v="40.4"/>
    <m/>
    <d v="2025-10-15T00:00:00"/>
    <n v="40.4"/>
    <x v="5"/>
    <n v="0"/>
    <m/>
    <m/>
    <m/>
    <m/>
    <m/>
    <m/>
    <n v="0"/>
    <n v="0"/>
    <n v="0"/>
    <x v="0"/>
    <x v="1"/>
    <x v="1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40.4"/>
    <d v="2025-10-14T00:00:00"/>
  </r>
  <r>
    <x v="1"/>
    <m/>
    <s v="2025"/>
    <s v="CR"/>
    <n v="415814"/>
    <n v="2117"/>
    <n v="327"/>
    <n v="0"/>
    <d v="2025-09-25T00:00:00"/>
    <s v="CMMF"/>
    <x v="189"/>
    <n v="140"/>
    <n v="14"/>
    <n v="154"/>
    <m/>
    <d v="2025-10-15T00:00:00"/>
    <n v="154"/>
    <x v="5"/>
    <n v="0"/>
    <m/>
    <m/>
    <m/>
    <m/>
    <m/>
    <m/>
    <n v="0"/>
    <n v="0"/>
    <n v="0"/>
    <x v="0"/>
    <x v="1"/>
    <x v="1"/>
    <s v=" "/>
    <s v="020"/>
    <s v="60623"/>
    <s v=" "/>
    <m/>
    <x v="8"/>
    <x v="14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154"/>
    <d v="2025-10-14T00:00:00"/>
  </r>
  <r>
    <x v="1"/>
    <m/>
    <s v="2025"/>
    <s v="CR"/>
    <n v="415816"/>
    <n v="2118"/>
    <n v="327"/>
    <n v="0"/>
    <d v="2025-09-25T00:00:00"/>
    <s v="CMMF"/>
    <x v="190"/>
    <n v="14.83"/>
    <n v="0.82"/>
    <n v="15.65"/>
    <m/>
    <d v="2025-10-15T00:00:00"/>
    <n v="15.65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15.65"/>
    <d v="2025-10-14T00:00:00"/>
  </r>
  <r>
    <x v="0"/>
    <m/>
    <s v="2025"/>
    <s v="CR"/>
    <n v="415829"/>
    <n v="2137"/>
    <n v="330"/>
    <n v="0"/>
    <d v="2025-09-30T00:00:00"/>
    <s v="ARMF"/>
    <x v="191"/>
    <n v="564.12"/>
    <n v="35.65"/>
    <n v="599.77"/>
    <m/>
    <d v="2025-10-15T00:00:00"/>
    <n v="599.77"/>
    <x v="144"/>
    <n v="0"/>
    <m/>
    <m/>
    <m/>
    <m/>
    <m/>
    <m/>
    <n v="0"/>
    <n v="0"/>
    <n v="0"/>
    <x v="0"/>
    <x v="2"/>
    <x v="2"/>
    <s v=" "/>
    <s v="020"/>
    <s v="60623"/>
    <s v=" "/>
    <m/>
    <x v="3"/>
    <x v="1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279"/>
    <n v="1"/>
    <n v="0"/>
    <m/>
    <m/>
    <m/>
    <d v="2025-10-15T00:00:00"/>
    <d v="2025-10-16T00:00:00"/>
    <n v="599.77"/>
    <d v="2025-10-15T00:00:00"/>
  </r>
  <r>
    <x v="0"/>
    <m/>
    <s v="2025"/>
    <s v="CR"/>
    <n v="415830"/>
    <n v="2138"/>
    <n v="330"/>
    <n v="0"/>
    <d v="2025-09-30T00:00:00"/>
    <s v="ARMF"/>
    <x v="192"/>
    <n v="137.08000000000001"/>
    <n v="9.2200000000000006"/>
    <n v="146.30000000000001"/>
    <m/>
    <d v="2025-10-15T00:00:00"/>
    <n v="146.30000000000001"/>
    <x v="145"/>
    <n v="0"/>
    <m/>
    <m/>
    <m/>
    <m/>
    <m/>
    <m/>
    <n v="0"/>
    <n v="0"/>
    <n v="0"/>
    <x v="0"/>
    <x v="2"/>
    <x v="2"/>
    <s v=" "/>
    <s v="338"/>
    <s v="60623"/>
    <s v=" "/>
    <m/>
    <x v="3"/>
    <x v="1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66"/>
    <n v="1"/>
    <n v="0"/>
    <m/>
    <m/>
    <m/>
    <d v="2025-10-15T00:00:00"/>
    <d v="2025-10-16T00:00:00"/>
    <n v="146.30000000000001"/>
    <d v="2025-10-15T00:00:00"/>
  </r>
  <r>
    <x v="0"/>
    <m/>
    <s v="2025"/>
    <s v="CR"/>
    <n v="415832"/>
    <n v="2139"/>
    <n v="330"/>
    <n v="0"/>
    <d v="2025-09-30T00:00:00"/>
    <s v="ARMF"/>
    <x v="193"/>
    <n v="26.57"/>
    <n v="2"/>
    <n v="28.57"/>
    <m/>
    <d v="2025-10-15T00:00:00"/>
    <n v="28.57"/>
    <x v="146"/>
    <n v="0"/>
    <m/>
    <m/>
    <m/>
    <m/>
    <m/>
    <m/>
    <n v="0"/>
    <n v="0"/>
    <n v="0"/>
    <x v="0"/>
    <x v="2"/>
    <x v="2"/>
    <s v=" "/>
    <s v="332"/>
    <s v="60623"/>
    <s v=" "/>
    <m/>
    <x v="6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34"/>
    <n v="1"/>
    <n v="0"/>
    <m/>
    <m/>
    <m/>
    <d v="2025-10-15T00:00:00"/>
    <d v="2025-10-16T00:00:00"/>
    <n v="28.57"/>
    <d v="2025-10-15T00:00:00"/>
  </r>
  <r>
    <x v="0"/>
    <m/>
    <s v="2025"/>
    <s v="CR"/>
    <n v="415833"/>
    <n v="2140"/>
    <n v="330"/>
    <n v="0"/>
    <d v="2025-09-30T00:00:00"/>
    <s v="ARMF"/>
    <x v="194"/>
    <n v="26.88"/>
    <n v="1.74"/>
    <n v="28.62"/>
    <m/>
    <d v="2025-10-15T00:00:00"/>
    <n v="28.62"/>
    <x v="147"/>
    <n v="0"/>
    <m/>
    <m/>
    <m/>
    <m/>
    <m/>
    <m/>
    <n v="0"/>
    <n v="0"/>
    <n v="0"/>
    <x v="0"/>
    <x v="2"/>
    <x v="2"/>
    <s v=" "/>
    <s v="332"/>
    <s v="60623"/>
    <s v=" "/>
    <m/>
    <x v="6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45"/>
    <n v="1"/>
    <n v="0"/>
    <m/>
    <m/>
    <m/>
    <d v="2025-10-15T00:00:00"/>
    <d v="2025-10-16T00:00:00"/>
    <n v="28.62"/>
    <d v="2025-10-15T00:00:00"/>
  </r>
  <r>
    <x v="0"/>
    <m/>
    <s v="2025"/>
    <s v="CR"/>
    <n v="415834"/>
    <n v="2141"/>
    <n v="330"/>
    <n v="0"/>
    <d v="2025-09-30T00:00:00"/>
    <s v="ARMF"/>
    <x v="195"/>
    <n v="27.39"/>
    <n v="2.59"/>
    <n v="29.98"/>
    <m/>
    <d v="2025-10-15T00:00:00"/>
    <n v="29.98"/>
    <x v="148"/>
    <n v="0"/>
    <m/>
    <m/>
    <m/>
    <m/>
    <m/>
    <m/>
    <n v="0"/>
    <n v="0"/>
    <n v="0"/>
    <x v="0"/>
    <x v="2"/>
    <x v="2"/>
    <s v=" "/>
    <s v="332"/>
    <s v="60623"/>
    <s v=" "/>
    <m/>
    <x v="6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46"/>
    <n v="1"/>
    <n v="0"/>
    <m/>
    <m/>
    <m/>
    <d v="2025-10-15T00:00:00"/>
    <d v="2025-10-16T00:00:00"/>
    <n v="29.98"/>
    <d v="2025-10-15T00:00:00"/>
  </r>
  <r>
    <x v="0"/>
    <m/>
    <s v="2025"/>
    <s v="CR"/>
    <n v="415897"/>
    <n v="2201"/>
    <n v="335"/>
    <n v="0"/>
    <d v="2025-10-06T00:00:00"/>
    <s v="ARMF"/>
    <x v="196"/>
    <n v="139.18"/>
    <n v="8.5500000000000007"/>
    <n v="147.72999999999999"/>
    <m/>
    <d v="2025-10-29T00:00:00"/>
    <n v="147.72999999999999"/>
    <x v="149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30"/>
    <n v="1"/>
    <n v="0"/>
    <m/>
    <m/>
    <m/>
    <d v="2025-10-29T00:00:00"/>
    <d v="2025-10-29T00:00:00"/>
    <n v="147.72999999999999"/>
    <d v="2025-10-28T00:00:00"/>
  </r>
  <r>
    <x v="0"/>
    <m/>
    <s v="2025"/>
    <s v="CR"/>
    <n v="415898"/>
    <n v="2202"/>
    <n v="335"/>
    <n v="0"/>
    <d v="2025-10-06T00:00:00"/>
    <s v="ARMF"/>
    <x v="197"/>
    <n v="27.01"/>
    <n v="1.49"/>
    <n v="28.5"/>
    <m/>
    <d v="2025-10-29T00:00:00"/>
    <n v="28.5"/>
    <x v="150"/>
    <n v="0"/>
    <m/>
    <m/>
    <m/>
    <m/>
    <m/>
    <m/>
    <n v="0"/>
    <n v="0"/>
    <n v="0"/>
    <x v="0"/>
    <x v="4"/>
    <x v="4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35"/>
    <n v="1"/>
    <n v="0"/>
    <m/>
    <m/>
    <m/>
    <d v="2025-10-29T00:00:00"/>
    <d v="2025-10-29T00:00:00"/>
    <n v="28.5"/>
    <d v="2025-10-28T00:00:00"/>
  </r>
  <r>
    <x v="0"/>
    <m/>
    <s v="2025"/>
    <s v="CR"/>
    <n v="415899"/>
    <n v="2193"/>
    <n v="335"/>
    <n v="0"/>
    <d v="2025-10-06T00:00:00"/>
    <s v="ARMF"/>
    <x v="198"/>
    <n v="46.74"/>
    <n v="3.04"/>
    <n v="49.78"/>
    <m/>
    <d v="2025-10-29T00:00:00"/>
    <n v="49.78"/>
    <x v="151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13"/>
    <n v="1"/>
    <n v="0"/>
    <m/>
    <m/>
    <m/>
    <d v="2025-10-29T00:00:00"/>
    <d v="2025-10-29T00:00:00"/>
    <n v="49.78"/>
    <d v="2025-10-28T00:00:00"/>
  </r>
  <r>
    <x v="0"/>
    <m/>
    <s v="2025"/>
    <s v="CR"/>
    <n v="415900"/>
    <n v="2194"/>
    <n v="335"/>
    <n v="0"/>
    <d v="2025-10-06T00:00:00"/>
    <s v="ARMF"/>
    <x v="199"/>
    <n v="47.28"/>
    <n v="2.6"/>
    <n v="49.88"/>
    <m/>
    <d v="2025-10-29T00:00:00"/>
    <n v="49.88"/>
    <x v="152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14"/>
    <n v="1"/>
    <n v="0"/>
    <m/>
    <m/>
    <m/>
    <d v="2025-10-29T00:00:00"/>
    <d v="2025-10-29T00:00:00"/>
    <n v="49.88"/>
    <d v="2025-10-28T00:00:00"/>
  </r>
  <r>
    <x v="0"/>
    <m/>
    <s v="2025"/>
    <s v="CR"/>
    <n v="415901"/>
    <n v="2195"/>
    <n v="335"/>
    <n v="0"/>
    <d v="2025-10-06T00:00:00"/>
    <s v="ARMF"/>
    <x v="200"/>
    <n v="75.239999999999995"/>
    <n v="4.1399999999999997"/>
    <n v="79.38"/>
    <m/>
    <d v="2025-10-29T00:00:00"/>
    <n v="79.38"/>
    <x v="153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33"/>
    <n v="1"/>
    <n v="0"/>
    <m/>
    <m/>
    <m/>
    <d v="2025-10-29T00:00:00"/>
    <d v="2025-10-29T00:00:00"/>
    <n v="79.38"/>
    <d v="2025-10-28T00:00:00"/>
  </r>
  <r>
    <x v="0"/>
    <m/>
    <s v="2025"/>
    <s v="CR"/>
    <n v="415902"/>
    <n v="2196"/>
    <n v="335"/>
    <n v="0"/>
    <d v="2025-10-06T00:00:00"/>
    <s v="ARMF"/>
    <x v="201"/>
    <n v="46.03"/>
    <n v="3"/>
    <n v="49.03"/>
    <m/>
    <d v="2025-10-29T00:00:00"/>
    <n v="49.03"/>
    <x v="154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10"/>
    <n v="1"/>
    <n v="0"/>
    <m/>
    <m/>
    <m/>
    <d v="2025-10-29T00:00:00"/>
    <d v="2025-10-29T00:00:00"/>
    <n v="49.03"/>
    <d v="2025-10-28T00:00:00"/>
  </r>
  <r>
    <x v="0"/>
    <m/>
    <s v="2025"/>
    <s v="CR"/>
    <n v="415903"/>
    <n v="2197"/>
    <n v="335"/>
    <n v="0"/>
    <d v="2025-10-06T00:00:00"/>
    <s v="ARMF"/>
    <x v="202"/>
    <n v="46.69"/>
    <n v="3.13"/>
    <n v="49.82"/>
    <m/>
    <d v="2025-10-29T00:00:00"/>
    <n v="49.82"/>
    <x v="155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11"/>
    <n v="1"/>
    <n v="0"/>
    <m/>
    <m/>
    <m/>
    <d v="2025-10-29T00:00:00"/>
    <d v="2025-10-29T00:00:00"/>
    <n v="49.82"/>
    <d v="2025-10-28T00:00:00"/>
  </r>
  <r>
    <x v="0"/>
    <m/>
    <s v="2025"/>
    <s v="CR"/>
    <n v="415904"/>
    <n v="2198"/>
    <n v="335"/>
    <n v="0"/>
    <d v="2025-10-06T00:00:00"/>
    <s v="ARMF"/>
    <x v="203"/>
    <n v="140.28"/>
    <n v="8.8699999999999992"/>
    <n v="149.15"/>
    <m/>
    <d v="2025-10-29T00:00:00"/>
    <n v="149.15"/>
    <x v="156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35"/>
    <n v="1"/>
    <n v="0"/>
    <m/>
    <m/>
    <m/>
    <d v="2025-10-29T00:00:00"/>
    <d v="2025-10-29T00:00:00"/>
    <n v="149.15"/>
    <d v="2025-10-28T00:00:00"/>
  </r>
  <r>
    <x v="0"/>
    <m/>
    <s v="2025"/>
    <s v="CR"/>
    <n v="415905"/>
    <n v="2200"/>
    <n v="335"/>
    <n v="0"/>
    <d v="2025-10-06T00:00:00"/>
    <s v="ARMF"/>
    <x v="204"/>
    <n v="74.75"/>
    <n v="4.1100000000000003"/>
    <n v="78.86"/>
    <m/>
    <d v="2025-10-29T00:00:00"/>
    <n v="78.86"/>
    <x v="157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41"/>
    <n v="1"/>
    <n v="0"/>
    <m/>
    <m/>
    <m/>
    <d v="2025-10-29T00:00:00"/>
    <d v="2025-10-29T00:00:00"/>
    <n v="78.86"/>
    <d v="2025-10-28T00:00:00"/>
  </r>
  <r>
    <x v="0"/>
    <m/>
    <s v="2025"/>
    <s v="CR"/>
    <n v="415912"/>
    <n v="2199"/>
    <n v="335"/>
    <n v="0"/>
    <d v="2025-10-06T00:00:00"/>
    <s v="ARMF"/>
    <x v="205"/>
    <n v="142.13"/>
    <n v="7.87"/>
    <n v="150"/>
    <m/>
    <d v="2025-10-29T00:00:00"/>
    <n v="150"/>
    <x v="158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38"/>
    <n v="1"/>
    <n v="0"/>
    <m/>
    <m/>
    <m/>
    <d v="2025-10-29T00:00:00"/>
    <d v="2025-10-29T00:00:00"/>
    <n v="150"/>
    <d v="2025-10-28T00:00:00"/>
  </r>
  <r>
    <x v="0"/>
    <m/>
    <s v="2025"/>
    <s v="CR"/>
    <n v="415939"/>
    <n v="2226"/>
    <n v="336"/>
    <n v="0"/>
    <d v="2025-10-07T00:00:00"/>
    <s v="ARMF"/>
    <x v="206"/>
    <n v="68.709999999999994"/>
    <n v="6"/>
    <n v="74.709999999999994"/>
    <m/>
    <d v="2025-10-29T00:00:00"/>
    <n v="74.709999999999994"/>
    <x v="38"/>
    <n v="0"/>
    <m/>
    <m/>
    <m/>
    <m/>
    <m/>
    <m/>
    <n v="0"/>
    <n v="0"/>
    <n v="0"/>
    <x v="0"/>
    <x v="4"/>
    <x v="4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86"/>
    <n v="1"/>
    <n v="0"/>
    <m/>
    <m/>
    <m/>
    <d v="2025-10-29T00:00:00"/>
    <d v="2025-10-29T00:00:00"/>
    <n v="74.709999999999994"/>
    <d v="2025-10-28T00:00:00"/>
  </r>
  <r>
    <x v="0"/>
    <m/>
    <s v="2025"/>
    <s v="CR"/>
    <n v="415940"/>
    <n v="2223"/>
    <n v="336"/>
    <n v="0"/>
    <d v="2025-10-07T00:00:00"/>
    <s v="ARMF"/>
    <x v="207"/>
    <n v="39.35"/>
    <n v="10.65"/>
    <n v="50"/>
    <m/>
    <d v="2025-10-29T00:00:00"/>
    <n v="50"/>
    <x v="159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20"/>
    <n v="1"/>
    <n v="0"/>
    <m/>
    <m/>
    <m/>
    <d v="2025-10-29T00:00:00"/>
    <d v="2025-10-29T00:00:00"/>
    <n v="50"/>
    <d v="2025-10-28T00:00:00"/>
  </r>
  <r>
    <x v="0"/>
    <m/>
    <s v="2025"/>
    <s v="CR"/>
    <n v="415942"/>
    <n v="2224"/>
    <n v="336"/>
    <n v="0"/>
    <d v="2025-10-07T00:00:00"/>
    <s v="ARMF"/>
    <x v="208"/>
    <n v="136.68"/>
    <n v="10.65"/>
    <n v="147.33000000000001"/>
    <m/>
    <d v="2025-10-29T00:00:00"/>
    <n v="147.33000000000001"/>
    <x v="160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20"/>
    <n v="1"/>
    <n v="0"/>
    <m/>
    <m/>
    <m/>
    <d v="2025-10-29T00:00:00"/>
    <d v="2025-10-29T00:00:00"/>
    <n v="147.33000000000001"/>
    <d v="2025-10-28T00:00:00"/>
  </r>
  <r>
    <x v="0"/>
    <m/>
    <s v="2025"/>
    <s v="CR"/>
    <n v="415943"/>
    <n v="2225"/>
    <n v="336"/>
    <n v="0"/>
    <d v="2025-10-07T00:00:00"/>
    <s v="ARMF"/>
    <x v="209"/>
    <n v="46.43"/>
    <n v="3.43"/>
    <n v="49.86"/>
    <m/>
    <d v="2025-10-29T00:00:00"/>
    <n v="49.86"/>
    <x v="161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09"/>
    <n v="1"/>
    <n v="0"/>
    <m/>
    <m/>
    <m/>
    <d v="2025-10-29T00:00:00"/>
    <d v="2025-10-29T00:00:00"/>
    <n v="49.86"/>
    <d v="2025-10-28T00:00:00"/>
  </r>
  <r>
    <x v="0"/>
    <m/>
    <s v="2025"/>
    <s v="CR"/>
    <n v="415995"/>
    <n v="2232"/>
    <n v="337"/>
    <n v="0"/>
    <d v="2025-10-13T00:00:00"/>
    <s v="ARMF"/>
    <x v="210"/>
    <n v="180.91"/>
    <n v="18.16"/>
    <n v="199.07"/>
    <m/>
    <d v="2025-11-17T00:00:00"/>
    <n v="199.07"/>
    <x v="162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34612"/>
    <n v="1"/>
    <n v="0"/>
    <m/>
    <m/>
    <m/>
    <d v="2025-11-17T00:00:00"/>
    <d v="2025-11-19T00:00:00"/>
    <n v="199.07"/>
    <d v="2025-11-18T00:00:00"/>
  </r>
  <r>
    <x v="0"/>
    <m/>
    <s v="2025"/>
    <s v="CR"/>
    <n v="416018"/>
    <n v="2255"/>
    <n v="338"/>
    <n v="0"/>
    <d v="2025-10-13T00:00:00"/>
    <s v="ARMF"/>
    <x v="211"/>
    <n v="123.91"/>
    <n v="9.75"/>
    <n v="133.66"/>
    <m/>
    <d v="2025-12-01T00:00:00"/>
    <n v="133.66"/>
    <x v="163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18"/>
    <n v="1"/>
    <n v="0"/>
    <m/>
    <m/>
    <m/>
    <d v="2025-12-01T00:00:00"/>
    <d v="2025-11-28T00:00:00"/>
    <n v="133.66"/>
    <d v="2025-11-27T00:00:00"/>
  </r>
  <r>
    <x v="0"/>
    <m/>
    <s v="2025"/>
    <s v="CR"/>
    <n v="416023"/>
    <n v="2251"/>
    <n v="338"/>
    <n v="0"/>
    <d v="2025-10-13T00:00:00"/>
    <s v="ARMF"/>
    <x v="212"/>
    <n v="22.52"/>
    <n v="1.24"/>
    <n v="23.76"/>
    <m/>
    <d v="2025-12-01T00:00:00"/>
    <n v="23.76"/>
    <x v="16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85"/>
    <n v="1"/>
    <n v="0"/>
    <m/>
    <m/>
    <m/>
    <d v="2025-12-01T00:00:00"/>
    <d v="2025-11-28T00:00:00"/>
    <n v="23.76"/>
    <d v="2025-11-27T00:00:00"/>
  </r>
  <r>
    <x v="0"/>
    <m/>
    <s v="2025"/>
    <s v="CR"/>
    <n v="416024"/>
    <n v="2252"/>
    <n v="338"/>
    <n v="0"/>
    <d v="2025-10-13T00:00:00"/>
    <s v="ARMF"/>
    <x v="213"/>
    <n v="71.489999999999995"/>
    <n v="8.0399999999999991"/>
    <n v="79.53"/>
    <m/>
    <d v="2025-12-01T00:00:00"/>
    <n v="79.53"/>
    <x v="16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870"/>
    <n v="1"/>
    <n v="0"/>
    <m/>
    <m/>
    <m/>
    <d v="2025-12-01T00:00:00"/>
    <d v="2025-11-28T00:00:00"/>
    <n v="79.53"/>
    <d v="2025-11-27T00:00:00"/>
  </r>
  <r>
    <x v="0"/>
    <m/>
    <s v="2025"/>
    <s v="CR"/>
    <n v="416025"/>
    <n v="2253"/>
    <n v="338"/>
    <n v="0"/>
    <d v="2025-10-13T00:00:00"/>
    <s v="ARMF"/>
    <x v="214"/>
    <n v="28.28"/>
    <n v="1.71"/>
    <n v="29.99"/>
    <m/>
    <d v="2025-12-01T00:00:00"/>
    <n v="29.99"/>
    <x v="16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9"/>
    <n v="1"/>
    <n v="0"/>
    <m/>
    <m/>
    <m/>
    <d v="2025-12-01T00:00:00"/>
    <d v="2025-11-28T00:00:00"/>
    <n v="29.99"/>
    <d v="2025-11-27T00:00:00"/>
  </r>
  <r>
    <x v="0"/>
    <m/>
    <s v="2025"/>
    <s v="CR"/>
    <n v="416029"/>
    <n v="2254"/>
    <n v="338"/>
    <n v="0"/>
    <d v="2025-10-13T00:00:00"/>
    <s v="ARMF"/>
    <x v="215"/>
    <n v="21.25"/>
    <n v="2.58"/>
    <n v="23.83"/>
    <m/>
    <d v="2025-12-01T00:00:00"/>
    <n v="23.83"/>
    <x v="16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15"/>
    <n v="1"/>
    <n v="0"/>
    <m/>
    <m/>
    <m/>
    <d v="2025-12-01T00:00:00"/>
    <d v="2025-11-28T00:00:00"/>
    <n v="23.83"/>
    <d v="2025-11-27T00:00:00"/>
  </r>
  <r>
    <x v="0"/>
    <m/>
    <s v="2025"/>
    <s v="CR"/>
    <n v="416041"/>
    <n v="2256"/>
    <n v="338"/>
    <n v="0"/>
    <d v="2025-10-13T00:00:00"/>
    <s v="ARMF"/>
    <x v="216"/>
    <n v="93.58"/>
    <n v="5.31"/>
    <n v="98.89"/>
    <m/>
    <d v="2025-12-01T00:00:00"/>
    <n v="98.89"/>
    <x v="16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19"/>
    <n v="1"/>
    <n v="0"/>
    <m/>
    <m/>
    <m/>
    <d v="2025-12-01T00:00:00"/>
    <d v="2025-11-28T00:00:00"/>
    <n v="98.89"/>
    <d v="2025-11-27T00:00:00"/>
  </r>
  <r>
    <x v="0"/>
    <m/>
    <s v="2025"/>
    <s v="CR"/>
    <n v="416049"/>
    <n v="2257"/>
    <n v="338"/>
    <n v="0"/>
    <d v="2025-10-13T00:00:00"/>
    <s v="ARMF"/>
    <x v="217"/>
    <n v="25.34"/>
    <n v="3.16"/>
    <n v="28.5"/>
    <m/>
    <d v="2025-12-01T00:00:00"/>
    <n v="28.5"/>
    <x v="169"/>
    <n v="0"/>
    <m/>
    <m/>
    <m/>
    <m/>
    <m/>
    <m/>
    <n v="0"/>
    <n v="0"/>
    <n v="0"/>
    <x v="0"/>
    <x v="4"/>
    <x v="4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35"/>
    <n v="1"/>
    <n v="0"/>
    <m/>
    <m/>
    <m/>
    <d v="2025-12-01T00:00:00"/>
    <d v="2025-11-28T00:00:00"/>
    <n v="28.5"/>
    <d v="2025-11-27T00:00:00"/>
  </r>
  <r>
    <x v="0"/>
    <m/>
    <s v="2025"/>
    <s v="CR"/>
    <n v="416053"/>
    <n v="2280"/>
    <n v="339"/>
    <n v="0"/>
    <d v="2025-10-13T00:00:00"/>
    <s v="ARMF"/>
    <x v="218"/>
    <n v="141.55000000000001"/>
    <n v="11.43"/>
    <n v="152.97999999999999"/>
    <m/>
    <d v="2025-11-12T00:00:00"/>
    <n v="152.97999999999999"/>
    <x v="170"/>
    <n v="0"/>
    <m/>
    <m/>
    <m/>
    <m/>
    <m/>
    <m/>
    <n v="0"/>
    <n v="0"/>
    <n v="0"/>
    <x v="0"/>
    <x v="4"/>
    <x v="4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36"/>
    <n v="1"/>
    <n v="0"/>
    <m/>
    <m/>
    <m/>
    <d v="2025-11-12T00:00:00"/>
    <d v="2025-11-12T00:00:00"/>
    <n v="152.97999999999999"/>
    <d v="2025-11-11T00:00:00"/>
  </r>
  <r>
    <x v="0"/>
    <m/>
    <s v="2025"/>
    <s v="CR"/>
    <n v="416066"/>
    <n v="2279"/>
    <n v="339"/>
    <n v="0"/>
    <d v="2025-10-13T00:00:00"/>
    <s v="ARMF"/>
    <x v="219"/>
    <n v="52.8"/>
    <n v="2.9"/>
    <n v="55.7"/>
    <m/>
    <d v="2025-11-12T00:00:00"/>
    <n v="55.7"/>
    <x v="60"/>
    <n v="0"/>
    <m/>
    <m/>
    <m/>
    <m/>
    <m/>
    <m/>
    <n v="0"/>
    <n v="0"/>
    <n v="0"/>
    <x v="0"/>
    <x v="0"/>
    <x v="0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49"/>
    <n v="1"/>
    <n v="0"/>
    <m/>
    <m/>
    <m/>
    <d v="2025-11-12T00:00:00"/>
    <d v="2025-11-12T00:00:00"/>
    <n v="55.7"/>
    <d v="2025-11-11T00:00:00"/>
  </r>
  <r>
    <x v="0"/>
    <m/>
    <s v="2025"/>
    <s v="CR"/>
    <n v="416068"/>
    <n v="2275"/>
    <n v="339"/>
    <n v="0"/>
    <d v="2025-10-13T00:00:00"/>
    <s v="ARMF"/>
    <x v="220"/>
    <n v="110"/>
    <n v="0"/>
    <n v="110"/>
    <m/>
    <d v="2025-11-12T00:00:00"/>
    <n v="110"/>
    <x v="171"/>
    <n v="0"/>
    <m/>
    <m/>
    <m/>
    <m/>
    <m/>
    <m/>
    <n v="0"/>
    <n v="0"/>
    <n v="0"/>
    <x v="0"/>
    <x v="7"/>
    <x v="7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55"/>
    <n v="1"/>
    <n v="0"/>
    <m/>
    <m/>
    <m/>
    <d v="2025-11-12T00:00:00"/>
    <d v="2025-11-12T00:00:00"/>
    <n v="110"/>
    <d v="2025-11-11T00:00:00"/>
  </r>
  <r>
    <x v="0"/>
    <m/>
    <s v="2025"/>
    <s v="CR"/>
    <n v="416069"/>
    <n v="2276"/>
    <n v="339"/>
    <n v="0"/>
    <d v="2025-10-13T00:00:00"/>
    <s v="ARMF"/>
    <x v="221"/>
    <n v="40"/>
    <n v="0"/>
    <n v="40"/>
    <m/>
    <d v="2025-11-12T00:00:00"/>
    <n v="40"/>
    <x v="171"/>
    <n v="0"/>
    <m/>
    <m/>
    <m/>
    <m/>
    <m/>
    <m/>
    <n v="0"/>
    <n v="0"/>
    <n v="0"/>
    <x v="0"/>
    <x v="7"/>
    <x v="7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56"/>
    <n v="1"/>
    <n v="0"/>
    <m/>
    <m/>
    <m/>
    <d v="2025-11-12T00:00:00"/>
    <d v="2025-11-12T00:00:00"/>
    <n v="40"/>
    <d v="2025-11-11T00:00:00"/>
  </r>
  <r>
    <x v="0"/>
    <m/>
    <s v="2025"/>
    <s v="CR"/>
    <n v="416070"/>
    <n v="2277"/>
    <n v="339"/>
    <n v="0"/>
    <d v="2025-10-13T00:00:00"/>
    <s v="ARMF"/>
    <x v="222"/>
    <n v="81.14"/>
    <n v="4.46"/>
    <n v="85.6"/>
    <m/>
    <d v="2025-11-12T00:00:00"/>
    <n v="85.6"/>
    <x v="172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64"/>
    <n v="1"/>
    <n v="0"/>
    <m/>
    <m/>
    <m/>
    <d v="2025-11-12T00:00:00"/>
    <d v="2025-11-12T00:00:00"/>
    <n v="85.6"/>
    <d v="2025-11-11T00:00:00"/>
  </r>
  <r>
    <x v="0"/>
    <m/>
    <s v="2025"/>
    <s v="CR"/>
    <n v="416079"/>
    <n v="2278"/>
    <n v="339"/>
    <n v="0"/>
    <d v="2025-10-13T00:00:00"/>
    <s v="ARMF"/>
    <x v="223"/>
    <n v="37.229999999999997"/>
    <n v="2.37"/>
    <n v="39.6"/>
    <m/>
    <d v="2025-11-12T00:00:00"/>
    <n v="39.6"/>
    <x v="173"/>
    <n v="0"/>
    <m/>
    <m/>
    <m/>
    <m/>
    <m/>
    <m/>
    <n v="0"/>
    <n v="0"/>
    <n v="0"/>
    <x v="0"/>
    <x v="2"/>
    <x v="2"/>
    <s v=" "/>
    <s v="4221"/>
    <s v="60623"/>
    <s v=" "/>
    <m/>
    <x v="7"/>
    <x v="15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78"/>
    <n v="1"/>
    <n v="0"/>
    <m/>
    <m/>
    <m/>
    <d v="2025-11-12T00:00:00"/>
    <d v="2025-11-12T00:00:00"/>
    <n v="39.6"/>
    <d v="2025-11-11T00:00:00"/>
  </r>
  <r>
    <x v="0"/>
    <m/>
    <s v="2025"/>
    <s v="CR"/>
    <n v="416125"/>
    <n v="2318"/>
    <n v="343"/>
    <n v="0"/>
    <d v="2025-10-17T00:00:00"/>
    <s v="ARMF"/>
    <x v="224"/>
    <n v="85.31"/>
    <n v="4.6900000000000004"/>
    <n v="90"/>
    <m/>
    <d v="2025-10-24T00:00:00"/>
    <n v="90"/>
    <x v="174"/>
    <n v="0"/>
    <m/>
    <m/>
    <m/>
    <m/>
    <m/>
    <m/>
    <n v="0"/>
    <n v="0"/>
    <n v="0"/>
    <x v="0"/>
    <x v="3"/>
    <x v="3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16"/>
    <n v="1"/>
    <n v="0"/>
    <m/>
    <m/>
    <m/>
    <d v="2025-10-24T00:00:00"/>
    <d v="2025-10-23T00:00:00"/>
    <n v="90"/>
    <d v="2025-10-22T00:00:00"/>
  </r>
  <r>
    <x v="0"/>
    <m/>
    <s v="2025"/>
    <s v="CR"/>
    <n v="417671"/>
    <n v="2358"/>
    <n v="352"/>
    <n v="0"/>
    <d v="2025-10-24T00:00:00"/>
    <s v="ARMF"/>
    <x v="225"/>
    <n v="195.85"/>
    <n v="10.77"/>
    <n v="206.62"/>
    <m/>
    <d v="2025-10-29T00:00:00"/>
    <n v="206.62"/>
    <x v="175"/>
    <n v="0"/>
    <m/>
    <m/>
    <m/>
    <m/>
    <m/>
    <m/>
    <n v="0"/>
    <n v="0"/>
    <n v="0"/>
    <x v="0"/>
    <x v="3"/>
    <x v="3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46"/>
    <n v="1"/>
    <n v="0"/>
    <m/>
    <m/>
    <m/>
    <d v="2025-10-29T00:00:00"/>
    <d v="2025-10-29T00:00:00"/>
    <n v="206.62"/>
    <d v="2025-10-28T00:00:00"/>
  </r>
  <r>
    <x v="1"/>
    <m/>
    <s v="2025"/>
    <s v="CR"/>
    <n v="417737"/>
    <n v="2344"/>
    <n v="350"/>
    <n v="0"/>
    <d v="2025-10-24T00:00:00"/>
    <s v="CMFF"/>
    <x v="226"/>
    <n v="18.75"/>
    <n v="0"/>
    <n v="18.75"/>
    <m/>
    <d v="2025-10-29T00:00:00"/>
    <n v="18.75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29T00:00:00"/>
    <d v="2025-10-29T00:00:00"/>
    <n v="18.75"/>
    <d v="2025-10-28T00:00:00"/>
  </r>
  <r>
    <x v="0"/>
    <m/>
    <s v="2025"/>
    <s v="CR"/>
    <n v="417775"/>
    <n v="2454"/>
    <n v="360"/>
    <n v="0"/>
    <d v="2025-10-29T00:00:00"/>
    <s v="ARMF"/>
    <x v="227"/>
    <n v="27.82"/>
    <n v="1.53"/>
    <n v="29.35"/>
    <m/>
    <d v="2025-11-17T00:00:00"/>
    <n v="29.35"/>
    <x v="17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58"/>
    <n v="1"/>
    <n v="0"/>
    <m/>
    <m/>
    <m/>
    <d v="2025-11-17T00:00:00"/>
    <d v="2025-11-14T00:00:00"/>
    <n v="29.35"/>
    <d v="2025-11-13T00:00:00"/>
  </r>
  <r>
    <x v="0"/>
    <m/>
    <s v="2025"/>
    <s v="CR"/>
    <n v="417776"/>
    <n v="2455"/>
    <n v="360"/>
    <n v="0"/>
    <d v="2025-10-29T00:00:00"/>
    <s v="ARMF"/>
    <x v="228"/>
    <n v="27.73"/>
    <n v="1.53"/>
    <n v="29.26"/>
    <m/>
    <d v="2025-11-17T00:00:00"/>
    <n v="29.26"/>
    <x v="17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59"/>
    <n v="1"/>
    <n v="0"/>
    <m/>
    <m/>
    <m/>
    <d v="2025-11-17T00:00:00"/>
    <d v="2025-11-14T00:00:00"/>
    <n v="29.26"/>
    <d v="2025-11-13T00:00:00"/>
  </r>
  <r>
    <x v="0"/>
    <m/>
    <s v="2025"/>
    <s v="CR"/>
    <n v="417777"/>
    <n v="2456"/>
    <n v="360"/>
    <n v="0"/>
    <d v="2025-10-29T00:00:00"/>
    <s v="ARMF"/>
    <x v="229"/>
    <n v="27.61"/>
    <n v="1.7"/>
    <n v="29.31"/>
    <m/>
    <d v="2025-11-17T00:00:00"/>
    <n v="29.31"/>
    <x v="17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60"/>
    <n v="1"/>
    <n v="0"/>
    <m/>
    <m/>
    <m/>
    <d v="2025-11-17T00:00:00"/>
    <d v="2025-11-14T00:00:00"/>
    <n v="29.31"/>
    <d v="2025-11-13T00:00:00"/>
  </r>
  <r>
    <x v="0"/>
    <m/>
    <s v="2025"/>
    <s v="CR"/>
    <n v="417778"/>
    <n v="2457"/>
    <n v="360"/>
    <n v="0"/>
    <d v="2025-10-29T00:00:00"/>
    <s v="ARMF"/>
    <x v="230"/>
    <n v="27.18"/>
    <n v="2.1"/>
    <n v="29.28"/>
    <m/>
    <d v="2025-11-17T00:00:00"/>
    <n v="29.28"/>
    <x v="179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61"/>
    <n v="1"/>
    <n v="0"/>
    <m/>
    <m/>
    <m/>
    <d v="2025-11-17T00:00:00"/>
    <d v="2025-11-14T00:00:00"/>
    <n v="29.28"/>
    <d v="2025-11-13T00:00:00"/>
  </r>
  <r>
    <x v="0"/>
    <m/>
    <s v="2025"/>
    <s v="CR"/>
    <n v="417779"/>
    <n v="2458"/>
    <n v="360"/>
    <n v="0"/>
    <d v="2025-10-29T00:00:00"/>
    <s v="ARMF"/>
    <x v="231"/>
    <n v="28.09"/>
    <n v="1.54"/>
    <n v="29.63"/>
    <m/>
    <d v="2025-11-17T00:00:00"/>
    <n v="29.63"/>
    <x v="180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62"/>
    <n v="1"/>
    <n v="0"/>
    <m/>
    <m/>
    <m/>
    <d v="2025-11-17T00:00:00"/>
    <d v="2025-11-14T00:00:00"/>
    <n v="29.63"/>
    <d v="2025-11-13T00:00:00"/>
  </r>
  <r>
    <x v="1"/>
    <m/>
    <s v="2025"/>
    <s v="CR"/>
    <n v="417796"/>
    <n v="2386"/>
    <n v="353"/>
    <n v="0"/>
    <d v="2025-10-27T00:00:00"/>
    <s v="RADE"/>
    <x v="232"/>
    <n v="100"/>
    <n v="20"/>
    <n v="120"/>
    <m/>
    <d v="2025-10-29T00:00:00"/>
    <n v="120"/>
    <x v="5"/>
    <n v="0"/>
    <m/>
    <m/>
    <m/>
    <m/>
    <m/>
    <m/>
    <n v="0"/>
    <n v="0"/>
    <n v="0"/>
    <x v="0"/>
    <x v="1"/>
    <x v="1"/>
    <s v=" "/>
    <s v="4221"/>
    <s v="60623"/>
    <s v=" "/>
    <m/>
    <x v="7"/>
    <x v="11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29T00:00:00"/>
    <d v="2025-10-29T00:00:00"/>
    <n v="120"/>
    <d v="2025-10-28T00:00:00"/>
  </r>
  <r>
    <x v="1"/>
    <m/>
    <s v="2025"/>
    <s v="CR"/>
    <n v="417806"/>
    <n v="2392"/>
    <n v="353"/>
    <n v="0"/>
    <d v="2025-10-27T00:00:00"/>
    <s v="RADE"/>
    <x v="233"/>
    <n v="10.79"/>
    <n v="2.16"/>
    <n v="12.95"/>
    <m/>
    <d v="2025-10-29T00:00:00"/>
    <n v="12.95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29T00:00:00"/>
    <d v="2025-10-29T00:00:00"/>
    <n v="12.95"/>
    <d v="2025-10-28T00:00:00"/>
  </r>
  <r>
    <x v="0"/>
    <m/>
    <s v="2025"/>
    <s v="CR"/>
    <n v="417810"/>
    <n v="2399"/>
    <n v="355"/>
    <n v="0"/>
    <d v="2025-10-28T00:00:00"/>
    <s v="ARFF"/>
    <x v="234"/>
    <n v="202.18"/>
    <n v="12.89"/>
    <n v="215.07"/>
    <m/>
    <d v="2025-10-29T00:00:00"/>
    <n v="215.07"/>
    <x v="181"/>
    <n v="0"/>
    <m/>
    <m/>
    <m/>
    <m/>
    <m/>
    <m/>
    <n v="0"/>
    <n v="0"/>
    <n v="0"/>
    <x v="0"/>
    <x v="4"/>
    <x v="4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85"/>
    <n v="1"/>
    <n v="0"/>
    <m/>
    <m/>
    <m/>
    <d v="2025-10-29T00:00:00"/>
    <d v="2025-10-29T00:00:00"/>
    <n v="215.07"/>
    <d v="2025-10-28T00:00:00"/>
  </r>
  <r>
    <x v="0"/>
    <m/>
    <s v="2025"/>
    <s v="CR"/>
    <n v="417829"/>
    <n v="2397"/>
    <n v="355"/>
    <n v="0"/>
    <d v="2025-10-28T00:00:00"/>
    <s v="ARFF"/>
    <x v="235"/>
    <n v="47"/>
    <n v="2.59"/>
    <n v="49.59"/>
    <m/>
    <d v="2025-10-29T00:00:00"/>
    <n v="49.59"/>
    <x v="182"/>
    <n v="0"/>
    <m/>
    <m/>
    <m/>
    <m/>
    <m/>
    <m/>
    <n v="0"/>
    <n v="0"/>
    <n v="0"/>
    <x v="0"/>
    <x v="3"/>
    <x v="3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42"/>
    <n v="1"/>
    <n v="0"/>
    <m/>
    <m/>
    <m/>
    <d v="2025-10-29T00:00:00"/>
    <d v="2025-10-29T00:00:00"/>
    <n v="49.59"/>
    <d v="2025-10-28T00:00:00"/>
  </r>
  <r>
    <x v="0"/>
    <m/>
    <s v="2025"/>
    <s v="CR"/>
    <n v="417830"/>
    <n v="2398"/>
    <n v="355"/>
    <n v="0"/>
    <d v="2025-10-28T00:00:00"/>
    <s v="ARFF"/>
    <x v="236"/>
    <n v="34.380000000000003"/>
    <n v="1.89"/>
    <n v="36.270000000000003"/>
    <m/>
    <d v="2025-10-29T00:00:00"/>
    <n v="36.270000000000003"/>
    <x v="183"/>
    <n v="0"/>
    <m/>
    <m/>
    <m/>
    <m/>
    <m/>
    <m/>
    <n v="0"/>
    <n v="0"/>
    <n v="0"/>
    <x v="0"/>
    <x v="3"/>
    <x v="3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43"/>
    <n v="1"/>
    <n v="0"/>
    <m/>
    <m/>
    <m/>
    <d v="2025-10-29T00:00:00"/>
    <d v="2025-10-29T00:00:00"/>
    <n v="36.270000000000003"/>
    <d v="2025-10-28T00:00:00"/>
  </r>
  <r>
    <x v="0"/>
    <m/>
    <s v="2025"/>
    <s v="CR"/>
    <n v="417891"/>
    <n v="2467"/>
    <n v="361"/>
    <n v="0"/>
    <d v="2025-10-29T00:00:00"/>
    <s v="ARFF"/>
    <x v="237"/>
    <n v="77.63"/>
    <n v="4.2699999999999996"/>
    <n v="81.900000000000006"/>
    <m/>
    <d v="2025-11-17T00:00:00"/>
    <n v="81.900000000000006"/>
    <x v="11"/>
    <n v="0"/>
    <m/>
    <m/>
    <m/>
    <m/>
    <m/>
    <m/>
    <n v="0"/>
    <n v="0"/>
    <n v="0"/>
    <x v="0"/>
    <x v="3"/>
    <x v="3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44"/>
    <n v="1"/>
    <n v="0"/>
    <m/>
    <m/>
    <m/>
    <d v="2025-11-17T00:00:00"/>
    <d v="2025-11-14T00:00:00"/>
    <n v="81.900000000000006"/>
    <d v="2025-11-13T00:00:00"/>
  </r>
  <r>
    <x v="0"/>
    <m/>
    <s v="2025"/>
    <s v="CR"/>
    <n v="417892"/>
    <n v="2468"/>
    <n v="361"/>
    <n v="0"/>
    <d v="2025-10-29T00:00:00"/>
    <s v="ARFF"/>
    <x v="238"/>
    <n v="62.1"/>
    <n v="3.42"/>
    <n v="65.52"/>
    <m/>
    <d v="2025-11-17T00:00:00"/>
    <n v="65.52"/>
    <x v="12"/>
    <n v="0"/>
    <m/>
    <m/>
    <m/>
    <m/>
    <m/>
    <m/>
    <n v="0"/>
    <n v="0"/>
    <n v="0"/>
    <x v="0"/>
    <x v="3"/>
    <x v="3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45"/>
    <n v="1"/>
    <n v="0"/>
    <m/>
    <m/>
    <m/>
    <d v="2025-11-17T00:00:00"/>
    <d v="2025-11-14T00:00:00"/>
    <n v="65.52"/>
    <d v="2025-11-13T00:00:00"/>
  </r>
  <r>
    <x v="0"/>
    <m/>
    <s v="2025"/>
    <s v="CR"/>
    <n v="417893"/>
    <n v="2469"/>
    <n v="361"/>
    <n v="0"/>
    <d v="2025-10-29T00:00:00"/>
    <s v="ARFF"/>
    <x v="239"/>
    <n v="62.1"/>
    <n v="3.42"/>
    <n v="65.52"/>
    <m/>
    <d v="2025-11-17T00:00:00"/>
    <n v="65.52"/>
    <x v="13"/>
    <n v="0"/>
    <m/>
    <m/>
    <m/>
    <m/>
    <m/>
    <m/>
    <n v="0"/>
    <n v="0"/>
    <n v="0"/>
    <x v="0"/>
    <x v="3"/>
    <x v="3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46"/>
    <n v="1"/>
    <n v="0"/>
    <m/>
    <m/>
    <m/>
    <d v="2025-11-17T00:00:00"/>
    <d v="2025-11-14T00:00:00"/>
    <n v="65.52"/>
    <d v="2025-11-13T00:00:00"/>
  </r>
  <r>
    <x v="0"/>
    <m/>
    <s v="2025"/>
    <s v="CR"/>
    <n v="417894"/>
    <n v="2470"/>
    <n v="361"/>
    <n v="0"/>
    <d v="2025-10-29T00:00:00"/>
    <s v="ARFF"/>
    <x v="240"/>
    <n v="1329.7"/>
    <n v="73.13"/>
    <n v="1402.83"/>
    <m/>
    <d v="2025-11-17T00:00:00"/>
    <n v="1402.83"/>
    <x v="1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47"/>
    <n v="1"/>
    <n v="0"/>
    <m/>
    <m/>
    <m/>
    <d v="2025-11-17T00:00:00"/>
    <d v="2025-11-14T00:00:00"/>
    <n v="1402.83"/>
    <d v="2025-11-13T00:00:00"/>
  </r>
  <r>
    <x v="0"/>
    <m/>
    <s v="2025"/>
    <s v="CR"/>
    <n v="417920"/>
    <n v="2471"/>
    <n v="361"/>
    <n v="0"/>
    <d v="2025-10-29T00:00:00"/>
    <s v="ARFF"/>
    <x v="241"/>
    <n v="39.17"/>
    <n v="2.15"/>
    <n v="41.32"/>
    <m/>
    <d v="2025-11-17T00:00:00"/>
    <n v="41.32"/>
    <x v="18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58"/>
    <n v="1"/>
    <n v="0"/>
    <m/>
    <m/>
    <m/>
    <d v="2025-11-17T00:00:00"/>
    <d v="2025-11-14T00:00:00"/>
    <n v="41.32"/>
    <d v="2025-11-13T00:00:00"/>
  </r>
  <r>
    <x v="0"/>
    <m/>
    <s v="2025"/>
    <s v="CR"/>
    <n v="417939"/>
    <n v="2489"/>
    <n v="363"/>
    <n v="0"/>
    <d v="2025-10-29T00:00:00"/>
    <s v="ARMF"/>
    <x v="242"/>
    <n v="140.82"/>
    <n v="8.73"/>
    <n v="149.55000000000001"/>
    <m/>
    <d v="2025-11-17T00:00:00"/>
    <n v="149.55000000000001"/>
    <x v="18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38"/>
    <n v="1"/>
    <n v="0"/>
    <m/>
    <m/>
    <m/>
    <d v="2025-11-17T00:00:00"/>
    <d v="2025-11-14T00:00:00"/>
    <n v="149.55000000000001"/>
    <d v="2025-11-13T00:00:00"/>
  </r>
  <r>
    <x v="0"/>
    <m/>
    <s v="2025"/>
    <s v="CR"/>
    <n v="418040"/>
    <n v="2550"/>
    <n v="371"/>
    <n v="0"/>
    <d v="2025-11-05T00:00:00"/>
    <s v="ARFF"/>
    <x v="243"/>
    <n v="28.32"/>
    <n v="1.56"/>
    <n v="29.88"/>
    <m/>
    <d v="2025-11-17T00:00:00"/>
    <n v="29.88"/>
    <x v="18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61"/>
    <n v="1"/>
    <n v="0"/>
    <m/>
    <m/>
    <m/>
    <d v="2025-11-17T00:00:00"/>
    <m/>
    <n v="29.88"/>
    <d v="2025-11-05T00:00:00"/>
  </r>
  <r>
    <x v="0"/>
    <m/>
    <s v="2025"/>
    <s v="CR"/>
    <n v="418041"/>
    <n v="2551"/>
    <n v="371"/>
    <n v="0"/>
    <d v="2025-11-05T00:00:00"/>
    <s v="ARFF"/>
    <x v="244"/>
    <n v="26.68"/>
    <n v="3.02"/>
    <n v="29.7"/>
    <m/>
    <d v="2025-11-17T00:00:00"/>
    <n v="29.7"/>
    <x v="18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62"/>
    <n v="1"/>
    <n v="0"/>
    <m/>
    <m/>
    <m/>
    <d v="2025-11-17T00:00:00"/>
    <m/>
    <n v="29.7"/>
    <d v="2025-11-05T00:00:00"/>
  </r>
  <r>
    <x v="0"/>
    <m/>
    <s v="2025"/>
    <s v="CR"/>
    <n v="418042"/>
    <n v="2552"/>
    <n v="371"/>
    <n v="0"/>
    <d v="2025-11-05T00:00:00"/>
    <s v="ARFF"/>
    <x v="245"/>
    <n v="25.84"/>
    <n v="3.73"/>
    <n v="29.57"/>
    <m/>
    <d v="2025-11-17T00:00:00"/>
    <n v="29.57"/>
    <x v="18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63"/>
    <n v="1"/>
    <n v="0"/>
    <m/>
    <m/>
    <m/>
    <d v="2025-11-17T00:00:00"/>
    <m/>
    <n v="29.57"/>
    <d v="2025-11-05T00:00:00"/>
  </r>
  <r>
    <x v="0"/>
    <m/>
    <s v="2025"/>
    <s v="CR"/>
    <n v="418043"/>
    <n v="2553"/>
    <n v="371"/>
    <n v="0"/>
    <d v="2025-11-05T00:00:00"/>
    <s v="ARFF"/>
    <x v="246"/>
    <n v="28.19"/>
    <n v="1.55"/>
    <n v="29.74"/>
    <m/>
    <d v="2025-11-17T00:00:00"/>
    <n v="29.74"/>
    <x v="189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65"/>
    <n v="1"/>
    <n v="0"/>
    <m/>
    <m/>
    <m/>
    <d v="2025-11-17T00:00:00"/>
    <m/>
    <n v="29.74"/>
    <d v="2025-11-05T00:00:00"/>
  </r>
  <r>
    <x v="0"/>
    <m/>
    <s v="2025"/>
    <s v="CR"/>
    <n v="418044"/>
    <n v="2554"/>
    <n v="371"/>
    <n v="0"/>
    <d v="2025-11-05T00:00:00"/>
    <s v="ARFF"/>
    <x v="247"/>
    <n v="25.31"/>
    <n v="2.2599999999999998"/>
    <n v="27.57"/>
    <m/>
    <d v="2025-11-17T00:00:00"/>
    <n v="27.57"/>
    <x v="190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85"/>
    <n v="1"/>
    <n v="0"/>
    <m/>
    <m/>
    <m/>
    <d v="2025-11-17T00:00:00"/>
    <m/>
    <n v="27.57"/>
    <d v="2025-11-05T00:00:00"/>
  </r>
  <r>
    <x v="0"/>
    <m/>
    <s v="2025"/>
    <s v="CR"/>
    <n v="418045"/>
    <n v="2761"/>
    <n v="396"/>
    <n v="0"/>
    <d v="2025-11-14T00:00:00"/>
    <s v="CMFF"/>
    <x v="248"/>
    <n v="183.46"/>
    <n v="11.4"/>
    <n v="194.86"/>
    <m/>
    <d v="2025-11-17T00:00:00"/>
    <n v="194.86"/>
    <x v="191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84"/>
    <n v="1"/>
    <n v="0"/>
    <m/>
    <m/>
    <m/>
    <d v="2025-11-17T00:00:00"/>
    <d v="2025-11-14T00:00:00"/>
    <n v="194.86"/>
    <d v="2025-11-13T00:00:00"/>
  </r>
  <r>
    <x v="0"/>
    <m/>
    <s v="2025"/>
    <s v="CR"/>
    <n v="418050"/>
    <n v="2555"/>
    <n v="371"/>
    <n v="0"/>
    <d v="2025-11-05T00:00:00"/>
    <s v="ARFF"/>
    <x v="249"/>
    <n v="26.49"/>
    <n v="2.2999999999999998"/>
    <n v="28.79"/>
    <m/>
    <d v="2025-11-17T00:00:00"/>
    <n v="28.79"/>
    <x v="192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87"/>
    <n v="1"/>
    <n v="0"/>
    <m/>
    <m/>
    <m/>
    <d v="2025-11-17T00:00:00"/>
    <m/>
    <n v="28.79"/>
    <d v="2025-11-05T00:00:00"/>
  </r>
  <r>
    <x v="0"/>
    <m/>
    <s v="2025"/>
    <s v="CR"/>
    <n v="418055"/>
    <n v="2556"/>
    <n v="371"/>
    <n v="0"/>
    <d v="2025-11-05T00:00:00"/>
    <s v="ARFF"/>
    <x v="250"/>
    <n v="45.87"/>
    <n v="3.36"/>
    <n v="49.23"/>
    <m/>
    <d v="2025-11-17T00:00:00"/>
    <n v="49.23"/>
    <x v="193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36"/>
    <n v="1"/>
    <n v="0"/>
    <m/>
    <m/>
    <m/>
    <d v="2025-11-17T00:00:00"/>
    <m/>
    <n v="49.23"/>
    <d v="2025-11-05T00:00:00"/>
  </r>
  <r>
    <x v="0"/>
    <m/>
    <s v="2025"/>
    <s v="CR"/>
    <n v="418056"/>
    <n v="2557"/>
    <n v="371"/>
    <n v="0"/>
    <d v="2025-11-05T00:00:00"/>
    <s v="ARFF"/>
    <x v="251"/>
    <n v="79.069999999999993"/>
    <n v="6.01"/>
    <n v="85.08"/>
    <m/>
    <d v="2025-11-17T00:00:00"/>
    <n v="85.08"/>
    <x v="19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37"/>
    <n v="1"/>
    <n v="0"/>
    <m/>
    <m/>
    <m/>
    <d v="2025-11-17T00:00:00"/>
    <m/>
    <n v="85.08"/>
    <d v="2025-11-05T00:00:00"/>
  </r>
  <r>
    <x v="0"/>
    <m/>
    <s v="2025"/>
    <s v="CR"/>
    <n v="418091"/>
    <n v="2597"/>
    <n v="376"/>
    <n v="0"/>
    <d v="2025-11-06T00:00:00"/>
    <s v="ARFF"/>
    <x v="252"/>
    <n v="137.41999999999999"/>
    <n v="8.6199999999999992"/>
    <n v="146.04"/>
    <m/>
    <d v="2025-11-17T00:00:00"/>
    <n v="146.04"/>
    <x v="195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26"/>
    <n v="1"/>
    <n v="0"/>
    <m/>
    <m/>
    <m/>
    <d v="2025-11-17T00:00:00"/>
    <d v="2025-11-14T00:00:00"/>
    <n v="146.04"/>
    <d v="2025-11-13T00:00:00"/>
  </r>
  <r>
    <x v="0"/>
    <m/>
    <s v="2025"/>
    <s v="CR"/>
    <n v="418097"/>
    <n v="2598"/>
    <n v="376"/>
    <n v="0"/>
    <d v="2025-11-06T00:00:00"/>
    <s v="ARFF"/>
    <x v="253"/>
    <n v="189.1"/>
    <n v="10.7"/>
    <n v="199.8"/>
    <m/>
    <d v="2025-11-17T00:00:00"/>
    <n v="199.8"/>
    <x v="196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71"/>
    <n v="1"/>
    <n v="0"/>
    <m/>
    <m/>
    <m/>
    <d v="2025-11-17T00:00:00"/>
    <d v="2025-11-14T00:00:00"/>
    <n v="199.8"/>
    <d v="2025-11-13T00:00:00"/>
  </r>
  <r>
    <x v="0"/>
    <m/>
    <s v="2025"/>
    <s v="CR"/>
    <n v="418098"/>
    <n v="2599"/>
    <n v="376"/>
    <n v="0"/>
    <d v="2025-11-06T00:00:00"/>
    <s v="ARFF"/>
    <x v="254"/>
    <n v="11.99"/>
    <n v="2.27"/>
    <n v="14.26"/>
    <m/>
    <d v="2025-11-17T00:00:00"/>
    <n v="14.26"/>
    <x v="197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73"/>
    <n v="1"/>
    <n v="0"/>
    <m/>
    <m/>
    <m/>
    <d v="2025-11-17T00:00:00"/>
    <d v="2025-11-14T00:00:00"/>
    <n v="14.26"/>
    <d v="2025-11-13T00:00:00"/>
  </r>
  <r>
    <x v="0"/>
    <m/>
    <s v="2025"/>
    <s v="CR"/>
    <n v="418099"/>
    <n v="2600"/>
    <n v="376"/>
    <n v="0"/>
    <d v="2025-11-06T00:00:00"/>
    <s v="ARFF"/>
    <x v="255"/>
    <n v="90.12"/>
    <n v="9.69"/>
    <n v="99.81"/>
    <m/>
    <d v="2025-11-17T00:00:00"/>
    <n v="99.81"/>
    <x v="198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74"/>
    <n v="1"/>
    <n v="0"/>
    <m/>
    <m/>
    <m/>
    <d v="2025-11-17T00:00:00"/>
    <d v="2025-11-14T00:00:00"/>
    <n v="99.81"/>
    <d v="2025-11-13T00:00:00"/>
  </r>
  <r>
    <x v="0"/>
    <m/>
    <s v="2025"/>
    <s v="CR"/>
    <n v="418108"/>
    <n v="2603"/>
    <n v="378"/>
    <n v="0"/>
    <d v="2025-11-06T00:00:00"/>
    <s v="ARFF"/>
    <x v="256"/>
    <n v="136.54"/>
    <n v="10.28"/>
    <n v="146.82"/>
    <m/>
    <d v="2025-11-17T00:00:00"/>
    <n v="146.82"/>
    <x v="199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02"/>
    <n v="1"/>
    <n v="0"/>
    <m/>
    <m/>
    <m/>
    <d v="2025-11-17T00:00:00"/>
    <d v="2025-11-14T00:00:00"/>
    <n v="146.82"/>
    <d v="2025-11-13T00:00:00"/>
  </r>
  <r>
    <x v="0"/>
    <m/>
    <s v="2025"/>
    <s v="CR"/>
    <n v="418110"/>
    <n v="2604"/>
    <n v="378"/>
    <n v="0"/>
    <d v="2025-11-06T00:00:00"/>
    <s v="ARFF"/>
    <x v="257"/>
    <n v="94"/>
    <n v="5.17"/>
    <n v="99.17"/>
    <m/>
    <d v="2025-11-17T00:00:00"/>
    <n v="99.17"/>
    <x v="200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12"/>
    <n v="1"/>
    <n v="0"/>
    <m/>
    <m/>
    <m/>
    <d v="2025-11-17T00:00:00"/>
    <d v="2025-11-14T00:00:00"/>
    <n v="99.17"/>
    <d v="2025-11-13T00:00:00"/>
  </r>
  <r>
    <x v="0"/>
    <m/>
    <s v="2025"/>
    <s v="CR"/>
    <n v="418111"/>
    <n v="2605"/>
    <n v="378"/>
    <n v="0"/>
    <d v="2025-11-06T00:00:00"/>
    <s v="ARFF"/>
    <x v="258"/>
    <n v="88.98"/>
    <n v="5.03"/>
    <n v="94.01"/>
    <m/>
    <d v="2025-11-17T00:00:00"/>
    <n v="94.01"/>
    <x v="201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13"/>
    <n v="1"/>
    <n v="0"/>
    <m/>
    <m/>
    <m/>
    <d v="2025-11-17T00:00:00"/>
    <d v="2025-11-14T00:00:00"/>
    <n v="94.01"/>
    <d v="2025-11-13T00:00:00"/>
  </r>
  <r>
    <x v="0"/>
    <m/>
    <s v="2025"/>
    <s v="CR"/>
    <n v="418112"/>
    <n v="2606"/>
    <n v="378"/>
    <n v="0"/>
    <d v="2025-11-06T00:00:00"/>
    <s v="ARFF"/>
    <x v="259"/>
    <n v="226.18"/>
    <n v="18.46"/>
    <n v="244.64"/>
    <m/>
    <d v="2025-11-17T00:00:00"/>
    <n v="244.64"/>
    <x v="202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25"/>
    <n v="1"/>
    <n v="0"/>
    <m/>
    <m/>
    <m/>
    <d v="2025-11-17T00:00:00"/>
    <d v="2025-11-14T00:00:00"/>
    <n v="244.64"/>
    <d v="2025-11-13T00:00:00"/>
  </r>
  <r>
    <x v="0"/>
    <m/>
    <s v="2025"/>
    <s v="CR"/>
    <n v="418114"/>
    <n v="2607"/>
    <n v="378"/>
    <n v="0"/>
    <d v="2025-11-06T00:00:00"/>
    <s v="ARFF"/>
    <x v="260"/>
    <n v="79.400000000000006"/>
    <n v="13.23"/>
    <n v="92.63"/>
    <m/>
    <d v="2025-11-17T00:00:00"/>
    <n v="92.63"/>
    <x v="203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59"/>
    <n v="1"/>
    <n v="0"/>
    <m/>
    <m/>
    <m/>
    <d v="2025-11-17T00:00:00"/>
    <d v="2025-11-14T00:00:00"/>
    <n v="92.63"/>
    <d v="2025-11-13T00:00:00"/>
  </r>
  <r>
    <x v="0"/>
    <m/>
    <s v="2025"/>
    <s v="CR"/>
    <n v="418115"/>
    <n v="2608"/>
    <n v="378"/>
    <n v="0"/>
    <d v="2025-11-06T00:00:00"/>
    <s v="ARFF"/>
    <x v="261"/>
    <n v="141.66"/>
    <n v="8.06"/>
    <n v="149.72"/>
    <m/>
    <d v="2025-11-17T00:00:00"/>
    <n v="149.72"/>
    <x v="204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77"/>
    <n v="1"/>
    <n v="0"/>
    <m/>
    <m/>
    <m/>
    <d v="2025-11-17T00:00:00"/>
    <d v="2025-11-14T00:00:00"/>
    <n v="149.72"/>
    <d v="2025-11-13T00:00:00"/>
  </r>
  <r>
    <x v="0"/>
    <m/>
    <s v="2025"/>
    <s v="CR"/>
    <n v="418116"/>
    <n v="2609"/>
    <n v="378"/>
    <n v="0"/>
    <d v="2025-11-06T00:00:00"/>
    <s v="ARFF"/>
    <x v="262"/>
    <n v="51.91"/>
    <n v="10.38"/>
    <n v="62.29"/>
    <m/>
    <d v="2025-11-17T00:00:00"/>
    <n v="62.29"/>
    <x v="205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303"/>
    <n v="1"/>
    <n v="0"/>
    <m/>
    <m/>
    <m/>
    <d v="2025-11-17T00:00:00"/>
    <d v="2025-11-14T00:00:00"/>
    <n v="62.29"/>
    <d v="2025-11-13T00:00:00"/>
  </r>
  <r>
    <x v="0"/>
    <m/>
    <s v="2025"/>
    <s v="CR"/>
    <n v="418117"/>
    <n v="2610"/>
    <n v="378"/>
    <n v="0"/>
    <d v="2025-11-06T00:00:00"/>
    <s v="ARFF"/>
    <x v="263"/>
    <n v="188.69"/>
    <n v="11.03"/>
    <n v="199.72"/>
    <m/>
    <d v="2025-11-17T00:00:00"/>
    <n v="199.72"/>
    <x v="206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304"/>
    <n v="1"/>
    <n v="0"/>
    <m/>
    <m/>
    <m/>
    <d v="2025-11-17T00:00:00"/>
    <d v="2025-11-14T00:00:00"/>
    <n v="199.72"/>
    <d v="2025-11-13T00:00:00"/>
  </r>
  <r>
    <x v="1"/>
    <m/>
    <s v="2025"/>
    <s v="CR"/>
    <n v="419179"/>
    <n v="2787"/>
    <n v="408"/>
    <n v="2"/>
    <d v="2025-11-20T00:00:00"/>
    <s v="RADE"/>
    <x v="264"/>
    <n v="47.78"/>
    <n v="9.5500000000000007"/>
    <n v="57.33"/>
    <m/>
    <d v="2025-11-26T00:00:00"/>
    <n v="57.33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1-26T00:00:00"/>
    <d v="2025-11-25T00:00:00"/>
    <n v="57.33"/>
    <d v="2025-11-24T00:00:00"/>
  </r>
  <r>
    <x v="1"/>
    <m/>
    <s v="2025"/>
    <s v="CR"/>
    <n v="419269"/>
    <n v="2818"/>
    <n v="416"/>
    <n v="2"/>
    <d v="2025-11-25T00:00:00"/>
    <s v="RADE"/>
    <x v="265"/>
    <n v="92.26"/>
    <n v="18.45"/>
    <n v="110.71"/>
    <m/>
    <d v="2025-11-26T00:00:00"/>
    <n v="110.71"/>
    <x v="5"/>
    <n v="0"/>
    <m/>
    <m/>
    <m/>
    <m/>
    <m/>
    <m/>
    <n v="0"/>
    <n v="0"/>
    <n v="0"/>
    <x v="0"/>
    <x v="5"/>
    <x v="5"/>
    <s v=" "/>
    <s v="338"/>
    <s v="60623"/>
    <s v=" "/>
    <m/>
    <x v="3"/>
    <x v="12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1-26T00:00:00"/>
    <d v="2025-11-25T00:00:00"/>
    <n v="110.71"/>
    <d v="2025-11-24T00:00:00"/>
  </r>
  <r>
    <x v="1"/>
    <m/>
    <s v="2025"/>
    <s v="CR"/>
    <n v="419270"/>
    <n v="2818"/>
    <n v="416"/>
    <n v="2"/>
    <d v="2025-11-25T00:00:00"/>
    <s v="RADE"/>
    <x v="266"/>
    <n v="97.63"/>
    <n v="19.52"/>
    <n v="117.15"/>
    <m/>
    <d v="2025-11-26T00:00:00"/>
    <n v="117.15"/>
    <x v="5"/>
    <n v="0"/>
    <m/>
    <m/>
    <m/>
    <m/>
    <m/>
    <m/>
    <n v="0"/>
    <n v="0"/>
    <n v="0"/>
    <x v="0"/>
    <x v="5"/>
    <x v="5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1-26T00:00:00"/>
    <d v="2025-11-25T00:00:00"/>
    <n v="117.15"/>
    <d v="2025-11-24T00:00:00"/>
  </r>
  <r>
    <x v="1"/>
    <m/>
    <s v="2025"/>
    <s v="CR"/>
    <n v="419272"/>
    <n v="2818"/>
    <n v="416"/>
    <n v="4"/>
    <d v="2025-11-25T00:00:00"/>
    <s v="RADE"/>
    <x v="267"/>
    <n v="67.540000000000006"/>
    <n v="13.51"/>
    <n v="81.05"/>
    <m/>
    <d v="2025-11-26T00:00:00"/>
    <n v="81.05"/>
    <x v="5"/>
    <n v="0"/>
    <m/>
    <m/>
    <m/>
    <m/>
    <m/>
    <m/>
    <n v="0"/>
    <n v="0"/>
    <n v="0"/>
    <x v="0"/>
    <x v="5"/>
    <x v="5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1-26T00:00:00"/>
    <d v="2025-11-25T00:00:00"/>
    <n v="81.05"/>
    <d v="2025-11-24T00:00:00"/>
  </r>
  <r>
    <x v="0"/>
    <m/>
    <s v="2025"/>
    <s v="CR"/>
    <n v="419561"/>
    <n v="2902"/>
    <n v="433"/>
    <n v="0"/>
    <d v="2025-12-09T00:00:00"/>
    <s v="PGFF"/>
    <x v="268"/>
    <n v="27.33"/>
    <n v="1.81"/>
    <n v="29.14"/>
    <m/>
    <d v="2025-12-16T00:00:00"/>
    <n v="29.14"/>
    <x v="207"/>
    <n v="0"/>
    <m/>
    <m/>
    <m/>
    <m/>
    <m/>
    <m/>
    <n v="0"/>
    <n v="0"/>
    <n v="0"/>
    <x v="0"/>
    <x v="2"/>
    <x v="2"/>
    <s v=" "/>
    <s v="332"/>
    <s v="60623"/>
    <s v=" "/>
    <m/>
    <x v="6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45"/>
    <n v="1"/>
    <n v="0"/>
    <m/>
    <m/>
    <m/>
    <d v="2025-12-16T00:00:00"/>
    <d v="2025-12-15T00:00:00"/>
    <n v="29.14"/>
    <d v="2025-12-14T00:00:00"/>
  </r>
  <r>
    <x v="0"/>
    <m/>
    <s v="2025"/>
    <s v="CR"/>
    <n v="419564"/>
    <n v="2903"/>
    <n v="433"/>
    <n v="0"/>
    <d v="2025-12-09T00:00:00"/>
    <s v="PGFF"/>
    <x v="269"/>
    <n v="327.54000000000002"/>
    <n v="21.8"/>
    <n v="349.34"/>
    <m/>
    <d v="2025-12-16T00:00:00"/>
    <n v="349.34"/>
    <x v="208"/>
    <n v="0"/>
    <m/>
    <m/>
    <m/>
    <m/>
    <m/>
    <m/>
    <n v="0"/>
    <n v="0"/>
    <n v="0"/>
    <x v="0"/>
    <x v="2"/>
    <x v="2"/>
    <s v=" "/>
    <s v="020"/>
    <s v="60623"/>
    <s v=" "/>
    <m/>
    <x v="3"/>
    <x v="1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314"/>
    <n v="1"/>
    <n v="0"/>
    <m/>
    <m/>
    <m/>
    <d v="2025-12-16T00:00:00"/>
    <d v="2025-12-15T00:00:00"/>
    <n v="349.34"/>
    <d v="2025-12-14T00:00:00"/>
  </r>
  <r>
    <x v="0"/>
    <m/>
    <s v="2025"/>
    <s v="CR"/>
    <n v="419565"/>
    <n v="2904"/>
    <n v="433"/>
    <n v="0"/>
    <d v="2025-12-09T00:00:00"/>
    <s v="PGFF"/>
    <x v="270"/>
    <n v="555.65"/>
    <n v="42.02"/>
    <n v="597.66999999999996"/>
    <m/>
    <d v="2025-12-16T00:00:00"/>
    <n v="597.66999999999996"/>
    <x v="209"/>
    <n v="0"/>
    <m/>
    <m/>
    <m/>
    <m/>
    <m/>
    <m/>
    <n v="0"/>
    <n v="0"/>
    <n v="0"/>
    <x v="0"/>
    <x v="2"/>
    <x v="2"/>
    <s v=" "/>
    <s v="338"/>
    <s v="60623"/>
    <s v=" "/>
    <m/>
    <x v="3"/>
    <x v="1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391"/>
    <n v="1"/>
    <n v="0"/>
    <m/>
    <m/>
    <m/>
    <d v="2025-12-16T00:00:00"/>
    <d v="2025-12-15T00:00:00"/>
    <n v="597.66999999999996"/>
    <d v="2025-12-14T00:00:00"/>
  </r>
  <r>
    <x v="0"/>
    <m/>
    <s v="2025"/>
    <s v="CR"/>
    <n v="419566"/>
    <n v="2905"/>
    <n v="433"/>
    <n v="0"/>
    <d v="2025-12-09T00:00:00"/>
    <s v="PGFF"/>
    <x v="271"/>
    <n v="310.95"/>
    <n v="38.33"/>
    <n v="349.28"/>
    <m/>
    <d v="2025-12-16T00:00:00"/>
    <n v="349.28"/>
    <x v="210"/>
    <n v="0"/>
    <m/>
    <m/>
    <m/>
    <m/>
    <m/>
    <m/>
    <n v="0"/>
    <n v="0"/>
    <n v="0"/>
    <x v="0"/>
    <x v="2"/>
    <x v="2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467"/>
    <n v="1"/>
    <n v="0"/>
    <m/>
    <m/>
    <m/>
    <d v="2025-12-16T00:00:00"/>
    <d v="2025-12-15T00:00:00"/>
    <n v="349.28"/>
    <d v="2025-12-14T00:00:00"/>
  </r>
  <r>
    <x v="0"/>
    <m/>
    <s v="2025"/>
    <s v="CR"/>
    <n v="419568"/>
    <n v="2906"/>
    <n v="433"/>
    <n v="0"/>
    <d v="2025-12-09T00:00:00"/>
    <s v="PGFF"/>
    <x v="272"/>
    <n v="318.91000000000003"/>
    <n v="17.77"/>
    <n v="336.68"/>
    <m/>
    <d v="2025-12-16T00:00:00"/>
    <n v="336.68"/>
    <x v="211"/>
    <n v="0"/>
    <m/>
    <m/>
    <m/>
    <m/>
    <m/>
    <m/>
    <n v="0"/>
    <n v="0"/>
    <n v="0"/>
    <x v="0"/>
    <x v="2"/>
    <x v="2"/>
    <s v=" "/>
    <s v="201"/>
    <s v="60623"/>
    <s v=" "/>
    <m/>
    <x v="4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493"/>
    <n v="1"/>
    <n v="0"/>
    <m/>
    <m/>
    <m/>
    <d v="2025-12-16T00:00:00"/>
    <d v="2025-12-15T00:00:00"/>
    <n v="336.68"/>
    <d v="2025-12-14T00:00:00"/>
  </r>
  <r>
    <x v="0"/>
    <m/>
    <s v="2025"/>
    <s v="CR"/>
    <n v="419602"/>
    <n v="2927"/>
    <n v="435"/>
    <n v="0"/>
    <d v="2025-12-09T00:00:00"/>
    <s v="PGFF"/>
    <x v="273"/>
    <n v="130.43"/>
    <n v="8.09"/>
    <n v="138.52000000000001"/>
    <m/>
    <d v="2025-12-16T00:00:00"/>
    <n v="138.52000000000001"/>
    <x v="212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382"/>
    <n v="1"/>
    <n v="0"/>
    <m/>
    <m/>
    <m/>
    <d v="2025-12-16T00:00:00"/>
    <d v="2025-12-15T00:00:00"/>
    <n v="138.52000000000001"/>
    <d v="2025-12-14T00:00:00"/>
  </r>
  <r>
    <x v="0"/>
    <m/>
    <s v="2025"/>
    <s v="CR"/>
    <n v="419655"/>
    <n v="2969"/>
    <n v="437"/>
    <n v="0"/>
    <d v="2025-12-09T00:00:00"/>
    <s v="PGFF"/>
    <x v="274"/>
    <n v="24.64"/>
    <n v="1.36"/>
    <n v="26"/>
    <m/>
    <d v="2025-12-16T00:00:00"/>
    <n v="26"/>
    <x v="58"/>
    <n v="0"/>
    <m/>
    <m/>
    <m/>
    <m/>
    <m/>
    <m/>
    <n v="0"/>
    <n v="0"/>
    <n v="0"/>
    <x v="0"/>
    <x v="0"/>
    <x v="0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469"/>
    <n v="1"/>
    <n v="0"/>
    <m/>
    <m/>
    <m/>
    <d v="2025-12-16T00:00:00"/>
    <d v="2025-12-15T00:00:00"/>
    <n v="26"/>
    <d v="2025-12-14T00:00:00"/>
  </r>
  <r>
    <x v="0"/>
    <m/>
    <s v="2025"/>
    <s v="CR"/>
    <n v="419656"/>
    <n v="2970"/>
    <n v="437"/>
    <n v="0"/>
    <d v="2025-12-09T00:00:00"/>
    <s v="PGFF"/>
    <x v="275"/>
    <n v="24.64"/>
    <n v="1.36"/>
    <n v="26"/>
    <m/>
    <d v="2025-12-16T00:00:00"/>
    <n v="26"/>
    <x v="213"/>
    <n v="0"/>
    <m/>
    <m/>
    <m/>
    <m/>
    <m/>
    <m/>
    <n v="0"/>
    <n v="0"/>
    <n v="0"/>
    <x v="0"/>
    <x v="0"/>
    <x v="0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470"/>
    <n v="1"/>
    <n v="0"/>
    <m/>
    <m/>
    <m/>
    <d v="2025-12-16T00:00:00"/>
    <d v="2025-12-15T00:00:00"/>
    <n v="26"/>
    <d v="2025-12-14T00:00:00"/>
  </r>
  <r>
    <x v="0"/>
    <m/>
    <s v="2025"/>
    <s v="CR"/>
    <n v="419657"/>
    <n v="2971"/>
    <n v="437"/>
    <n v="0"/>
    <d v="2025-12-09T00:00:00"/>
    <s v="PGFF"/>
    <x v="276"/>
    <n v="30.8"/>
    <n v="1.69"/>
    <n v="32.49"/>
    <m/>
    <d v="2025-12-16T00:00:00"/>
    <n v="32.49"/>
    <x v="60"/>
    <n v="0"/>
    <m/>
    <m/>
    <m/>
    <m/>
    <m/>
    <m/>
    <n v="0"/>
    <n v="0"/>
    <n v="0"/>
    <x v="0"/>
    <x v="0"/>
    <x v="0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471"/>
    <n v="1"/>
    <n v="0"/>
    <m/>
    <m/>
    <m/>
    <d v="2025-12-16T00:00:00"/>
    <d v="2025-12-15T00:00:00"/>
    <n v="32.49"/>
    <d v="2025-12-14T00:00:00"/>
  </r>
  <r>
    <x v="0"/>
    <m/>
    <s v="2025"/>
    <s v="CR"/>
    <n v="419658"/>
    <n v="2972"/>
    <n v="437"/>
    <n v="0"/>
    <d v="2025-12-09T00:00:00"/>
    <s v="PGFF"/>
    <x v="277"/>
    <n v="21.12"/>
    <n v="1.1599999999999999"/>
    <n v="22.28"/>
    <m/>
    <d v="2025-12-16T00:00:00"/>
    <n v="22.28"/>
    <x v="59"/>
    <n v="0"/>
    <m/>
    <m/>
    <m/>
    <m/>
    <m/>
    <m/>
    <n v="0"/>
    <n v="0"/>
    <n v="0"/>
    <x v="0"/>
    <x v="0"/>
    <x v="0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472"/>
    <n v="1"/>
    <n v="0"/>
    <m/>
    <m/>
    <m/>
    <d v="2025-12-16T00:00:00"/>
    <d v="2025-12-15T00:00:00"/>
    <n v="22.28"/>
    <d v="2025-12-14T00:00:00"/>
  </r>
  <r>
    <x v="0"/>
    <m/>
    <s v="2025"/>
    <s v="CR"/>
    <n v="419671"/>
    <n v="3007"/>
    <n v="441"/>
    <n v="0"/>
    <d v="2025-12-10T00:00:00"/>
    <s v="PGFF"/>
    <x v="278"/>
    <n v="570.24"/>
    <n v="31.36"/>
    <n v="601.6"/>
    <m/>
    <d v="2025-12-16T00:00:00"/>
    <n v="601.6"/>
    <x v="57"/>
    <n v="0"/>
    <m/>
    <m/>
    <m/>
    <m/>
    <m/>
    <m/>
    <n v="0"/>
    <n v="0"/>
    <n v="0"/>
    <x v="0"/>
    <x v="0"/>
    <x v="0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473"/>
    <n v="1"/>
    <n v="0"/>
    <m/>
    <m/>
    <m/>
    <d v="2025-12-16T00:00:00"/>
    <d v="2025-12-15T00:00:00"/>
    <n v="601.6"/>
    <d v="2025-12-14T00:00:00"/>
  </r>
  <r>
    <x v="0"/>
    <m/>
    <s v="2025"/>
    <s v="CR"/>
    <n v="419689"/>
    <n v="3008"/>
    <n v="441"/>
    <n v="0"/>
    <d v="2025-12-10T00:00:00"/>
    <s v="PGFF"/>
    <x v="279"/>
    <n v="28.83"/>
    <n v="1.59"/>
    <n v="30.42"/>
    <m/>
    <d v="2025-12-16T00:00:00"/>
    <n v="30.42"/>
    <x v="183"/>
    <n v="0"/>
    <m/>
    <m/>
    <m/>
    <m/>
    <m/>
    <m/>
    <n v="0"/>
    <n v="0"/>
    <n v="0"/>
    <x v="0"/>
    <x v="3"/>
    <x v="3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74"/>
    <n v="1"/>
    <n v="0"/>
    <m/>
    <m/>
    <m/>
    <d v="2025-12-16T00:00:00"/>
    <d v="2025-12-15T00:00:00"/>
    <n v="30.42"/>
    <d v="2025-12-14T00:00:00"/>
  </r>
  <r>
    <x v="0"/>
    <m/>
    <s v="2025"/>
    <s v="CR"/>
    <n v="419692"/>
    <n v="3009"/>
    <n v="441"/>
    <n v="0"/>
    <d v="2025-12-10T00:00:00"/>
    <s v="PGFF"/>
    <x v="280"/>
    <n v="61"/>
    <n v="3.35"/>
    <n v="64.349999999999994"/>
    <m/>
    <d v="2025-12-16T00:00:00"/>
    <n v="64.349999999999994"/>
    <x v="11"/>
    <n v="0"/>
    <m/>
    <m/>
    <m/>
    <m/>
    <m/>
    <m/>
    <n v="0"/>
    <n v="0"/>
    <n v="0"/>
    <x v="0"/>
    <x v="3"/>
    <x v="3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75"/>
    <n v="1"/>
    <n v="0"/>
    <m/>
    <m/>
    <m/>
    <d v="2025-12-16T00:00:00"/>
    <d v="2025-12-15T00:00:00"/>
    <n v="64.349999999999994"/>
    <d v="2025-12-14T00:00:00"/>
  </r>
  <r>
    <x v="0"/>
    <m/>
    <s v="2025"/>
    <s v="CR"/>
    <n v="419693"/>
    <n v="3010"/>
    <n v="441"/>
    <n v="0"/>
    <d v="2025-12-10T00:00:00"/>
    <s v="PGFF"/>
    <x v="281"/>
    <n v="48.8"/>
    <n v="2.68"/>
    <n v="51.48"/>
    <m/>
    <d v="2025-12-16T00:00:00"/>
    <n v="51.48"/>
    <x v="12"/>
    <n v="0"/>
    <m/>
    <m/>
    <m/>
    <m/>
    <m/>
    <m/>
    <n v="0"/>
    <n v="0"/>
    <n v="0"/>
    <x v="0"/>
    <x v="3"/>
    <x v="3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76"/>
    <n v="1"/>
    <n v="0"/>
    <m/>
    <m/>
    <m/>
    <d v="2025-12-16T00:00:00"/>
    <d v="2025-12-15T00:00:00"/>
    <n v="51.48"/>
    <d v="2025-12-14T00:00:00"/>
  </r>
  <r>
    <x v="0"/>
    <m/>
    <s v="2025"/>
    <s v="CR"/>
    <n v="419694"/>
    <n v="3011"/>
    <n v="441"/>
    <n v="0"/>
    <d v="2025-12-10T00:00:00"/>
    <s v="PGFF"/>
    <x v="282"/>
    <n v="48.8"/>
    <n v="2.68"/>
    <n v="51.48"/>
    <m/>
    <d v="2025-12-16T00:00:00"/>
    <n v="51.48"/>
    <x v="13"/>
    <n v="0"/>
    <m/>
    <m/>
    <m/>
    <m/>
    <m/>
    <m/>
    <n v="0"/>
    <n v="0"/>
    <n v="0"/>
    <x v="0"/>
    <x v="3"/>
    <x v="3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77"/>
    <n v="1"/>
    <n v="0"/>
    <m/>
    <m/>
    <m/>
    <d v="2025-12-16T00:00:00"/>
    <d v="2025-12-15T00:00:00"/>
    <n v="51.48"/>
    <d v="2025-12-14T00:00:00"/>
  </r>
  <r>
    <x v="0"/>
    <m/>
    <s v="2025"/>
    <s v="CR"/>
    <n v="420522"/>
    <n v="3041"/>
    <n v="445"/>
    <n v="0"/>
    <d v="2025-12-11T00:00:00"/>
    <s v="PGFF"/>
    <x v="283"/>
    <n v="130.47"/>
    <n v="13.05"/>
    <n v="143.52000000000001"/>
    <m/>
    <d v="2025-12-16T00:00:00"/>
    <n v="143.52000000000001"/>
    <x v="214"/>
    <n v="0"/>
    <m/>
    <m/>
    <m/>
    <m/>
    <m/>
    <m/>
    <n v="0"/>
    <n v="0"/>
    <n v="0"/>
    <x v="0"/>
    <x v="4"/>
    <x v="4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668"/>
    <n v="1"/>
    <n v="0"/>
    <m/>
    <m/>
    <m/>
    <d v="2025-12-16T00:00:00"/>
    <d v="2025-12-15T00:00:00"/>
    <n v="143.52000000000001"/>
    <d v="2025-12-14T00:00:00"/>
  </r>
  <r>
    <x v="0"/>
    <m/>
    <s v="2025"/>
    <s v="CR"/>
    <n v="420562"/>
    <n v="3057"/>
    <n v="449"/>
    <n v="0"/>
    <d v="2025-12-12T00:00:00"/>
    <s v="PGFF"/>
    <x v="284"/>
    <n v="91.58"/>
    <n v="7.73"/>
    <n v="99.31"/>
    <m/>
    <d v="2025-12-16T00:00:00"/>
    <n v="99.31"/>
    <x v="215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666"/>
    <n v="1"/>
    <n v="0"/>
    <m/>
    <m/>
    <m/>
    <d v="2025-12-16T00:00:00"/>
    <d v="2025-12-15T00:00:00"/>
    <n v="99.31"/>
    <d v="2025-12-14T00:00:00"/>
  </r>
  <r>
    <x v="0"/>
    <m/>
    <s v="2025"/>
    <s v="CR"/>
    <n v="420573"/>
    <n v="3055"/>
    <n v="449"/>
    <n v="0"/>
    <d v="2025-12-12T00:00:00"/>
    <s v="PGFF"/>
    <x v="285"/>
    <n v="1140.06"/>
    <n v="62.7"/>
    <n v="1202.76"/>
    <m/>
    <d v="2025-12-16T00:00:00"/>
    <n v="1202.76"/>
    <x v="1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78"/>
    <n v="1"/>
    <n v="0"/>
    <m/>
    <m/>
    <m/>
    <d v="2025-12-16T00:00:00"/>
    <d v="2025-12-15T00:00:00"/>
    <n v="1202.76"/>
    <d v="2025-12-14T00:00:00"/>
  </r>
  <r>
    <x v="0"/>
    <m/>
    <s v="2025"/>
    <s v="CR"/>
    <n v="420574"/>
    <n v="3056"/>
    <n v="449"/>
    <n v="0"/>
    <d v="2025-12-12T00:00:00"/>
    <s v="PGFF"/>
    <x v="286"/>
    <n v="57.67"/>
    <n v="3.17"/>
    <n v="60.84"/>
    <m/>
    <d v="2025-12-16T00:00:00"/>
    <n v="60.84"/>
    <x v="13"/>
    <n v="0"/>
    <m/>
    <m/>
    <m/>
    <m/>
    <m/>
    <m/>
    <n v="0"/>
    <n v="0"/>
    <n v="0"/>
    <x v="0"/>
    <x v="3"/>
    <x v="3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78"/>
    <n v="1"/>
    <n v="0"/>
    <m/>
    <m/>
    <m/>
    <d v="2025-12-16T00:00:00"/>
    <d v="2025-12-15T00:00:00"/>
    <n v="60.84"/>
    <d v="2025-12-14T00:00:00"/>
  </r>
  <r>
    <x v="0"/>
    <m/>
    <s v="2025"/>
    <s v="CR"/>
    <n v="420589"/>
    <n v="3088"/>
    <n v="452"/>
    <n v="0"/>
    <d v="2025-12-12T00:00:00"/>
    <s v="PGFF"/>
    <x v="287"/>
    <n v="187.42"/>
    <n v="12.54"/>
    <n v="199.96"/>
    <m/>
    <d v="2025-12-16T00:00:00"/>
    <n v="199.96"/>
    <x v="216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667"/>
    <n v="1"/>
    <n v="0"/>
    <m/>
    <m/>
    <m/>
    <d v="2025-12-16T00:00:00"/>
    <d v="2025-12-15T00:00:00"/>
    <n v="199.96"/>
    <d v="2025-12-14T00:00:00"/>
  </r>
  <r>
    <x v="0"/>
    <m/>
    <s v="2025"/>
    <s v="CR"/>
    <n v="420746"/>
    <n v="3100"/>
    <n v="456"/>
    <n v="0"/>
    <d v="2025-12-16T00:00:00"/>
    <s v="PGFF"/>
    <x v="288"/>
    <n v="25"/>
    <n v="0"/>
    <n v="25"/>
    <m/>
    <d v="2025-12-22T00:00:00"/>
    <n v="25"/>
    <x v="217"/>
    <n v="0"/>
    <m/>
    <m/>
    <m/>
    <m/>
    <m/>
    <m/>
    <n v="0"/>
    <n v="0"/>
    <n v="0"/>
    <x v="0"/>
    <x v="8"/>
    <x v="8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50"/>
    <n v="1"/>
    <n v="0"/>
    <m/>
    <m/>
    <m/>
    <d v="2025-12-22T00:00:00"/>
    <d v="2025-12-19T00:00:00"/>
    <n v="25"/>
    <d v="2025-12-18T00:00:00"/>
  </r>
  <r>
    <x v="0"/>
    <m/>
    <s v="2025"/>
    <s v="CR"/>
    <n v="420826"/>
    <n v="3174"/>
    <n v="468"/>
    <n v="0"/>
    <d v="2025-12-19T00:00:00"/>
    <s v="ARFF"/>
    <x v="289"/>
    <n v="234.8"/>
    <n v="14.12"/>
    <n v="248.92"/>
    <m/>
    <d v="2025-12-22T00:00:00"/>
    <n v="248.92"/>
    <x v="218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82"/>
    <n v="1"/>
    <n v="0"/>
    <m/>
    <m/>
    <m/>
    <d v="2025-12-22T00:00:00"/>
    <d v="2025-12-19T00:00:00"/>
    <n v="248.92"/>
    <d v="2025-12-18T00:00:00"/>
  </r>
  <r>
    <x v="0"/>
    <m/>
    <s v="2025"/>
    <s v="CR"/>
    <n v="420827"/>
    <n v="3175"/>
    <n v="468"/>
    <n v="0"/>
    <d v="2025-12-19T00:00:00"/>
    <s v="ARFF"/>
    <x v="290"/>
    <n v="633.83000000000004"/>
    <n v="63.35"/>
    <n v="697.18"/>
    <m/>
    <d v="2025-12-22T00:00:00"/>
    <n v="697.18"/>
    <x v="219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84"/>
    <n v="1"/>
    <n v="0"/>
    <m/>
    <m/>
    <m/>
    <d v="2025-12-22T00:00:00"/>
    <d v="2025-12-19T00:00:00"/>
    <n v="697.18"/>
    <d v="2025-12-18T00:00:00"/>
  </r>
  <r>
    <x v="0"/>
    <m/>
    <s v="2025"/>
    <s v="CR"/>
    <n v="420828"/>
    <n v="3176"/>
    <n v="468"/>
    <n v="0"/>
    <d v="2025-12-19T00:00:00"/>
    <s v="ARFF"/>
    <x v="291"/>
    <n v="235.26"/>
    <n v="14.79"/>
    <n v="250.05"/>
    <m/>
    <d v="2025-12-22T00:00:00"/>
    <n v="250.05"/>
    <x v="220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85"/>
    <n v="1"/>
    <n v="0"/>
    <m/>
    <m/>
    <m/>
    <d v="2025-12-22T00:00:00"/>
    <d v="2025-12-19T00:00:00"/>
    <n v="250.05"/>
    <d v="2025-12-18T00:00:00"/>
  </r>
  <r>
    <x v="0"/>
    <m/>
    <s v="2025"/>
    <s v="CR"/>
    <n v="420829"/>
    <n v="3177"/>
    <n v="468"/>
    <n v="0"/>
    <d v="2025-12-19T00:00:00"/>
    <s v="ARFF"/>
    <x v="292"/>
    <n v="267.81"/>
    <n v="32.54"/>
    <n v="300.35000000000002"/>
    <m/>
    <d v="2025-12-22T00:00:00"/>
    <n v="300.35000000000002"/>
    <x v="221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89"/>
    <n v="1"/>
    <n v="0"/>
    <m/>
    <m/>
    <m/>
    <d v="2025-12-22T00:00:00"/>
    <d v="2025-12-19T00:00:00"/>
    <n v="300.35000000000002"/>
    <d v="2025-12-18T00:00:00"/>
  </r>
  <r>
    <x v="0"/>
    <m/>
    <s v="2025"/>
    <s v="CR"/>
    <n v="420974"/>
    <n v="3249"/>
    <n v="476"/>
    <n v="0"/>
    <d v="2025-12-31T00:00:00"/>
    <s v="ARFF"/>
    <x v="293"/>
    <n v="700.38"/>
    <n v="38.520000000000003"/>
    <n v="738.9"/>
    <m/>
    <d v="2026-01-09T00:00:00"/>
    <n v="738.9"/>
    <x v="222"/>
    <n v="0"/>
    <m/>
    <m/>
    <m/>
    <m/>
    <m/>
    <m/>
    <n v="0"/>
    <n v="0"/>
    <n v="0"/>
    <x v="0"/>
    <x v="9"/>
    <x v="9"/>
    <s v=" "/>
    <s v="4221"/>
    <s v="60623"/>
    <s v=" "/>
    <m/>
    <x v="7"/>
    <x v="1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90"/>
    <n v="1"/>
    <n v="0"/>
    <m/>
    <m/>
    <m/>
    <d v="2026-01-09T00:00:00"/>
    <d v="2026-01-09T00:00:00"/>
    <n v="738.9"/>
    <d v="2026-01-08T00:00:00"/>
  </r>
  <r>
    <x v="2"/>
    <s v="1"/>
    <s v="2025"/>
    <s v="CR"/>
    <n v="423024"/>
    <n v="3649"/>
    <n v="483"/>
    <n v="0"/>
    <d v="2025-12-31T00:00:00"/>
    <s v="FIN"/>
    <x v="294"/>
    <n v="253.58"/>
    <n v="50.72"/>
    <n v="304.3"/>
    <m/>
    <m/>
    <n v="304.3"/>
    <x v="5"/>
    <n v="0"/>
    <m/>
    <m/>
    <m/>
    <m/>
    <m/>
    <m/>
    <n v="0"/>
    <n v="0"/>
    <n v="0"/>
    <x v="0"/>
    <x v="10"/>
    <x v="10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s v="CRAT - RATTACHEMENT 2025 REPAS CODIR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36"/>
    <n v="3650"/>
    <n v="483"/>
    <n v="0"/>
    <d v="2025-12-31T00:00:00"/>
    <s v="FIN"/>
    <x v="295"/>
    <n v="316.67"/>
    <n v="63.33"/>
    <n v="380"/>
    <m/>
    <m/>
    <n v="38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s v="CRAT - BUFFET DE NOEL POUR LES PARENTS SUCRE /SALE 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42"/>
    <n v="3651"/>
    <n v="483"/>
    <n v="0"/>
    <d v="2025-12-31T00:00:00"/>
    <s v="FIN"/>
    <x v="296"/>
    <n v="50"/>
    <n v="10"/>
    <n v="60"/>
    <m/>
    <m/>
    <n v="6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s v="CRAT - PRODUITS FRAIS YAOURTS + FRUITS GOUTER JP1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45"/>
    <n v="3652"/>
    <n v="483"/>
    <n v="0"/>
    <d v="2025-12-31T00:00:00"/>
    <s v="FIN"/>
    <x v="297"/>
    <n v="125"/>
    <n v="25"/>
    <n v="150"/>
    <m/>
    <m/>
    <n v="15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GOUTERS ET PETITS DEJEUNERS NOVEMBRE 1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48"/>
    <n v="3653"/>
    <n v="483"/>
    <n v="0"/>
    <d v="2025-12-31T00:00:00"/>
    <s v="FIN"/>
    <x v="298"/>
    <n v="125"/>
    <n v="25"/>
    <n v="150"/>
    <m/>
    <m/>
    <n v="15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GOUTERS ET PETITS DEJEUNERS DECEMBRE 1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51"/>
    <n v="3654"/>
    <n v="483"/>
    <n v="0"/>
    <d v="2025-12-31T00:00:00"/>
    <s v="FIN"/>
    <x v="299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GOUTERS ET PETITS DEJEUNERS NOVEMBRE 2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54"/>
    <n v="3655"/>
    <n v="483"/>
    <n v="0"/>
    <d v="2025-12-31T00:00:00"/>
    <s v="FIN"/>
    <x v="300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GOUTERS ET PETITS DEJEUNERS DECEMBRE 2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63"/>
    <n v="3656"/>
    <n v="483"/>
    <n v="0"/>
    <d v="2025-12-31T00:00:00"/>
    <s v="FIN"/>
    <x v="301"/>
    <n v="29.1"/>
    <n v="5.82"/>
    <n v="34.92"/>
    <m/>
    <m/>
    <n v="34.92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REPAS D HALLOWEEN 21 OCTOBRE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66"/>
    <n v="3657"/>
    <n v="483"/>
    <n v="0"/>
    <d v="2025-12-31T00:00:00"/>
    <s v="FIN"/>
    <x v="302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PATISSERIE VAC D OCTOBRE ELEM 2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69"/>
    <n v="3658"/>
    <n v="483"/>
    <n v="0"/>
    <d v="2025-12-31T00:00:00"/>
    <s v="FIN"/>
    <x v="303"/>
    <n v="166.67"/>
    <n v="33.33"/>
    <n v="200"/>
    <m/>
    <m/>
    <n v="2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RAT - YAOURTS GATEAUX VIENOISERIES JUS DE FRUITS ...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72"/>
    <n v="3659"/>
    <n v="483"/>
    <n v="0"/>
    <d v="2025-12-31T00:00:00"/>
    <s v="FIN"/>
    <x v="304"/>
    <n v="208.33"/>
    <n v="41.67"/>
    <n v="250"/>
    <m/>
    <m/>
    <n v="25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RAT - YAOURTS VIENNOISERIES GATEAUX JUS DE FRUITS ...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75"/>
    <n v="3660"/>
    <n v="483"/>
    <n v="0"/>
    <d v="2025-12-31T00:00:00"/>
    <s v="FIN"/>
    <x v="305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RAT - GATEAUX BOISSONS BONBONS 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81"/>
    <n v="3661"/>
    <n v="483"/>
    <n v="0"/>
    <d v="2025-12-31T00:00:00"/>
    <s v="FIN"/>
    <x v="306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RAT - FARINE OEUFS CHOCOLAT...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84"/>
    <n v="3662"/>
    <n v="483"/>
    <n v="0"/>
    <d v="2025-12-31T00:00:00"/>
    <s v="FIN"/>
    <x v="307"/>
    <n v="333.33"/>
    <n v="66.67"/>
    <n v="400"/>
    <m/>
    <m/>
    <n v="4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RAT - CHOCOLATS BOISSONS APERITIFS INGREDIENTS POUR PREP ATION CUL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87"/>
    <n v="3663"/>
    <n v="483"/>
    <n v="0"/>
    <d v="2025-12-31T00:00:00"/>
    <s v="FIN"/>
    <x v="308"/>
    <n v="250"/>
    <n v="50"/>
    <n v="300"/>
    <m/>
    <m/>
    <n v="3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RAT - AMUSE-BOUCHE SALEE SUCREE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99"/>
    <n v="3664"/>
    <n v="483"/>
    <n v="0"/>
    <d v="2025-12-31T00:00:00"/>
    <s v="FIN"/>
    <x v="309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PATISSERIE VAC DE NOEL MATER 1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02"/>
    <n v="3665"/>
    <n v="483"/>
    <n v="0"/>
    <d v="2025-12-31T00:00:00"/>
    <s v="FIN"/>
    <x v="310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PATISSERIE VAC DE NOEL ELEM 1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05"/>
    <n v="3666"/>
    <n v="483"/>
    <n v="0"/>
    <d v="2025-12-31T00:00:00"/>
    <s v="FIN"/>
    <x v="311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PATISSERIE VAC DE NOEL MATER 2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08"/>
    <n v="3667"/>
    <n v="483"/>
    <n v="0"/>
    <d v="2025-12-31T00:00:00"/>
    <s v="FIN"/>
    <x v="312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PATISSERIE VAC DE NOEL ELEM 2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11"/>
    <n v="3668"/>
    <n v="483"/>
    <n v="0"/>
    <d v="2025-12-31T00:00:00"/>
    <s v="FIN"/>
    <x v="313"/>
    <n v="66.67"/>
    <n v="13.33"/>
    <n v="80"/>
    <m/>
    <m/>
    <n v="8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GOUTER AMELIORE VAC DE NOEL SEMAINE 1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14"/>
    <n v="3669"/>
    <n v="483"/>
    <n v="0"/>
    <d v="2025-12-31T00:00:00"/>
    <s v="FIN"/>
    <x v="314"/>
    <n v="66.67"/>
    <n v="13.33"/>
    <n v="80"/>
    <m/>
    <m/>
    <n v="8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GOUTER AMELIORE VAC DE NOEL SEMAINE 2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17"/>
    <n v="3670"/>
    <n v="483"/>
    <n v="0"/>
    <d v="2025-12-31T00:00:00"/>
    <s v="FIN"/>
    <x v="315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VEILLEE TARTIFLETTE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20"/>
    <n v="3671"/>
    <n v="483"/>
    <n v="0"/>
    <d v="2025-12-31T00:00:00"/>
    <s v="FIN"/>
    <x v="316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RAT - FARINE, BEURRE, OEUFS ...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65"/>
    <n v="3672"/>
    <n v="483"/>
    <n v="0"/>
    <d v="2025-12-31T00:00:00"/>
    <s v="FIN"/>
    <x v="317"/>
    <n v="125"/>
    <n v="25"/>
    <n v="150"/>
    <m/>
    <m/>
    <n v="15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VEILLEE RACLETTE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68"/>
    <n v="3673"/>
    <n v="483"/>
    <n v="0"/>
    <d v="2025-12-31T00:00:00"/>
    <s v="FIN"/>
    <x v="318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GOUTER AMELIORE CHOCOLATS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95"/>
    <n v="3674"/>
    <n v="483"/>
    <n v="0"/>
    <d v="2025-12-31T00:00:00"/>
    <s v="FIN"/>
    <x v="319"/>
    <n v="11.37"/>
    <n v="2.27"/>
    <n v="13.64"/>
    <m/>
    <m/>
    <n v="13.64"/>
    <x v="5"/>
    <n v="0"/>
    <m/>
    <m/>
    <m/>
    <m/>
    <m/>
    <m/>
    <n v="0"/>
    <n v="0"/>
    <n v="0"/>
    <x v="0"/>
    <x v="10"/>
    <x v="10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s v="CRAT - RATTACHEMENT 2025 REUNION PM ET BAILLEURS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204"/>
    <n v="3675"/>
    <n v="483"/>
    <n v="0"/>
    <d v="2025-12-31T00:00:00"/>
    <s v="FIN"/>
    <x v="320"/>
    <n v="625"/>
    <n v="125"/>
    <n v="750"/>
    <m/>
    <m/>
    <n v="750"/>
    <x v="5"/>
    <n v="0"/>
    <m/>
    <m/>
    <m/>
    <m/>
    <m/>
    <m/>
    <n v="0"/>
    <n v="0"/>
    <n v="0"/>
    <x v="0"/>
    <x v="10"/>
    <x v="10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s v="CRAT - ACHAT D'OEUFS EN CHOCOLAT  ACHAT D'OEUFS EN CHOCOLATS POUR L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213"/>
    <n v="3676"/>
    <n v="483"/>
    <n v="0"/>
    <d v="2025-12-31T00:00:00"/>
    <s v="FIN"/>
    <x v="321"/>
    <n v="50"/>
    <n v="10"/>
    <n v="60"/>
    <m/>
    <m/>
    <n v="60"/>
    <x v="5"/>
    <n v="0"/>
    <m/>
    <m/>
    <m/>
    <m/>
    <m/>
    <m/>
    <n v="0"/>
    <n v="0"/>
    <n v="0"/>
    <x v="0"/>
    <x v="10"/>
    <x v="10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s v="CRAT - ACHAT DE BONBONS POUR LE MARCHE DE NOEL  ACHAT DE BONBONS PO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372"/>
    <n v="3677"/>
    <n v="483"/>
    <n v="0"/>
    <d v="2025-12-31T00:00:00"/>
    <s v="FIN"/>
    <x v="322"/>
    <n v="13.13"/>
    <n v="2.62"/>
    <n v="15.75"/>
    <m/>
    <m/>
    <n v="15.75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12"/>
    <s v="011"/>
    <s v="CHARGES A CARACTERE GENERAL"/>
    <s v="011"/>
    <s v="CHARGES A CARACTERE GENERAL"/>
    <m/>
    <m/>
    <m/>
    <m/>
    <m/>
    <m/>
    <m/>
    <m/>
    <m/>
    <m/>
    <m/>
    <s v="CRAT - RATTACHEMENT 2025  REPAS LOTO CLUB ADOS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387"/>
    <n v="3678"/>
    <n v="483"/>
    <n v="0"/>
    <d v="2025-12-31T00:00:00"/>
    <s v="FIN"/>
    <x v="323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ATELIER PATISSERIE SEMAINE 01 VACS AUTOMNE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390"/>
    <n v="3679"/>
    <n v="483"/>
    <n v="0"/>
    <d v="2025-12-31T00:00:00"/>
    <s v="FIN"/>
    <x v="324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ATELIER PATISSERIE SEMAINE 02 VACS AUTOMNE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393"/>
    <n v="3680"/>
    <n v="483"/>
    <n v="0"/>
    <d v="2025-12-31T00:00:00"/>
    <s v="FIN"/>
    <x v="325"/>
    <n v="125"/>
    <n v="25"/>
    <n v="150"/>
    <m/>
    <m/>
    <n v="15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GOUTERS VACANCES DE NOEL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396"/>
    <n v="3681"/>
    <n v="483"/>
    <n v="0"/>
    <d v="2025-12-31T00:00:00"/>
    <s v="FIN"/>
    <x v="326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REPAS AU CLUB 01 VACANCES DE NOEL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399"/>
    <n v="3682"/>
    <n v="483"/>
    <n v="0"/>
    <d v="2025-12-31T00:00:00"/>
    <s v="FIN"/>
    <x v="327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REPAS AU CLUB 02 VACANCES DE NOEL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02"/>
    <n v="3683"/>
    <n v="483"/>
    <n v="0"/>
    <d v="2025-12-31T00:00:00"/>
    <s v="FIN"/>
    <x v="328"/>
    <n v="41.67"/>
    <n v="8.33"/>
    <n v="50"/>
    <m/>
    <m/>
    <n v="5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ATELIER PATISSERIE 01 VACANCES DE NOEL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05"/>
    <n v="3684"/>
    <n v="483"/>
    <n v="0"/>
    <d v="2025-12-31T00:00:00"/>
    <s v="FIN"/>
    <x v="328"/>
    <n v="41.67"/>
    <n v="8.33"/>
    <n v="50"/>
    <m/>
    <m/>
    <n v="5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ATELIER PATISSERIE 01 VACANCES DE NOEL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08"/>
    <n v="3685"/>
    <n v="483"/>
    <n v="0"/>
    <d v="2025-12-31T00:00:00"/>
    <s v="FIN"/>
    <x v="329"/>
    <n v="124.45"/>
    <n v="24.89"/>
    <n v="149.34"/>
    <m/>
    <m/>
    <n v="149.34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SOIREE VACANCES DE NOEL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32"/>
    <n v="3686"/>
    <n v="483"/>
    <n v="0"/>
    <d v="2025-12-31T00:00:00"/>
    <s v="FIN"/>
    <x v="330"/>
    <n v="41.67"/>
    <n v="8.33"/>
    <n v="50"/>
    <m/>
    <m/>
    <n v="5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ATELIER PATISSERIE GATEAU DE BONBONS VACANCES DE N OEL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35"/>
    <n v="3687"/>
    <n v="483"/>
    <n v="0"/>
    <d v="2025-12-31T00:00:00"/>
    <s v="FIN"/>
    <x v="331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ATELIER PATISSERIE CREPES PARTY DU 12/11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38"/>
    <n v="3688"/>
    <n v="483"/>
    <n v="0"/>
    <d v="2025-12-31T00:00:00"/>
    <s v="FIN"/>
    <x v="332"/>
    <n v="41.67"/>
    <n v="8.33"/>
    <n v="50"/>
    <m/>
    <m/>
    <n v="5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ATELIER PATISSERIE COOKIES DE NOEL DU 03/12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53"/>
    <n v="3689"/>
    <n v="483"/>
    <n v="0"/>
    <d v="2025-12-31T00:00:00"/>
    <s v="FIN"/>
    <x v="333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s v="CRAT - course alimentaire pour la prestation du comédien  David DES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56"/>
    <n v="3690"/>
    <n v="483"/>
    <n v="0"/>
    <d v="2025-12-31T00:00:00"/>
    <s v="FIN"/>
    <x v="334"/>
    <n v="291.67"/>
    <n v="58.33"/>
    <n v="350"/>
    <m/>
    <m/>
    <n v="35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s v="CRAT - course pour le BAL D'HIVER pour 60 personnes 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68"/>
    <n v="3691"/>
    <n v="483"/>
    <n v="0"/>
    <d v="2025-12-31T00:00:00"/>
    <s v="FIN"/>
    <x v="335"/>
    <n v="208.33"/>
    <n v="41.67"/>
    <n v="250"/>
    <m/>
    <m/>
    <n v="25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s v="CRAT - Course fin d'année  (café, goûter jeunes, farine e tc)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504"/>
    <n v="3692"/>
    <n v="483"/>
    <n v="0"/>
    <d v="2025-12-31T00:00:00"/>
    <s v="FIN"/>
    <x v="336"/>
    <n v="703.48"/>
    <n v="38.69"/>
    <n v="742.17"/>
    <m/>
    <m/>
    <n v="742.17"/>
    <x v="5"/>
    <n v="0"/>
    <m/>
    <m/>
    <m/>
    <m/>
    <m/>
    <m/>
    <n v="0"/>
    <n v="0"/>
    <n v="0"/>
    <x v="0"/>
    <x v="10"/>
    <x v="10"/>
    <s v=" "/>
    <s v="4221"/>
    <s v="60623"/>
    <s v=" "/>
    <m/>
    <x v="7"/>
    <x v="11"/>
    <s v="011"/>
    <s v="CHARGES A CARACTERE GENERAL"/>
    <s v="011"/>
    <s v="CHARGES A CARACTERE GENERAL"/>
    <m/>
    <m/>
    <m/>
    <m/>
    <m/>
    <m/>
    <m/>
    <m/>
    <m/>
    <m/>
    <m/>
    <s v="CRAT - Achat de baguettes pour accompagner les repas des  enfants d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534"/>
    <n v="3693"/>
    <n v="483"/>
    <n v="0"/>
    <d v="2025-12-31T00:00:00"/>
    <s v="FIN"/>
    <x v="337"/>
    <n v="668.44"/>
    <n v="133.69999999999999"/>
    <n v="802.14"/>
    <m/>
    <m/>
    <n v="802.14"/>
    <x v="5"/>
    <n v="0"/>
    <m/>
    <m/>
    <m/>
    <m/>
    <m/>
    <m/>
    <n v="0"/>
    <n v="0"/>
    <n v="0"/>
    <x v="0"/>
    <x v="10"/>
    <x v="10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s v="CRAT - PAIN POUR LA RESTAURATION SCOLAIREMOIS DE FEVRIER  - AVRIL -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537"/>
    <n v="3694"/>
    <n v="483"/>
    <n v="0"/>
    <d v="2025-12-31T00:00:00"/>
    <s v="FIN"/>
    <x v="338"/>
    <n v="27.84"/>
    <n v="5.58"/>
    <n v="33.42"/>
    <m/>
    <m/>
    <n v="33.42"/>
    <x v="5"/>
    <n v="0"/>
    <m/>
    <m/>
    <m/>
    <m/>
    <m/>
    <m/>
    <n v="0"/>
    <n v="0"/>
    <n v="0"/>
    <x v="0"/>
    <x v="10"/>
    <x v="10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s v="CRAT - PAIN ACCUEIL PERISCOLAIRE CENTRE DE LOISIRS PETIT  PRINCEMOI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540"/>
    <n v="3695"/>
    <n v="483"/>
    <n v="0"/>
    <d v="2025-12-31T00:00:00"/>
    <s v="FIN"/>
    <x v="339"/>
    <n v="34.79"/>
    <n v="6.98"/>
    <n v="41.77"/>
    <m/>
    <m/>
    <n v="41.77"/>
    <x v="5"/>
    <n v="0"/>
    <m/>
    <m/>
    <m/>
    <m/>
    <m/>
    <m/>
    <n v="0"/>
    <n v="0"/>
    <n v="0"/>
    <x v="0"/>
    <x v="10"/>
    <x v="10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s v="CRAT - PAIN ACCUEIL PERISCOLAIRE CENTRE DE LOISIRS LOUISE  MICHELMO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543"/>
    <n v="3696"/>
    <n v="483"/>
    <n v="0"/>
    <d v="2025-12-31T00:00:00"/>
    <s v="FIN"/>
    <x v="340"/>
    <n v="27.93"/>
    <n v="5.59"/>
    <n v="33.520000000000003"/>
    <m/>
    <m/>
    <n v="33.520000000000003"/>
    <x v="5"/>
    <n v="0"/>
    <m/>
    <m/>
    <m/>
    <m/>
    <m/>
    <m/>
    <n v="0"/>
    <n v="0"/>
    <n v="0"/>
    <x v="0"/>
    <x v="10"/>
    <x v="10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s v="CRAT - PAIN ACCUEIL PERISCOLAIRE JP1MOIS DE FEVRIER - AVR IL - JUIN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546"/>
    <n v="3697"/>
    <n v="483"/>
    <n v="0"/>
    <d v="2025-12-31T00:00:00"/>
    <s v="FIN"/>
    <x v="341"/>
    <n v="5.54"/>
    <n v="1.1100000000000001"/>
    <n v="6.65"/>
    <m/>
    <m/>
    <n v="6.65"/>
    <x v="5"/>
    <n v="0"/>
    <m/>
    <m/>
    <m/>
    <m/>
    <m/>
    <m/>
    <n v="0"/>
    <n v="0"/>
    <n v="0"/>
    <x v="0"/>
    <x v="10"/>
    <x v="10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s v="CRAT - PAIN RESTAURANT COMMUNALMOIS DE FEVRIER - AVRIL -  JUIN - AO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597"/>
    <n v="3698"/>
    <n v="483"/>
    <n v="0"/>
    <d v="2025-12-31T00:00:00"/>
    <s v="FIN"/>
    <x v="342"/>
    <n v="21.66"/>
    <n v="4.34"/>
    <n v="26"/>
    <m/>
    <m/>
    <n v="26"/>
    <x v="5"/>
    <n v="0"/>
    <m/>
    <m/>
    <m/>
    <m/>
    <m/>
    <m/>
    <n v="0"/>
    <n v="0"/>
    <n v="0"/>
    <x v="0"/>
    <x v="10"/>
    <x v="10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s v="CRAT - PAIN RESTAURANT COMMUNALMOIS DE FEVRIER - AOUT OCT OBRE ET D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660"/>
    <n v="3699"/>
    <n v="483"/>
    <n v="0"/>
    <d v="2025-12-31T00:00:00"/>
    <s v="FIN"/>
    <x v="343"/>
    <n v="477.73"/>
    <n v="26.27"/>
    <n v="504"/>
    <m/>
    <m/>
    <n v="504"/>
    <x v="5"/>
    <n v="0"/>
    <m/>
    <m/>
    <m/>
    <m/>
    <m/>
    <m/>
    <n v="0"/>
    <n v="0"/>
    <n v="0"/>
    <x v="0"/>
    <x v="10"/>
    <x v="10"/>
    <s v=" "/>
    <s v="201"/>
    <s v="60623"/>
    <s v=" "/>
    <m/>
    <x v="4"/>
    <x v="2"/>
    <s v="011"/>
    <s v="CHARGES A CARACTERE GENERAL"/>
    <s v="011"/>
    <s v="CHARGES A CARACTERE GENERAL"/>
    <m/>
    <m/>
    <m/>
    <m/>
    <m/>
    <m/>
    <m/>
    <m/>
    <m/>
    <m/>
    <m/>
    <s v="CRAT - MINI VIENNOISERIES POUR LE GOUTER DE NOEL DES ECOL ES MATERN"/>
    <m/>
    <m/>
    <m/>
    <m/>
    <m/>
    <m/>
    <n v="0"/>
    <n v="0"/>
    <m/>
    <m/>
    <m/>
    <m/>
    <d v="2026-02-19T00:00:00"/>
    <n v="0"/>
    <d v="2026-02-18T00:00:00"/>
  </r>
</pivotCacheRecords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_rels/pivotTable2.xml.rels><?xml version="1.0" encoding="UTF-8" standalone="yes"?><Relationships xmlns="http://schemas.openxmlformats.org/package/2006/relationships"><Relationship Id="rId1" Target="../pivotCache/pivotCacheDefinition2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A7CA0-361F-41D0-B4EC-9E22FA06E5D3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Service" colHeaderCaption="Antenne">
  <location ref="A3:D14" firstHeaderRow="1" firstDataRow="2" firstDataCol="1"/>
  <pivotFields count="25">
    <pivotField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4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58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showAll="0">
      <items count="85">
        <item x="1"/>
        <item x="0"/>
        <item x="4"/>
        <item x="6"/>
        <item x="9"/>
        <item x="5"/>
        <item x="7"/>
        <item x="10"/>
        <item x="8"/>
        <item x="11"/>
        <item x="12"/>
        <item x="13"/>
        <item x="14"/>
        <item x="15"/>
        <item x="16"/>
        <item x="20"/>
        <item x="17"/>
        <item x="18"/>
        <item x="19"/>
        <item x="21"/>
        <item x="24"/>
        <item x="22"/>
        <item x="23"/>
        <item x="25"/>
        <item x="26"/>
        <item x="27"/>
        <item x="29"/>
        <item x="30"/>
        <item x="31"/>
        <item x="28"/>
        <item x="34"/>
        <item x="36"/>
        <item x="35"/>
        <item x="44"/>
        <item x="45"/>
        <item x="46"/>
        <item x="38"/>
        <item x="37"/>
        <item x="49"/>
        <item x="47"/>
        <item x="48"/>
        <item x="41"/>
        <item x="42"/>
        <item x="43"/>
        <item x="39"/>
        <item x="40"/>
        <item x="51"/>
        <item x="50"/>
        <item x="52"/>
        <item x="53"/>
        <item x="56"/>
        <item x="54"/>
        <item x="57"/>
        <item x="55"/>
        <item x="58"/>
        <item x="59"/>
        <item x="60"/>
        <item x="61"/>
        <item x="62"/>
        <item x="81"/>
        <item x="71"/>
        <item x="64"/>
        <item x="65"/>
        <item x="66"/>
        <item x="67"/>
        <item x="68"/>
        <item x="70"/>
        <item x="63"/>
        <item x="69"/>
        <item x="73"/>
        <item x="76"/>
        <item x="82"/>
        <item x="75"/>
        <item x="72"/>
        <item x="74"/>
        <item x="80"/>
        <item x="79"/>
        <item x="83"/>
        <item x="77"/>
        <item x="78"/>
        <item x="33"/>
        <item x="32"/>
        <item x="2"/>
        <item x="3"/>
        <item t="default"/>
      </items>
    </pivotField>
    <pivotField numFmtId="14" showAll="0"/>
    <pivotField numFmtId="4" showAll="0">
      <items count="84">
        <item x="75"/>
        <item x="56"/>
        <item x="80"/>
        <item x="54"/>
        <item x="46"/>
        <item x="25"/>
        <item x="42"/>
        <item x="22"/>
        <item x="10"/>
        <item x="8"/>
        <item x="50"/>
        <item x="59"/>
        <item x="44"/>
        <item x="24"/>
        <item x="51"/>
        <item x="21"/>
        <item x="6"/>
        <item x="68"/>
        <item x="34"/>
        <item x="1"/>
        <item x="45"/>
        <item x="15"/>
        <item x="0"/>
        <item x="77"/>
        <item x="65"/>
        <item x="18"/>
        <item x="36"/>
        <item x="61"/>
        <item x="29"/>
        <item x="38"/>
        <item x="43"/>
        <item x="74"/>
        <item x="60"/>
        <item x="39"/>
        <item x="69"/>
        <item x="62"/>
        <item x="49"/>
        <item x="11"/>
        <item x="76"/>
        <item x="33"/>
        <item x="37"/>
        <item x="30"/>
        <item x="53"/>
        <item x="20"/>
        <item x="82"/>
        <item x="70"/>
        <item x="81"/>
        <item x="40"/>
        <item x="19"/>
        <item x="78"/>
        <item x="41"/>
        <item x="32"/>
        <item x="23"/>
        <item x="31"/>
        <item x="9"/>
        <item x="7"/>
        <item x="5"/>
        <item x="67"/>
        <item x="64"/>
        <item x="26"/>
        <item x="14"/>
        <item x="63"/>
        <item x="27"/>
        <item x="52"/>
        <item x="55"/>
        <item x="13"/>
        <item x="71"/>
        <item x="73"/>
        <item x="48"/>
        <item x="57"/>
        <item x="58"/>
        <item x="2"/>
        <item x="17"/>
        <item x="3"/>
        <item x="28"/>
        <item x="12"/>
        <item x="72"/>
        <item x="16"/>
        <item x="66"/>
        <item x="35"/>
        <item x="47"/>
        <item x="79"/>
        <item x="4"/>
        <item t="default"/>
      </items>
    </pivotField>
    <pivotField numFmtId="4" showAll="0"/>
    <pivotField dataField="1" numFmtId="4" showAll="0">
      <items count="84">
        <item x="75"/>
        <item x="56"/>
        <item x="80"/>
        <item x="54"/>
        <item x="46"/>
        <item x="25"/>
        <item x="42"/>
        <item x="22"/>
        <item x="10"/>
        <item x="8"/>
        <item x="50"/>
        <item x="59"/>
        <item x="44"/>
        <item x="24"/>
        <item x="51"/>
        <item x="21"/>
        <item x="6"/>
        <item x="68"/>
        <item x="34"/>
        <item x="1"/>
        <item x="45"/>
        <item x="15"/>
        <item x="0"/>
        <item x="77"/>
        <item x="65"/>
        <item x="18"/>
        <item x="36"/>
        <item x="61"/>
        <item x="29"/>
        <item x="38"/>
        <item x="43"/>
        <item x="74"/>
        <item x="60"/>
        <item x="39"/>
        <item x="69"/>
        <item x="62"/>
        <item x="49"/>
        <item x="11"/>
        <item x="76"/>
        <item x="33"/>
        <item x="37"/>
        <item x="30"/>
        <item x="53"/>
        <item x="20"/>
        <item x="82"/>
        <item x="70"/>
        <item x="81"/>
        <item x="40"/>
        <item x="19"/>
        <item x="78"/>
        <item x="41"/>
        <item x="23"/>
        <item x="9"/>
        <item x="32"/>
        <item x="31"/>
        <item x="7"/>
        <item x="5"/>
        <item x="67"/>
        <item x="64"/>
        <item x="26"/>
        <item x="14"/>
        <item x="63"/>
        <item x="27"/>
        <item x="52"/>
        <item x="55"/>
        <item x="13"/>
        <item x="71"/>
        <item x="73"/>
        <item x="48"/>
        <item x="57"/>
        <item x="58"/>
        <item x="2"/>
        <item x="17"/>
        <item x="3"/>
        <item x="28"/>
        <item x="12"/>
        <item x="72"/>
        <item x="16"/>
        <item x="66"/>
        <item x="35"/>
        <item x="47"/>
        <item x="79"/>
        <item x="4"/>
        <item t="default"/>
      </items>
    </pivotField>
    <pivotField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42">
        <item x="6"/>
        <item x="0"/>
        <item x="1"/>
        <item x="4"/>
        <item x="2"/>
        <item x="5"/>
        <item x="3"/>
        <item x="7"/>
        <item x="8"/>
        <item x="9"/>
        <item x="12"/>
        <item x="13"/>
        <item x="10"/>
        <item x="11"/>
        <item x="14"/>
        <item x="17"/>
        <item x="16"/>
        <item x="23"/>
        <item x="19"/>
        <item x="18"/>
        <item x="21"/>
        <item x="24"/>
        <item x="25"/>
        <item x="20"/>
        <item x="26"/>
        <item x="22"/>
        <item x="28"/>
        <item x="30"/>
        <item x="27"/>
        <item x="29"/>
        <item x="33"/>
        <item x="40"/>
        <item x="31"/>
        <item x="34"/>
        <item x="37"/>
        <item x="35"/>
        <item x="36"/>
        <item x="38"/>
        <item x="32"/>
        <item x="39"/>
        <item x="15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axis="axisRow" multipleItemSelectionAllowed="1" showAll="0">
      <items count="3">
        <item x="0"/>
        <item x="1"/>
        <item t="default"/>
      </items>
    </pivotField>
    <pivotField axis="axisCol" showAll="0">
      <items count="7">
        <item n=" " h="1" x="0"/>
        <item x="5"/>
        <item x="4"/>
        <item h="1" x="2"/>
        <item h="1" x="3"/>
        <item h="1" x="1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</pivotFields>
  <rowFields count="3">
    <field x="18"/>
    <field x="9"/>
    <field x="10"/>
  </rowFields>
  <rowItems count="10">
    <i>
      <x/>
    </i>
    <i r="1">
      <x/>
    </i>
    <i r="2">
      <x v="5"/>
    </i>
    <i r="2">
      <x v="24"/>
    </i>
    <i r="2">
      <x v="28"/>
    </i>
    <i r="2">
      <x v="35"/>
    </i>
    <i>
      <x v="1"/>
    </i>
    <i r="1">
      <x/>
    </i>
    <i r="2">
      <x/>
    </i>
    <i t="grand">
      <x/>
    </i>
  </rowItems>
  <colFields count="1">
    <field x="19"/>
  </colFields>
  <colItems count="3">
    <i>
      <x v="1"/>
    </i>
    <i>
      <x v="2"/>
    </i>
    <i t="grand">
      <x/>
    </i>
  </colItems>
  <dataFields count="1">
    <dataField name=" " fld="7" baseField="0" baseItem="0" numFmtId="4"/>
  </dataFields>
  <formats count="3">
    <format dxfId="8">
      <pivotArea field="19" type="button" dataOnly="0" labelOnly="1" outline="0" axis="axisCol" fieldPosition="0"/>
    </format>
    <format dxfId="7">
      <pivotArea type="topRight" dataOnly="0" labelOnly="1" outline="0" fieldPosition="0"/>
    </format>
    <format dxfId="6">
      <pivotArea type="origin" dataOnly="0" labelOnly="1" outline="0" fieldPosition="0"/>
    </format>
  </formats>
  <pivotTableStyleInfo name="PivotStyleLight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63DBE-9E71-4243-A4BE-D618B0AF895C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chartFormat="6" rowHeaderCaption=" Service" colHeaderCaption="Antenne">
  <location ref="A5:E86" firstHeaderRow="1" firstDataRow="2" firstDataCol="1"/>
  <pivotFields count="69"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multipleItemSelectionAllowed="1" showAll="0">
      <items count="345">
        <item h="1" x="336"/>
        <item h="1" x="321"/>
        <item x="320"/>
        <item x="226"/>
        <item x="190"/>
        <item x="308"/>
        <item x="328"/>
        <item x="332"/>
        <item x="331"/>
        <item x="330"/>
        <item x="323"/>
        <item x="324"/>
        <item x="184"/>
        <item x="295"/>
        <item x="307"/>
        <item x="333"/>
        <item x="335"/>
        <item x="334"/>
        <item x="221"/>
        <item x="220"/>
        <item x="64"/>
        <item x="2"/>
        <item x="3"/>
        <item x="132"/>
        <item x="278"/>
        <item x="0"/>
        <item x="133"/>
        <item x="274"/>
        <item x="4"/>
        <item x="277"/>
        <item x="1"/>
        <item x="276"/>
        <item x="129"/>
        <item x="135"/>
        <item x="275"/>
        <item x="130"/>
        <item x="131"/>
        <item x="293"/>
        <item x="98"/>
        <item x="97"/>
        <item x="54"/>
        <item x="73"/>
        <item x="22"/>
        <item x="23"/>
        <item x="28"/>
        <item x="8"/>
        <item x="24"/>
        <item x="25"/>
        <item x="26"/>
        <item x="37"/>
        <item x="38"/>
        <item x="36"/>
        <item x="35"/>
        <item x="27"/>
        <item x="33"/>
        <item x="32"/>
        <item x="46"/>
        <item x="44"/>
        <item x="45"/>
        <item x="59"/>
        <item x="50"/>
        <item x="49"/>
        <item x="48"/>
        <item x="47"/>
        <item x="113"/>
        <item x="174"/>
        <item x="55"/>
        <item x="79"/>
        <item x="252"/>
        <item x="114"/>
        <item x="81"/>
        <item x="80"/>
        <item x="82"/>
        <item x="85"/>
        <item x="84"/>
        <item x="83"/>
        <item x="41"/>
        <item x="115"/>
        <item x="51"/>
        <item x="103"/>
        <item x="91"/>
        <item x="213"/>
        <item x="90"/>
        <item x="89"/>
        <item x="102"/>
        <item x="88"/>
        <item x="212"/>
        <item x="52"/>
        <item x="87"/>
        <item x="86"/>
        <item x="104"/>
        <item x="92"/>
        <item x="93"/>
        <item x="120"/>
        <item x="124"/>
        <item x="118"/>
        <item x="107"/>
        <item x="101"/>
        <item x="223"/>
        <item x="94"/>
        <item x="95"/>
        <item x="175"/>
        <item x="122"/>
        <item x="191"/>
        <item x="192"/>
        <item x="176"/>
        <item x="121"/>
        <item x="139"/>
        <item x="123"/>
        <item x="108"/>
        <item x="268"/>
        <item x="140"/>
        <item x="110"/>
        <item x="138"/>
        <item x="136"/>
        <item x="198"/>
        <item x="199"/>
        <item x="141"/>
        <item x="200"/>
        <item x="109"/>
        <item x="142"/>
        <item x="202"/>
        <item x="163"/>
        <item x="144"/>
        <item x="201"/>
        <item x="143"/>
        <item x="125"/>
        <item x="193"/>
        <item x="119"/>
        <item x="147"/>
        <item x="145"/>
        <item x="203"/>
        <item x="205"/>
        <item x="204"/>
        <item x="146"/>
        <item x="195"/>
        <item x="194"/>
        <item x="116"/>
        <item x="148"/>
        <item x="117"/>
        <item x="164"/>
        <item x="165"/>
        <item x="151"/>
        <item x="150"/>
        <item x="149"/>
        <item x="154"/>
        <item x="166"/>
        <item x="152"/>
        <item x="167"/>
        <item x="168"/>
        <item x="153"/>
        <item x="159"/>
        <item x="178"/>
        <item x="173"/>
        <item x="177"/>
        <item x="214"/>
        <item x="170"/>
        <item x="207"/>
        <item x="208"/>
        <item x="171"/>
        <item x="155"/>
        <item x="209"/>
        <item x="215"/>
        <item x="211"/>
        <item x="216"/>
        <item x="181"/>
        <item x="180"/>
        <item x="245"/>
        <item x="222"/>
        <item x="244"/>
        <item x="243"/>
        <item x="246"/>
        <item x="227"/>
        <item x="229"/>
        <item x="228"/>
        <item x="231"/>
        <item x="230"/>
        <item x="242"/>
        <item x="254"/>
        <item x="255"/>
        <item x="253"/>
        <item x="247"/>
        <item x="249"/>
        <item x="256"/>
        <item x="257"/>
        <item x="258"/>
        <item x="259"/>
        <item x="250"/>
        <item x="251"/>
        <item x="260"/>
        <item x="261"/>
        <item x="262"/>
        <item x="263"/>
        <item x="269"/>
        <item x="270"/>
        <item x="271"/>
        <item x="272"/>
        <item x="289"/>
        <item x="291"/>
        <item x="290"/>
        <item x="292"/>
        <item x="16"/>
        <item x="15"/>
        <item x="14"/>
        <item x="13"/>
        <item x="12"/>
        <item x="11"/>
        <item x="29"/>
        <item x="30"/>
        <item x="68"/>
        <item x="31"/>
        <item x="106"/>
        <item x="40"/>
        <item x="58"/>
        <item x="105"/>
        <item x="39"/>
        <item x="42"/>
        <item x="66"/>
        <item x="67"/>
        <item x="197"/>
        <item x="57"/>
        <item x="56"/>
        <item x="196"/>
        <item x="77"/>
        <item x="78"/>
        <item x="76"/>
        <item x="137"/>
        <item x="206"/>
        <item x="162"/>
        <item x="75"/>
        <item x="100"/>
        <item x="74"/>
        <item x="225"/>
        <item x="169"/>
        <item x="172"/>
        <item x="96"/>
        <item x="217"/>
        <item x="218"/>
        <item x="248"/>
        <item x="234"/>
        <item x="273"/>
        <item x="283"/>
        <item x="287"/>
        <item x="284"/>
        <item x="161"/>
        <item x="158"/>
        <item x="160"/>
        <item x="157"/>
        <item x="156"/>
        <item x="179"/>
        <item x="224"/>
        <item x="235"/>
        <item x="241"/>
        <item x="240"/>
        <item x="239"/>
        <item x="238"/>
        <item x="237"/>
        <item x="236"/>
        <item x="286"/>
        <item x="285"/>
        <item x="282"/>
        <item x="281"/>
        <item x="280"/>
        <item x="279"/>
        <item x="60"/>
        <item x="61"/>
        <item x="62"/>
        <item x="65"/>
        <item x="63"/>
        <item x="288"/>
        <item x="134"/>
        <item x="219"/>
        <item x="306"/>
        <item x="316"/>
        <item x="305"/>
        <item x="318"/>
        <item x="313"/>
        <item x="314"/>
        <item x="9"/>
        <item x="298"/>
        <item x="300"/>
        <item x="297"/>
        <item x="299"/>
        <item x="325"/>
        <item x="18"/>
        <item x="21"/>
        <item x="19"/>
        <item x="20"/>
        <item x="343"/>
        <item x="339"/>
        <item x="338"/>
        <item x="340"/>
        <item x="337"/>
        <item x="342"/>
        <item x="341"/>
        <item x="302"/>
        <item x="310"/>
        <item x="312"/>
        <item x="309"/>
        <item x="311"/>
        <item x="296"/>
        <item x="34"/>
        <item x="7"/>
        <item x="210"/>
        <item x="322"/>
        <item x="294"/>
        <item x="319"/>
        <item x="183"/>
        <item x="69"/>
        <item x="53"/>
        <item x="186"/>
        <item x="182"/>
        <item x="43"/>
        <item x="112"/>
        <item x="111"/>
        <item x="99"/>
        <item x="70"/>
        <item x="71"/>
        <item x="72"/>
        <item x="233"/>
        <item x="232"/>
        <item x="188"/>
        <item x="266"/>
        <item x="267"/>
        <item x="265"/>
        <item x="264"/>
        <item x="6"/>
        <item x="5"/>
        <item x="185"/>
        <item x="187"/>
        <item x="126"/>
        <item x="127"/>
        <item x="128"/>
        <item x="326"/>
        <item x="10"/>
        <item x="327"/>
        <item x="301"/>
        <item x="189"/>
        <item x="329"/>
        <item x="317"/>
        <item x="315"/>
        <item x="17"/>
        <item x="303"/>
        <item x="304"/>
        <item t="default"/>
      </items>
    </pivotField>
    <pivotField numFmtId="4" showAll="0"/>
    <pivotField numFmtId="4" showAll="0"/>
    <pivotField dataField="1" numFmtId="4" showAll="0"/>
    <pivotField showAll="0"/>
    <pivotField showAll="0"/>
    <pivotField numFmtId="4" showAll="0"/>
    <pivotField axis="axisRow" multipleItemSelectionAllowed="1" showAll="0">
      <items count="224">
        <item x="16"/>
        <item x="33"/>
        <item x="17"/>
        <item x="37"/>
        <item x="42"/>
        <item x="44"/>
        <item x="28"/>
        <item x="29"/>
        <item x="18"/>
        <item x="21"/>
        <item x="22"/>
        <item x="25"/>
        <item x="23"/>
        <item x="24"/>
        <item x="35"/>
        <item x="20"/>
        <item x="32"/>
        <item x="19"/>
        <item x="36"/>
        <item x="47"/>
        <item x="46"/>
        <item x="45"/>
        <item x="34"/>
        <item x="31"/>
        <item x="41"/>
        <item x="149"/>
        <item x="43"/>
        <item x="48"/>
        <item x="78"/>
        <item x="77"/>
        <item x="79"/>
        <item x="107"/>
        <item x="102"/>
        <item x="91"/>
        <item x="65"/>
        <item x="66"/>
        <item x="69"/>
        <item x="165"/>
        <item x="76"/>
        <item x="75"/>
        <item x="72"/>
        <item x="63"/>
        <item x="105"/>
        <item x="98"/>
        <item x="92"/>
        <item x="64"/>
        <item x="70"/>
        <item x="74"/>
        <item x="71"/>
        <item x="67"/>
        <item x="68"/>
        <item x="164"/>
        <item x="73"/>
        <item x="93"/>
        <item x="191"/>
        <item x="212"/>
        <item x="175"/>
        <item x="96"/>
        <item x="100"/>
        <item x="216"/>
        <item x="210"/>
        <item x="215"/>
        <item x="104"/>
        <item x="111"/>
        <item x="114"/>
        <item x="113"/>
        <item x="119"/>
        <item x="117"/>
        <item x="187"/>
        <item x="180"/>
        <item x="108"/>
        <item x="106"/>
        <item x="112"/>
        <item x="115"/>
        <item x="116"/>
        <item x="188"/>
        <item x="186"/>
        <item x="189"/>
        <item x="123"/>
        <item x="167"/>
        <item x="178"/>
        <item x="177"/>
        <item x="120"/>
        <item x="166"/>
        <item x="179"/>
        <item x="176"/>
        <item x="207"/>
        <item x="147"/>
        <item x="146"/>
        <item x="148"/>
        <item x="109"/>
        <item x="110"/>
        <item x="118"/>
        <item x="122"/>
        <item x="121"/>
        <item x="124"/>
        <item x="133"/>
        <item x="168"/>
        <item x="101"/>
        <item x="142"/>
        <item x="143"/>
        <item x="99"/>
        <item x="94"/>
        <item x="103"/>
        <item x="97"/>
        <item x="95"/>
        <item x="140"/>
        <item x="89"/>
        <item x="185"/>
        <item x="194"/>
        <item x="192"/>
        <item x="190"/>
        <item x="193"/>
        <item x="196"/>
        <item x="206"/>
        <item x="220"/>
        <item x="218"/>
        <item x="198"/>
        <item x="197"/>
        <item x="205"/>
        <item x="221"/>
        <item x="219"/>
        <item x="55"/>
        <item x="39"/>
        <item x="38"/>
        <item x="82"/>
        <item x="53"/>
        <item x="170"/>
        <item x="174"/>
        <item x="181"/>
        <item x="214"/>
        <item x="171"/>
        <item x="217"/>
        <item x="6"/>
        <item x="62"/>
        <item x="162"/>
        <item x="8"/>
        <item x="7"/>
        <item x="30"/>
        <item x="9"/>
        <item x="26"/>
        <item x="27"/>
        <item x="51"/>
        <item x="56"/>
        <item x="195"/>
        <item x="150"/>
        <item x="40"/>
        <item x="49"/>
        <item x="85"/>
        <item x="84"/>
        <item x="136"/>
        <item x="52"/>
        <item x="86"/>
        <item x="87"/>
        <item x="144"/>
        <item x="90"/>
        <item x="156"/>
        <item x="88"/>
        <item x="169"/>
        <item x="152"/>
        <item x="151"/>
        <item x="153"/>
        <item x="125"/>
        <item x="154"/>
        <item x="155"/>
        <item x="157"/>
        <item x="131"/>
        <item x="158"/>
        <item x="134"/>
        <item x="126"/>
        <item x="127"/>
        <item x="130"/>
        <item x="163"/>
        <item x="128"/>
        <item x="129"/>
        <item x="135"/>
        <item x="132"/>
        <item x="159"/>
        <item x="160"/>
        <item x="161"/>
        <item x="145"/>
        <item x="83"/>
        <item x="137"/>
        <item x="138"/>
        <item x="139"/>
        <item x="172"/>
        <item x="199"/>
        <item x="200"/>
        <item x="204"/>
        <item x="203"/>
        <item x="208"/>
        <item x="202"/>
        <item x="201"/>
        <item x="209"/>
        <item x="50"/>
        <item x="173"/>
        <item x="222"/>
        <item sd="0" x="1"/>
        <item x="2"/>
        <item x="3"/>
        <item x="0"/>
        <item x="4"/>
        <item x="14"/>
        <item x="12"/>
        <item x="11"/>
        <item x="13"/>
        <item x="10"/>
        <item x="57"/>
        <item x="59"/>
        <item x="60"/>
        <item x="58"/>
        <item x="61"/>
        <item x="183"/>
        <item x="213"/>
        <item x="141"/>
        <item x="182"/>
        <item x="184"/>
        <item x="15"/>
        <item x="80"/>
        <item x="54"/>
        <item x="81"/>
        <item x="211"/>
        <item sd="0" x="5"/>
        <item t="default"/>
      </items>
    </pivotField>
    <pivotField numFmtId="4"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showAll="0">
      <items count="2">
        <item x="0"/>
        <item t="default"/>
      </items>
    </pivotField>
    <pivotField multipleItemSelectionAllowed="1" showAll="0">
      <items count="12">
        <item sd="0" x="1"/>
        <item x="7"/>
        <item sd="0" x="2"/>
        <item sd="0" x="10"/>
        <item x="6"/>
        <item x="5"/>
        <item x="8"/>
        <item sd="0" x="0"/>
        <item sd="0" x="3"/>
        <item sd="0" x="4"/>
        <item sd="0" x="9"/>
        <item t="default"/>
      </items>
    </pivotField>
    <pivotField axis="axisRow" multipleItemSelectionAllowed="1" showAll="0">
      <items count="12">
        <item h="1" x="7"/>
        <item h="1" x="2"/>
        <item h="1" x="10"/>
        <item h="1" x="8"/>
        <item x="4"/>
        <item h="1" x="5"/>
        <item h="1" x="6"/>
        <item x="1"/>
        <item x="9"/>
        <item sd="0" x="3"/>
        <item x="0"/>
        <item t="default"/>
      </items>
    </pivotField>
    <pivotField showAll="0"/>
    <pivotField showAll="0"/>
    <pivotField showAll="0"/>
    <pivotField showAll="0"/>
    <pivotField showAll="0"/>
    <pivotField axis="axisRow" multipleItemSelectionAllowed="1" showAll="0">
      <items count="10">
        <item sd="0" x="5"/>
        <item sd="0" x="1"/>
        <item x="8"/>
        <item x="0"/>
        <item sd="0" x="4"/>
        <item sd="0" x="2"/>
        <item sd="0" x="6"/>
        <item sd="0" x="3"/>
        <item sd="0" x="7"/>
        <item t="default"/>
      </items>
    </pivotField>
    <pivotField axis="axisCol" showAll="0">
      <items count="17">
        <item h="1" x="2"/>
        <item h="1" x="6"/>
        <item h="1" x="5"/>
        <item h="1" x="10"/>
        <item h="1" x="3"/>
        <item h="1" x="8"/>
        <item h="1" x="13"/>
        <item h="1" x="11"/>
        <item h="1" x="7"/>
        <item h="1" x="14"/>
        <item h="1" x="12"/>
        <item h="1" x="9"/>
        <item h="1" x="15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14" showAll="0"/>
  </pivotFields>
  <rowFields count="4">
    <field x="36"/>
    <field x="17"/>
    <field x="10"/>
    <field x="30"/>
  </rowFields>
  <rowItems count="80">
    <i>
      <x v="3"/>
    </i>
    <i r="1">
      <x v="197"/>
    </i>
    <i r="1">
      <x v="200"/>
    </i>
    <i r="2">
      <x v="25"/>
    </i>
    <i r="3">
      <x v="10"/>
    </i>
    <i r="1">
      <x v="201"/>
    </i>
    <i r="2">
      <x v="28"/>
    </i>
    <i r="3">
      <x v="10"/>
    </i>
    <i r="1">
      <x v="203"/>
    </i>
    <i r="2">
      <x v="204"/>
    </i>
    <i r="3">
      <x v="9"/>
    </i>
    <i r="2">
      <x v="214"/>
    </i>
    <i r="3">
      <x v="9"/>
    </i>
    <i r="2">
      <x v="228"/>
    </i>
    <i r="3">
      <x v="9"/>
    </i>
    <i r="2">
      <x v="246"/>
    </i>
    <i r="3">
      <x v="9"/>
    </i>
    <i r="2">
      <x v="255"/>
    </i>
    <i r="3">
      <x v="9"/>
    </i>
    <i r="2">
      <x v="261"/>
    </i>
    <i r="3">
      <x v="9"/>
    </i>
    <i r="1">
      <x v="204"/>
    </i>
    <i r="2">
      <x v="205"/>
    </i>
    <i r="3">
      <x v="9"/>
    </i>
    <i r="2">
      <x v="217"/>
    </i>
    <i r="3">
      <x v="9"/>
    </i>
    <i r="2">
      <x v="229"/>
    </i>
    <i r="3">
      <x v="9"/>
    </i>
    <i r="2">
      <x v="247"/>
    </i>
    <i r="3">
      <x v="9"/>
    </i>
    <i r="2">
      <x v="256"/>
    </i>
    <i r="3">
      <x v="9"/>
    </i>
    <i r="2">
      <x v="262"/>
    </i>
    <i r="3">
      <x v="9"/>
    </i>
    <i r="1">
      <x v="206"/>
    </i>
    <i r="2">
      <x v="206"/>
    </i>
    <i r="3">
      <x v="9"/>
    </i>
    <i r="2">
      <x v="218"/>
    </i>
    <i r="3">
      <x v="9"/>
    </i>
    <i r="2">
      <x v="231"/>
    </i>
    <i r="3">
      <x v="9"/>
    </i>
    <i r="2">
      <x v="248"/>
    </i>
    <i r="3">
      <x v="9"/>
    </i>
    <i r="1">
      <x v="208"/>
    </i>
    <i r="2">
      <x v="29"/>
    </i>
    <i r="3">
      <x v="10"/>
    </i>
    <i r="2">
      <x v="35"/>
    </i>
    <i r="3">
      <x v="10"/>
    </i>
    <i r="2">
      <x v="266"/>
    </i>
    <i r="3">
      <x v="10"/>
    </i>
    <i r="2">
      <x v="270"/>
    </i>
    <i r="3">
      <x v="10"/>
    </i>
    <i r="1">
      <x v="209"/>
    </i>
    <i r="2">
      <x v="31"/>
    </i>
    <i r="3">
      <x v="10"/>
    </i>
    <i r="2">
      <x v="36"/>
    </i>
    <i r="3">
      <x v="10"/>
    </i>
    <i r="2">
      <x v="268"/>
    </i>
    <i r="3">
      <x v="10"/>
    </i>
    <i r="2">
      <x v="271"/>
    </i>
    <i r="3">
      <x v="10"/>
    </i>
    <i r="1">
      <x v="211"/>
    </i>
    <i r="2">
      <x v="20"/>
    </i>
    <i r="3">
      <x v="10"/>
    </i>
    <i r="2">
      <x v="33"/>
    </i>
    <i r="3">
      <x v="10"/>
    </i>
    <i r="2">
      <x v="38"/>
    </i>
    <i r="3">
      <x v="10"/>
    </i>
    <i r="1">
      <x v="212"/>
    </i>
    <i r="2">
      <x v="257"/>
    </i>
    <i r="3">
      <x v="9"/>
    </i>
    <i r="2">
      <x v="263"/>
    </i>
    <i r="3">
      <x v="9"/>
    </i>
    <i r="1">
      <x v="213"/>
    </i>
    <i r="2">
      <x v="34"/>
    </i>
    <i r="3">
      <x v="10"/>
    </i>
    <i r="1">
      <x v="215"/>
    </i>
    <i r="2">
      <x v="251"/>
    </i>
    <i r="3">
      <x v="9"/>
    </i>
    <i t="grand">
      <x/>
    </i>
  </rowItems>
  <colFields count="1">
    <field x="37"/>
  </colFields>
  <colItems count="4">
    <i>
      <x v="13"/>
    </i>
    <i>
      <x v="14"/>
    </i>
    <i>
      <x v="15"/>
    </i>
    <i t="grand">
      <x/>
    </i>
  </colItems>
  <dataFields count="1">
    <dataField name=" " fld="13" baseField="0" baseItem="0" numFmtId="4"/>
  </dataFields>
  <chartFormats count="3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3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4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5"/>
          </reference>
        </references>
      </pivotArea>
    </chartFormat>
  </chartFormats>
  <pivotTableStyleInfo name="PivotStyleLight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ivotTables/pivotTable2.xml" Type="http://schemas.openxmlformats.org/officeDocument/2006/relationships/pivotTable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1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D078-0CC1-4F1F-9CC3-1BEB70367444}">
  <sheetPr codeName="Feuil1" filterMode="1"/>
  <dimension ref="A1:Y1048548"/>
  <sheetViews>
    <sheetView zoomScale="124" workbookViewId="0">
      <pane xSplit="3" ySplit="1" topLeftCell="J8" activePane="bottomRight" state="frozen"/>
      <selection pane="topRight" activeCell="D1" sqref="D1"/>
      <selection pane="bottomLeft" activeCell="A2" sqref="A2"/>
      <selection pane="bottomRight" activeCell="J82" sqref="J82:J89"/>
    </sheetView>
  </sheetViews>
  <sheetFormatPr baseColWidth="10" defaultColWidth="11.42578125" defaultRowHeight="15.75" x14ac:dyDescent="0.25"/>
  <cols>
    <col min="1" max="1" width="9.42578125" customWidth="1"/>
    <col min="2" max="2" width="15.7109375" customWidth="1"/>
    <col min="3" max="3" width="19.140625" customWidth="1"/>
    <col min="4" max="4" width="38" customWidth="1"/>
    <col min="6" max="6" width="17.7109375" customWidth="1"/>
    <col min="7" max="7" width="19.140625" customWidth="1"/>
    <col min="8" max="8" width="25.28515625" style="438" customWidth="1"/>
    <col min="9" max="9" width="14.28515625" customWidth="1"/>
    <col min="10" max="10" width="49.28515625" customWidth="1"/>
    <col min="11" max="20" width="14.28515625" customWidth="1"/>
    <col min="21" max="21" width="17.140625" customWidth="1"/>
    <col min="22" max="22" width="21.42578125" customWidth="1"/>
    <col min="23" max="23" width="19.5703125" customWidth="1"/>
  </cols>
  <sheetData>
    <row r="1" spans="1:25" ht="28.7" customHeight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433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20</v>
      </c>
      <c r="V1" s="4" t="s">
        <v>21</v>
      </c>
      <c r="W1" s="1" t="s">
        <v>22</v>
      </c>
      <c r="X1" s="1" t="s">
        <v>23</v>
      </c>
      <c r="Y1" s="1" t="s">
        <v>24</v>
      </c>
    </row>
    <row r="2" spans="1:25" ht="22.5" hidden="1" customHeight="1" x14ac:dyDescent="0.2">
      <c r="A2" s="381">
        <v>401932</v>
      </c>
      <c r="B2" s="382">
        <v>19</v>
      </c>
      <c r="C2" s="382">
        <v>135</v>
      </c>
      <c r="D2" s="383" t="s">
        <v>25</v>
      </c>
      <c r="E2" s="384">
        <v>45698</v>
      </c>
      <c r="F2" s="385">
        <v>546.45000000000005</v>
      </c>
      <c r="G2" s="385">
        <v>30.06</v>
      </c>
      <c r="H2" s="434">
        <v>576.51</v>
      </c>
      <c r="I2" s="381" t="s">
        <v>26</v>
      </c>
      <c r="J2" s="383" t="s">
        <v>27</v>
      </c>
      <c r="K2" s="381" t="s">
        <v>28</v>
      </c>
      <c r="L2" s="381" t="s">
        <v>29</v>
      </c>
      <c r="M2" s="383" t="s">
        <v>30</v>
      </c>
      <c r="N2" s="381"/>
      <c r="O2" s="381" t="s">
        <v>31</v>
      </c>
      <c r="P2" s="381" t="s">
        <v>32</v>
      </c>
      <c r="Q2" s="381" t="s">
        <v>33</v>
      </c>
      <c r="R2" s="381" t="s">
        <v>31</v>
      </c>
      <c r="S2" s="381" t="s">
        <v>34</v>
      </c>
      <c r="T2" s="381" t="s">
        <v>31</v>
      </c>
      <c r="U2" s="381"/>
      <c r="V2" s="381"/>
      <c r="W2" s="381"/>
      <c r="X2" s="381"/>
      <c r="Y2" s="381"/>
    </row>
    <row r="3" spans="1:25" ht="22.5" hidden="1" customHeight="1" x14ac:dyDescent="0.2">
      <c r="A3" s="381">
        <v>401933</v>
      </c>
      <c r="B3" s="382">
        <v>19</v>
      </c>
      <c r="C3" s="382">
        <v>136</v>
      </c>
      <c r="D3" s="383" t="s">
        <v>35</v>
      </c>
      <c r="E3" s="384">
        <v>45698</v>
      </c>
      <c r="F3" s="385">
        <v>440.06</v>
      </c>
      <c r="G3" s="385">
        <v>24.2</v>
      </c>
      <c r="H3" s="434">
        <v>464.26</v>
      </c>
      <c r="I3" s="381" t="s">
        <v>26</v>
      </c>
      <c r="J3" s="383" t="s">
        <v>27</v>
      </c>
      <c r="K3" s="381" t="s">
        <v>28</v>
      </c>
      <c r="L3" s="381" t="s">
        <v>29</v>
      </c>
      <c r="M3" s="383" t="s">
        <v>30</v>
      </c>
      <c r="N3" s="381"/>
      <c r="O3" s="381" t="s">
        <v>31</v>
      </c>
      <c r="P3" s="381" t="s">
        <v>32</v>
      </c>
      <c r="Q3" s="381" t="s">
        <v>33</v>
      </c>
      <c r="R3" s="381" t="s">
        <v>31</v>
      </c>
      <c r="S3" s="381" t="s">
        <v>34</v>
      </c>
      <c r="T3" s="381" t="s">
        <v>31</v>
      </c>
      <c r="U3" s="381"/>
      <c r="V3" s="381"/>
      <c r="W3" s="381"/>
      <c r="X3" s="381"/>
      <c r="Y3" s="381"/>
    </row>
    <row r="4" spans="1:25" ht="22.5" hidden="1" customHeight="1" x14ac:dyDescent="0.2">
      <c r="A4" s="381">
        <v>401935</v>
      </c>
      <c r="B4" s="382">
        <v>19</v>
      </c>
      <c r="C4" s="382">
        <v>137</v>
      </c>
      <c r="D4" s="383" t="s">
        <v>36</v>
      </c>
      <c r="E4" s="384">
        <v>45698</v>
      </c>
      <c r="F4" s="385">
        <v>19508.61</v>
      </c>
      <c r="G4" s="385">
        <v>1072.97</v>
      </c>
      <c r="H4" s="434">
        <v>20581.580000000002</v>
      </c>
      <c r="I4" s="381" t="s">
        <v>26</v>
      </c>
      <c r="J4" s="383" t="s">
        <v>27</v>
      </c>
      <c r="K4" s="381" t="s">
        <v>28</v>
      </c>
      <c r="L4" s="381" t="s">
        <v>29</v>
      </c>
      <c r="M4" s="383" t="s">
        <v>30</v>
      </c>
      <c r="N4" s="407"/>
      <c r="O4" s="381" t="s">
        <v>31</v>
      </c>
      <c r="P4" s="381" t="s">
        <v>32</v>
      </c>
      <c r="Q4" s="381" t="s">
        <v>33</v>
      </c>
      <c r="R4" s="381" t="s">
        <v>31</v>
      </c>
      <c r="S4" s="381" t="s">
        <v>34</v>
      </c>
      <c r="T4" s="381" t="s">
        <v>31</v>
      </c>
      <c r="U4" s="381"/>
      <c r="V4" s="381"/>
      <c r="W4" s="381"/>
      <c r="X4" s="381"/>
      <c r="Y4" s="381"/>
    </row>
    <row r="5" spans="1:25" ht="22.5" hidden="1" customHeight="1" x14ac:dyDescent="0.2">
      <c r="A5" s="381">
        <v>401936</v>
      </c>
      <c r="B5" s="382">
        <v>19</v>
      </c>
      <c r="C5" s="382">
        <v>137</v>
      </c>
      <c r="D5" s="383" t="s">
        <v>37</v>
      </c>
      <c r="E5" s="384">
        <v>45698</v>
      </c>
      <c r="F5" s="385">
        <v>30293.52</v>
      </c>
      <c r="G5" s="385">
        <v>1666.14</v>
      </c>
      <c r="H5" s="434">
        <v>31959.66</v>
      </c>
      <c r="I5" s="381" t="s">
        <v>26</v>
      </c>
      <c r="J5" s="383" t="s">
        <v>27</v>
      </c>
      <c r="K5" s="381" t="s">
        <v>38</v>
      </c>
      <c r="L5" s="381" t="s">
        <v>29</v>
      </c>
      <c r="M5" s="383" t="s">
        <v>30</v>
      </c>
      <c r="N5" s="381"/>
      <c r="O5" s="381" t="s">
        <v>31</v>
      </c>
      <c r="P5" s="381" t="s">
        <v>32</v>
      </c>
      <c r="Q5" s="381" t="s">
        <v>33</v>
      </c>
      <c r="R5" s="381" t="s">
        <v>31</v>
      </c>
      <c r="S5" s="381" t="s">
        <v>34</v>
      </c>
      <c r="T5" s="381" t="s">
        <v>31</v>
      </c>
      <c r="U5" s="381"/>
      <c r="V5" s="381"/>
      <c r="W5" s="381"/>
      <c r="X5" s="381"/>
      <c r="Y5" s="381"/>
    </row>
    <row r="6" spans="1:25" ht="22.5" hidden="1" customHeight="1" x14ac:dyDescent="0.2">
      <c r="A6" s="381">
        <v>403041</v>
      </c>
      <c r="B6" s="382">
        <v>25</v>
      </c>
      <c r="C6" s="382">
        <v>174</v>
      </c>
      <c r="D6" s="383" t="s">
        <v>39</v>
      </c>
      <c r="E6" s="384">
        <v>45706</v>
      </c>
      <c r="F6" s="385">
        <v>62325.38</v>
      </c>
      <c r="G6" s="385">
        <v>3427.9</v>
      </c>
      <c r="H6" s="434">
        <v>65753.279999999999</v>
      </c>
      <c r="I6" s="381" t="s">
        <v>26</v>
      </c>
      <c r="J6" s="383" t="s">
        <v>27</v>
      </c>
      <c r="K6" s="381" t="s">
        <v>38</v>
      </c>
      <c r="L6" s="381" t="s">
        <v>29</v>
      </c>
      <c r="M6" s="383" t="s">
        <v>30</v>
      </c>
      <c r="N6" s="381"/>
      <c r="O6" s="381" t="s">
        <v>31</v>
      </c>
      <c r="P6" s="381" t="s">
        <v>32</v>
      </c>
      <c r="Q6" s="381" t="s">
        <v>33</v>
      </c>
      <c r="R6" s="381" t="s">
        <v>31</v>
      </c>
      <c r="S6" s="381" t="s">
        <v>34</v>
      </c>
      <c r="T6" s="381" t="s">
        <v>31</v>
      </c>
      <c r="U6" s="381"/>
      <c r="V6" s="381"/>
      <c r="W6" s="381"/>
      <c r="X6" s="381"/>
      <c r="Y6" s="381"/>
    </row>
    <row r="7" spans="1:25" ht="22.5" hidden="1" customHeight="1" x14ac:dyDescent="0.2">
      <c r="A7" s="386">
        <v>403097</v>
      </c>
      <c r="B7" s="387">
        <v>31</v>
      </c>
      <c r="C7" s="387">
        <v>232</v>
      </c>
      <c r="D7" s="388" t="s">
        <v>40</v>
      </c>
      <c r="E7" s="389">
        <v>45709</v>
      </c>
      <c r="F7" s="390">
        <v>4422.03</v>
      </c>
      <c r="G7" s="390">
        <v>243.21</v>
      </c>
      <c r="H7" s="435">
        <v>4665.24</v>
      </c>
      <c r="I7" s="386" t="s">
        <v>26</v>
      </c>
      <c r="J7" s="388" t="s">
        <v>27</v>
      </c>
      <c r="K7" s="386" t="s">
        <v>41</v>
      </c>
      <c r="L7" s="386" t="s">
        <v>29</v>
      </c>
      <c r="M7" s="388" t="s">
        <v>30</v>
      </c>
      <c r="N7" s="386"/>
      <c r="O7" s="386" t="s">
        <v>31</v>
      </c>
      <c r="P7" s="386" t="s">
        <v>42</v>
      </c>
      <c r="Q7" s="386" t="s">
        <v>33</v>
      </c>
      <c r="R7" s="386" t="s">
        <v>31</v>
      </c>
      <c r="S7" s="386" t="s">
        <v>34</v>
      </c>
      <c r="T7" s="386" t="s">
        <v>43</v>
      </c>
      <c r="U7" s="386"/>
      <c r="V7" s="386"/>
      <c r="W7" s="386"/>
      <c r="X7" s="386"/>
      <c r="Y7" s="386"/>
    </row>
    <row r="8" spans="1:25" ht="22.5" customHeight="1" x14ac:dyDescent="0.2">
      <c r="A8" s="391">
        <v>403098</v>
      </c>
      <c r="B8" s="392">
        <v>31</v>
      </c>
      <c r="C8" s="392">
        <v>233</v>
      </c>
      <c r="D8" s="393" t="s">
        <v>44</v>
      </c>
      <c r="E8" s="394">
        <v>45709</v>
      </c>
      <c r="F8" s="395">
        <v>382.23</v>
      </c>
      <c r="G8" s="395">
        <v>21.02</v>
      </c>
      <c r="H8" s="436">
        <v>403.25</v>
      </c>
      <c r="I8" s="391" t="s">
        <v>26</v>
      </c>
      <c r="J8" s="393" t="s">
        <v>27</v>
      </c>
      <c r="K8" s="391" t="s">
        <v>45</v>
      </c>
      <c r="L8" s="391" t="s">
        <v>29</v>
      </c>
      <c r="M8" s="393" t="s">
        <v>30</v>
      </c>
      <c r="N8" s="391"/>
      <c r="O8" s="391" t="s">
        <v>31</v>
      </c>
      <c r="P8" s="391" t="s">
        <v>46</v>
      </c>
      <c r="Q8" s="391" t="s">
        <v>33</v>
      </c>
      <c r="R8" s="391" t="s">
        <v>31</v>
      </c>
      <c r="S8" s="391" t="s">
        <v>34</v>
      </c>
      <c r="T8" s="391" t="s">
        <v>47</v>
      </c>
      <c r="U8" s="391"/>
      <c r="V8" s="391"/>
      <c r="W8" s="391"/>
      <c r="X8" s="391"/>
      <c r="Y8" s="391"/>
    </row>
    <row r="9" spans="1:25" ht="22.5" hidden="1" customHeight="1" x14ac:dyDescent="0.2">
      <c r="A9" s="396">
        <v>403099</v>
      </c>
      <c r="B9" s="397">
        <v>31</v>
      </c>
      <c r="C9" s="397">
        <v>234</v>
      </c>
      <c r="D9" s="398" t="s">
        <v>48</v>
      </c>
      <c r="E9" s="399">
        <v>45709</v>
      </c>
      <c r="F9" s="400">
        <v>4147.84</v>
      </c>
      <c r="G9" s="400">
        <v>228.13</v>
      </c>
      <c r="H9" s="437">
        <v>4375.97</v>
      </c>
      <c r="I9" s="396" t="s">
        <v>26</v>
      </c>
      <c r="J9" s="398" t="s">
        <v>27</v>
      </c>
      <c r="K9" s="396" t="s">
        <v>49</v>
      </c>
      <c r="L9" s="396" t="s">
        <v>29</v>
      </c>
      <c r="M9" s="398" t="s">
        <v>30</v>
      </c>
      <c r="N9" s="396"/>
      <c r="O9" s="401" t="s">
        <v>31</v>
      </c>
      <c r="P9" s="396" t="s">
        <v>42</v>
      </c>
      <c r="Q9" s="396" t="s">
        <v>33</v>
      </c>
      <c r="R9" s="396" t="s">
        <v>31</v>
      </c>
      <c r="S9" s="396" t="s">
        <v>34</v>
      </c>
      <c r="T9" s="396" t="s">
        <v>50</v>
      </c>
      <c r="U9" s="396"/>
      <c r="V9" s="396"/>
      <c r="W9" s="396"/>
      <c r="X9" s="396"/>
      <c r="Y9" s="396"/>
    </row>
    <row r="10" spans="1:25" ht="22.5" hidden="1" customHeight="1" x14ac:dyDescent="0.2">
      <c r="A10" s="376">
        <v>403106</v>
      </c>
      <c r="B10" s="377">
        <v>31</v>
      </c>
      <c r="C10" s="377">
        <v>241</v>
      </c>
      <c r="D10" s="378" t="s">
        <v>51</v>
      </c>
      <c r="E10" s="379">
        <v>45709</v>
      </c>
      <c r="F10" s="380">
        <v>199.37</v>
      </c>
      <c r="G10" s="380">
        <v>10.97</v>
      </c>
      <c r="H10" s="380">
        <v>210.34</v>
      </c>
      <c r="I10" s="376" t="s">
        <v>26</v>
      </c>
      <c r="J10" s="378" t="s">
        <v>27</v>
      </c>
      <c r="K10" s="376" t="s">
        <v>52</v>
      </c>
      <c r="L10" s="376" t="s">
        <v>29</v>
      </c>
      <c r="M10" s="378" t="s">
        <v>30</v>
      </c>
      <c r="N10" s="376"/>
      <c r="O10" s="376" t="s">
        <v>31</v>
      </c>
      <c r="P10" s="376" t="s">
        <v>53</v>
      </c>
      <c r="Q10" s="376" t="s">
        <v>33</v>
      </c>
      <c r="R10" s="376" t="s">
        <v>31</v>
      </c>
      <c r="S10" s="376" t="s">
        <v>34</v>
      </c>
      <c r="T10" s="376" t="s">
        <v>54</v>
      </c>
      <c r="U10" s="376"/>
      <c r="V10" s="376"/>
      <c r="W10" s="376"/>
      <c r="X10" s="376"/>
      <c r="Y10" s="376"/>
    </row>
    <row r="11" spans="1:25" ht="22.5" hidden="1" customHeight="1" x14ac:dyDescent="0.2">
      <c r="A11" s="376">
        <v>403203</v>
      </c>
      <c r="B11" s="377">
        <v>42</v>
      </c>
      <c r="C11" s="377">
        <v>285</v>
      </c>
      <c r="D11" s="378" t="s">
        <v>55</v>
      </c>
      <c r="E11" s="379">
        <v>45715</v>
      </c>
      <c r="F11" s="380">
        <v>3569.64</v>
      </c>
      <c r="G11" s="380">
        <v>196.33</v>
      </c>
      <c r="H11" s="380">
        <v>3765.97</v>
      </c>
      <c r="I11" s="376" t="s">
        <v>26</v>
      </c>
      <c r="J11" s="378" t="s">
        <v>27</v>
      </c>
      <c r="K11" s="376" t="s">
        <v>56</v>
      </c>
      <c r="L11" s="376" t="s">
        <v>29</v>
      </c>
      <c r="M11" s="378" t="s">
        <v>30</v>
      </c>
      <c r="N11" s="376"/>
      <c r="O11" s="376" t="s">
        <v>31</v>
      </c>
      <c r="P11" s="376" t="s">
        <v>57</v>
      </c>
      <c r="Q11" s="376" t="s">
        <v>33</v>
      </c>
      <c r="R11" s="376" t="s">
        <v>31</v>
      </c>
      <c r="S11" s="376" t="s">
        <v>58</v>
      </c>
      <c r="T11" s="376" t="s">
        <v>59</v>
      </c>
      <c r="U11" s="376"/>
      <c r="V11" s="376"/>
      <c r="W11" s="376"/>
      <c r="X11" s="376"/>
      <c r="Y11" s="376"/>
    </row>
    <row r="12" spans="1:25" ht="22.5" customHeight="1" x14ac:dyDescent="0.2">
      <c r="A12" s="391">
        <v>406094</v>
      </c>
      <c r="B12" s="392">
        <v>69</v>
      </c>
      <c r="C12" s="392">
        <v>533</v>
      </c>
      <c r="D12" s="393" t="s">
        <v>60</v>
      </c>
      <c r="E12" s="394">
        <v>45736</v>
      </c>
      <c r="F12" s="395">
        <v>167.49</v>
      </c>
      <c r="G12" s="395">
        <v>33.5</v>
      </c>
      <c r="H12" s="436">
        <v>200.99</v>
      </c>
      <c r="I12" s="391" t="s">
        <v>26</v>
      </c>
      <c r="J12" s="393" t="s">
        <v>27</v>
      </c>
      <c r="K12" s="391" t="s">
        <v>61</v>
      </c>
      <c r="L12" s="391" t="s">
        <v>29</v>
      </c>
      <c r="M12" s="393" t="s">
        <v>30</v>
      </c>
      <c r="N12" s="391"/>
      <c r="O12" s="391" t="s">
        <v>31</v>
      </c>
      <c r="P12" s="391" t="s">
        <v>46</v>
      </c>
      <c r="Q12" s="391" t="s">
        <v>33</v>
      </c>
      <c r="R12" s="391" t="s">
        <v>31</v>
      </c>
      <c r="S12" s="391" t="s">
        <v>34</v>
      </c>
      <c r="T12" s="391" t="s">
        <v>47</v>
      </c>
      <c r="U12" s="391"/>
      <c r="V12" s="391"/>
      <c r="W12" s="391"/>
      <c r="X12" s="391"/>
      <c r="Y12" s="391"/>
    </row>
    <row r="13" spans="1:25" ht="22.5" hidden="1" customHeight="1" x14ac:dyDescent="0.2">
      <c r="A13" s="376">
        <v>406095</v>
      </c>
      <c r="B13" s="377">
        <v>69</v>
      </c>
      <c r="C13" s="377">
        <v>534</v>
      </c>
      <c r="D13" s="378" t="s">
        <v>62</v>
      </c>
      <c r="E13" s="379">
        <v>45736</v>
      </c>
      <c r="F13" s="380">
        <v>2809.38</v>
      </c>
      <c r="G13" s="380">
        <v>154.52000000000001</v>
      </c>
      <c r="H13" s="380">
        <v>2963.9</v>
      </c>
      <c r="I13" s="376" t="s">
        <v>26</v>
      </c>
      <c r="J13" s="378" t="s">
        <v>27</v>
      </c>
      <c r="K13" s="376" t="s">
        <v>56</v>
      </c>
      <c r="L13" s="376" t="s">
        <v>29</v>
      </c>
      <c r="M13" s="378" t="s">
        <v>30</v>
      </c>
      <c r="N13" s="376"/>
      <c r="O13" s="376" t="s">
        <v>31</v>
      </c>
      <c r="P13" s="376" t="s">
        <v>57</v>
      </c>
      <c r="Q13" s="376" t="s">
        <v>33</v>
      </c>
      <c r="R13" s="376" t="s">
        <v>31</v>
      </c>
      <c r="S13" s="376" t="s">
        <v>58</v>
      </c>
      <c r="T13" s="376" t="s">
        <v>59</v>
      </c>
      <c r="U13" s="376"/>
      <c r="V13" s="376"/>
      <c r="W13" s="376"/>
      <c r="X13" s="376"/>
      <c r="Y13" s="376"/>
    </row>
    <row r="14" spans="1:25" ht="22.5" hidden="1" customHeight="1" x14ac:dyDescent="0.2">
      <c r="A14" s="381">
        <v>406096</v>
      </c>
      <c r="B14" s="382">
        <v>69</v>
      </c>
      <c r="C14" s="382">
        <v>535</v>
      </c>
      <c r="D14" s="383" t="s">
        <v>63</v>
      </c>
      <c r="E14" s="384">
        <v>45736</v>
      </c>
      <c r="F14" s="385">
        <v>31011.98</v>
      </c>
      <c r="G14" s="385">
        <v>1705.66</v>
      </c>
      <c r="H14" s="434">
        <v>32717.64</v>
      </c>
      <c r="I14" s="381" t="s">
        <v>26</v>
      </c>
      <c r="J14" s="383" t="s">
        <v>27</v>
      </c>
      <c r="K14" s="381" t="s">
        <v>38</v>
      </c>
      <c r="L14" s="381" t="s">
        <v>29</v>
      </c>
      <c r="M14" s="383" t="s">
        <v>30</v>
      </c>
      <c r="N14" s="381"/>
      <c r="O14" s="381" t="s">
        <v>31</v>
      </c>
      <c r="P14" s="381" t="s">
        <v>32</v>
      </c>
      <c r="Q14" s="381" t="s">
        <v>33</v>
      </c>
      <c r="R14" s="381" t="s">
        <v>31</v>
      </c>
      <c r="S14" s="381" t="s">
        <v>34</v>
      </c>
      <c r="T14" s="381" t="s">
        <v>31</v>
      </c>
      <c r="U14" s="381"/>
      <c r="V14" s="381"/>
      <c r="W14" s="381"/>
      <c r="X14" s="381"/>
      <c r="Y14" s="381"/>
    </row>
    <row r="15" spans="1:25" ht="22.5" hidden="1" customHeight="1" x14ac:dyDescent="0.2">
      <c r="A15" s="386">
        <v>406097</v>
      </c>
      <c r="B15" s="387">
        <v>69</v>
      </c>
      <c r="C15" s="387">
        <v>536</v>
      </c>
      <c r="D15" s="388" t="s">
        <v>64</v>
      </c>
      <c r="E15" s="389">
        <v>45736</v>
      </c>
      <c r="F15" s="390">
        <v>9713.07</v>
      </c>
      <c r="G15" s="390">
        <v>534.22</v>
      </c>
      <c r="H15" s="435">
        <v>10247.290000000001</v>
      </c>
      <c r="I15" s="386" t="s">
        <v>26</v>
      </c>
      <c r="J15" s="388" t="s">
        <v>27</v>
      </c>
      <c r="K15" s="386" t="s">
        <v>41</v>
      </c>
      <c r="L15" s="386" t="s">
        <v>29</v>
      </c>
      <c r="M15" s="388" t="s">
        <v>30</v>
      </c>
      <c r="N15" s="386"/>
      <c r="O15" s="386" t="s">
        <v>31</v>
      </c>
      <c r="P15" s="386" t="s">
        <v>42</v>
      </c>
      <c r="Q15" s="386" t="s">
        <v>33</v>
      </c>
      <c r="R15" s="386" t="s">
        <v>31</v>
      </c>
      <c r="S15" s="386" t="s">
        <v>34</v>
      </c>
      <c r="T15" s="386" t="s">
        <v>43</v>
      </c>
      <c r="U15" s="386"/>
      <c r="V15" s="386"/>
      <c r="W15" s="386"/>
      <c r="X15" s="386"/>
      <c r="Y15" s="386"/>
    </row>
    <row r="16" spans="1:25" ht="22.5" customHeight="1" x14ac:dyDescent="0.2">
      <c r="A16" s="391">
        <v>406098</v>
      </c>
      <c r="B16" s="392">
        <v>69</v>
      </c>
      <c r="C16" s="392">
        <v>537</v>
      </c>
      <c r="D16" s="393" t="s">
        <v>65</v>
      </c>
      <c r="E16" s="394">
        <v>45736</v>
      </c>
      <c r="F16" s="395">
        <v>382.23</v>
      </c>
      <c r="G16" s="395">
        <v>21.02</v>
      </c>
      <c r="H16" s="436">
        <v>403.25</v>
      </c>
      <c r="I16" s="391" t="s">
        <v>26</v>
      </c>
      <c r="J16" s="393" t="s">
        <v>27</v>
      </c>
      <c r="K16" s="391" t="s">
        <v>45</v>
      </c>
      <c r="L16" s="391" t="s">
        <v>29</v>
      </c>
      <c r="M16" s="393" t="s">
        <v>30</v>
      </c>
      <c r="N16" s="391"/>
      <c r="O16" s="391" t="s">
        <v>31</v>
      </c>
      <c r="P16" s="391" t="s">
        <v>46</v>
      </c>
      <c r="Q16" s="391" t="s">
        <v>33</v>
      </c>
      <c r="R16" s="391" t="s">
        <v>31</v>
      </c>
      <c r="S16" s="391" t="s">
        <v>34</v>
      </c>
      <c r="T16" s="391" t="s">
        <v>47</v>
      </c>
      <c r="U16" s="391"/>
      <c r="V16" s="391"/>
      <c r="W16" s="391"/>
      <c r="X16" s="391"/>
      <c r="Y16" s="391"/>
    </row>
    <row r="17" spans="1:25" ht="22.5" hidden="1" customHeight="1" x14ac:dyDescent="0.2">
      <c r="A17" s="396">
        <v>406099</v>
      </c>
      <c r="B17" s="397">
        <v>69</v>
      </c>
      <c r="C17" s="397">
        <v>538</v>
      </c>
      <c r="D17" s="398" t="s">
        <v>66</v>
      </c>
      <c r="E17" s="399">
        <v>45736</v>
      </c>
      <c r="F17" s="400">
        <v>7898.46</v>
      </c>
      <c r="G17" s="400">
        <v>434.42</v>
      </c>
      <c r="H17" s="437">
        <v>8332.8799999999992</v>
      </c>
      <c r="I17" s="396" t="s">
        <v>26</v>
      </c>
      <c r="J17" s="398" t="s">
        <v>27</v>
      </c>
      <c r="K17" s="396" t="s">
        <v>49</v>
      </c>
      <c r="L17" s="396" t="s">
        <v>29</v>
      </c>
      <c r="M17" s="398" t="s">
        <v>30</v>
      </c>
      <c r="N17" s="396"/>
      <c r="O17" s="396" t="s">
        <v>31</v>
      </c>
      <c r="P17" s="396" t="s">
        <v>42</v>
      </c>
      <c r="Q17" s="396" t="s">
        <v>33</v>
      </c>
      <c r="R17" s="396" t="s">
        <v>31</v>
      </c>
      <c r="S17" s="396" t="s">
        <v>34</v>
      </c>
      <c r="T17" s="396" t="s">
        <v>50</v>
      </c>
      <c r="U17" s="396"/>
      <c r="V17" s="396"/>
      <c r="W17" s="396"/>
      <c r="X17" s="396"/>
      <c r="Y17" s="396"/>
    </row>
    <row r="18" spans="1:25" ht="22.5" hidden="1" customHeight="1" x14ac:dyDescent="0.2">
      <c r="A18" s="376">
        <v>406100</v>
      </c>
      <c r="B18" s="377">
        <v>69</v>
      </c>
      <c r="C18" s="377">
        <v>539</v>
      </c>
      <c r="D18" s="378" t="s">
        <v>67</v>
      </c>
      <c r="E18" s="379">
        <v>45736</v>
      </c>
      <c r="F18" s="380">
        <v>487.35</v>
      </c>
      <c r="G18" s="380">
        <v>26.8</v>
      </c>
      <c r="H18" s="380">
        <v>514.15</v>
      </c>
      <c r="I18" s="376" t="s">
        <v>26</v>
      </c>
      <c r="J18" s="378" t="s">
        <v>27</v>
      </c>
      <c r="K18" s="376" t="s">
        <v>52</v>
      </c>
      <c r="L18" s="376" t="s">
        <v>29</v>
      </c>
      <c r="M18" s="378" t="s">
        <v>30</v>
      </c>
      <c r="N18" s="376"/>
      <c r="O18" s="376" t="s">
        <v>31</v>
      </c>
      <c r="P18" s="376" t="s">
        <v>53</v>
      </c>
      <c r="Q18" s="376" t="s">
        <v>33</v>
      </c>
      <c r="R18" s="376" t="s">
        <v>31</v>
      </c>
      <c r="S18" s="376" t="s">
        <v>34</v>
      </c>
      <c r="T18" s="376" t="s">
        <v>54</v>
      </c>
      <c r="U18" s="376"/>
      <c r="V18" s="376"/>
      <c r="W18" s="376"/>
      <c r="X18" s="376"/>
      <c r="Y18" s="376"/>
    </row>
    <row r="19" spans="1:25" ht="22.5" hidden="1" customHeight="1" x14ac:dyDescent="0.2">
      <c r="A19" s="381">
        <v>407926</v>
      </c>
      <c r="B19" s="382">
        <v>93</v>
      </c>
      <c r="C19" s="382">
        <v>708</v>
      </c>
      <c r="D19" s="383" t="s">
        <v>68</v>
      </c>
      <c r="E19" s="384">
        <v>45758</v>
      </c>
      <c r="F19" s="385">
        <v>37506.559999999998</v>
      </c>
      <c r="G19" s="385">
        <v>2062.86</v>
      </c>
      <c r="H19" s="434">
        <v>39569.42</v>
      </c>
      <c r="I19" s="381" t="s">
        <v>26</v>
      </c>
      <c r="J19" s="383" t="s">
        <v>27</v>
      </c>
      <c r="K19" s="381" t="s">
        <v>38</v>
      </c>
      <c r="L19" s="381" t="s">
        <v>29</v>
      </c>
      <c r="M19" s="383" t="s">
        <v>30</v>
      </c>
      <c r="N19" s="381"/>
      <c r="O19" s="381" t="s">
        <v>31</v>
      </c>
      <c r="P19" s="381" t="s">
        <v>32</v>
      </c>
      <c r="Q19" s="381" t="s">
        <v>33</v>
      </c>
      <c r="R19" s="381" t="s">
        <v>31</v>
      </c>
      <c r="S19" s="381" t="s">
        <v>34</v>
      </c>
      <c r="T19" s="381" t="s">
        <v>31</v>
      </c>
      <c r="U19" s="381"/>
      <c r="V19" s="381"/>
      <c r="W19" s="381"/>
      <c r="X19" s="381"/>
      <c r="Y19" s="381"/>
    </row>
    <row r="20" spans="1:25" ht="22.5" hidden="1" customHeight="1" x14ac:dyDescent="0.2">
      <c r="A20" s="381">
        <v>407927</v>
      </c>
      <c r="B20" s="382">
        <v>93</v>
      </c>
      <c r="C20" s="382">
        <v>708</v>
      </c>
      <c r="D20" s="383" t="s">
        <v>69</v>
      </c>
      <c r="E20" s="384">
        <v>45758</v>
      </c>
      <c r="F20" s="385">
        <v>28436.02</v>
      </c>
      <c r="G20" s="385">
        <v>1563.98</v>
      </c>
      <c r="H20" s="434">
        <v>30000</v>
      </c>
      <c r="I20" s="381" t="s">
        <v>26</v>
      </c>
      <c r="J20" s="383" t="s">
        <v>27</v>
      </c>
      <c r="K20" s="381" t="s">
        <v>70</v>
      </c>
      <c r="L20" s="381" t="s">
        <v>29</v>
      </c>
      <c r="M20" s="383" t="s">
        <v>30</v>
      </c>
      <c r="N20" s="381"/>
      <c r="O20" s="381" t="s">
        <v>31</v>
      </c>
      <c r="P20" s="381" t="s">
        <v>32</v>
      </c>
      <c r="Q20" s="381" t="s">
        <v>33</v>
      </c>
      <c r="R20" s="381" t="s">
        <v>31</v>
      </c>
      <c r="S20" s="381" t="s">
        <v>34</v>
      </c>
      <c r="T20" s="381" t="s">
        <v>31</v>
      </c>
      <c r="U20" s="381"/>
      <c r="V20" s="381"/>
      <c r="W20" s="381"/>
      <c r="X20" s="381"/>
      <c r="Y20" s="381"/>
    </row>
    <row r="21" spans="1:25" ht="22.5" hidden="1" customHeight="1" x14ac:dyDescent="0.2">
      <c r="A21" s="381">
        <v>407928</v>
      </c>
      <c r="B21" s="382">
        <v>93</v>
      </c>
      <c r="C21" s="382">
        <v>708</v>
      </c>
      <c r="D21" s="383" t="s">
        <v>71</v>
      </c>
      <c r="E21" s="384">
        <v>45758</v>
      </c>
      <c r="F21" s="385">
        <v>725.07</v>
      </c>
      <c r="G21" s="385">
        <v>39.880000000000003</v>
      </c>
      <c r="H21" s="434">
        <v>764.95</v>
      </c>
      <c r="I21" s="381" t="s">
        <v>26</v>
      </c>
      <c r="J21" s="383" t="s">
        <v>27</v>
      </c>
      <c r="K21" s="381" t="s">
        <v>72</v>
      </c>
      <c r="L21" s="381" t="s">
        <v>29</v>
      </c>
      <c r="M21" s="383" t="s">
        <v>30</v>
      </c>
      <c r="N21" s="381"/>
      <c r="O21" s="381" t="s">
        <v>31</v>
      </c>
      <c r="P21" s="381" t="s">
        <v>32</v>
      </c>
      <c r="Q21" s="381" t="s">
        <v>33</v>
      </c>
      <c r="R21" s="381" t="s">
        <v>31</v>
      </c>
      <c r="S21" s="381" t="s">
        <v>34</v>
      </c>
      <c r="T21" s="381" t="s">
        <v>31</v>
      </c>
      <c r="U21" s="381"/>
      <c r="V21" s="381"/>
      <c r="W21" s="381"/>
      <c r="X21" s="381"/>
      <c r="Y21" s="381"/>
    </row>
    <row r="22" spans="1:25" ht="22.5" hidden="1" customHeight="1" x14ac:dyDescent="0.2">
      <c r="A22" s="386">
        <v>407929</v>
      </c>
      <c r="B22" s="387">
        <v>93</v>
      </c>
      <c r="C22" s="387">
        <v>709</v>
      </c>
      <c r="D22" s="388" t="s">
        <v>73</v>
      </c>
      <c r="E22" s="389">
        <v>45758</v>
      </c>
      <c r="F22" s="390">
        <v>3331.51</v>
      </c>
      <c r="G22" s="390">
        <v>183.23</v>
      </c>
      <c r="H22" s="435">
        <v>3514.74</v>
      </c>
      <c r="I22" s="386" t="s">
        <v>26</v>
      </c>
      <c r="J22" s="388" t="s">
        <v>27</v>
      </c>
      <c r="K22" s="386" t="s">
        <v>41</v>
      </c>
      <c r="L22" s="386" t="s">
        <v>29</v>
      </c>
      <c r="M22" s="388" t="s">
        <v>30</v>
      </c>
      <c r="N22" s="386"/>
      <c r="O22" s="386" t="s">
        <v>31</v>
      </c>
      <c r="P22" s="386" t="s">
        <v>42</v>
      </c>
      <c r="Q22" s="386" t="s">
        <v>33</v>
      </c>
      <c r="R22" s="386" t="s">
        <v>31</v>
      </c>
      <c r="S22" s="386" t="s">
        <v>34</v>
      </c>
      <c r="T22" s="386" t="s">
        <v>43</v>
      </c>
      <c r="U22" s="386"/>
      <c r="V22" s="386"/>
      <c r="W22" s="386"/>
      <c r="X22" s="386"/>
      <c r="Y22" s="386"/>
    </row>
    <row r="23" spans="1:25" ht="22.5" hidden="1" customHeight="1" x14ac:dyDescent="0.2">
      <c r="A23" s="396">
        <v>407944</v>
      </c>
      <c r="B23" s="397">
        <v>96</v>
      </c>
      <c r="C23" s="397">
        <v>722</v>
      </c>
      <c r="D23" s="398" t="s">
        <v>74</v>
      </c>
      <c r="E23" s="399">
        <v>45761</v>
      </c>
      <c r="F23" s="400">
        <v>3092.16</v>
      </c>
      <c r="G23" s="400">
        <v>170.07</v>
      </c>
      <c r="H23" s="437">
        <v>3262.23</v>
      </c>
      <c r="I23" s="396" t="s">
        <v>26</v>
      </c>
      <c r="J23" s="398" t="s">
        <v>27</v>
      </c>
      <c r="K23" s="396" t="s">
        <v>49</v>
      </c>
      <c r="L23" s="396" t="s">
        <v>29</v>
      </c>
      <c r="M23" s="398" t="s">
        <v>30</v>
      </c>
      <c r="N23" s="396"/>
      <c r="O23" s="396" t="s">
        <v>31</v>
      </c>
      <c r="P23" s="396" t="s">
        <v>42</v>
      </c>
      <c r="Q23" s="396" t="s">
        <v>33</v>
      </c>
      <c r="R23" s="396" t="s">
        <v>31</v>
      </c>
      <c r="S23" s="396" t="s">
        <v>34</v>
      </c>
      <c r="T23" s="396" t="s">
        <v>50</v>
      </c>
      <c r="U23" s="396"/>
      <c r="V23" s="396"/>
      <c r="W23" s="396"/>
      <c r="X23" s="396"/>
      <c r="Y23" s="396"/>
    </row>
    <row r="24" spans="1:25" ht="22.5" customHeight="1" x14ac:dyDescent="0.2">
      <c r="A24" s="391">
        <v>407952</v>
      </c>
      <c r="B24" s="392">
        <v>96</v>
      </c>
      <c r="C24" s="392">
        <v>729</v>
      </c>
      <c r="D24" s="393" t="s">
        <v>75</v>
      </c>
      <c r="E24" s="394">
        <v>45761</v>
      </c>
      <c r="F24" s="395">
        <v>372.99</v>
      </c>
      <c r="G24" s="395">
        <v>20.51</v>
      </c>
      <c r="H24" s="436">
        <v>393.5</v>
      </c>
      <c r="I24" s="391" t="s">
        <v>26</v>
      </c>
      <c r="J24" s="393" t="s">
        <v>27</v>
      </c>
      <c r="K24" s="391" t="s">
        <v>45</v>
      </c>
      <c r="L24" s="391" t="s">
        <v>29</v>
      </c>
      <c r="M24" s="393" t="s">
        <v>30</v>
      </c>
      <c r="N24" s="391"/>
      <c r="O24" s="391" t="s">
        <v>31</v>
      </c>
      <c r="P24" s="391" t="s">
        <v>46</v>
      </c>
      <c r="Q24" s="391" t="s">
        <v>33</v>
      </c>
      <c r="R24" s="391" t="s">
        <v>31</v>
      </c>
      <c r="S24" s="391" t="s">
        <v>34</v>
      </c>
      <c r="T24" s="391" t="s">
        <v>47</v>
      </c>
      <c r="U24" s="391"/>
      <c r="V24" s="391"/>
      <c r="W24" s="391"/>
      <c r="X24" s="391"/>
      <c r="Y24" s="391"/>
    </row>
    <row r="25" spans="1:25" ht="22.5" customHeight="1" x14ac:dyDescent="0.2">
      <c r="A25" s="391">
        <v>407953</v>
      </c>
      <c r="B25" s="392">
        <v>96</v>
      </c>
      <c r="C25" s="392">
        <v>730</v>
      </c>
      <c r="D25" s="393" t="s">
        <v>76</v>
      </c>
      <c r="E25" s="394">
        <v>45761</v>
      </c>
      <c r="F25" s="395">
        <v>161.01</v>
      </c>
      <c r="G25" s="395">
        <v>8.86</v>
      </c>
      <c r="H25" s="436">
        <v>169.87</v>
      </c>
      <c r="I25" s="391" t="s">
        <v>26</v>
      </c>
      <c r="J25" s="393" t="s">
        <v>27</v>
      </c>
      <c r="K25" s="391" t="s">
        <v>77</v>
      </c>
      <c r="L25" s="391" t="s">
        <v>29</v>
      </c>
      <c r="M25" s="393" t="s">
        <v>30</v>
      </c>
      <c r="N25" s="391"/>
      <c r="O25" s="391" t="s">
        <v>31</v>
      </c>
      <c r="P25" s="391" t="s">
        <v>46</v>
      </c>
      <c r="Q25" s="391" t="s">
        <v>33</v>
      </c>
      <c r="R25" s="391" t="s">
        <v>31</v>
      </c>
      <c r="S25" s="391" t="s">
        <v>34</v>
      </c>
      <c r="T25" s="391" t="s">
        <v>47</v>
      </c>
      <c r="U25" s="391"/>
      <c r="V25" s="391"/>
      <c r="W25" s="391"/>
      <c r="X25" s="391"/>
      <c r="Y25" s="391"/>
    </row>
    <row r="26" spans="1:25" ht="22.5" hidden="1" customHeight="1" x14ac:dyDescent="0.2">
      <c r="A26" s="376">
        <v>407925</v>
      </c>
      <c r="B26" s="377">
        <v>97</v>
      </c>
      <c r="C26" s="377">
        <v>733</v>
      </c>
      <c r="D26" s="378" t="s">
        <v>78</v>
      </c>
      <c r="E26" s="379">
        <v>45758</v>
      </c>
      <c r="F26" s="380">
        <v>3471.97</v>
      </c>
      <c r="G26" s="380">
        <v>190.96</v>
      </c>
      <c r="H26" s="380">
        <v>3662.93</v>
      </c>
      <c r="I26" s="376" t="s">
        <v>26</v>
      </c>
      <c r="J26" s="378" t="s">
        <v>27</v>
      </c>
      <c r="K26" s="376" t="s">
        <v>56</v>
      </c>
      <c r="L26" s="376" t="s">
        <v>29</v>
      </c>
      <c r="M26" s="378" t="s">
        <v>30</v>
      </c>
      <c r="N26" s="376"/>
      <c r="O26" s="376" t="s">
        <v>31</v>
      </c>
      <c r="P26" s="376" t="s">
        <v>57</v>
      </c>
      <c r="Q26" s="376" t="s">
        <v>33</v>
      </c>
      <c r="R26" s="376" t="s">
        <v>31</v>
      </c>
      <c r="S26" s="376" t="s">
        <v>58</v>
      </c>
      <c r="T26" s="376" t="s">
        <v>59</v>
      </c>
      <c r="U26" s="376"/>
      <c r="V26" s="376"/>
      <c r="W26" s="376"/>
      <c r="X26" s="376"/>
      <c r="Y26" s="376"/>
    </row>
    <row r="27" spans="1:25" ht="22.5" customHeight="1" x14ac:dyDescent="0.2">
      <c r="A27" s="391">
        <v>409339</v>
      </c>
      <c r="B27" s="392">
        <v>137</v>
      </c>
      <c r="C27" s="392">
        <v>938</v>
      </c>
      <c r="D27" s="393" t="s">
        <v>79</v>
      </c>
      <c r="E27" s="394">
        <v>45790</v>
      </c>
      <c r="F27" s="395">
        <v>312.92</v>
      </c>
      <c r="G27" s="395">
        <v>17.21</v>
      </c>
      <c r="H27" s="436">
        <v>330.13</v>
      </c>
      <c r="I27" s="391" t="s">
        <v>26</v>
      </c>
      <c r="J27" s="393" t="s">
        <v>27</v>
      </c>
      <c r="K27" s="391" t="s">
        <v>77</v>
      </c>
      <c r="L27" s="391" t="s">
        <v>29</v>
      </c>
      <c r="M27" s="393" t="s">
        <v>30</v>
      </c>
      <c r="N27" s="391"/>
      <c r="O27" s="391" t="s">
        <v>31</v>
      </c>
      <c r="P27" s="391" t="s">
        <v>46</v>
      </c>
      <c r="Q27" s="391" t="s">
        <v>33</v>
      </c>
      <c r="R27" s="391" t="s">
        <v>31</v>
      </c>
      <c r="S27" s="391" t="s">
        <v>34</v>
      </c>
      <c r="T27" s="391" t="s">
        <v>47</v>
      </c>
      <c r="U27" s="391"/>
      <c r="V27" s="391"/>
      <c r="W27" s="391"/>
      <c r="X27" s="391"/>
      <c r="Y27" s="391"/>
    </row>
    <row r="28" spans="1:25" ht="22.5" customHeight="1" x14ac:dyDescent="0.2">
      <c r="A28" s="391">
        <v>409340</v>
      </c>
      <c r="B28" s="392">
        <v>137</v>
      </c>
      <c r="C28" s="392">
        <v>939</v>
      </c>
      <c r="D28" s="393" t="s">
        <v>80</v>
      </c>
      <c r="E28" s="394">
        <v>45790</v>
      </c>
      <c r="F28" s="395">
        <v>80.55</v>
      </c>
      <c r="G28" s="395">
        <v>4.43</v>
      </c>
      <c r="H28" s="436">
        <v>84.98</v>
      </c>
      <c r="I28" s="391" t="s">
        <v>26</v>
      </c>
      <c r="J28" s="393" t="s">
        <v>27</v>
      </c>
      <c r="K28" s="391" t="s">
        <v>81</v>
      </c>
      <c r="L28" s="391" t="s">
        <v>29</v>
      </c>
      <c r="M28" s="393" t="s">
        <v>30</v>
      </c>
      <c r="N28" s="391"/>
      <c r="O28" s="391" t="s">
        <v>31</v>
      </c>
      <c r="P28" s="391" t="s">
        <v>46</v>
      </c>
      <c r="Q28" s="391" t="s">
        <v>33</v>
      </c>
      <c r="R28" s="391" t="s">
        <v>31</v>
      </c>
      <c r="S28" s="391" t="s">
        <v>34</v>
      </c>
      <c r="T28" s="391" t="s">
        <v>47</v>
      </c>
      <c r="U28" s="391"/>
      <c r="V28" s="391"/>
      <c r="W28" s="391"/>
      <c r="X28" s="391"/>
      <c r="Y28" s="391"/>
    </row>
    <row r="29" spans="1:25" ht="22.5" hidden="1" customHeight="1" x14ac:dyDescent="0.2">
      <c r="A29" s="396">
        <v>409341</v>
      </c>
      <c r="B29" s="397">
        <v>137</v>
      </c>
      <c r="C29" s="397">
        <v>940</v>
      </c>
      <c r="D29" s="398" t="s">
        <v>82</v>
      </c>
      <c r="E29" s="399">
        <v>45790</v>
      </c>
      <c r="F29" s="400">
        <v>7228.61</v>
      </c>
      <c r="G29" s="400">
        <v>397.57</v>
      </c>
      <c r="H29" s="437">
        <v>7626.18</v>
      </c>
      <c r="I29" s="396" t="s">
        <v>26</v>
      </c>
      <c r="J29" s="398" t="s">
        <v>27</v>
      </c>
      <c r="K29" s="396" t="s">
        <v>83</v>
      </c>
      <c r="L29" s="396" t="s">
        <v>29</v>
      </c>
      <c r="M29" s="398" t="s">
        <v>30</v>
      </c>
      <c r="N29" s="396"/>
      <c r="O29" s="396" t="s">
        <v>31</v>
      </c>
      <c r="P29" s="396" t="s">
        <v>42</v>
      </c>
      <c r="Q29" s="396" t="s">
        <v>33</v>
      </c>
      <c r="R29" s="396" t="s">
        <v>31</v>
      </c>
      <c r="S29" s="396" t="s">
        <v>34</v>
      </c>
      <c r="T29" s="396" t="s">
        <v>50</v>
      </c>
      <c r="U29" s="396"/>
      <c r="V29" s="396"/>
      <c r="W29" s="396"/>
      <c r="X29" s="396"/>
      <c r="Y29" s="396"/>
    </row>
    <row r="30" spans="1:25" ht="22.5" hidden="1" customHeight="1" x14ac:dyDescent="0.2">
      <c r="A30" s="386">
        <v>409358</v>
      </c>
      <c r="B30" s="387">
        <v>142</v>
      </c>
      <c r="C30" s="387">
        <v>970</v>
      </c>
      <c r="D30" s="388" t="s">
        <v>84</v>
      </c>
      <c r="E30" s="389">
        <v>45791</v>
      </c>
      <c r="F30" s="390">
        <v>8442.0499999999993</v>
      </c>
      <c r="G30" s="390">
        <v>464.31</v>
      </c>
      <c r="H30" s="435">
        <v>8906.36</v>
      </c>
      <c r="I30" s="386" t="s">
        <v>26</v>
      </c>
      <c r="J30" s="388" t="s">
        <v>27</v>
      </c>
      <c r="K30" s="386" t="s">
        <v>85</v>
      </c>
      <c r="L30" s="386" t="s">
        <v>29</v>
      </c>
      <c r="M30" s="388" t="s">
        <v>30</v>
      </c>
      <c r="N30" s="386"/>
      <c r="O30" s="386" t="s">
        <v>31</v>
      </c>
      <c r="P30" s="386" t="s">
        <v>42</v>
      </c>
      <c r="Q30" s="386" t="s">
        <v>33</v>
      </c>
      <c r="R30" s="386" t="s">
        <v>31</v>
      </c>
      <c r="S30" s="386" t="s">
        <v>34</v>
      </c>
      <c r="T30" s="386" t="s">
        <v>43</v>
      </c>
      <c r="U30" s="386"/>
      <c r="V30" s="386"/>
      <c r="W30" s="386"/>
      <c r="X30" s="386"/>
      <c r="Y30" s="386"/>
    </row>
    <row r="31" spans="1:25" ht="22.5" hidden="1" customHeight="1" x14ac:dyDescent="0.2">
      <c r="A31" s="381">
        <v>409359</v>
      </c>
      <c r="B31" s="382">
        <v>142</v>
      </c>
      <c r="C31" s="382">
        <v>971</v>
      </c>
      <c r="D31" s="383" t="s">
        <v>86</v>
      </c>
      <c r="E31" s="384">
        <v>45791</v>
      </c>
      <c r="F31" s="385">
        <v>30554.55</v>
      </c>
      <c r="G31" s="385">
        <v>1680.5</v>
      </c>
      <c r="H31" s="434">
        <v>32235.05</v>
      </c>
      <c r="I31" s="381" t="s">
        <v>26</v>
      </c>
      <c r="J31" s="383" t="s">
        <v>27</v>
      </c>
      <c r="K31" s="381" t="s">
        <v>72</v>
      </c>
      <c r="L31" s="381" t="s">
        <v>29</v>
      </c>
      <c r="M31" s="383" t="s">
        <v>30</v>
      </c>
      <c r="N31" s="381"/>
      <c r="O31" s="381" t="s">
        <v>31</v>
      </c>
      <c r="P31" s="381" t="s">
        <v>32</v>
      </c>
      <c r="Q31" s="381" t="s">
        <v>33</v>
      </c>
      <c r="R31" s="381" t="s">
        <v>31</v>
      </c>
      <c r="S31" s="381" t="s">
        <v>34</v>
      </c>
      <c r="T31" s="381" t="s">
        <v>31</v>
      </c>
      <c r="U31" s="381"/>
      <c r="V31" s="381"/>
      <c r="W31" s="381"/>
      <c r="X31" s="381"/>
      <c r="Y31" s="381"/>
    </row>
    <row r="32" spans="1:25" ht="22.5" hidden="1" customHeight="1" x14ac:dyDescent="0.2">
      <c r="A32" s="381">
        <v>409360</v>
      </c>
      <c r="B32" s="382">
        <v>142</v>
      </c>
      <c r="C32" s="382">
        <v>972</v>
      </c>
      <c r="D32" s="383" t="s">
        <v>87</v>
      </c>
      <c r="E32" s="384">
        <v>45791</v>
      </c>
      <c r="F32" s="385">
        <v>1292.49</v>
      </c>
      <c r="G32" s="385">
        <v>71.09</v>
      </c>
      <c r="H32" s="434">
        <v>1363.58</v>
      </c>
      <c r="I32" s="381" t="s">
        <v>26</v>
      </c>
      <c r="J32" s="383" t="s">
        <v>27</v>
      </c>
      <c r="K32" s="381" t="s">
        <v>88</v>
      </c>
      <c r="L32" s="381" t="s">
        <v>29</v>
      </c>
      <c r="M32" s="383" t="s">
        <v>30</v>
      </c>
      <c r="N32" s="381"/>
      <c r="O32" s="381" t="s">
        <v>31</v>
      </c>
      <c r="P32" s="381" t="s">
        <v>32</v>
      </c>
      <c r="Q32" s="381" t="s">
        <v>33</v>
      </c>
      <c r="R32" s="381" t="s">
        <v>31</v>
      </c>
      <c r="S32" s="381" t="s">
        <v>34</v>
      </c>
      <c r="T32" s="381" t="s">
        <v>31</v>
      </c>
      <c r="U32" s="381"/>
      <c r="V32" s="381"/>
      <c r="W32" s="381"/>
      <c r="X32" s="381"/>
      <c r="Y32" s="381"/>
    </row>
    <row r="33" spans="1:25" ht="22.5" hidden="1" customHeight="1" x14ac:dyDescent="0.2">
      <c r="A33" s="376">
        <v>409361</v>
      </c>
      <c r="B33" s="377">
        <v>142</v>
      </c>
      <c r="C33" s="377">
        <v>973</v>
      </c>
      <c r="D33" s="378" t="s">
        <v>89</v>
      </c>
      <c r="E33" s="379">
        <v>45791</v>
      </c>
      <c r="F33" s="380">
        <v>3023.92</v>
      </c>
      <c r="G33" s="380">
        <v>166.32</v>
      </c>
      <c r="H33" s="380">
        <v>3190.24</v>
      </c>
      <c r="I33" s="376" t="s">
        <v>26</v>
      </c>
      <c r="J33" s="378" t="s">
        <v>27</v>
      </c>
      <c r="K33" s="376" t="s">
        <v>56</v>
      </c>
      <c r="L33" s="376" t="s">
        <v>29</v>
      </c>
      <c r="M33" s="378" t="s">
        <v>30</v>
      </c>
      <c r="N33" s="376"/>
      <c r="O33" s="376" t="s">
        <v>31</v>
      </c>
      <c r="P33" s="376" t="s">
        <v>57</v>
      </c>
      <c r="Q33" s="376" t="s">
        <v>33</v>
      </c>
      <c r="R33" s="376" t="s">
        <v>31</v>
      </c>
      <c r="S33" s="376" t="s">
        <v>58</v>
      </c>
      <c r="T33" s="376" t="s">
        <v>59</v>
      </c>
      <c r="U33" s="376"/>
      <c r="V33" s="376"/>
      <c r="W33" s="376"/>
      <c r="X33" s="376"/>
      <c r="Y33" s="376"/>
    </row>
    <row r="34" spans="1:25" ht="22.5" hidden="1" customHeight="1" x14ac:dyDescent="0.2">
      <c r="A34" s="386">
        <v>409972</v>
      </c>
      <c r="B34" s="387">
        <v>166</v>
      </c>
      <c r="C34" s="387">
        <v>1115</v>
      </c>
      <c r="D34" s="388" t="s">
        <v>90</v>
      </c>
      <c r="E34" s="389">
        <v>45814</v>
      </c>
      <c r="F34" s="390">
        <v>3488.17</v>
      </c>
      <c r="G34" s="390">
        <v>697.63</v>
      </c>
      <c r="H34" s="435">
        <v>4185.8</v>
      </c>
      <c r="I34" s="386" t="s">
        <v>26</v>
      </c>
      <c r="J34" s="388" t="s">
        <v>27</v>
      </c>
      <c r="K34" s="386"/>
      <c r="L34" s="386"/>
      <c r="M34" s="388"/>
      <c r="N34" s="386"/>
      <c r="O34" s="386" t="s">
        <v>31</v>
      </c>
      <c r="P34" s="386" t="s">
        <v>42</v>
      </c>
      <c r="Q34" s="386" t="s">
        <v>33</v>
      </c>
      <c r="R34" s="386" t="s">
        <v>31</v>
      </c>
      <c r="S34" s="386" t="s">
        <v>34</v>
      </c>
      <c r="T34" s="386" t="s">
        <v>43</v>
      </c>
      <c r="U34" s="386"/>
      <c r="V34" s="386"/>
      <c r="W34" s="386"/>
      <c r="X34" s="386"/>
      <c r="Y34" s="386"/>
    </row>
    <row r="35" spans="1:25" ht="22.5" hidden="1" customHeight="1" x14ac:dyDescent="0.2">
      <c r="A35" s="396">
        <v>409973</v>
      </c>
      <c r="B35" s="397">
        <v>166</v>
      </c>
      <c r="C35" s="397">
        <v>1116</v>
      </c>
      <c r="D35" s="398" t="s">
        <v>91</v>
      </c>
      <c r="E35" s="399">
        <v>45814</v>
      </c>
      <c r="F35" s="400">
        <v>3430.04</v>
      </c>
      <c r="G35" s="400">
        <v>686.01</v>
      </c>
      <c r="H35" s="437">
        <v>4116.05</v>
      </c>
      <c r="I35" s="396" t="s">
        <v>26</v>
      </c>
      <c r="J35" s="398" t="s">
        <v>27</v>
      </c>
      <c r="K35" s="396"/>
      <c r="L35" s="396"/>
      <c r="M35" s="398"/>
      <c r="N35" s="396"/>
      <c r="O35" s="396" t="s">
        <v>31</v>
      </c>
      <c r="P35" s="396" t="s">
        <v>42</v>
      </c>
      <c r="Q35" s="396" t="s">
        <v>33</v>
      </c>
      <c r="R35" s="396" t="s">
        <v>31</v>
      </c>
      <c r="S35" s="396" t="s">
        <v>34</v>
      </c>
      <c r="T35" s="396" t="s">
        <v>50</v>
      </c>
      <c r="U35" s="396"/>
      <c r="V35" s="396"/>
      <c r="W35" s="396"/>
      <c r="X35" s="396"/>
      <c r="Y35" s="396"/>
    </row>
    <row r="36" spans="1:25" ht="22.5" hidden="1" customHeight="1" x14ac:dyDescent="0.2">
      <c r="A36" s="376">
        <v>409988</v>
      </c>
      <c r="B36" s="377">
        <v>172</v>
      </c>
      <c r="C36" s="377">
        <v>1146</v>
      </c>
      <c r="D36" s="378" t="s">
        <v>92</v>
      </c>
      <c r="E36" s="379">
        <v>45814</v>
      </c>
      <c r="F36" s="380">
        <v>2961.54</v>
      </c>
      <c r="G36" s="380">
        <v>162.88</v>
      </c>
      <c r="H36" s="380">
        <v>3124.42</v>
      </c>
      <c r="I36" s="376" t="s">
        <v>26</v>
      </c>
      <c r="J36" s="378" t="s">
        <v>27</v>
      </c>
      <c r="K36" s="376" t="s">
        <v>56</v>
      </c>
      <c r="L36" s="376" t="s">
        <v>29</v>
      </c>
      <c r="M36" s="378" t="s">
        <v>30</v>
      </c>
      <c r="N36" s="376"/>
      <c r="O36" s="376" t="s">
        <v>31</v>
      </c>
      <c r="P36" s="376" t="s">
        <v>57</v>
      </c>
      <c r="Q36" s="376" t="s">
        <v>33</v>
      </c>
      <c r="R36" s="376" t="s">
        <v>31</v>
      </c>
      <c r="S36" s="376" t="s">
        <v>58</v>
      </c>
      <c r="T36" s="376" t="s">
        <v>59</v>
      </c>
      <c r="U36" s="376"/>
      <c r="V36" s="376"/>
      <c r="W36" s="376"/>
      <c r="X36" s="376"/>
      <c r="Y36" s="376"/>
    </row>
    <row r="37" spans="1:25" ht="22.5" customHeight="1" x14ac:dyDescent="0.2">
      <c r="A37" s="391">
        <v>411303</v>
      </c>
      <c r="B37" s="392">
        <v>198</v>
      </c>
      <c r="C37" s="392">
        <v>1322</v>
      </c>
      <c r="D37" s="393" t="s">
        <v>93</v>
      </c>
      <c r="E37" s="394">
        <v>45840</v>
      </c>
      <c r="F37" s="395">
        <v>398.1</v>
      </c>
      <c r="G37" s="395">
        <v>21.9</v>
      </c>
      <c r="H37" s="436">
        <v>420</v>
      </c>
      <c r="I37" s="391" t="s">
        <v>26</v>
      </c>
      <c r="J37" s="393" t="s">
        <v>27</v>
      </c>
      <c r="K37" s="391" t="s">
        <v>94</v>
      </c>
      <c r="L37" s="391" t="s">
        <v>29</v>
      </c>
      <c r="M37" s="393" t="s">
        <v>30</v>
      </c>
      <c r="N37" s="391"/>
      <c r="O37" s="391" t="s">
        <v>31</v>
      </c>
      <c r="P37" s="391" t="s">
        <v>46</v>
      </c>
      <c r="Q37" s="391" t="s">
        <v>33</v>
      </c>
      <c r="R37" s="391" t="s">
        <v>31</v>
      </c>
      <c r="S37" s="391" t="s">
        <v>34</v>
      </c>
      <c r="T37" s="391" t="s">
        <v>47</v>
      </c>
      <c r="U37" s="391"/>
      <c r="V37" s="391"/>
      <c r="W37" s="391"/>
      <c r="X37" s="391"/>
      <c r="Y37" s="391"/>
    </row>
    <row r="38" spans="1:25" ht="22.5" hidden="1" customHeight="1" x14ac:dyDescent="0.2">
      <c r="A38" s="381">
        <v>411309</v>
      </c>
      <c r="B38" s="382">
        <v>201</v>
      </c>
      <c r="C38" s="382">
        <v>1332</v>
      </c>
      <c r="D38" s="383" t="s">
        <v>95</v>
      </c>
      <c r="E38" s="384">
        <v>45841</v>
      </c>
      <c r="F38" s="385">
        <v>50363.11</v>
      </c>
      <c r="G38" s="385">
        <v>2769.97</v>
      </c>
      <c r="H38" s="434">
        <v>53133.08</v>
      </c>
      <c r="I38" s="381" t="s">
        <v>26</v>
      </c>
      <c r="J38" s="383" t="s">
        <v>27</v>
      </c>
      <c r="K38" s="381" t="s">
        <v>96</v>
      </c>
      <c r="L38" s="381" t="s">
        <v>29</v>
      </c>
      <c r="M38" s="383" t="s">
        <v>30</v>
      </c>
      <c r="N38" s="381"/>
      <c r="O38" s="381" t="s">
        <v>31</v>
      </c>
      <c r="P38" s="381" t="s">
        <v>32</v>
      </c>
      <c r="Q38" s="381" t="s">
        <v>33</v>
      </c>
      <c r="R38" s="381" t="s">
        <v>31</v>
      </c>
      <c r="S38" s="381" t="s">
        <v>34</v>
      </c>
      <c r="T38" s="381" t="s">
        <v>31</v>
      </c>
      <c r="U38" s="381"/>
      <c r="V38" s="381"/>
      <c r="W38" s="381"/>
      <c r="X38" s="381"/>
      <c r="Y38" s="381"/>
    </row>
    <row r="39" spans="1:25" ht="22.5" hidden="1" customHeight="1" x14ac:dyDescent="0.2">
      <c r="A39" s="376">
        <v>412277</v>
      </c>
      <c r="B39" s="377">
        <v>227</v>
      </c>
      <c r="C39" s="377">
        <v>1531</v>
      </c>
      <c r="D39" s="378" t="s">
        <v>97</v>
      </c>
      <c r="E39" s="379">
        <v>45853</v>
      </c>
      <c r="F39" s="380">
        <v>819.62</v>
      </c>
      <c r="G39" s="380">
        <v>45.08</v>
      </c>
      <c r="H39" s="380">
        <v>864.7</v>
      </c>
      <c r="I39" s="376" t="s">
        <v>26</v>
      </c>
      <c r="J39" s="378" t="s">
        <v>27</v>
      </c>
      <c r="K39" s="376" t="s">
        <v>52</v>
      </c>
      <c r="L39" s="376" t="s">
        <v>29</v>
      </c>
      <c r="M39" s="378" t="s">
        <v>30</v>
      </c>
      <c r="N39" s="376"/>
      <c r="O39" s="376" t="s">
        <v>31</v>
      </c>
      <c r="P39" s="376" t="s">
        <v>53</v>
      </c>
      <c r="Q39" s="376" t="s">
        <v>33</v>
      </c>
      <c r="R39" s="376" t="s">
        <v>31</v>
      </c>
      <c r="S39" s="376" t="s">
        <v>34</v>
      </c>
      <c r="T39" s="376" t="s">
        <v>54</v>
      </c>
      <c r="U39" s="376"/>
      <c r="V39" s="376"/>
      <c r="W39" s="376"/>
      <c r="X39" s="376"/>
      <c r="Y39" s="376"/>
    </row>
    <row r="40" spans="1:25" ht="22.5" hidden="1" customHeight="1" x14ac:dyDescent="0.2">
      <c r="A40" s="396">
        <v>412733</v>
      </c>
      <c r="B40" s="397">
        <v>243</v>
      </c>
      <c r="C40" s="397">
        <v>1584</v>
      </c>
      <c r="D40" s="398" t="s">
        <v>98</v>
      </c>
      <c r="E40" s="399">
        <v>45863</v>
      </c>
      <c r="F40" s="400">
        <v>2992.21</v>
      </c>
      <c r="G40" s="400">
        <v>164.57</v>
      </c>
      <c r="H40" s="437">
        <v>3156.78</v>
      </c>
      <c r="I40" s="396" t="s">
        <v>26</v>
      </c>
      <c r="J40" s="398" t="s">
        <v>27</v>
      </c>
      <c r="K40" s="396" t="s">
        <v>49</v>
      </c>
      <c r="L40" s="396" t="s">
        <v>29</v>
      </c>
      <c r="M40" s="398" t="s">
        <v>30</v>
      </c>
      <c r="N40" s="396"/>
      <c r="O40" s="396" t="s">
        <v>31</v>
      </c>
      <c r="P40" s="396" t="s">
        <v>42</v>
      </c>
      <c r="Q40" s="396" t="s">
        <v>33</v>
      </c>
      <c r="R40" s="396" t="s">
        <v>31</v>
      </c>
      <c r="S40" s="396" t="s">
        <v>34</v>
      </c>
      <c r="T40" s="396" t="s">
        <v>50</v>
      </c>
      <c r="U40" s="396"/>
      <c r="V40" s="396"/>
      <c r="W40" s="396"/>
      <c r="X40" s="396"/>
      <c r="Y40" s="396"/>
    </row>
    <row r="41" spans="1:25" ht="22.5" hidden="1" customHeight="1" x14ac:dyDescent="0.2">
      <c r="A41" s="396">
        <v>412756</v>
      </c>
      <c r="B41" s="397">
        <v>246</v>
      </c>
      <c r="C41" s="397">
        <v>1591</v>
      </c>
      <c r="D41" s="398" t="s">
        <v>99</v>
      </c>
      <c r="E41" s="399">
        <v>45866</v>
      </c>
      <c r="F41" s="400">
        <v>1305.47</v>
      </c>
      <c r="G41" s="400">
        <v>71.8</v>
      </c>
      <c r="H41" s="437">
        <v>1377.27</v>
      </c>
      <c r="I41" s="396" t="s">
        <v>26</v>
      </c>
      <c r="J41" s="398" t="s">
        <v>27</v>
      </c>
      <c r="K41" s="396" t="s">
        <v>49</v>
      </c>
      <c r="L41" s="396" t="s">
        <v>29</v>
      </c>
      <c r="M41" s="398" t="s">
        <v>30</v>
      </c>
      <c r="N41" s="396"/>
      <c r="O41" s="396" t="s">
        <v>31</v>
      </c>
      <c r="P41" s="396" t="s">
        <v>42</v>
      </c>
      <c r="Q41" s="396" t="s">
        <v>33</v>
      </c>
      <c r="R41" s="396" t="s">
        <v>31</v>
      </c>
      <c r="S41" s="396" t="s">
        <v>34</v>
      </c>
      <c r="T41" s="396" t="s">
        <v>50</v>
      </c>
      <c r="U41" s="396"/>
      <c r="V41" s="396"/>
      <c r="W41" s="396"/>
      <c r="X41" s="396"/>
      <c r="Y41" s="396"/>
    </row>
    <row r="42" spans="1:25" ht="22.5" hidden="1" customHeight="1" x14ac:dyDescent="0.2">
      <c r="A42" s="396">
        <v>412757</v>
      </c>
      <c r="B42" s="397">
        <v>246</v>
      </c>
      <c r="C42" s="397">
        <v>1591</v>
      </c>
      <c r="D42" s="398" t="s">
        <v>100</v>
      </c>
      <c r="E42" s="399">
        <v>45866</v>
      </c>
      <c r="F42" s="400">
        <v>1895.73</v>
      </c>
      <c r="G42" s="400">
        <v>104.27</v>
      </c>
      <c r="H42" s="437">
        <v>2000</v>
      </c>
      <c r="I42" s="396" t="s">
        <v>26</v>
      </c>
      <c r="J42" s="398" t="s">
        <v>27</v>
      </c>
      <c r="K42" s="396" t="s">
        <v>101</v>
      </c>
      <c r="L42" s="396" t="s">
        <v>29</v>
      </c>
      <c r="M42" s="398" t="s">
        <v>30</v>
      </c>
      <c r="N42" s="396"/>
      <c r="O42" s="396" t="s">
        <v>31</v>
      </c>
      <c r="P42" s="396" t="s">
        <v>42</v>
      </c>
      <c r="Q42" s="396" t="s">
        <v>33</v>
      </c>
      <c r="R42" s="396" t="s">
        <v>31</v>
      </c>
      <c r="S42" s="396" t="s">
        <v>34</v>
      </c>
      <c r="T42" s="396" t="s">
        <v>50</v>
      </c>
      <c r="U42" s="396"/>
      <c r="V42" s="396"/>
      <c r="W42" s="396"/>
      <c r="X42" s="396"/>
      <c r="Y42" s="396"/>
    </row>
    <row r="43" spans="1:25" ht="22.5" hidden="1" customHeight="1" x14ac:dyDescent="0.2">
      <c r="A43" s="376">
        <v>412758</v>
      </c>
      <c r="B43" s="377">
        <v>246</v>
      </c>
      <c r="C43" s="377">
        <v>1592</v>
      </c>
      <c r="D43" s="378" t="s">
        <v>102</v>
      </c>
      <c r="E43" s="379">
        <v>45866</v>
      </c>
      <c r="F43" s="380">
        <v>3313.13</v>
      </c>
      <c r="G43" s="380">
        <v>182.22</v>
      </c>
      <c r="H43" s="380">
        <v>3495.35</v>
      </c>
      <c r="I43" s="376" t="s">
        <v>26</v>
      </c>
      <c r="J43" s="378" t="s">
        <v>27</v>
      </c>
      <c r="K43" s="376" t="s">
        <v>56</v>
      </c>
      <c r="L43" s="376" t="s">
        <v>29</v>
      </c>
      <c r="M43" s="378" t="s">
        <v>30</v>
      </c>
      <c r="N43" s="376"/>
      <c r="O43" s="376" t="s">
        <v>31</v>
      </c>
      <c r="P43" s="376" t="s">
        <v>57</v>
      </c>
      <c r="Q43" s="376" t="s">
        <v>33</v>
      </c>
      <c r="R43" s="376" t="s">
        <v>31</v>
      </c>
      <c r="S43" s="376" t="s">
        <v>58</v>
      </c>
      <c r="T43" s="376" t="s">
        <v>59</v>
      </c>
      <c r="U43" s="376"/>
      <c r="V43" s="376"/>
      <c r="W43" s="376"/>
      <c r="X43" s="376"/>
      <c r="Y43" s="376"/>
    </row>
    <row r="44" spans="1:25" ht="22.5" hidden="1" customHeight="1" x14ac:dyDescent="0.2">
      <c r="A44" s="386">
        <v>412760</v>
      </c>
      <c r="B44" s="387">
        <v>246</v>
      </c>
      <c r="C44" s="387">
        <v>1593</v>
      </c>
      <c r="D44" s="388" t="s">
        <v>103</v>
      </c>
      <c r="E44" s="389">
        <v>45866</v>
      </c>
      <c r="F44" s="390">
        <v>3386.47</v>
      </c>
      <c r="G44" s="390">
        <v>186.26</v>
      </c>
      <c r="H44" s="435">
        <v>3572.73</v>
      </c>
      <c r="I44" s="386" t="s">
        <v>26</v>
      </c>
      <c r="J44" s="388" t="s">
        <v>27</v>
      </c>
      <c r="K44" s="386" t="s">
        <v>41</v>
      </c>
      <c r="L44" s="386" t="s">
        <v>29</v>
      </c>
      <c r="M44" s="388" t="s">
        <v>30</v>
      </c>
      <c r="N44" s="386"/>
      <c r="O44" s="386" t="s">
        <v>31</v>
      </c>
      <c r="P44" s="386" t="s">
        <v>42</v>
      </c>
      <c r="Q44" s="386" t="s">
        <v>33</v>
      </c>
      <c r="R44" s="386" t="s">
        <v>31</v>
      </c>
      <c r="S44" s="386" t="s">
        <v>34</v>
      </c>
      <c r="T44" s="386" t="s">
        <v>43</v>
      </c>
      <c r="U44" s="386"/>
      <c r="V44" s="386"/>
      <c r="W44" s="386"/>
      <c r="X44" s="386"/>
      <c r="Y44" s="386"/>
    </row>
    <row r="45" spans="1:25" ht="22.5" hidden="1" customHeight="1" x14ac:dyDescent="0.2">
      <c r="A45" s="386">
        <v>412761</v>
      </c>
      <c r="B45" s="387">
        <v>246</v>
      </c>
      <c r="C45" s="387">
        <v>1593</v>
      </c>
      <c r="D45" s="388" t="s">
        <v>104</v>
      </c>
      <c r="E45" s="389">
        <v>45866</v>
      </c>
      <c r="F45" s="390">
        <v>120.79</v>
      </c>
      <c r="G45" s="390">
        <v>6.64</v>
      </c>
      <c r="H45" s="435">
        <v>127.43</v>
      </c>
      <c r="I45" s="386" t="s">
        <v>26</v>
      </c>
      <c r="J45" s="388" t="s">
        <v>27</v>
      </c>
      <c r="K45" s="386" t="s">
        <v>85</v>
      </c>
      <c r="L45" s="386" t="s">
        <v>29</v>
      </c>
      <c r="M45" s="388" t="s">
        <v>30</v>
      </c>
      <c r="N45" s="386"/>
      <c r="O45" s="386" t="s">
        <v>31</v>
      </c>
      <c r="P45" s="386" t="s">
        <v>42</v>
      </c>
      <c r="Q45" s="386" t="s">
        <v>33</v>
      </c>
      <c r="R45" s="386" t="s">
        <v>31</v>
      </c>
      <c r="S45" s="386" t="s">
        <v>34</v>
      </c>
      <c r="T45" s="386" t="s">
        <v>43</v>
      </c>
      <c r="U45" s="386"/>
      <c r="V45" s="386"/>
      <c r="W45" s="386"/>
      <c r="X45" s="386"/>
      <c r="Y45" s="386"/>
    </row>
    <row r="46" spans="1:25" ht="22.5" hidden="1" customHeight="1" x14ac:dyDescent="0.2">
      <c r="A46" s="386">
        <v>412874</v>
      </c>
      <c r="B46" s="387">
        <v>258</v>
      </c>
      <c r="C46" s="387">
        <v>1664</v>
      </c>
      <c r="D46" s="388" t="s">
        <v>105</v>
      </c>
      <c r="E46" s="389">
        <v>45875</v>
      </c>
      <c r="F46" s="390">
        <v>1389.77</v>
      </c>
      <c r="G46" s="390">
        <v>76.44</v>
      </c>
      <c r="H46" s="435">
        <v>1466.21</v>
      </c>
      <c r="I46" s="386" t="s">
        <v>26</v>
      </c>
      <c r="J46" s="388" t="s">
        <v>27</v>
      </c>
      <c r="K46" s="386" t="s">
        <v>85</v>
      </c>
      <c r="L46" s="386" t="s">
        <v>29</v>
      </c>
      <c r="M46" s="388" t="s">
        <v>30</v>
      </c>
      <c r="N46" s="386"/>
      <c r="O46" s="386" t="s">
        <v>31</v>
      </c>
      <c r="P46" s="386" t="s">
        <v>42</v>
      </c>
      <c r="Q46" s="386" t="s">
        <v>33</v>
      </c>
      <c r="R46" s="386" t="s">
        <v>31</v>
      </c>
      <c r="S46" s="386" t="s">
        <v>34</v>
      </c>
      <c r="T46" s="386" t="s">
        <v>43</v>
      </c>
      <c r="U46" s="386"/>
      <c r="V46" s="386"/>
      <c r="W46" s="386"/>
      <c r="X46" s="386"/>
      <c r="Y46" s="386"/>
    </row>
    <row r="47" spans="1:25" ht="22.5" hidden="1" customHeight="1" x14ac:dyDescent="0.2">
      <c r="A47" s="386">
        <v>412875</v>
      </c>
      <c r="B47" s="387">
        <v>258</v>
      </c>
      <c r="C47" s="387">
        <v>1664</v>
      </c>
      <c r="D47" s="388" t="s">
        <v>106</v>
      </c>
      <c r="E47" s="389">
        <v>45875</v>
      </c>
      <c r="F47" s="390">
        <v>1895.73</v>
      </c>
      <c r="G47" s="390">
        <v>104.27</v>
      </c>
      <c r="H47" s="435">
        <v>2000</v>
      </c>
      <c r="I47" s="386" t="s">
        <v>26</v>
      </c>
      <c r="J47" s="388" t="s">
        <v>27</v>
      </c>
      <c r="K47" s="386" t="s">
        <v>107</v>
      </c>
      <c r="L47" s="386" t="s">
        <v>29</v>
      </c>
      <c r="M47" s="388" t="s">
        <v>30</v>
      </c>
      <c r="N47" s="386"/>
      <c r="O47" s="386" t="s">
        <v>31</v>
      </c>
      <c r="P47" s="386" t="s">
        <v>42</v>
      </c>
      <c r="Q47" s="386" t="s">
        <v>33</v>
      </c>
      <c r="R47" s="386" t="s">
        <v>31</v>
      </c>
      <c r="S47" s="386" t="s">
        <v>34</v>
      </c>
      <c r="T47" s="386" t="s">
        <v>43</v>
      </c>
      <c r="U47" s="386"/>
      <c r="V47" s="386"/>
      <c r="W47" s="386"/>
      <c r="X47" s="386"/>
      <c r="Y47" s="386"/>
    </row>
    <row r="48" spans="1:25" ht="22.5" hidden="1" customHeight="1" x14ac:dyDescent="0.2">
      <c r="A48" s="386">
        <v>412876</v>
      </c>
      <c r="B48" s="387">
        <v>258</v>
      </c>
      <c r="C48" s="387">
        <v>1664</v>
      </c>
      <c r="D48" s="388" t="s">
        <v>108</v>
      </c>
      <c r="E48" s="389">
        <v>45875</v>
      </c>
      <c r="F48" s="390">
        <v>253</v>
      </c>
      <c r="G48" s="390">
        <v>13.91</v>
      </c>
      <c r="H48" s="435">
        <v>266.91000000000003</v>
      </c>
      <c r="I48" s="386" t="s">
        <v>26</v>
      </c>
      <c r="J48" s="388" t="s">
        <v>27</v>
      </c>
      <c r="K48" s="386" t="s">
        <v>109</v>
      </c>
      <c r="L48" s="386" t="s">
        <v>29</v>
      </c>
      <c r="M48" s="388" t="s">
        <v>30</v>
      </c>
      <c r="N48" s="386"/>
      <c r="O48" s="386" t="s">
        <v>31</v>
      </c>
      <c r="P48" s="386" t="s">
        <v>42</v>
      </c>
      <c r="Q48" s="386" t="s">
        <v>33</v>
      </c>
      <c r="R48" s="386" t="s">
        <v>31</v>
      </c>
      <c r="S48" s="386" t="s">
        <v>34</v>
      </c>
      <c r="T48" s="386" t="s">
        <v>43</v>
      </c>
      <c r="U48" s="386"/>
      <c r="V48" s="386"/>
      <c r="W48" s="386"/>
      <c r="X48" s="386"/>
      <c r="Y48" s="386"/>
    </row>
    <row r="49" spans="1:25" ht="22.5" customHeight="1" x14ac:dyDescent="0.2">
      <c r="A49" s="391">
        <v>412879</v>
      </c>
      <c r="B49" s="392">
        <v>258</v>
      </c>
      <c r="C49" s="392">
        <v>1665</v>
      </c>
      <c r="D49" s="393" t="s">
        <v>110</v>
      </c>
      <c r="E49" s="394">
        <v>45875</v>
      </c>
      <c r="F49" s="395">
        <v>473.93</v>
      </c>
      <c r="G49" s="395">
        <v>26.07</v>
      </c>
      <c r="H49" s="436">
        <v>500</v>
      </c>
      <c r="I49" s="391" t="s">
        <v>26</v>
      </c>
      <c r="J49" s="393" t="s">
        <v>27</v>
      </c>
      <c r="K49" s="391" t="s">
        <v>111</v>
      </c>
      <c r="L49" s="391" t="s">
        <v>29</v>
      </c>
      <c r="M49" s="393" t="s">
        <v>30</v>
      </c>
      <c r="N49" s="391"/>
      <c r="O49" s="391" t="s">
        <v>31</v>
      </c>
      <c r="P49" s="391" t="s">
        <v>46</v>
      </c>
      <c r="Q49" s="391" t="s">
        <v>33</v>
      </c>
      <c r="R49" s="391" t="s">
        <v>31</v>
      </c>
      <c r="S49" s="391" t="s">
        <v>34</v>
      </c>
      <c r="T49" s="391" t="s">
        <v>47</v>
      </c>
      <c r="U49" s="391"/>
      <c r="V49" s="391"/>
      <c r="W49" s="391"/>
      <c r="X49" s="391"/>
      <c r="Y49" s="391"/>
    </row>
    <row r="50" spans="1:25" ht="22.5" customHeight="1" x14ac:dyDescent="0.2">
      <c r="A50" s="391">
        <v>412880</v>
      </c>
      <c r="B50" s="392">
        <v>258</v>
      </c>
      <c r="C50" s="392">
        <v>1665</v>
      </c>
      <c r="D50" s="393" t="s">
        <v>112</v>
      </c>
      <c r="E50" s="394">
        <v>45875</v>
      </c>
      <c r="F50" s="395">
        <v>65.69</v>
      </c>
      <c r="G50" s="395">
        <v>3.61</v>
      </c>
      <c r="H50" s="436">
        <v>69.3</v>
      </c>
      <c r="I50" s="391" t="s">
        <v>26</v>
      </c>
      <c r="J50" s="393" t="s">
        <v>27</v>
      </c>
      <c r="K50" s="391" t="s">
        <v>113</v>
      </c>
      <c r="L50" s="391" t="s">
        <v>29</v>
      </c>
      <c r="M50" s="393" t="s">
        <v>30</v>
      </c>
      <c r="N50" s="391"/>
      <c r="O50" s="391" t="s">
        <v>31</v>
      </c>
      <c r="P50" s="391" t="s">
        <v>46</v>
      </c>
      <c r="Q50" s="391" t="s">
        <v>33</v>
      </c>
      <c r="R50" s="391" t="s">
        <v>31</v>
      </c>
      <c r="S50" s="391" t="s">
        <v>34</v>
      </c>
      <c r="T50" s="391" t="s">
        <v>47</v>
      </c>
      <c r="U50" s="391"/>
      <c r="V50" s="391"/>
      <c r="W50" s="391"/>
      <c r="X50" s="391"/>
      <c r="Y50" s="391"/>
    </row>
    <row r="51" spans="1:25" ht="22.5" hidden="1" customHeight="1" x14ac:dyDescent="0.2">
      <c r="A51" s="381">
        <v>413725</v>
      </c>
      <c r="B51" s="382">
        <v>270</v>
      </c>
      <c r="C51" s="382">
        <v>1734</v>
      </c>
      <c r="D51" s="383" t="s">
        <v>114</v>
      </c>
      <c r="E51" s="384">
        <v>45881</v>
      </c>
      <c r="F51" s="385">
        <v>57249.36</v>
      </c>
      <c r="G51" s="385">
        <v>3148.71</v>
      </c>
      <c r="H51" s="434">
        <v>60398.07</v>
      </c>
      <c r="I51" s="381" t="s">
        <v>26</v>
      </c>
      <c r="J51" s="383" t="s">
        <v>27</v>
      </c>
      <c r="K51" s="381" t="s">
        <v>115</v>
      </c>
      <c r="L51" s="381" t="s">
        <v>29</v>
      </c>
      <c r="M51" s="383" t="s">
        <v>30</v>
      </c>
      <c r="N51" s="381"/>
      <c r="O51" s="381" t="s">
        <v>31</v>
      </c>
      <c r="P51" s="381" t="s">
        <v>32</v>
      </c>
      <c r="Q51" s="381" t="s">
        <v>33</v>
      </c>
      <c r="R51" s="381" t="s">
        <v>31</v>
      </c>
      <c r="S51" s="381" t="s">
        <v>34</v>
      </c>
      <c r="T51" s="381" t="s">
        <v>31</v>
      </c>
      <c r="U51" s="381"/>
      <c r="V51" s="381"/>
      <c r="W51" s="381"/>
      <c r="X51" s="381"/>
      <c r="Y51" s="381"/>
    </row>
    <row r="52" spans="1:25" ht="22.5" hidden="1" customHeight="1" x14ac:dyDescent="0.2">
      <c r="A52" s="381">
        <v>414786</v>
      </c>
      <c r="B52" s="382">
        <v>304</v>
      </c>
      <c r="C52" s="382">
        <v>1900</v>
      </c>
      <c r="D52" s="383" t="s">
        <v>116</v>
      </c>
      <c r="E52" s="384">
        <v>45902</v>
      </c>
      <c r="F52" s="385">
        <v>11326.6</v>
      </c>
      <c r="G52" s="385">
        <v>622.96</v>
      </c>
      <c r="H52" s="434">
        <v>11949.56</v>
      </c>
      <c r="I52" s="381" t="s">
        <v>26</v>
      </c>
      <c r="J52" s="383" t="s">
        <v>27</v>
      </c>
      <c r="K52" s="381" t="s">
        <v>117</v>
      </c>
      <c r="L52" s="381" t="s">
        <v>29</v>
      </c>
      <c r="M52" s="383" t="s">
        <v>30</v>
      </c>
      <c r="N52" s="381"/>
      <c r="O52" s="381" t="s">
        <v>31</v>
      </c>
      <c r="P52" s="381" t="s">
        <v>32</v>
      </c>
      <c r="Q52" s="381" t="s">
        <v>33</v>
      </c>
      <c r="R52" s="381" t="s">
        <v>31</v>
      </c>
      <c r="S52" s="381" t="s">
        <v>34</v>
      </c>
      <c r="T52" s="381" t="s">
        <v>31</v>
      </c>
      <c r="U52" s="381"/>
      <c r="V52" s="381"/>
      <c r="W52" s="381"/>
      <c r="X52" s="381"/>
      <c r="Y52" s="381"/>
    </row>
    <row r="53" spans="1:25" ht="22.5" hidden="1" customHeight="1" x14ac:dyDescent="0.2">
      <c r="A53" s="376">
        <v>414787</v>
      </c>
      <c r="B53" s="377">
        <v>304</v>
      </c>
      <c r="C53" s="377">
        <v>1901</v>
      </c>
      <c r="D53" s="378" t="s">
        <v>118</v>
      </c>
      <c r="E53" s="379">
        <v>45902</v>
      </c>
      <c r="F53" s="380">
        <v>2734.64</v>
      </c>
      <c r="G53" s="380">
        <v>150.41</v>
      </c>
      <c r="H53" s="380">
        <v>2885.05</v>
      </c>
      <c r="I53" s="376" t="s">
        <v>26</v>
      </c>
      <c r="J53" s="378" t="s">
        <v>27</v>
      </c>
      <c r="K53" s="376" t="s">
        <v>56</v>
      </c>
      <c r="L53" s="376" t="s">
        <v>29</v>
      </c>
      <c r="M53" s="378" t="s">
        <v>30</v>
      </c>
      <c r="N53" s="376"/>
      <c r="O53" s="376" t="s">
        <v>31</v>
      </c>
      <c r="P53" s="376" t="s">
        <v>57</v>
      </c>
      <c r="Q53" s="376" t="s">
        <v>33</v>
      </c>
      <c r="R53" s="376" t="s">
        <v>31</v>
      </c>
      <c r="S53" s="376" t="s">
        <v>58</v>
      </c>
      <c r="T53" s="376" t="s">
        <v>59</v>
      </c>
      <c r="U53" s="376"/>
      <c r="V53" s="376"/>
      <c r="W53" s="376"/>
      <c r="X53" s="376"/>
      <c r="Y53" s="376"/>
    </row>
    <row r="54" spans="1:25" ht="22.5" customHeight="1" x14ac:dyDescent="0.2">
      <c r="A54" s="391">
        <v>415883</v>
      </c>
      <c r="B54" s="392">
        <v>333</v>
      </c>
      <c r="C54" s="392">
        <v>2162</v>
      </c>
      <c r="D54" s="393" t="s">
        <v>119</v>
      </c>
      <c r="E54" s="394">
        <v>45931</v>
      </c>
      <c r="F54" s="395">
        <v>219.22</v>
      </c>
      <c r="G54" s="395">
        <v>12.06</v>
      </c>
      <c r="H54" s="436">
        <v>231.28</v>
      </c>
      <c r="I54" s="391" t="s">
        <v>26</v>
      </c>
      <c r="J54" s="393" t="s">
        <v>27</v>
      </c>
      <c r="K54" s="391" t="s">
        <v>113</v>
      </c>
      <c r="L54" s="391" t="s">
        <v>29</v>
      </c>
      <c r="M54" s="393" t="s">
        <v>30</v>
      </c>
      <c r="N54" s="391"/>
      <c r="O54" s="391" t="s">
        <v>31</v>
      </c>
      <c r="P54" s="391" t="s">
        <v>46</v>
      </c>
      <c r="Q54" s="391" t="s">
        <v>33</v>
      </c>
      <c r="R54" s="391" t="s">
        <v>31</v>
      </c>
      <c r="S54" s="391" t="s">
        <v>34</v>
      </c>
      <c r="T54" s="391" t="s">
        <v>47</v>
      </c>
      <c r="U54" s="391"/>
      <c r="V54" s="391"/>
      <c r="W54" s="391"/>
      <c r="X54" s="391"/>
      <c r="Y54" s="391"/>
    </row>
    <row r="55" spans="1:25" ht="22.5" hidden="1" customHeight="1" x14ac:dyDescent="0.2">
      <c r="A55" s="376">
        <v>415886</v>
      </c>
      <c r="B55" s="377">
        <v>333</v>
      </c>
      <c r="C55" s="377">
        <v>2163</v>
      </c>
      <c r="D55" s="378" t="s">
        <v>120</v>
      </c>
      <c r="E55" s="379">
        <v>45931</v>
      </c>
      <c r="F55" s="380">
        <v>352.6</v>
      </c>
      <c r="G55" s="380">
        <v>19.39</v>
      </c>
      <c r="H55" s="380">
        <v>371.99</v>
      </c>
      <c r="I55" s="376" t="s">
        <v>26</v>
      </c>
      <c r="J55" s="378" t="s">
        <v>27</v>
      </c>
      <c r="K55" s="376" t="s">
        <v>56</v>
      </c>
      <c r="L55" s="376" t="s">
        <v>29</v>
      </c>
      <c r="M55" s="378" t="s">
        <v>30</v>
      </c>
      <c r="N55" s="376"/>
      <c r="O55" s="376" t="s">
        <v>31</v>
      </c>
      <c r="P55" s="376" t="s">
        <v>57</v>
      </c>
      <c r="Q55" s="376" t="s">
        <v>33</v>
      </c>
      <c r="R55" s="376" t="s">
        <v>31</v>
      </c>
      <c r="S55" s="376" t="s">
        <v>58</v>
      </c>
      <c r="T55" s="376" t="s">
        <v>59</v>
      </c>
      <c r="U55" s="376"/>
      <c r="V55" s="376"/>
      <c r="W55" s="376"/>
      <c r="X55" s="376"/>
      <c r="Y55" s="376"/>
    </row>
    <row r="56" spans="1:25" ht="22.5" hidden="1" customHeight="1" x14ac:dyDescent="0.2">
      <c r="A56" s="396">
        <v>415887</v>
      </c>
      <c r="B56" s="397">
        <v>333</v>
      </c>
      <c r="C56" s="397">
        <v>2164</v>
      </c>
      <c r="D56" s="398" t="s">
        <v>121</v>
      </c>
      <c r="E56" s="399">
        <v>45931</v>
      </c>
      <c r="F56" s="400">
        <v>8494.64</v>
      </c>
      <c r="G56" s="400">
        <v>467.2</v>
      </c>
      <c r="H56" s="437">
        <v>8961.84</v>
      </c>
      <c r="I56" s="396" t="s">
        <v>26</v>
      </c>
      <c r="J56" s="398" t="s">
        <v>27</v>
      </c>
      <c r="K56" s="396" t="s">
        <v>122</v>
      </c>
      <c r="L56" s="396" t="s">
        <v>29</v>
      </c>
      <c r="M56" s="398" t="s">
        <v>30</v>
      </c>
      <c r="N56" s="396"/>
      <c r="O56" s="396" t="s">
        <v>31</v>
      </c>
      <c r="P56" s="396" t="s">
        <v>42</v>
      </c>
      <c r="Q56" s="396" t="s">
        <v>33</v>
      </c>
      <c r="R56" s="396" t="s">
        <v>31</v>
      </c>
      <c r="S56" s="396" t="s">
        <v>34</v>
      </c>
      <c r="T56" s="396" t="s">
        <v>50</v>
      </c>
      <c r="U56" s="396"/>
      <c r="V56" s="396"/>
      <c r="W56" s="396"/>
      <c r="X56" s="396"/>
      <c r="Y56" s="396"/>
    </row>
    <row r="57" spans="1:25" ht="22.5" hidden="1" customHeight="1" x14ac:dyDescent="0.2">
      <c r="A57" s="376">
        <v>415888</v>
      </c>
      <c r="B57" s="377">
        <v>333</v>
      </c>
      <c r="C57" s="377">
        <v>2165</v>
      </c>
      <c r="D57" s="378" t="s">
        <v>123</v>
      </c>
      <c r="E57" s="379">
        <v>45931</v>
      </c>
      <c r="F57" s="380">
        <v>3041.46</v>
      </c>
      <c r="G57" s="380">
        <v>167.28</v>
      </c>
      <c r="H57" s="380">
        <v>3208.74</v>
      </c>
      <c r="I57" s="376" t="s">
        <v>26</v>
      </c>
      <c r="J57" s="378" t="s">
        <v>27</v>
      </c>
      <c r="K57" s="376" t="s">
        <v>124</v>
      </c>
      <c r="L57" s="376" t="s">
        <v>29</v>
      </c>
      <c r="M57" s="378" t="s">
        <v>30</v>
      </c>
      <c r="N57" s="376"/>
      <c r="O57" s="376" t="s">
        <v>31</v>
      </c>
      <c r="P57" s="376" t="s">
        <v>53</v>
      </c>
      <c r="Q57" s="376" t="s">
        <v>33</v>
      </c>
      <c r="R57" s="376" t="s">
        <v>31</v>
      </c>
      <c r="S57" s="376" t="s">
        <v>34</v>
      </c>
      <c r="T57" s="376" t="s">
        <v>54</v>
      </c>
      <c r="U57" s="376"/>
      <c r="V57" s="376"/>
      <c r="W57" s="376"/>
      <c r="X57" s="376"/>
      <c r="Y57" s="376"/>
    </row>
    <row r="58" spans="1:25" ht="22.5" customHeight="1" x14ac:dyDescent="0.2">
      <c r="A58" s="391">
        <v>415889</v>
      </c>
      <c r="B58" s="392">
        <v>333</v>
      </c>
      <c r="C58" s="392">
        <v>2166</v>
      </c>
      <c r="D58" s="393" t="s">
        <v>125</v>
      </c>
      <c r="E58" s="394">
        <v>45931</v>
      </c>
      <c r="F58" s="395">
        <v>44.97</v>
      </c>
      <c r="G58" s="395">
        <v>2.4700000000000002</v>
      </c>
      <c r="H58" s="436">
        <v>47.44</v>
      </c>
      <c r="I58" s="391" t="s">
        <v>26</v>
      </c>
      <c r="J58" s="393" t="s">
        <v>27</v>
      </c>
      <c r="K58" s="391" t="s">
        <v>113</v>
      </c>
      <c r="L58" s="391" t="s">
        <v>29</v>
      </c>
      <c r="M58" s="393" t="s">
        <v>30</v>
      </c>
      <c r="N58" s="391"/>
      <c r="O58" s="391" t="s">
        <v>31</v>
      </c>
      <c r="P58" s="391" t="s">
        <v>46</v>
      </c>
      <c r="Q58" s="391" t="s">
        <v>33</v>
      </c>
      <c r="R58" s="391" t="s">
        <v>31</v>
      </c>
      <c r="S58" s="391" t="s">
        <v>34</v>
      </c>
      <c r="T58" s="391" t="s">
        <v>47</v>
      </c>
      <c r="U58" s="391"/>
      <c r="V58" s="391"/>
      <c r="W58" s="391"/>
      <c r="X58" s="391"/>
      <c r="Y58" s="391"/>
    </row>
    <row r="59" spans="1:25" ht="22.5" hidden="1" customHeight="1" x14ac:dyDescent="0.2">
      <c r="A59" s="386">
        <v>415890</v>
      </c>
      <c r="B59" s="387">
        <v>333</v>
      </c>
      <c r="C59" s="387">
        <v>2167</v>
      </c>
      <c r="D59" s="388" t="s">
        <v>126</v>
      </c>
      <c r="E59" s="389">
        <v>45931</v>
      </c>
      <c r="F59" s="390">
        <v>9419.8700000000008</v>
      </c>
      <c r="G59" s="390">
        <v>518.09</v>
      </c>
      <c r="H59" s="435">
        <v>9937.9599999999991</v>
      </c>
      <c r="I59" s="386" t="s">
        <v>26</v>
      </c>
      <c r="J59" s="388" t="s">
        <v>27</v>
      </c>
      <c r="K59" s="386" t="s">
        <v>109</v>
      </c>
      <c r="L59" s="386" t="s">
        <v>29</v>
      </c>
      <c r="M59" s="388" t="s">
        <v>30</v>
      </c>
      <c r="N59" s="386"/>
      <c r="O59" s="386" t="s">
        <v>31</v>
      </c>
      <c r="P59" s="386" t="s">
        <v>42</v>
      </c>
      <c r="Q59" s="386" t="s">
        <v>33</v>
      </c>
      <c r="R59" s="386" t="s">
        <v>31</v>
      </c>
      <c r="S59" s="386" t="s">
        <v>34</v>
      </c>
      <c r="T59" s="386" t="s">
        <v>43</v>
      </c>
      <c r="U59" s="386"/>
      <c r="V59" s="386"/>
      <c r="W59" s="386"/>
      <c r="X59" s="386"/>
      <c r="Y59" s="386"/>
    </row>
    <row r="60" spans="1:25" ht="22.5" customHeight="1" x14ac:dyDescent="0.2">
      <c r="A60" s="391">
        <v>415945</v>
      </c>
      <c r="B60" s="392">
        <v>336</v>
      </c>
      <c r="C60" s="392">
        <v>2209</v>
      </c>
      <c r="D60" s="393" t="s">
        <v>93</v>
      </c>
      <c r="E60" s="394">
        <v>45937</v>
      </c>
      <c r="F60" s="395">
        <v>34.72</v>
      </c>
      <c r="G60" s="395">
        <v>1.91</v>
      </c>
      <c r="H60" s="436">
        <v>36.630000000000003</v>
      </c>
      <c r="I60" s="391" t="s">
        <v>26</v>
      </c>
      <c r="J60" s="393" t="s">
        <v>27</v>
      </c>
      <c r="K60" s="391" t="s">
        <v>113</v>
      </c>
      <c r="L60" s="391" t="s">
        <v>29</v>
      </c>
      <c r="M60" s="393" t="s">
        <v>30</v>
      </c>
      <c r="N60" s="391"/>
      <c r="O60" s="391" t="s">
        <v>31</v>
      </c>
      <c r="P60" s="391" t="s">
        <v>46</v>
      </c>
      <c r="Q60" s="391" t="s">
        <v>33</v>
      </c>
      <c r="R60" s="391" t="s">
        <v>31</v>
      </c>
      <c r="S60" s="391" t="s">
        <v>34</v>
      </c>
      <c r="T60" s="391" t="s">
        <v>47</v>
      </c>
      <c r="U60" s="391"/>
      <c r="V60" s="391"/>
      <c r="W60" s="391"/>
      <c r="X60" s="391"/>
      <c r="Y60" s="391"/>
    </row>
    <row r="61" spans="1:25" ht="22.5" hidden="1" customHeight="1" x14ac:dyDescent="0.2">
      <c r="A61" s="396">
        <v>415923</v>
      </c>
      <c r="B61" s="397">
        <v>336</v>
      </c>
      <c r="C61" s="397">
        <v>2210</v>
      </c>
      <c r="D61" s="398" t="s">
        <v>127</v>
      </c>
      <c r="E61" s="399">
        <v>45937</v>
      </c>
      <c r="F61" s="400">
        <v>12773.28</v>
      </c>
      <c r="G61" s="400">
        <v>702.53</v>
      </c>
      <c r="H61" s="437">
        <v>13475.81</v>
      </c>
      <c r="I61" s="396" t="s">
        <v>26</v>
      </c>
      <c r="J61" s="398" t="s">
        <v>27</v>
      </c>
      <c r="K61" s="396" t="s">
        <v>122</v>
      </c>
      <c r="L61" s="396" t="s">
        <v>29</v>
      </c>
      <c r="M61" s="398" t="s">
        <v>30</v>
      </c>
      <c r="N61" s="396"/>
      <c r="O61" s="396" t="s">
        <v>31</v>
      </c>
      <c r="P61" s="396" t="s">
        <v>42</v>
      </c>
      <c r="Q61" s="396" t="s">
        <v>33</v>
      </c>
      <c r="R61" s="396" t="s">
        <v>31</v>
      </c>
      <c r="S61" s="396" t="s">
        <v>34</v>
      </c>
      <c r="T61" s="396" t="s">
        <v>50</v>
      </c>
      <c r="U61" s="396"/>
      <c r="V61" s="396"/>
      <c r="W61" s="396"/>
      <c r="X61" s="396"/>
      <c r="Y61" s="396"/>
    </row>
    <row r="62" spans="1:25" ht="22.5" hidden="1" customHeight="1" x14ac:dyDescent="0.2">
      <c r="A62" s="386">
        <v>415924</v>
      </c>
      <c r="B62" s="387">
        <v>336</v>
      </c>
      <c r="C62" s="387">
        <v>2211</v>
      </c>
      <c r="D62" s="388" t="s">
        <v>128</v>
      </c>
      <c r="E62" s="389">
        <v>45937</v>
      </c>
      <c r="F62" s="390">
        <v>13084.64</v>
      </c>
      <c r="G62" s="390">
        <v>719.66</v>
      </c>
      <c r="H62" s="435">
        <v>13804.3</v>
      </c>
      <c r="I62" s="386" t="s">
        <v>26</v>
      </c>
      <c r="J62" s="388" t="s">
        <v>27</v>
      </c>
      <c r="K62" s="386" t="s">
        <v>109</v>
      </c>
      <c r="L62" s="386" t="s">
        <v>29</v>
      </c>
      <c r="M62" s="388" t="s">
        <v>30</v>
      </c>
      <c r="N62" s="386"/>
      <c r="O62" s="386" t="s">
        <v>31</v>
      </c>
      <c r="P62" s="386" t="s">
        <v>42</v>
      </c>
      <c r="Q62" s="386" t="s">
        <v>33</v>
      </c>
      <c r="R62" s="386" t="s">
        <v>31</v>
      </c>
      <c r="S62" s="386" t="s">
        <v>34</v>
      </c>
      <c r="T62" s="386" t="s">
        <v>43</v>
      </c>
      <c r="U62" s="386"/>
      <c r="V62" s="386"/>
      <c r="W62" s="386"/>
      <c r="X62" s="386"/>
      <c r="Y62" s="386"/>
    </row>
    <row r="63" spans="1:25" ht="22.5" hidden="1" customHeight="1" x14ac:dyDescent="0.2">
      <c r="A63" s="376">
        <v>415927</v>
      </c>
      <c r="B63" s="377">
        <v>336</v>
      </c>
      <c r="C63" s="377">
        <v>2212</v>
      </c>
      <c r="D63" s="378" t="s">
        <v>129</v>
      </c>
      <c r="E63" s="379">
        <v>45937</v>
      </c>
      <c r="F63" s="380">
        <v>237.83</v>
      </c>
      <c r="G63" s="380">
        <v>13.08</v>
      </c>
      <c r="H63" s="380">
        <v>250.91</v>
      </c>
      <c r="I63" s="376" t="s">
        <v>26</v>
      </c>
      <c r="J63" s="378" t="s">
        <v>27</v>
      </c>
      <c r="K63" s="376" t="s">
        <v>52</v>
      </c>
      <c r="L63" s="376" t="s">
        <v>29</v>
      </c>
      <c r="M63" s="378" t="s">
        <v>30</v>
      </c>
      <c r="N63" s="376"/>
      <c r="O63" s="376" t="s">
        <v>31</v>
      </c>
      <c r="P63" s="376" t="s">
        <v>53</v>
      </c>
      <c r="Q63" s="376" t="s">
        <v>33</v>
      </c>
      <c r="R63" s="376" t="s">
        <v>31</v>
      </c>
      <c r="S63" s="376" t="s">
        <v>34</v>
      </c>
      <c r="T63" s="376" t="s">
        <v>54</v>
      </c>
      <c r="U63" s="376"/>
      <c r="V63" s="376"/>
      <c r="W63" s="376"/>
      <c r="X63" s="376"/>
      <c r="Y63" s="376"/>
    </row>
    <row r="64" spans="1:25" ht="22.5" hidden="1" customHeight="1" x14ac:dyDescent="0.2">
      <c r="A64" s="376">
        <v>415928</v>
      </c>
      <c r="B64" s="377">
        <v>336</v>
      </c>
      <c r="C64" s="377">
        <v>2213</v>
      </c>
      <c r="D64" s="378" t="s">
        <v>130</v>
      </c>
      <c r="E64" s="379">
        <v>45937</v>
      </c>
      <c r="F64" s="380">
        <v>1697.88</v>
      </c>
      <c r="G64" s="380">
        <v>93.38</v>
      </c>
      <c r="H64" s="380">
        <v>1791.26</v>
      </c>
      <c r="I64" s="376" t="s">
        <v>26</v>
      </c>
      <c r="J64" s="378" t="s">
        <v>27</v>
      </c>
      <c r="K64" s="376" t="s">
        <v>124</v>
      </c>
      <c r="L64" s="376" t="s">
        <v>29</v>
      </c>
      <c r="M64" s="378" t="s">
        <v>30</v>
      </c>
      <c r="N64" s="376"/>
      <c r="O64" s="376" t="s">
        <v>31</v>
      </c>
      <c r="P64" s="376" t="s">
        <v>53</v>
      </c>
      <c r="Q64" s="376" t="s">
        <v>33</v>
      </c>
      <c r="R64" s="376" t="s">
        <v>31</v>
      </c>
      <c r="S64" s="376" t="s">
        <v>34</v>
      </c>
      <c r="T64" s="376" t="s">
        <v>54</v>
      </c>
      <c r="U64" s="376"/>
      <c r="V64" s="376"/>
      <c r="W64" s="376"/>
      <c r="X64" s="376"/>
      <c r="Y64" s="376"/>
    </row>
    <row r="65" spans="1:25" ht="22.5" hidden="1" customHeight="1" x14ac:dyDescent="0.2">
      <c r="A65" s="376">
        <v>415929</v>
      </c>
      <c r="B65" s="377">
        <v>336</v>
      </c>
      <c r="C65" s="377">
        <v>2214</v>
      </c>
      <c r="D65" s="378" t="s">
        <v>131</v>
      </c>
      <c r="E65" s="379">
        <v>45937</v>
      </c>
      <c r="F65" s="380">
        <v>947.87</v>
      </c>
      <c r="G65" s="380">
        <v>52.13</v>
      </c>
      <c r="H65" s="380">
        <v>1000</v>
      </c>
      <c r="I65" s="376" t="s">
        <v>26</v>
      </c>
      <c r="J65" s="378" t="s">
        <v>27</v>
      </c>
      <c r="K65" s="376" t="s">
        <v>132</v>
      </c>
      <c r="L65" s="376" t="s">
        <v>29</v>
      </c>
      <c r="M65" s="378" t="s">
        <v>30</v>
      </c>
      <c r="N65" s="376"/>
      <c r="O65" s="376" t="s">
        <v>31</v>
      </c>
      <c r="P65" s="376" t="s">
        <v>53</v>
      </c>
      <c r="Q65" s="376" t="s">
        <v>33</v>
      </c>
      <c r="R65" s="376" t="s">
        <v>31</v>
      </c>
      <c r="S65" s="376" t="s">
        <v>34</v>
      </c>
      <c r="T65" s="376" t="s">
        <v>54</v>
      </c>
      <c r="U65" s="376"/>
      <c r="V65" s="376"/>
      <c r="W65" s="376"/>
      <c r="X65" s="376"/>
      <c r="Y65" s="376"/>
    </row>
    <row r="66" spans="1:25" ht="22.5" hidden="1" customHeight="1" x14ac:dyDescent="0.2">
      <c r="A66" s="386">
        <v>415930</v>
      </c>
      <c r="B66" s="387">
        <v>336</v>
      </c>
      <c r="C66" s="387">
        <v>2215</v>
      </c>
      <c r="D66" s="388" t="s">
        <v>133</v>
      </c>
      <c r="E66" s="389">
        <v>45937</v>
      </c>
      <c r="F66" s="390">
        <v>2539.84</v>
      </c>
      <c r="G66" s="390">
        <v>139.69</v>
      </c>
      <c r="H66" s="435">
        <v>2679.53</v>
      </c>
      <c r="I66" s="386" t="s">
        <v>26</v>
      </c>
      <c r="J66" s="388" t="s">
        <v>27</v>
      </c>
      <c r="K66" s="386" t="s">
        <v>109</v>
      </c>
      <c r="L66" s="386" t="s">
        <v>29</v>
      </c>
      <c r="M66" s="388" t="s">
        <v>30</v>
      </c>
      <c r="N66" s="386"/>
      <c r="O66" s="386" t="s">
        <v>31</v>
      </c>
      <c r="P66" s="386" t="s">
        <v>42</v>
      </c>
      <c r="Q66" s="386" t="s">
        <v>33</v>
      </c>
      <c r="R66" s="386" t="s">
        <v>31</v>
      </c>
      <c r="S66" s="386" t="s">
        <v>34</v>
      </c>
      <c r="T66" s="386" t="s">
        <v>43</v>
      </c>
      <c r="U66" s="386"/>
      <c r="V66" s="386"/>
      <c r="W66" s="386"/>
      <c r="X66" s="386"/>
      <c r="Y66" s="386"/>
    </row>
    <row r="67" spans="1:25" ht="22.5" hidden="1" customHeight="1" x14ac:dyDescent="0.2">
      <c r="A67" s="381">
        <v>415931</v>
      </c>
      <c r="B67" s="382">
        <v>336</v>
      </c>
      <c r="C67" s="382">
        <v>2216</v>
      </c>
      <c r="D67" s="383" t="s">
        <v>134</v>
      </c>
      <c r="E67" s="384">
        <v>45937</v>
      </c>
      <c r="F67" s="385">
        <v>8186.18</v>
      </c>
      <c r="G67" s="385">
        <v>450.24</v>
      </c>
      <c r="H67" s="434">
        <v>8636.42</v>
      </c>
      <c r="I67" s="381" t="s">
        <v>26</v>
      </c>
      <c r="J67" s="383" t="s">
        <v>27</v>
      </c>
      <c r="K67" s="381" t="s">
        <v>88</v>
      </c>
      <c r="L67" s="381" t="s">
        <v>29</v>
      </c>
      <c r="M67" s="383" t="s">
        <v>30</v>
      </c>
      <c r="N67" s="381"/>
      <c r="O67" s="381" t="s">
        <v>31</v>
      </c>
      <c r="P67" s="381" t="s">
        <v>32</v>
      </c>
      <c r="Q67" s="381" t="s">
        <v>33</v>
      </c>
      <c r="R67" s="381" t="s">
        <v>31</v>
      </c>
      <c r="S67" s="381" t="s">
        <v>34</v>
      </c>
      <c r="T67" s="381" t="s">
        <v>31</v>
      </c>
      <c r="U67" s="381"/>
      <c r="V67" s="381"/>
      <c r="W67" s="381"/>
      <c r="X67" s="381"/>
      <c r="Y67" s="381"/>
    </row>
    <row r="68" spans="1:25" ht="22.5" hidden="1" customHeight="1" x14ac:dyDescent="0.2">
      <c r="A68" s="381">
        <v>415932</v>
      </c>
      <c r="B68" s="382">
        <v>336</v>
      </c>
      <c r="C68" s="382">
        <v>2217</v>
      </c>
      <c r="D68" s="383" t="s">
        <v>135</v>
      </c>
      <c r="E68" s="384">
        <v>45937</v>
      </c>
      <c r="F68" s="385">
        <v>6508.93</v>
      </c>
      <c r="G68" s="385">
        <v>357.99</v>
      </c>
      <c r="H68" s="434">
        <v>6866.92</v>
      </c>
      <c r="I68" s="381" t="s">
        <v>26</v>
      </c>
      <c r="J68" s="383" t="s">
        <v>27</v>
      </c>
      <c r="K68" s="381" t="s">
        <v>96</v>
      </c>
      <c r="L68" s="381" t="s">
        <v>29</v>
      </c>
      <c r="M68" s="383" t="s">
        <v>30</v>
      </c>
      <c r="N68" s="381"/>
      <c r="O68" s="381" t="s">
        <v>31</v>
      </c>
      <c r="P68" s="381" t="s">
        <v>32</v>
      </c>
      <c r="Q68" s="381" t="s">
        <v>33</v>
      </c>
      <c r="R68" s="381" t="s">
        <v>31</v>
      </c>
      <c r="S68" s="381" t="s">
        <v>34</v>
      </c>
      <c r="T68" s="381" t="s">
        <v>31</v>
      </c>
      <c r="U68" s="381"/>
      <c r="V68" s="381"/>
      <c r="W68" s="381"/>
      <c r="X68" s="381"/>
      <c r="Y68" s="381"/>
    </row>
    <row r="69" spans="1:25" ht="22.5" hidden="1" customHeight="1" x14ac:dyDescent="0.2">
      <c r="A69" s="381">
        <v>415933</v>
      </c>
      <c r="B69" s="382">
        <v>336</v>
      </c>
      <c r="C69" s="382">
        <v>2218</v>
      </c>
      <c r="D69" s="383" t="s">
        <v>136</v>
      </c>
      <c r="E69" s="384">
        <v>45937</v>
      </c>
      <c r="F69" s="385">
        <v>715.26</v>
      </c>
      <c r="G69" s="385">
        <v>39.340000000000003</v>
      </c>
      <c r="H69" s="434">
        <v>754.6</v>
      </c>
      <c r="I69" s="381" t="s">
        <v>26</v>
      </c>
      <c r="J69" s="383" t="s">
        <v>27</v>
      </c>
      <c r="K69" s="381" t="s">
        <v>115</v>
      </c>
      <c r="L69" s="381" t="s">
        <v>29</v>
      </c>
      <c r="M69" s="383" t="s">
        <v>30</v>
      </c>
      <c r="N69" s="381"/>
      <c r="O69" s="381" t="s">
        <v>31</v>
      </c>
      <c r="P69" s="381" t="s">
        <v>32</v>
      </c>
      <c r="Q69" s="381" t="s">
        <v>33</v>
      </c>
      <c r="R69" s="381" t="s">
        <v>31</v>
      </c>
      <c r="S69" s="381" t="s">
        <v>34</v>
      </c>
      <c r="T69" s="381" t="s">
        <v>31</v>
      </c>
      <c r="U69" s="381"/>
      <c r="V69" s="381"/>
      <c r="W69" s="381"/>
      <c r="X69" s="381"/>
      <c r="Y69" s="381"/>
    </row>
    <row r="70" spans="1:25" ht="22.5" hidden="1" customHeight="1" x14ac:dyDescent="0.2">
      <c r="A70" s="381">
        <v>415935</v>
      </c>
      <c r="B70" s="382">
        <v>336</v>
      </c>
      <c r="C70" s="382">
        <v>2219</v>
      </c>
      <c r="D70" s="383" t="s">
        <v>137</v>
      </c>
      <c r="E70" s="384">
        <v>45937</v>
      </c>
      <c r="F70" s="385">
        <v>47393.36</v>
      </c>
      <c r="G70" s="385">
        <v>2606.64</v>
      </c>
      <c r="H70" s="434">
        <v>50000</v>
      </c>
      <c r="I70" s="381" t="s">
        <v>26</v>
      </c>
      <c r="J70" s="383" t="s">
        <v>27</v>
      </c>
      <c r="K70" s="381" t="s">
        <v>138</v>
      </c>
      <c r="L70" s="381" t="s">
        <v>29</v>
      </c>
      <c r="M70" s="383" t="s">
        <v>30</v>
      </c>
      <c r="N70" s="381"/>
      <c r="O70" s="381" t="s">
        <v>31</v>
      </c>
      <c r="P70" s="381" t="s">
        <v>32</v>
      </c>
      <c r="Q70" s="381" t="s">
        <v>33</v>
      </c>
      <c r="R70" s="381" t="s">
        <v>31</v>
      </c>
      <c r="S70" s="381" t="s">
        <v>34</v>
      </c>
      <c r="T70" s="381" t="s">
        <v>31</v>
      </c>
      <c r="U70" s="381"/>
      <c r="V70" s="381"/>
      <c r="W70" s="381"/>
      <c r="X70" s="381"/>
      <c r="Y70" s="381"/>
    </row>
    <row r="71" spans="1:25" ht="22.5" hidden="1" customHeight="1" x14ac:dyDescent="0.2">
      <c r="A71" s="381">
        <v>415936</v>
      </c>
      <c r="B71" s="382">
        <v>336</v>
      </c>
      <c r="C71" s="382">
        <v>2220</v>
      </c>
      <c r="D71" s="383" t="s">
        <v>139</v>
      </c>
      <c r="E71" s="384">
        <v>45937</v>
      </c>
      <c r="F71" s="385">
        <v>4928.8999999999996</v>
      </c>
      <c r="G71" s="385">
        <v>271.08999999999997</v>
      </c>
      <c r="H71" s="434">
        <v>5199.99</v>
      </c>
      <c r="I71" s="381" t="s">
        <v>26</v>
      </c>
      <c r="J71" s="383" t="s">
        <v>27</v>
      </c>
      <c r="K71" s="381" t="s">
        <v>140</v>
      </c>
      <c r="L71" s="381" t="s">
        <v>29</v>
      </c>
      <c r="M71" s="383" t="s">
        <v>30</v>
      </c>
      <c r="N71" s="381"/>
      <c r="O71" s="381" t="s">
        <v>31</v>
      </c>
      <c r="P71" s="381" t="s">
        <v>32</v>
      </c>
      <c r="Q71" s="381" t="s">
        <v>33</v>
      </c>
      <c r="R71" s="381" t="s">
        <v>31</v>
      </c>
      <c r="S71" s="381" t="s">
        <v>34</v>
      </c>
      <c r="T71" s="381" t="s">
        <v>31</v>
      </c>
      <c r="U71" s="381"/>
      <c r="V71" s="381"/>
      <c r="W71" s="381"/>
      <c r="X71" s="381"/>
      <c r="Y71" s="381"/>
    </row>
    <row r="72" spans="1:25" ht="22.5" customHeight="1" x14ac:dyDescent="0.2">
      <c r="A72" s="391">
        <v>415937</v>
      </c>
      <c r="B72" s="392">
        <v>336</v>
      </c>
      <c r="C72" s="392">
        <v>2221</v>
      </c>
      <c r="D72" s="393" t="s">
        <v>141</v>
      </c>
      <c r="E72" s="394">
        <v>45937</v>
      </c>
      <c r="F72" s="395">
        <v>393.47</v>
      </c>
      <c r="G72" s="395">
        <v>21.64</v>
      </c>
      <c r="H72" s="436">
        <v>415.11</v>
      </c>
      <c r="I72" s="391" t="s">
        <v>26</v>
      </c>
      <c r="J72" s="393" t="s">
        <v>27</v>
      </c>
      <c r="K72" s="391" t="s">
        <v>142</v>
      </c>
      <c r="L72" s="391" t="s">
        <v>29</v>
      </c>
      <c r="M72" s="393" t="s">
        <v>30</v>
      </c>
      <c r="N72" s="391"/>
      <c r="O72" s="391" t="s">
        <v>31</v>
      </c>
      <c r="P72" s="391" t="s">
        <v>46</v>
      </c>
      <c r="Q72" s="391" t="s">
        <v>33</v>
      </c>
      <c r="R72" s="391" t="s">
        <v>31</v>
      </c>
      <c r="S72" s="391" t="s">
        <v>34</v>
      </c>
      <c r="T72" s="391" t="s">
        <v>47</v>
      </c>
      <c r="U72" s="391"/>
      <c r="V72" s="391"/>
      <c r="W72" s="391"/>
      <c r="X72" s="391"/>
      <c r="Y72" s="391"/>
    </row>
    <row r="73" spans="1:25" ht="22.5" hidden="1" customHeight="1" x14ac:dyDescent="0.2">
      <c r="A73" s="396">
        <v>415938</v>
      </c>
      <c r="B73" s="397">
        <v>336</v>
      </c>
      <c r="C73" s="397">
        <v>2222</v>
      </c>
      <c r="D73" s="398" t="s">
        <v>143</v>
      </c>
      <c r="E73" s="399">
        <v>45937</v>
      </c>
      <c r="F73" s="400">
        <v>2387.12</v>
      </c>
      <c r="G73" s="400">
        <v>131.29</v>
      </c>
      <c r="H73" s="437">
        <v>2518.41</v>
      </c>
      <c r="I73" s="396" t="s">
        <v>26</v>
      </c>
      <c r="J73" s="398" t="s">
        <v>27</v>
      </c>
      <c r="K73" s="396" t="s">
        <v>144</v>
      </c>
      <c r="L73" s="396" t="s">
        <v>29</v>
      </c>
      <c r="M73" s="398" t="s">
        <v>30</v>
      </c>
      <c r="N73" s="396"/>
      <c r="O73" s="396" t="s">
        <v>31</v>
      </c>
      <c r="P73" s="396" t="s">
        <v>42</v>
      </c>
      <c r="Q73" s="396" t="s">
        <v>33</v>
      </c>
      <c r="R73" s="396" t="s">
        <v>31</v>
      </c>
      <c r="S73" s="396" t="s">
        <v>34</v>
      </c>
      <c r="T73" s="396" t="s">
        <v>50</v>
      </c>
      <c r="U73" s="396"/>
      <c r="V73" s="396"/>
      <c r="W73" s="396"/>
      <c r="X73" s="396"/>
      <c r="Y73" s="396"/>
    </row>
    <row r="74" spans="1:25" ht="22.5" hidden="1" customHeight="1" x14ac:dyDescent="0.2">
      <c r="A74" s="376">
        <v>417907</v>
      </c>
      <c r="B74" s="377">
        <v>363</v>
      </c>
      <c r="C74" s="377">
        <v>2488</v>
      </c>
      <c r="D74" s="378" t="s">
        <v>145</v>
      </c>
      <c r="E74" s="379">
        <v>45959</v>
      </c>
      <c r="F74" s="380">
        <v>3151.51</v>
      </c>
      <c r="G74" s="380">
        <v>173.33</v>
      </c>
      <c r="H74" s="380">
        <v>3324.84</v>
      </c>
      <c r="I74" s="376" t="s">
        <v>26</v>
      </c>
      <c r="J74" s="378" t="s">
        <v>27</v>
      </c>
      <c r="K74" s="376" t="s">
        <v>56</v>
      </c>
      <c r="L74" s="376" t="s">
        <v>29</v>
      </c>
      <c r="M74" s="378" t="s">
        <v>30</v>
      </c>
      <c r="N74" s="376"/>
      <c r="O74" s="376" t="s">
        <v>31</v>
      </c>
      <c r="P74" s="376" t="s">
        <v>57</v>
      </c>
      <c r="Q74" s="376" t="s">
        <v>33</v>
      </c>
      <c r="R74" s="376" t="s">
        <v>31</v>
      </c>
      <c r="S74" s="376" t="s">
        <v>58</v>
      </c>
      <c r="T74" s="376" t="s">
        <v>59</v>
      </c>
      <c r="U74" s="376"/>
      <c r="V74" s="376"/>
      <c r="W74" s="376"/>
      <c r="X74" s="376"/>
      <c r="Y74" s="376"/>
    </row>
    <row r="75" spans="1:25" ht="22.5" hidden="1" customHeight="1" x14ac:dyDescent="0.2">
      <c r="A75" s="386">
        <v>419292</v>
      </c>
      <c r="B75" s="387">
        <v>419</v>
      </c>
      <c r="C75" s="387">
        <v>2834</v>
      </c>
      <c r="D75" s="388" t="s">
        <v>146</v>
      </c>
      <c r="E75" s="389">
        <v>45987</v>
      </c>
      <c r="F75" s="390">
        <v>9789.0400000000009</v>
      </c>
      <c r="G75" s="390">
        <v>538.4</v>
      </c>
      <c r="H75" s="435">
        <v>10327.44</v>
      </c>
      <c r="I75" s="386" t="s">
        <v>26</v>
      </c>
      <c r="J75" s="388" t="s">
        <v>27</v>
      </c>
      <c r="K75" s="386" t="s">
        <v>147</v>
      </c>
      <c r="L75" s="386" t="s">
        <v>29</v>
      </c>
      <c r="M75" s="388" t="s">
        <v>30</v>
      </c>
      <c r="N75" s="386"/>
      <c r="O75" s="386" t="s">
        <v>31</v>
      </c>
      <c r="P75" s="386" t="s">
        <v>42</v>
      </c>
      <c r="Q75" s="386" t="s">
        <v>33</v>
      </c>
      <c r="R75" s="386" t="s">
        <v>31</v>
      </c>
      <c r="S75" s="386" t="s">
        <v>34</v>
      </c>
      <c r="T75" s="386" t="s">
        <v>43</v>
      </c>
      <c r="U75" s="386"/>
      <c r="V75" s="386"/>
      <c r="W75" s="386"/>
      <c r="X75" s="386"/>
      <c r="Y75" s="386"/>
    </row>
    <row r="76" spans="1:25" ht="22.5" hidden="1" customHeight="1" x14ac:dyDescent="0.2">
      <c r="A76" s="381">
        <v>419293</v>
      </c>
      <c r="B76" s="382">
        <v>419</v>
      </c>
      <c r="C76" s="382">
        <v>2835</v>
      </c>
      <c r="D76" s="383" t="s">
        <v>148</v>
      </c>
      <c r="E76" s="384">
        <v>45987</v>
      </c>
      <c r="F76" s="385">
        <v>36712.300000000003</v>
      </c>
      <c r="G76" s="385">
        <v>2019.18</v>
      </c>
      <c r="H76" s="434">
        <v>38731.480000000003</v>
      </c>
      <c r="I76" s="381" t="s">
        <v>26</v>
      </c>
      <c r="J76" s="383" t="s">
        <v>27</v>
      </c>
      <c r="K76" s="381" t="s">
        <v>149</v>
      </c>
      <c r="L76" s="381" t="s">
        <v>29</v>
      </c>
      <c r="M76" s="383" t="s">
        <v>30</v>
      </c>
      <c r="N76" s="381"/>
      <c r="O76" s="381" t="s">
        <v>31</v>
      </c>
      <c r="P76" s="381" t="s">
        <v>32</v>
      </c>
      <c r="Q76" s="381" t="s">
        <v>33</v>
      </c>
      <c r="R76" s="381" t="s">
        <v>31</v>
      </c>
      <c r="S76" s="381" t="s">
        <v>34</v>
      </c>
      <c r="T76" s="381" t="s">
        <v>31</v>
      </c>
      <c r="U76" s="381"/>
      <c r="V76" s="381"/>
      <c r="W76" s="381"/>
      <c r="X76" s="381"/>
      <c r="Y76" s="381"/>
    </row>
    <row r="77" spans="1:25" ht="22.5" hidden="1" customHeight="1" x14ac:dyDescent="0.2">
      <c r="A77" s="396">
        <v>419294</v>
      </c>
      <c r="B77" s="397">
        <v>419</v>
      </c>
      <c r="C77" s="397">
        <v>2836</v>
      </c>
      <c r="D77" s="398" t="s">
        <v>150</v>
      </c>
      <c r="E77" s="399">
        <v>45987</v>
      </c>
      <c r="F77" s="400">
        <v>10664.63</v>
      </c>
      <c r="G77" s="400">
        <v>586.54999999999995</v>
      </c>
      <c r="H77" s="437">
        <v>11251.18</v>
      </c>
      <c r="I77" s="396" t="s">
        <v>26</v>
      </c>
      <c r="J77" s="398" t="s">
        <v>27</v>
      </c>
      <c r="K77" s="396" t="s">
        <v>151</v>
      </c>
      <c r="L77" s="396" t="s">
        <v>29</v>
      </c>
      <c r="M77" s="398" t="s">
        <v>30</v>
      </c>
      <c r="N77" s="396"/>
      <c r="O77" s="396" t="s">
        <v>31</v>
      </c>
      <c r="P77" s="396" t="s">
        <v>42</v>
      </c>
      <c r="Q77" s="396" t="s">
        <v>33</v>
      </c>
      <c r="R77" s="396" t="s">
        <v>31</v>
      </c>
      <c r="S77" s="396" t="s">
        <v>34</v>
      </c>
      <c r="T77" s="396" t="s">
        <v>50</v>
      </c>
      <c r="U77" s="396"/>
      <c r="V77" s="396"/>
      <c r="W77" s="396"/>
      <c r="X77" s="396"/>
      <c r="Y77" s="396"/>
    </row>
    <row r="78" spans="1:25" ht="22.5" hidden="1" customHeight="1" x14ac:dyDescent="0.2">
      <c r="A78" s="376">
        <v>419295</v>
      </c>
      <c r="B78" s="377">
        <v>419</v>
      </c>
      <c r="C78" s="377">
        <v>2837</v>
      </c>
      <c r="D78" s="378" t="s">
        <v>152</v>
      </c>
      <c r="E78" s="379">
        <v>45987</v>
      </c>
      <c r="F78" s="380">
        <v>1584.44</v>
      </c>
      <c r="G78" s="380">
        <v>87.14</v>
      </c>
      <c r="H78" s="380">
        <v>1671.58</v>
      </c>
      <c r="I78" s="376" t="s">
        <v>26</v>
      </c>
      <c r="J78" s="378" t="s">
        <v>27</v>
      </c>
      <c r="K78" s="376" t="s">
        <v>153</v>
      </c>
      <c r="L78" s="376" t="s">
        <v>29</v>
      </c>
      <c r="M78" s="378" t="s">
        <v>30</v>
      </c>
      <c r="N78" s="376"/>
      <c r="O78" s="376" t="s">
        <v>31</v>
      </c>
      <c r="P78" s="376" t="s">
        <v>53</v>
      </c>
      <c r="Q78" s="376" t="s">
        <v>33</v>
      </c>
      <c r="R78" s="376" t="s">
        <v>31</v>
      </c>
      <c r="S78" s="376" t="s">
        <v>34</v>
      </c>
      <c r="T78" s="376" t="s">
        <v>54</v>
      </c>
      <c r="U78" s="376"/>
      <c r="V78" s="376"/>
      <c r="W78" s="376"/>
      <c r="X78" s="376"/>
      <c r="Y78" s="376"/>
    </row>
    <row r="79" spans="1:25" ht="22.5" customHeight="1" x14ac:dyDescent="0.2">
      <c r="A79" s="391">
        <v>419663</v>
      </c>
      <c r="B79" s="392">
        <v>441</v>
      </c>
      <c r="C79" s="392">
        <v>2999</v>
      </c>
      <c r="D79" s="393" t="s">
        <v>154</v>
      </c>
      <c r="E79" s="394">
        <v>46001</v>
      </c>
      <c r="F79" s="395">
        <v>393.47</v>
      </c>
      <c r="G79" s="395">
        <v>21.64</v>
      </c>
      <c r="H79" s="436">
        <v>415.11</v>
      </c>
      <c r="I79" s="391" t="s">
        <v>26</v>
      </c>
      <c r="J79" s="393" t="s">
        <v>27</v>
      </c>
      <c r="K79" s="391" t="s">
        <v>155</v>
      </c>
      <c r="L79" s="391" t="s">
        <v>29</v>
      </c>
      <c r="M79" s="393" t="s">
        <v>30</v>
      </c>
      <c r="N79" s="391"/>
      <c r="O79" s="391" t="s">
        <v>31</v>
      </c>
      <c r="P79" s="391" t="s">
        <v>46</v>
      </c>
      <c r="Q79" s="391" t="s">
        <v>33</v>
      </c>
      <c r="R79" s="391" t="s">
        <v>31</v>
      </c>
      <c r="S79" s="391" t="s">
        <v>34</v>
      </c>
      <c r="T79" s="391" t="s">
        <v>47</v>
      </c>
      <c r="U79" s="391"/>
      <c r="V79" s="391"/>
      <c r="W79" s="391"/>
      <c r="X79" s="391"/>
      <c r="Y79" s="391"/>
    </row>
    <row r="80" spans="1:25" ht="22.5" hidden="1" customHeight="1" x14ac:dyDescent="0.2">
      <c r="A80" s="396">
        <v>419685</v>
      </c>
      <c r="B80" s="397">
        <v>441</v>
      </c>
      <c r="C80" s="397">
        <v>3000</v>
      </c>
      <c r="D80" s="398" t="s">
        <v>156</v>
      </c>
      <c r="E80" s="399">
        <v>46001</v>
      </c>
      <c r="F80" s="400">
        <v>0.13</v>
      </c>
      <c r="G80" s="400">
        <v>0.01</v>
      </c>
      <c r="H80" s="437">
        <v>0.14000000000000001</v>
      </c>
      <c r="I80" s="396" t="s">
        <v>26</v>
      </c>
      <c r="J80" s="398" t="s">
        <v>27</v>
      </c>
      <c r="K80" s="396" t="s">
        <v>151</v>
      </c>
      <c r="L80" s="396" t="s">
        <v>29</v>
      </c>
      <c r="M80" s="398" t="s">
        <v>30</v>
      </c>
      <c r="N80" s="396"/>
      <c r="O80" s="396" t="s">
        <v>31</v>
      </c>
      <c r="P80" s="396" t="s">
        <v>42</v>
      </c>
      <c r="Q80" s="396" t="s">
        <v>33</v>
      </c>
      <c r="R80" s="396" t="s">
        <v>31</v>
      </c>
      <c r="S80" s="396" t="s">
        <v>34</v>
      </c>
      <c r="T80" s="396" t="s">
        <v>50</v>
      </c>
      <c r="U80" s="396"/>
      <c r="V80" s="396"/>
      <c r="W80" s="396"/>
      <c r="X80" s="396"/>
      <c r="Y80" s="396"/>
    </row>
    <row r="81" spans="1:25" ht="22.5" hidden="1" customHeight="1" x14ac:dyDescent="0.2">
      <c r="A81" s="396">
        <v>419686</v>
      </c>
      <c r="B81" s="397">
        <v>441</v>
      </c>
      <c r="C81" s="397">
        <v>3001</v>
      </c>
      <c r="D81" s="398" t="s">
        <v>156</v>
      </c>
      <c r="E81" s="399">
        <v>46001</v>
      </c>
      <c r="F81" s="400">
        <v>2843.6</v>
      </c>
      <c r="G81" s="400">
        <v>156.4</v>
      </c>
      <c r="H81" s="437">
        <v>3000</v>
      </c>
      <c r="I81" s="396" t="s">
        <v>26</v>
      </c>
      <c r="J81" s="398" t="s">
        <v>27</v>
      </c>
      <c r="K81" s="396" t="s">
        <v>157</v>
      </c>
      <c r="L81" s="396" t="s">
        <v>29</v>
      </c>
      <c r="M81" s="398" t="s">
        <v>30</v>
      </c>
      <c r="N81" s="396"/>
      <c r="O81" s="396" t="s">
        <v>31</v>
      </c>
      <c r="P81" s="396" t="s">
        <v>42</v>
      </c>
      <c r="Q81" s="396" t="s">
        <v>33</v>
      </c>
      <c r="R81" s="396" t="s">
        <v>31</v>
      </c>
      <c r="S81" s="396" t="s">
        <v>34</v>
      </c>
      <c r="T81" s="396" t="s">
        <v>50</v>
      </c>
      <c r="U81" s="396"/>
      <c r="V81" s="396"/>
      <c r="W81" s="396"/>
      <c r="X81" s="396"/>
      <c r="Y81" s="396"/>
    </row>
    <row r="82" spans="1:25" ht="22.5" hidden="1" customHeight="1" x14ac:dyDescent="0.2">
      <c r="A82" s="396">
        <v>419687</v>
      </c>
      <c r="B82" s="397">
        <v>441</v>
      </c>
      <c r="C82" s="397">
        <v>3002</v>
      </c>
      <c r="D82" s="398" t="s">
        <v>156</v>
      </c>
      <c r="E82" s="399">
        <v>46001</v>
      </c>
      <c r="F82" s="400">
        <v>636.32000000000005</v>
      </c>
      <c r="G82" s="400">
        <v>35</v>
      </c>
      <c r="H82" s="437">
        <v>671.32</v>
      </c>
      <c r="I82" s="396" t="s">
        <v>26</v>
      </c>
      <c r="J82" s="398" t="s">
        <v>27</v>
      </c>
      <c r="K82" s="396" t="s">
        <v>158</v>
      </c>
      <c r="L82" s="396" t="s">
        <v>29</v>
      </c>
      <c r="M82" s="398" t="s">
        <v>30</v>
      </c>
      <c r="N82" s="396"/>
      <c r="O82" s="396" t="s">
        <v>31</v>
      </c>
      <c r="P82" s="396" t="s">
        <v>42</v>
      </c>
      <c r="Q82" s="396" t="s">
        <v>33</v>
      </c>
      <c r="R82" s="396" t="s">
        <v>31</v>
      </c>
      <c r="S82" s="396" t="s">
        <v>34</v>
      </c>
      <c r="T82" s="396" t="s">
        <v>50</v>
      </c>
      <c r="U82" s="396"/>
      <c r="V82" s="396"/>
      <c r="W82" s="396"/>
      <c r="X82" s="396"/>
      <c r="Y82" s="396"/>
    </row>
    <row r="83" spans="1:25" ht="22.5" hidden="1" customHeight="1" x14ac:dyDescent="0.2">
      <c r="A83" s="386">
        <v>419688</v>
      </c>
      <c r="B83" s="387">
        <v>441</v>
      </c>
      <c r="C83" s="387">
        <v>3003</v>
      </c>
      <c r="D83" s="388" t="s">
        <v>159</v>
      </c>
      <c r="E83" s="389">
        <v>46001</v>
      </c>
      <c r="F83" s="390">
        <v>3368.42</v>
      </c>
      <c r="G83" s="390">
        <v>185.26</v>
      </c>
      <c r="H83" s="435">
        <v>3553.68</v>
      </c>
      <c r="I83" s="386" t="s">
        <v>26</v>
      </c>
      <c r="J83" s="388" t="s">
        <v>27</v>
      </c>
      <c r="K83" s="386" t="s">
        <v>160</v>
      </c>
      <c r="L83" s="386" t="s">
        <v>29</v>
      </c>
      <c r="M83" s="388" t="s">
        <v>30</v>
      </c>
      <c r="N83" s="386"/>
      <c r="O83" s="386" t="s">
        <v>31</v>
      </c>
      <c r="P83" s="386" t="s">
        <v>42</v>
      </c>
      <c r="Q83" s="386" t="s">
        <v>33</v>
      </c>
      <c r="R83" s="386" t="s">
        <v>31</v>
      </c>
      <c r="S83" s="386" t="s">
        <v>34</v>
      </c>
      <c r="T83" s="386" t="s">
        <v>43</v>
      </c>
      <c r="U83" s="386"/>
      <c r="V83" s="386"/>
      <c r="W83" s="386"/>
      <c r="X83" s="386"/>
      <c r="Y83" s="386"/>
    </row>
    <row r="84" spans="1:25" ht="22.5" customHeight="1" x14ac:dyDescent="0.2">
      <c r="A84" s="391">
        <v>419697</v>
      </c>
      <c r="B84" s="392">
        <v>441</v>
      </c>
      <c r="C84" s="392">
        <v>3004</v>
      </c>
      <c r="D84" s="393" t="s">
        <v>161</v>
      </c>
      <c r="E84" s="394">
        <v>46001</v>
      </c>
      <c r="F84" s="395">
        <v>393.47</v>
      </c>
      <c r="G84" s="395">
        <v>21.64</v>
      </c>
      <c r="H84" s="436">
        <v>415.11</v>
      </c>
      <c r="I84" s="391" t="s">
        <v>26</v>
      </c>
      <c r="J84" s="393" t="s">
        <v>27</v>
      </c>
      <c r="K84" s="391" t="s">
        <v>155</v>
      </c>
      <c r="L84" s="391" t="s">
        <v>29</v>
      </c>
      <c r="M84" s="393" t="s">
        <v>30</v>
      </c>
      <c r="N84" s="391"/>
      <c r="O84" s="391" t="s">
        <v>31</v>
      </c>
      <c r="P84" s="391" t="s">
        <v>46</v>
      </c>
      <c r="Q84" s="391" t="s">
        <v>33</v>
      </c>
      <c r="R84" s="391" t="s">
        <v>31</v>
      </c>
      <c r="S84" s="391" t="s">
        <v>34</v>
      </c>
      <c r="T84" s="391" t="s">
        <v>47</v>
      </c>
      <c r="U84" s="391"/>
      <c r="V84" s="391"/>
      <c r="W84" s="391"/>
      <c r="X84" s="391"/>
      <c r="Y84" s="391"/>
    </row>
    <row r="85" spans="1:25" ht="22.5" hidden="1" customHeight="1" x14ac:dyDescent="0.2">
      <c r="A85" s="381">
        <v>419698</v>
      </c>
      <c r="B85" s="382">
        <v>441</v>
      </c>
      <c r="C85" s="382">
        <v>3005</v>
      </c>
      <c r="D85" s="383" t="s">
        <v>162</v>
      </c>
      <c r="E85" s="384">
        <v>46001</v>
      </c>
      <c r="F85" s="385">
        <v>60832.98</v>
      </c>
      <c r="G85" s="385">
        <v>3345.81</v>
      </c>
      <c r="H85" s="434">
        <v>64178.79</v>
      </c>
      <c r="I85" s="381" t="s">
        <v>26</v>
      </c>
      <c r="J85" s="383" t="s">
        <v>27</v>
      </c>
      <c r="K85" s="381" t="s">
        <v>163</v>
      </c>
      <c r="L85" s="381" t="s">
        <v>29</v>
      </c>
      <c r="M85" s="383" t="s">
        <v>30</v>
      </c>
      <c r="N85" s="381"/>
      <c r="O85" s="381" t="s">
        <v>31</v>
      </c>
      <c r="P85" s="381" t="s">
        <v>32</v>
      </c>
      <c r="Q85" s="381" t="s">
        <v>33</v>
      </c>
      <c r="R85" s="381" t="s">
        <v>31</v>
      </c>
      <c r="S85" s="381" t="s">
        <v>34</v>
      </c>
      <c r="T85" s="381" t="s">
        <v>31</v>
      </c>
      <c r="U85" s="381"/>
      <c r="V85" s="381"/>
      <c r="W85" s="381"/>
      <c r="X85" s="381"/>
      <c r="Y85" s="381"/>
    </row>
    <row r="86" spans="1:25" ht="22.5" hidden="1" customHeight="1" x14ac:dyDescent="0.2">
      <c r="A86" s="376">
        <v>420775</v>
      </c>
      <c r="B86" s="377">
        <v>461</v>
      </c>
      <c r="C86" s="377">
        <v>3118</v>
      </c>
      <c r="D86" s="378" t="s">
        <v>164</v>
      </c>
      <c r="E86" s="379">
        <v>46008</v>
      </c>
      <c r="F86" s="380">
        <v>35.5</v>
      </c>
      <c r="G86" s="380">
        <v>1.95</v>
      </c>
      <c r="H86" s="380">
        <v>37.450000000000003</v>
      </c>
      <c r="I86" s="376" t="s">
        <v>26</v>
      </c>
      <c r="J86" s="378" t="s">
        <v>27</v>
      </c>
      <c r="K86" s="376" t="s">
        <v>56</v>
      </c>
      <c r="L86" s="376" t="s">
        <v>29</v>
      </c>
      <c r="M86" s="378" t="s">
        <v>30</v>
      </c>
      <c r="N86" s="376"/>
      <c r="O86" s="376" t="s">
        <v>31</v>
      </c>
      <c r="P86" s="376" t="s">
        <v>57</v>
      </c>
      <c r="Q86" s="376" t="s">
        <v>33</v>
      </c>
      <c r="R86" s="376" t="s">
        <v>31</v>
      </c>
      <c r="S86" s="376" t="s">
        <v>58</v>
      </c>
      <c r="T86" s="376" t="s">
        <v>59</v>
      </c>
      <c r="U86" s="376"/>
      <c r="V86" s="376"/>
      <c r="W86" s="376"/>
      <c r="X86" s="376"/>
      <c r="Y86" s="14"/>
    </row>
    <row r="87" spans="1:25" ht="22.5" hidden="1" customHeight="1" x14ac:dyDescent="0.2">
      <c r="A87" s="376">
        <v>420776</v>
      </c>
      <c r="B87" s="377">
        <v>461</v>
      </c>
      <c r="C87" s="377">
        <v>3119</v>
      </c>
      <c r="D87" s="378" t="s">
        <v>165</v>
      </c>
      <c r="E87" s="379">
        <v>46008</v>
      </c>
      <c r="F87" s="380">
        <v>3202.37</v>
      </c>
      <c r="G87" s="380">
        <v>176.13</v>
      </c>
      <c r="H87" s="380">
        <v>3378.5</v>
      </c>
      <c r="I87" s="376" t="s">
        <v>26</v>
      </c>
      <c r="J87" s="378" t="s">
        <v>27</v>
      </c>
      <c r="K87" s="376" t="s">
        <v>56</v>
      </c>
      <c r="L87" s="376" t="s">
        <v>29</v>
      </c>
      <c r="M87" s="378" t="s">
        <v>30</v>
      </c>
      <c r="N87" s="376"/>
      <c r="O87" s="376" t="s">
        <v>31</v>
      </c>
      <c r="P87" s="376" t="s">
        <v>57</v>
      </c>
      <c r="Q87" s="376" t="s">
        <v>33</v>
      </c>
      <c r="R87" s="376" t="s">
        <v>31</v>
      </c>
      <c r="S87" s="376" t="s">
        <v>58</v>
      </c>
      <c r="T87" s="376" t="s">
        <v>59</v>
      </c>
      <c r="U87" s="376"/>
      <c r="V87" s="376"/>
      <c r="W87" s="376"/>
      <c r="X87" s="376"/>
      <c r="Y87" s="14"/>
    </row>
    <row r="88" spans="1:25" ht="22.5" hidden="1" customHeight="1" thickBot="1" x14ac:dyDescent="0.25">
      <c r="A88" s="402">
        <v>420777</v>
      </c>
      <c r="B88" s="403">
        <v>461</v>
      </c>
      <c r="C88" s="403">
        <v>3120</v>
      </c>
      <c r="D88" s="404" t="s">
        <v>166</v>
      </c>
      <c r="E88" s="405">
        <v>46008</v>
      </c>
      <c r="F88" s="406">
        <v>3149.55</v>
      </c>
      <c r="G88" s="406">
        <v>173.23</v>
      </c>
      <c r="H88" s="406">
        <v>3322.78</v>
      </c>
      <c r="I88" s="402" t="s">
        <v>26</v>
      </c>
      <c r="J88" s="404" t="s">
        <v>27</v>
      </c>
      <c r="K88" s="402" t="s">
        <v>56</v>
      </c>
      <c r="L88" s="402" t="s">
        <v>29</v>
      </c>
      <c r="M88" s="404" t="s">
        <v>30</v>
      </c>
      <c r="N88" s="402"/>
      <c r="O88" s="402" t="s">
        <v>31</v>
      </c>
      <c r="P88" s="402" t="s">
        <v>57</v>
      </c>
      <c r="Q88" s="402" t="s">
        <v>33</v>
      </c>
      <c r="R88" s="402" t="s">
        <v>31</v>
      </c>
      <c r="S88" s="402" t="s">
        <v>58</v>
      </c>
      <c r="T88" s="402" t="s">
        <v>59</v>
      </c>
      <c r="U88" s="402"/>
      <c r="V88" s="402"/>
      <c r="W88" s="402"/>
      <c r="X88" s="402"/>
      <c r="Y88" s="14"/>
    </row>
    <row r="1048539" ht="21.75" customHeight="1" x14ac:dyDescent="0.25"/>
    <row r="1048548" ht="10.5" customHeight="1" x14ac:dyDescent="0.25"/>
  </sheetData>
  <autoFilter ref="A1:Y88" xr:uid="{B78CFB04-6BA3-4920-A763-DD479993AC85}">
    <filterColumn colId="19">
      <filters>
        <filter val="RESTCOMM"/>
      </filters>
    </filterColumn>
  </autoFilter>
  <pageMargins left="0.78740157499999996" right="0.78740157499999996" top="0.984251969" bottom="0.984251969" header="0.4921259845" footer="0.492125984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52C90-BFEA-4986-8A8F-232F6D30FEC9}">
  <sheetPr codeName="Feuil2"/>
  <dimension ref="A3:D14"/>
  <sheetViews>
    <sheetView showGridLines="0" zoomScale="110" zoomScaleNormal="110" workbookViewId="0">
      <selection activeCell="A7" sqref="A7"/>
    </sheetView>
  </sheetViews>
  <sheetFormatPr baseColWidth="10" defaultRowHeight="12.75" x14ac:dyDescent="0.2"/>
  <cols>
    <col min="1" max="1" width="44.42578125" bestFit="1" customWidth="1"/>
    <col min="2" max="2" width="13.140625" bestFit="1" customWidth="1"/>
    <col min="3" max="3" width="8.85546875" bestFit="1" customWidth="1"/>
    <col min="4" max="4" width="13.140625" bestFit="1" customWidth="1"/>
    <col min="5" max="5" width="12.5703125" bestFit="1" customWidth="1"/>
    <col min="6" max="6" width="10.140625" bestFit="1" customWidth="1"/>
    <col min="7" max="7" width="11.28515625" bestFit="1" customWidth="1"/>
    <col min="8" max="8" width="13.140625" bestFit="1" customWidth="1"/>
    <col min="9" max="9" width="25.28515625" bestFit="1" customWidth="1"/>
    <col min="10" max="10" width="10.140625" bestFit="1" customWidth="1"/>
    <col min="11" max="11" width="25.28515625" bestFit="1" customWidth="1"/>
    <col min="12" max="12" width="11.28515625" bestFit="1" customWidth="1"/>
    <col min="13" max="13" width="25.28515625" bestFit="1" customWidth="1"/>
    <col min="14" max="14" width="10.28515625" bestFit="1" customWidth="1"/>
    <col min="15" max="15" width="30.5703125" bestFit="1" customWidth="1"/>
    <col min="16" max="16" width="23.7109375" bestFit="1" customWidth="1"/>
    <col min="17" max="17" width="11.28515625" bestFit="1" customWidth="1"/>
    <col min="18" max="18" width="18.7109375" bestFit="1" customWidth="1"/>
    <col min="19" max="19" width="23.7109375" bestFit="1" customWidth="1"/>
    <col min="20" max="20" width="10.28515625" bestFit="1" customWidth="1"/>
    <col min="21" max="21" width="24" bestFit="1" customWidth="1"/>
    <col min="22" max="22" width="29" bestFit="1" customWidth="1"/>
    <col min="23" max="23" width="8.140625" bestFit="1" customWidth="1"/>
    <col min="24" max="24" width="14.28515625" bestFit="1" customWidth="1"/>
    <col min="25" max="25" width="10.85546875" bestFit="1" customWidth="1"/>
    <col min="26" max="27" width="6.5703125" bestFit="1" customWidth="1"/>
    <col min="28" max="30" width="8.140625" bestFit="1" customWidth="1"/>
    <col min="31" max="31" width="14" bestFit="1" customWidth="1"/>
    <col min="32" max="32" width="14.5703125" bestFit="1" customWidth="1"/>
    <col min="33" max="40" width="6.5703125" bestFit="1" customWidth="1"/>
    <col min="41" max="41" width="18" bestFit="1" customWidth="1"/>
    <col min="42" max="42" width="12.140625" bestFit="1" customWidth="1"/>
    <col min="43" max="49" width="8.140625" bestFit="1" customWidth="1"/>
    <col min="50" max="51" width="9.28515625" bestFit="1" customWidth="1"/>
    <col min="52" max="52" width="8.140625" bestFit="1" customWidth="1"/>
    <col min="53" max="53" width="15.28515625" bestFit="1" customWidth="1"/>
    <col min="54" max="54" width="13.28515625" bestFit="1" customWidth="1"/>
    <col min="55" max="55" width="9.28515625" bestFit="1" customWidth="1"/>
    <col min="56" max="61" width="8.140625" bestFit="1" customWidth="1"/>
    <col min="62" max="63" width="9.28515625" bestFit="1" customWidth="1"/>
    <col min="64" max="64" width="8.140625" bestFit="1" customWidth="1"/>
    <col min="65" max="65" width="16.5703125" bestFit="1" customWidth="1"/>
    <col min="66" max="66" width="13.140625" bestFit="1" customWidth="1"/>
    <col min="67" max="72" width="8.28515625" bestFit="1" customWidth="1"/>
    <col min="73" max="74" width="9.28515625" bestFit="1" customWidth="1"/>
    <col min="75" max="75" width="15.28515625" bestFit="1" customWidth="1"/>
    <col min="76" max="76" width="12.7109375" bestFit="1" customWidth="1"/>
    <col min="77" max="77" width="6.7109375" bestFit="1" customWidth="1"/>
    <col min="78" max="87" width="8.28515625" bestFit="1" customWidth="1"/>
    <col min="88" max="90" width="9.28515625" bestFit="1" customWidth="1"/>
    <col min="91" max="91" width="16" bestFit="1" customWidth="1"/>
    <col min="92" max="92" width="13.42578125" bestFit="1" customWidth="1"/>
  </cols>
  <sheetData>
    <row r="3" spans="1:4" x14ac:dyDescent="0.2">
      <c r="A3" s="17" t="s">
        <v>31</v>
      </c>
      <c r="B3" s="15" t="s">
        <v>19</v>
      </c>
      <c r="C3" s="16"/>
      <c r="D3" s="16"/>
    </row>
    <row r="4" spans="1:4" x14ac:dyDescent="0.2">
      <c r="A4" s="6" t="s">
        <v>18</v>
      </c>
      <c r="B4" t="s">
        <v>59</v>
      </c>
      <c r="C4" t="s">
        <v>54</v>
      </c>
      <c r="D4" t="s">
        <v>167</v>
      </c>
    </row>
    <row r="5" spans="1:4" x14ac:dyDescent="0.2">
      <c r="A5" s="7" t="s">
        <v>34</v>
      </c>
      <c r="B5" s="5"/>
      <c r="C5" s="5">
        <v>9511.68</v>
      </c>
      <c r="D5" s="5">
        <v>9511.68</v>
      </c>
    </row>
    <row r="6" spans="1:4" x14ac:dyDescent="0.2">
      <c r="A6" s="8" t="s">
        <v>27</v>
      </c>
      <c r="B6" s="5"/>
      <c r="C6" s="5">
        <v>9511.68</v>
      </c>
      <c r="D6" s="5">
        <v>9511.68</v>
      </c>
    </row>
    <row r="7" spans="1:4" x14ac:dyDescent="0.2">
      <c r="A7" s="18" t="s">
        <v>52</v>
      </c>
      <c r="B7" s="5"/>
      <c r="C7" s="5">
        <v>1840.1</v>
      </c>
      <c r="D7" s="5">
        <v>1840.1</v>
      </c>
    </row>
    <row r="8" spans="1:4" x14ac:dyDescent="0.2">
      <c r="A8" s="18" t="s">
        <v>124</v>
      </c>
      <c r="B8" s="5"/>
      <c r="C8" s="5">
        <v>5000</v>
      </c>
      <c r="D8" s="5">
        <v>5000</v>
      </c>
    </row>
    <row r="9" spans="1:4" x14ac:dyDescent="0.2">
      <c r="A9" s="18" t="s">
        <v>132</v>
      </c>
      <c r="B9" s="5"/>
      <c r="C9" s="5">
        <v>1000</v>
      </c>
      <c r="D9" s="5">
        <v>1000</v>
      </c>
    </row>
    <row r="10" spans="1:4" x14ac:dyDescent="0.2">
      <c r="A10" s="18" t="s">
        <v>153</v>
      </c>
      <c r="B10" s="5"/>
      <c r="C10" s="5">
        <v>1671.58</v>
      </c>
      <c r="D10" s="5">
        <v>1671.58</v>
      </c>
    </row>
    <row r="11" spans="1:4" x14ac:dyDescent="0.2">
      <c r="A11" s="7" t="s">
        <v>58</v>
      </c>
      <c r="B11" s="5">
        <v>33523.42</v>
      </c>
      <c r="C11" s="5"/>
      <c r="D11" s="5">
        <v>33523.42</v>
      </c>
    </row>
    <row r="12" spans="1:4" x14ac:dyDescent="0.2">
      <c r="A12" s="8" t="s">
        <v>27</v>
      </c>
      <c r="B12" s="5">
        <v>33523.42</v>
      </c>
      <c r="C12" s="5"/>
      <c r="D12" s="5">
        <v>33523.42</v>
      </c>
    </row>
    <row r="13" spans="1:4" x14ac:dyDescent="0.2">
      <c r="A13" s="18" t="s">
        <v>56</v>
      </c>
      <c r="B13" s="5">
        <v>33523.42</v>
      </c>
      <c r="C13" s="5"/>
      <c r="D13" s="5">
        <v>33523.42</v>
      </c>
    </row>
    <row r="14" spans="1:4" x14ac:dyDescent="0.2">
      <c r="A14" s="7" t="s">
        <v>167</v>
      </c>
      <c r="B14" s="5">
        <v>33523.42</v>
      </c>
      <c r="C14" s="5">
        <v>9511.68</v>
      </c>
      <c r="D14" s="5">
        <v>43035.1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777B3-879B-4E39-AC83-7FFD98E1D4FB}">
  <sheetPr codeName="Feuil3" filterMode="1"/>
  <dimension ref="A1:BQ360"/>
  <sheetViews>
    <sheetView workbookViewId="0">
      <selection activeCell="H10" sqref="H10"/>
    </sheetView>
  </sheetViews>
  <sheetFormatPr baseColWidth="10" defaultColWidth="20.42578125" defaultRowHeight="12.75" x14ac:dyDescent="0.2"/>
  <cols>
    <col min="1" max="10" width="20.42578125" style="14"/>
    <col min="11" max="11" width="77.7109375" style="14" customWidth="1"/>
    <col min="12" max="30" width="20.42578125" style="14"/>
    <col min="31" max="31" width="46.5703125" style="14" customWidth="1"/>
    <col min="32" max="16384" width="20.42578125" style="14"/>
  </cols>
  <sheetData>
    <row r="1" spans="1:69" ht="28.7" customHeight="1" thickBot="1" x14ac:dyDescent="0.25">
      <c r="A1" s="19" t="s">
        <v>168</v>
      </c>
      <c r="B1" s="19" t="s">
        <v>169</v>
      </c>
      <c r="C1" s="19" t="s">
        <v>170</v>
      </c>
      <c r="D1" s="19" t="s">
        <v>171</v>
      </c>
      <c r="E1" s="19" t="s">
        <v>172</v>
      </c>
      <c r="F1" s="19" t="s">
        <v>173</v>
      </c>
      <c r="G1" s="19" t="s">
        <v>1</v>
      </c>
      <c r="H1" s="19" t="s">
        <v>174</v>
      </c>
      <c r="I1" s="20" t="s">
        <v>175</v>
      </c>
      <c r="J1" s="19" t="s">
        <v>12</v>
      </c>
      <c r="K1" s="19" t="s">
        <v>3</v>
      </c>
      <c r="L1" s="21" t="s">
        <v>5</v>
      </c>
      <c r="M1" s="21" t="s">
        <v>6</v>
      </c>
      <c r="N1" s="21" t="s">
        <v>7</v>
      </c>
      <c r="O1" s="19" t="s">
        <v>23</v>
      </c>
      <c r="P1" s="19" t="s">
        <v>176</v>
      </c>
      <c r="Q1" s="21" t="s">
        <v>177</v>
      </c>
      <c r="R1" s="19" t="s">
        <v>10</v>
      </c>
      <c r="S1" s="21" t="s">
        <v>178</v>
      </c>
      <c r="T1" s="19" t="s">
        <v>11</v>
      </c>
      <c r="U1" s="19" t="s">
        <v>179</v>
      </c>
      <c r="V1" s="19" t="s">
        <v>12</v>
      </c>
      <c r="W1" s="19" t="s">
        <v>180</v>
      </c>
      <c r="X1" s="19" t="s">
        <v>181</v>
      </c>
      <c r="Y1" s="19" t="s">
        <v>182</v>
      </c>
      <c r="Z1" s="21" t="s">
        <v>183</v>
      </c>
      <c r="AA1" s="21" t="s">
        <v>184</v>
      </c>
      <c r="AB1" s="21" t="s">
        <v>185</v>
      </c>
      <c r="AC1" s="19" t="s">
        <v>186</v>
      </c>
      <c r="AD1" s="19" t="s">
        <v>187</v>
      </c>
      <c r="AE1" s="19" t="s">
        <v>188</v>
      </c>
      <c r="AF1" s="19" t="s">
        <v>14</v>
      </c>
      <c r="AG1" s="19" t="s">
        <v>15</v>
      </c>
      <c r="AH1" s="19" t="s">
        <v>16</v>
      </c>
      <c r="AI1" s="19" t="s">
        <v>17</v>
      </c>
      <c r="AJ1" s="19" t="s">
        <v>189</v>
      </c>
      <c r="AK1" s="19" t="s">
        <v>18</v>
      </c>
      <c r="AL1" s="19" t="s">
        <v>19</v>
      </c>
      <c r="AM1" s="19" t="s">
        <v>190</v>
      </c>
      <c r="AN1" s="19" t="s">
        <v>191</v>
      </c>
      <c r="AO1" s="19" t="s">
        <v>192</v>
      </c>
      <c r="AP1" s="19" t="s">
        <v>193</v>
      </c>
      <c r="AQ1" s="19" t="s">
        <v>194</v>
      </c>
      <c r="AR1" s="19" t="s">
        <v>195</v>
      </c>
      <c r="AS1" s="19" t="s">
        <v>196</v>
      </c>
      <c r="AT1" s="19" t="s">
        <v>197</v>
      </c>
      <c r="AU1" s="19" t="s">
        <v>198</v>
      </c>
      <c r="AV1" s="19" t="s">
        <v>199</v>
      </c>
      <c r="AW1" s="19" t="s">
        <v>200</v>
      </c>
      <c r="AX1" s="21" t="s">
        <v>201</v>
      </c>
      <c r="AY1" s="21" t="s">
        <v>202</v>
      </c>
      <c r="AZ1" s="21" t="s">
        <v>203</v>
      </c>
      <c r="BA1" s="21" t="s">
        <v>202</v>
      </c>
      <c r="BB1" s="19" t="s">
        <v>204</v>
      </c>
      <c r="BC1" s="19" t="s">
        <v>205</v>
      </c>
      <c r="BD1" s="19" t="s">
        <v>206</v>
      </c>
      <c r="BE1" s="19" t="s">
        <v>207</v>
      </c>
      <c r="BF1" s="19" t="s">
        <v>208</v>
      </c>
      <c r="BG1" s="19" t="s">
        <v>209</v>
      </c>
      <c r="BH1" s="19" t="s">
        <v>210</v>
      </c>
      <c r="BI1" s="19" t="s">
        <v>211</v>
      </c>
      <c r="BJ1" s="19" t="s">
        <v>212</v>
      </c>
      <c r="BK1" s="20" t="s">
        <v>213</v>
      </c>
      <c r="BL1" s="20" t="s">
        <v>214</v>
      </c>
      <c r="BM1" s="19" t="s">
        <v>215</v>
      </c>
      <c r="BN1" s="20" t="s">
        <v>216</v>
      </c>
      <c r="BO1" s="20" t="s">
        <v>217</v>
      </c>
      <c r="BP1" s="21" t="s">
        <v>218</v>
      </c>
      <c r="BQ1" s="20" t="s">
        <v>219</v>
      </c>
    </row>
    <row r="2" spans="1:69" ht="22.5" hidden="1" customHeight="1" x14ac:dyDescent="0.2">
      <c r="A2" s="22" t="s">
        <v>220</v>
      </c>
      <c r="B2" s="22"/>
      <c r="C2" s="22" t="s">
        <v>221</v>
      </c>
      <c r="D2" s="22" t="s">
        <v>222</v>
      </c>
      <c r="E2" s="23">
        <v>401475</v>
      </c>
      <c r="F2" s="23">
        <v>3</v>
      </c>
      <c r="G2" s="23">
        <v>1</v>
      </c>
      <c r="H2" s="23">
        <v>0</v>
      </c>
      <c r="I2" s="24">
        <v>45698</v>
      </c>
      <c r="J2" s="22" t="s">
        <v>223</v>
      </c>
      <c r="K2" s="22" t="s">
        <v>224</v>
      </c>
      <c r="L2" s="25">
        <v>-92.56</v>
      </c>
      <c r="M2" s="25">
        <v>-5.09</v>
      </c>
      <c r="N2" s="25">
        <v>-97.65</v>
      </c>
      <c r="O2" s="22"/>
      <c r="P2" s="26"/>
      <c r="Q2" s="25">
        <v>-97.65</v>
      </c>
      <c r="R2" s="22"/>
      <c r="S2" s="25">
        <v>0</v>
      </c>
      <c r="T2" s="22"/>
      <c r="U2" s="23"/>
      <c r="V2" s="22"/>
      <c r="W2" s="23"/>
      <c r="X2" s="23"/>
      <c r="Y2" s="23"/>
      <c r="Z2" s="25">
        <v>0</v>
      </c>
      <c r="AA2" s="25">
        <v>0</v>
      </c>
      <c r="AB2" s="25">
        <v>0</v>
      </c>
      <c r="AC2" s="22"/>
      <c r="AD2" s="22" t="s">
        <v>225</v>
      </c>
      <c r="AE2" s="22" t="s">
        <v>226</v>
      </c>
      <c r="AF2" s="22" t="s">
        <v>31</v>
      </c>
      <c r="AG2" s="22" t="s">
        <v>227</v>
      </c>
      <c r="AH2" s="22" t="s">
        <v>228</v>
      </c>
      <c r="AI2" s="22" t="s">
        <v>31</v>
      </c>
      <c r="AJ2" s="22"/>
      <c r="AK2" s="22" t="s">
        <v>229</v>
      </c>
      <c r="AL2" s="22" t="s">
        <v>230</v>
      </c>
      <c r="AM2" s="22" t="s">
        <v>231</v>
      </c>
      <c r="AN2" s="22" t="s">
        <v>232</v>
      </c>
      <c r="AO2" s="22" t="s">
        <v>231</v>
      </c>
      <c r="AP2" s="22" t="s">
        <v>232</v>
      </c>
      <c r="AQ2" s="22"/>
      <c r="AR2" s="22"/>
      <c r="AS2" s="22"/>
      <c r="AT2" s="22"/>
      <c r="AU2" s="22"/>
      <c r="AV2" s="22"/>
      <c r="AW2" s="23"/>
      <c r="AX2" s="27"/>
      <c r="AY2" s="25"/>
      <c r="AZ2" s="27"/>
      <c r="BA2" s="25"/>
      <c r="BB2" s="22" t="s">
        <v>233</v>
      </c>
      <c r="BC2" s="22"/>
      <c r="BD2" s="22"/>
      <c r="BE2" s="22"/>
      <c r="BF2" s="23"/>
      <c r="BG2" s="23"/>
      <c r="BH2" s="22"/>
      <c r="BI2" s="23">
        <v>0</v>
      </c>
      <c r="BJ2" s="23">
        <v>0</v>
      </c>
      <c r="BK2" s="24"/>
      <c r="BL2" s="24"/>
      <c r="BM2" s="22"/>
      <c r="BN2" s="24"/>
      <c r="BO2" s="24">
        <v>45818</v>
      </c>
      <c r="BP2" s="25">
        <v>0</v>
      </c>
      <c r="BQ2" s="24">
        <v>45698</v>
      </c>
    </row>
    <row r="3" spans="1:69" ht="22.5" hidden="1" customHeight="1" x14ac:dyDescent="0.2">
      <c r="A3" s="22" t="s">
        <v>220</v>
      </c>
      <c r="B3" s="22"/>
      <c r="C3" s="22" t="s">
        <v>221</v>
      </c>
      <c r="D3" s="22" t="s">
        <v>222</v>
      </c>
      <c r="E3" s="23">
        <v>401499</v>
      </c>
      <c r="F3" s="23">
        <v>11</v>
      </c>
      <c r="G3" s="23">
        <v>1</v>
      </c>
      <c r="H3" s="23">
        <v>0</v>
      </c>
      <c r="I3" s="24">
        <v>45698</v>
      </c>
      <c r="J3" s="22" t="s">
        <v>223</v>
      </c>
      <c r="K3" s="22" t="s">
        <v>234</v>
      </c>
      <c r="L3" s="25">
        <v>-850.98</v>
      </c>
      <c r="M3" s="25">
        <v>-170.2</v>
      </c>
      <c r="N3" s="25">
        <v>-1021.18</v>
      </c>
      <c r="O3" s="22"/>
      <c r="P3" s="26"/>
      <c r="Q3" s="25">
        <v>-1021.18</v>
      </c>
      <c r="R3" s="22"/>
      <c r="S3" s="25">
        <v>0</v>
      </c>
      <c r="T3" s="22"/>
      <c r="U3" s="23"/>
      <c r="V3" s="22"/>
      <c r="W3" s="23"/>
      <c r="X3" s="23"/>
      <c r="Y3" s="23"/>
      <c r="Z3" s="25">
        <v>0</v>
      </c>
      <c r="AA3" s="25">
        <v>0</v>
      </c>
      <c r="AB3" s="25">
        <v>0</v>
      </c>
      <c r="AC3" s="22"/>
      <c r="AD3" s="22" t="s">
        <v>225</v>
      </c>
      <c r="AE3" s="22" t="s">
        <v>226</v>
      </c>
      <c r="AF3" s="22" t="s">
        <v>31</v>
      </c>
      <c r="AG3" s="22" t="s">
        <v>42</v>
      </c>
      <c r="AH3" s="22" t="s">
        <v>228</v>
      </c>
      <c r="AI3" s="22" t="s">
        <v>31</v>
      </c>
      <c r="AJ3" s="22"/>
      <c r="AK3" s="22" t="s">
        <v>235</v>
      </c>
      <c r="AL3" s="22" t="s">
        <v>236</v>
      </c>
      <c r="AM3" s="22" t="s">
        <v>231</v>
      </c>
      <c r="AN3" s="22" t="s">
        <v>232</v>
      </c>
      <c r="AO3" s="22" t="s">
        <v>231</v>
      </c>
      <c r="AP3" s="22" t="s">
        <v>232</v>
      </c>
      <c r="AQ3" s="22"/>
      <c r="AR3" s="22"/>
      <c r="AS3" s="22"/>
      <c r="AT3" s="22"/>
      <c r="AU3" s="22"/>
      <c r="AV3" s="22"/>
      <c r="AW3" s="23"/>
      <c r="AX3" s="27"/>
      <c r="AY3" s="25"/>
      <c r="AZ3" s="27"/>
      <c r="BA3" s="25"/>
      <c r="BB3" s="22" t="s">
        <v>237</v>
      </c>
      <c r="BC3" s="22"/>
      <c r="BD3" s="22"/>
      <c r="BE3" s="22"/>
      <c r="BF3" s="23"/>
      <c r="BG3" s="23"/>
      <c r="BH3" s="22"/>
      <c r="BI3" s="23">
        <v>0</v>
      </c>
      <c r="BJ3" s="23">
        <v>0</v>
      </c>
      <c r="BK3" s="24"/>
      <c r="BL3" s="24"/>
      <c r="BM3" s="22"/>
      <c r="BN3" s="24"/>
      <c r="BO3" s="24">
        <v>45818</v>
      </c>
      <c r="BP3" s="25">
        <v>0</v>
      </c>
      <c r="BQ3" s="24">
        <v>45698</v>
      </c>
    </row>
    <row r="4" spans="1:69" ht="22.5" hidden="1" customHeight="1" x14ac:dyDescent="0.2">
      <c r="A4" s="28" t="s">
        <v>220</v>
      </c>
      <c r="B4" s="28"/>
      <c r="C4" s="28" t="s">
        <v>221</v>
      </c>
      <c r="D4" s="28" t="s">
        <v>222</v>
      </c>
      <c r="E4" s="29">
        <v>401538</v>
      </c>
      <c r="F4" s="29">
        <v>23</v>
      </c>
      <c r="G4" s="29">
        <v>1</v>
      </c>
      <c r="H4" s="29">
        <v>0</v>
      </c>
      <c r="I4" s="30">
        <v>45698</v>
      </c>
      <c r="J4" s="28" t="s">
        <v>223</v>
      </c>
      <c r="K4" s="28" t="s">
        <v>238</v>
      </c>
      <c r="L4" s="31">
        <v>-166.12</v>
      </c>
      <c r="M4" s="31">
        <v>-33.22</v>
      </c>
      <c r="N4" s="31">
        <v>-199.34</v>
      </c>
      <c r="O4" s="28"/>
      <c r="P4" s="32"/>
      <c r="Q4" s="31">
        <v>-199.34</v>
      </c>
      <c r="R4" s="28"/>
      <c r="S4" s="31">
        <v>0</v>
      </c>
      <c r="T4" s="28"/>
      <c r="U4" s="29"/>
      <c r="V4" s="28"/>
      <c r="W4" s="29"/>
      <c r="X4" s="29"/>
      <c r="Y4" s="29"/>
      <c r="Z4" s="31">
        <v>0</v>
      </c>
      <c r="AA4" s="31">
        <v>0</v>
      </c>
      <c r="AB4" s="31">
        <v>0</v>
      </c>
      <c r="AC4" s="28"/>
      <c r="AD4" s="28" t="s">
        <v>225</v>
      </c>
      <c r="AE4" s="28" t="s">
        <v>226</v>
      </c>
      <c r="AF4" s="28" t="s">
        <v>31</v>
      </c>
      <c r="AG4" s="28" t="s">
        <v>53</v>
      </c>
      <c r="AH4" s="28" t="s">
        <v>228</v>
      </c>
      <c r="AI4" s="28" t="s">
        <v>31</v>
      </c>
      <c r="AJ4" s="28"/>
      <c r="AK4" s="28" t="s">
        <v>239</v>
      </c>
      <c r="AL4" s="28" t="s">
        <v>240</v>
      </c>
      <c r="AM4" s="28" t="s">
        <v>231</v>
      </c>
      <c r="AN4" s="28" t="s">
        <v>232</v>
      </c>
      <c r="AO4" s="28" t="s">
        <v>231</v>
      </c>
      <c r="AP4" s="28" t="s">
        <v>232</v>
      </c>
      <c r="AQ4" s="28"/>
      <c r="AR4" s="28"/>
      <c r="AS4" s="28"/>
      <c r="AT4" s="28"/>
      <c r="AU4" s="28"/>
      <c r="AV4" s="28"/>
      <c r="AW4" s="29"/>
      <c r="AX4" s="33"/>
      <c r="AY4" s="31"/>
      <c r="AZ4" s="33"/>
      <c r="BA4" s="31"/>
      <c r="BB4" s="28" t="s">
        <v>241</v>
      </c>
      <c r="BC4" s="28"/>
      <c r="BD4" s="28"/>
      <c r="BE4" s="28"/>
      <c r="BF4" s="29"/>
      <c r="BG4" s="29"/>
      <c r="BH4" s="28"/>
      <c r="BI4" s="29">
        <v>0</v>
      </c>
      <c r="BJ4" s="29">
        <v>0</v>
      </c>
      <c r="BK4" s="30"/>
      <c r="BL4" s="30"/>
      <c r="BM4" s="28"/>
      <c r="BN4" s="30"/>
      <c r="BO4" s="30">
        <v>45818</v>
      </c>
      <c r="BP4" s="31">
        <v>0</v>
      </c>
      <c r="BQ4" s="30">
        <v>45698</v>
      </c>
    </row>
    <row r="5" spans="1:69" ht="22.5" hidden="1" customHeight="1" x14ac:dyDescent="0.2">
      <c r="A5" s="22" t="s">
        <v>220</v>
      </c>
      <c r="B5" s="22"/>
      <c r="C5" s="22" t="s">
        <v>221</v>
      </c>
      <c r="D5" s="22" t="s">
        <v>222</v>
      </c>
      <c r="E5" s="23">
        <v>401547</v>
      </c>
      <c r="F5" s="23">
        <v>26</v>
      </c>
      <c r="G5" s="23">
        <v>1</v>
      </c>
      <c r="H5" s="23">
        <v>0</v>
      </c>
      <c r="I5" s="24">
        <v>45698</v>
      </c>
      <c r="J5" s="22" t="s">
        <v>223</v>
      </c>
      <c r="K5" s="22" t="s">
        <v>242</v>
      </c>
      <c r="L5" s="25">
        <v>-165.89</v>
      </c>
      <c r="M5" s="25">
        <v>-33.18</v>
      </c>
      <c r="N5" s="25">
        <v>-199.07</v>
      </c>
      <c r="O5" s="22"/>
      <c r="P5" s="26"/>
      <c r="Q5" s="25">
        <v>-199.07</v>
      </c>
      <c r="R5" s="22"/>
      <c r="S5" s="25">
        <v>0</v>
      </c>
      <c r="T5" s="22"/>
      <c r="U5" s="23"/>
      <c r="V5" s="22"/>
      <c r="W5" s="23"/>
      <c r="X5" s="23"/>
      <c r="Y5" s="23"/>
      <c r="Z5" s="25">
        <v>0</v>
      </c>
      <c r="AA5" s="25">
        <v>0</v>
      </c>
      <c r="AB5" s="25">
        <v>0</v>
      </c>
      <c r="AC5" s="22"/>
      <c r="AD5" s="22" t="s">
        <v>225</v>
      </c>
      <c r="AE5" s="22" t="s">
        <v>226</v>
      </c>
      <c r="AF5" s="22" t="s">
        <v>31</v>
      </c>
      <c r="AG5" s="22" t="s">
        <v>53</v>
      </c>
      <c r="AH5" s="22" t="s">
        <v>228</v>
      </c>
      <c r="AI5" s="22" t="s">
        <v>31</v>
      </c>
      <c r="AJ5" s="22"/>
      <c r="AK5" s="22" t="s">
        <v>239</v>
      </c>
      <c r="AL5" s="22" t="s">
        <v>243</v>
      </c>
      <c r="AM5" s="22" t="s">
        <v>231</v>
      </c>
      <c r="AN5" s="22" t="s">
        <v>232</v>
      </c>
      <c r="AO5" s="22" t="s">
        <v>231</v>
      </c>
      <c r="AP5" s="22" t="s">
        <v>232</v>
      </c>
      <c r="AQ5" s="22"/>
      <c r="AR5" s="22"/>
      <c r="AS5" s="22"/>
      <c r="AT5" s="22"/>
      <c r="AU5" s="22"/>
      <c r="AV5" s="22"/>
      <c r="AW5" s="23"/>
      <c r="AX5" s="27"/>
      <c r="AY5" s="25"/>
      <c r="AZ5" s="27"/>
      <c r="BA5" s="25"/>
      <c r="BB5" s="22" t="s">
        <v>244</v>
      </c>
      <c r="BC5" s="22"/>
      <c r="BD5" s="22"/>
      <c r="BE5" s="22"/>
      <c r="BF5" s="23"/>
      <c r="BG5" s="23"/>
      <c r="BH5" s="22"/>
      <c r="BI5" s="23">
        <v>0</v>
      </c>
      <c r="BJ5" s="23">
        <v>0</v>
      </c>
      <c r="BK5" s="24"/>
      <c r="BL5" s="24"/>
      <c r="BM5" s="22"/>
      <c r="BN5" s="24"/>
      <c r="BO5" s="24">
        <v>45818</v>
      </c>
      <c r="BP5" s="25">
        <v>0</v>
      </c>
      <c r="BQ5" s="24">
        <v>45698</v>
      </c>
    </row>
    <row r="6" spans="1:69" ht="22.5" customHeight="1" x14ac:dyDescent="0.2">
      <c r="A6" s="22" t="s">
        <v>220</v>
      </c>
      <c r="B6" s="22"/>
      <c r="C6" s="22" t="s">
        <v>221</v>
      </c>
      <c r="D6" s="22" t="s">
        <v>222</v>
      </c>
      <c r="E6" s="23">
        <v>401574</v>
      </c>
      <c r="F6" s="23">
        <v>34</v>
      </c>
      <c r="G6" s="23">
        <v>1</v>
      </c>
      <c r="H6" s="23">
        <v>0</v>
      </c>
      <c r="I6" s="24">
        <v>45698</v>
      </c>
      <c r="J6" s="22" t="s">
        <v>223</v>
      </c>
      <c r="K6" s="22" t="s">
        <v>245</v>
      </c>
      <c r="L6" s="25">
        <v>-21.8</v>
      </c>
      <c r="M6" s="25">
        <v>-1.2</v>
      </c>
      <c r="N6" s="25">
        <v>-23</v>
      </c>
      <c r="O6" s="22"/>
      <c r="P6" s="26"/>
      <c r="Q6" s="25">
        <v>-23</v>
      </c>
      <c r="R6" s="22"/>
      <c r="S6" s="25">
        <v>0</v>
      </c>
      <c r="T6" s="22"/>
      <c r="U6" s="23"/>
      <c r="V6" s="22"/>
      <c r="W6" s="23"/>
      <c r="X6" s="23"/>
      <c r="Y6" s="23"/>
      <c r="Z6" s="25">
        <v>0</v>
      </c>
      <c r="AA6" s="25">
        <v>0</v>
      </c>
      <c r="AB6" s="25">
        <v>0</v>
      </c>
      <c r="AC6" s="22"/>
      <c r="AD6" s="22" t="s">
        <v>225</v>
      </c>
      <c r="AE6" s="22" t="s">
        <v>226</v>
      </c>
      <c r="AF6" s="22" t="s">
        <v>31</v>
      </c>
      <c r="AG6" s="22" t="s">
        <v>46</v>
      </c>
      <c r="AH6" s="22" t="s">
        <v>228</v>
      </c>
      <c r="AI6" s="22" t="s">
        <v>31</v>
      </c>
      <c r="AJ6" s="22"/>
      <c r="AK6" s="22" t="s">
        <v>34</v>
      </c>
      <c r="AL6" s="22" t="s">
        <v>47</v>
      </c>
      <c r="AM6" s="22" t="s">
        <v>231</v>
      </c>
      <c r="AN6" s="22" t="s">
        <v>232</v>
      </c>
      <c r="AO6" s="22" t="s">
        <v>231</v>
      </c>
      <c r="AP6" s="22" t="s">
        <v>232</v>
      </c>
      <c r="AQ6" s="22"/>
      <c r="AR6" s="22"/>
      <c r="AS6" s="22"/>
      <c r="AT6" s="22"/>
      <c r="AU6" s="22"/>
      <c r="AV6" s="22"/>
      <c r="AW6" s="23"/>
      <c r="AX6" s="27"/>
      <c r="AY6" s="25"/>
      <c r="AZ6" s="27"/>
      <c r="BA6" s="25"/>
      <c r="BB6" s="22" t="s">
        <v>246</v>
      </c>
      <c r="BC6" s="22"/>
      <c r="BD6" s="22"/>
      <c r="BE6" s="22"/>
      <c r="BF6" s="23"/>
      <c r="BG6" s="23"/>
      <c r="BH6" s="22"/>
      <c r="BI6" s="23">
        <v>0</v>
      </c>
      <c r="BJ6" s="23">
        <v>0</v>
      </c>
      <c r="BK6" s="24"/>
      <c r="BL6" s="24"/>
      <c r="BM6" s="22"/>
      <c r="BN6" s="24"/>
      <c r="BO6" s="24">
        <v>45818</v>
      </c>
      <c r="BP6" s="25">
        <v>0</v>
      </c>
      <c r="BQ6" s="24">
        <v>45698</v>
      </c>
    </row>
    <row r="7" spans="1:69" ht="22.5" customHeight="1" x14ac:dyDescent="0.2">
      <c r="A7" s="28" t="s">
        <v>220</v>
      </c>
      <c r="B7" s="28"/>
      <c r="C7" s="28" t="s">
        <v>221</v>
      </c>
      <c r="D7" s="28" t="s">
        <v>222</v>
      </c>
      <c r="E7" s="29">
        <v>401577</v>
      </c>
      <c r="F7" s="29">
        <v>35</v>
      </c>
      <c r="G7" s="29">
        <v>1</v>
      </c>
      <c r="H7" s="29">
        <v>0</v>
      </c>
      <c r="I7" s="30">
        <v>45698</v>
      </c>
      <c r="J7" s="28" t="s">
        <v>223</v>
      </c>
      <c r="K7" s="28" t="s">
        <v>247</v>
      </c>
      <c r="L7" s="31">
        <v>-864.45</v>
      </c>
      <c r="M7" s="31">
        <v>-47.55</v>
      </c>
      <c r="N7" s="31">
        <v>-912</v>
      </c>
      <c r="O7" s="28"/>
      <c r="P7" s="32"/>
      <c r="Q7" s="31">
        <v>-912</v>
      </c>
      <c r="R7" s="28"/>
      <c r="S7" s="31">
        <v>0</v>
      </c>
      <c r="T7" s="28"/>
      <c r="U7" s="29"/>
      <c r="V7" s="28"/>
      <c r="W7" s="29"/>
      <c r="X7" s="29"/>
      <c r="Y7" s="29"/>
      <c r="Z7" s="31">
        <v>0</v>
      </c>
      <c r="AA7" s="31">
        <v>0</v>
      </c>
      <c r="AB7" s="31">
        <v>0</v>
      </c>
      <c r="AC7" s="28"/>
      <c r="AD7" s="28" t="s">
        <v>225</v>
      </c>
      <c r="AE7" s="28" t="s">
        <v>226</v>
      </c>
      <c r="AF7" s="28" t="s">
        <v>31</v>
      </c>
      <c r="AG7" s="28" t="s">
        <v>32</v>
      </c>
      <c r="AH7" s="28" t="s">
        <v>228</v>
      </c>
      <c r="AI7" s="28" t="s">
        <v>31</v>
      </c>
      <c r="AJ7" s="28"/>
      <c r="AK7" s="28" t="s">
        <v>34</v>
      </c>
      <c r="AL7" s="28" t="s">
        <v>31</v>
      </c>
      <c r="AM7" s="28" t="s">
        <v>231</v>
      </c>
      <c r="AN7" s="28" t="s">
        <v>232</v>
      </c>
      <c r="AO7" s="28" t="s">
        <v>231</v>
      </c>
      <c r="AP7" s="28" t="s">
        <v>232</v>
      </c>
      <c r="AQ7" s="28"/>
      <c r="AR7" s="28"/>
      <c r="AS7" s="28"/>
      <c r="AT7" s="28"/>
      <c r="AU7" s="28"/>
      <c r="AV7" s="28"/>
      <c r="AW7" s="29"/>
      <c r="AX7" s="33"/>
      <c r="AY7" s="31"/>
      <c r="AZ7" s="33"/>
      <c r="BA7" s="31"/>
      <c r="BB7" s="28" t="s">
        <v>248</v>
      </c>
      <c r="BC7" s="28"/>
      <c r="BD7" s="28"/>
      <c r="BE7" s="28"/>
      <c r="BF7" s="29"/>
      <c r="BG7" s="29"/>
      <c r="BH7" s="28"/>
      <c r="BI7" s="29">
        <v>0</v>
      </c>
      <c r="BJ7" s="29">
        <v>0</v>
      </c>
      <c r="BK7" s="30"/>
      <c r="BL7" s="30"/>
      <c r="BM7" s="28"/>
      <c r="BN7" s="30"/>
      <c r="BO7" s="30">
        <v>45818</v>
      </c>
      <c r="BP7" s="31">
        <v>0</v>
      </c>
      <c r="BQ7" s="30">
        <v>45698</v>
      </c>
    </row>
    <row r="8" spans="1:69" ht="22.5" customHeight="1" x14ac:dyDescent="0.2">
      <c r="A8" s="22" t="s">
        <v>220</v>
      </c>
      <c r="B8" s="22"/>
      <c r="C8" s="22" t="s">
        <v>221</v>
      </c>
      <c r="D8" s="22" t="s">
        <v>222</v>
      </c>
      <c r="E8" s="23">
        <v>401580</v>
      </c>
      <c r="F8" s="23">
        <v>36</v>
      </c>
      <c r="G8" s="23">
        <v>1</v>
      </c>
      <c r="H8" s="23">
        <v>0</v>
      </c>
      <c r="I8" s="24">
        <v>45698</v>
      </c>
      <c r="J8" s="22" t="s">
        <v>223</v>
      </c>
      <c r="K8" s="22" t="s">
        <v>249</v>
      </c>
      <c r="L8" s="25">
        <v>-34.119999999999997</v>
      </c>
      <c r="M8" s="25">
        <v>-1.88</v>
      </c>
      <c r="N8" s="25">
        <v>-36</v>
      </c>
      <c r="O8" s="22"/>
      <c r="P8" s="26"/>
      <c r="Q8" s="25">
        <v>-36</v>
      </c>
      <c r="R8" s="22"/>
      <c r="S8" s="25">
        <v>0</v>
      </c>
      <c r="T8" s="22"/>
      <c r="U8" s="23"/>
      <c r="V8" s="22"/>
      <c r="W8" s="23"/>
      <c r="X8" s="23"/>
      <c r="Y8" s="23"/>
      <c r="Z8" s="25">
        <v>0</v>
      </c>
      <c r="AA8" s="25">
        <v>0</v>
      </c>
      <c r="AB8" s="25">
        <v>0</v>
      </c>
      <c r="AC8" s="22"/>
      <c r="AD8" s="22" t="s">
        <v>225</v>
      </c>
      <c r="AE8" s="22" t="s">
        <v>226</v>
      </c>
      <c r="AF8" s="22" t="s">
        <v>31</v>
      </c>
      <c r="AG8" s="22" t="s">
        <v>42</v>
      </c>
      <c r="AH8" s="22" t="s">
        <v>228</v>
      </c>
      <c r="AI8" s="22" t="s">
        <v>31</v>
      </c>
      <c r="AJ8" s="22"/>
      <c r="AK8" s="22" t="s">
        <v>34</v>
      </c>
      <c r="AL8" s="22" t="s">
        <v>250</v>
      </c>
      <c r="AM8" s="22" t="s">
        <v>231</v>
      </c>
      <c r="AN8" s="22" t="s">
        <v>232</v>
      </c>
      <c r="AO8" s="22" t="s">
        <v>231</v>
      </c>
      <c r="AP8" s="22" t="s">
        <v>232</v>
      </c>
      <c r="AQ8" s="22"/>
      <c r="AR8" s="22"/>
      <c r="AS8" s="22"/>
      <c r="AT8" s="22"/>
      <c r="AU8" s="22"/>
      <c r="AV8" s="22"/>
      <c r="AW8" s="23"/>
      <c r="AX8" s="27"/>
      <c r="AY8" s="25"/>
      <c r="AZ8" s="27"/>
      <c r="BA8" s="25"/>
      <c r="BB8" s="22" t="s">
        <v>251</v>
      </c>
      <c r="BC8" s="22"/>
      <c r="BD8" s="22"/>
      <c r="BE8" s="22"/>
      <c r="BF8" s="23"/>
      <c r="BG8" s="23"/>
      <c r="BH8" s="22"/>
      <c r="BI8" s="23">
        <v>0</v>
      </c>
      <c r="BJ8" s="23">
        <v>0</v>
      </c>
      <c r="BK8" s="24"/>
      <c r="BL8" s="24"/>
      <c r="BM8" s="22"/>
      <c r="BN8" s="24"/>
      <c r="BO8" s="24">
        <v>45818</v>
      </c>
      <c r="BP8" s="25">
        <v>0</v>
      </c>
      <c r="BQ8" s="24">
        <v>45698</v>
      </c>
    </row>
    <row r="9" spans="1:69" ht="22.5" customHeight="1" x14ac:dyDescent="0.2">
      <c r="A9" s="28" t="s">
        <v>220</v>
      </c>
      <c r="B9" s="28"/>
      <c r="C9" s="28" t="s">
        <v>221</v>
      </c>
      <c r="D9" s="28" t="s">
        <v>222</v>
      </c>
      <c r="E9" s="29">
        <v>401583</v>
      </c>
      <c r="F9" s="29">
        <v>37</v>
      </c>
      <c r="G9" s="29">
        <v>1</v>
      </c>
      <c r="H9" s="29">
        <v>0</v>
      </c>
      <c r="I9" s="30">
        <v>45698</v>
      </c>
      <c r="J9" s="28" t="s">
        <v>223</v>
      </c>
      <c r="K9" s="28" t="s">
        <v>252</v>
      </c>
      <c r="L9" s="31">
        <v>-99.53</v>
      </c>
      <c r="M9" s="31">
        <v>-5.47</v>
      </c>
      <c r="N9" s="31">
        <v>-105</v>
      </c>
      <c r="O9" s="28"/>
      <c r="P9" s="32"/>
      <c r="Q9" s="31">
        <v>-105</v>
      </c>
      <c r="R9" s="28"/>
      <c r="S9" s="31">
        <v>0</v>
      </c>
      <c r="T9" s="28"/>
      <c r="U9" s="29"/>
      <c r="V9" s="28"/>
      <c r="W9" s="29"/>
      <c r="X9" s="29"/>
      <c r="Y9" s="29"/>
      <c r="Z9" s="31">
        <v>0</v>
      </c>
      <c r="AA9" s="31">
        <v>0</v>
      </c>
      <c r="AB9" s="31">
        <v>0</v>
      </c>
      <c r="AC9" s="28"/>
      <c r="AD9" s="28" t="s">
        <v>225</v>
      </c>
      <c r="AE9" s="28" t="s">
        <v>226</v>
      </c>
      <c r="AF9" s="28" t="s">
        <v>31</v>
      </c>
      <c r="AG9" s="28" t="s">
        <v>42</v>
      </c>
      <c r="AH9" s="28" t="s">
        <v>228</v>
      </c>
      <c r="AI9" s="28" t="s">
        <v>31</v>
      </c>
      <c r="AJ9" s="28"/>
      <c r="AK9" s="28" t="s">
        <v>34</v>
      </c>
      <c r="AL9" s="28" t="s">
        <v>50</v>
      </c>
      <c r="AM9" s="28" t="s">
        <v>231</v>
      </c>
      <c r="AN9" s="28" t="s">
        <v>232</v>
      </c>
      <c r="AO9" s="28" t="s">
        <v>231</v>
      </c>
      <c r="AP9" s="28" t="s">
        <v>232</v>
      </c>
      <c r="AQ9" s="28"/>
      <c r="AR9" s="28"/>
      <c r="AS9" s="28"/>
      <c r="AT9" s="28"/>
      <c r="AU9" s="28"/>
      <c r="AV9" s="28"/>
      <c r="AW9" s="29"/>
      <c r="AX9" s="33"/>
      <c r="AY9" s="31"/>
      <c r="AZ9" s="33"/>
      <c r="BA9" s="31"/>
      <c r="BB9" s="28" t="s">
        <v>253</v>
      </c>
      <c r="BC9" s="28"/>
      <c r="BD9" s="28"/>
      <c r="BE9" s="28"/>
      <c r="BF9" s="29"/>
      <c r="BG9" s="29"/>
      <c r="BH9" s="28"/>
      <c r="BI9" s="29">
        <v>0</v>
      </c>
      <c r="BJ9" s="29">
        <v>0</v>
      </c>
      <c r="BK9" s="30"/>
      <c r="BL9" s="30"/>
      <c r="BM9" s="28"/>
      <c r="BN9" s="30"/>
      <c r="BO9" s="30">
        <v>45818</v>
      </c>
      <c r="BP9" s="31">
        <v>0</v>
      </c>
      <c r="BQ9" s="30">
        <v>45698</v>
      </c>
    </row>
    <row r="10" spans="1:69" ht="22.5" customHeight="1" x14ac:dyDescent="0.2">
      <c r="A10" s="22" t="s">
        <v>220</v>
      </c>
      <c r="B10" s="22"/>
      <c r="C10" s="22" t="s">
        <v>221</v>
      </c>
      <c r="D10" s="22" t="s">
        <v>222</v>
      </c>
      <c r="E10" s="23">
        <v>401586</v>
      </c>
      <c r="F10" s="23">
        <v>38</v>
      </c>
      <c r="G10" s="23">
        <v>1</v>
      </c>
      <c r="H10" s="23">
        <v>0</v>
      </c>
      <c r="I10" s="24">
        <v>45698</v>
      </c>
      <c r="J10" s="22" t="s">
        <v>223</v>
      </c>
      <c r="K10" s="22" t="s">
        <v>254</v>
      </c>
      <c r="L10" s="25">
        <v>-142.18</v>
      </c>
      <c r="M10" s="25">
        <v>-7.82</v>
      </c>
      <c r="N10" s="25">
        <v>-150</v>
      </c>
      <c r="O10" s="22"/>
      <c r="P10" s="26"/>
      <c r="Q10" s="25">
        <v>-150</v>
      </c>
      <c r="R10" s="22"/>
      <c r="S10" s="25">
        <v>0</v>
      </c>
      <c r="T10" s="22"/>
      <c r="U10" s="23"/>
      <c r="V10" s="22"/>
      <c r="W10" s="23"/>
      <c r="X10" s="23"/>
      <c r="Y10" s="23"/>
      <c r="Z10" s="25">
        <v>0</v>
      </c>
      <c r="AA10" s="25">
        <v>0</v>
      </c>
      <c r="AB10" s="25">
        <v>0</v>
      </c>
      <c r="AC10" s="22"/>
      <c r="AD10" s="22" t="s">
        <v>225</v>
      </c>
      <c r="AE10" s="22" t="s">
        <v>226</v>
      </c>
      <c r="AF10" s="22" t="s">
        <v>31</v>
      </c>
      <c r="AG10" s="22" t="s">
        <v>42</v>
      </c>
      <c r="AH10" s="22" t="s">
        <v>228</v>
      </c>
      <c r="AI10" s="22" t="s">
        <v>31</v>
      </c>
      <c r="AJ10" s="22"/>
      <c r="AK10" s="22" t="s">
        <v>34</v>
      </c>
      <c r="AL10" s="22" t="s">
        <v>43</v>
      </c>
      <c r="AM10" s="22" t="s">
        <v>231</v>
      </c>
      <c r="AN10" s="22" t="s">
        <v>232</v>
      </c>
      <c r="AO10" s="22" t="s">
        <v>231</v>
      </c>
      <c r="AP10" s="22" t="s">
        <v>232</v>
      </c>
      <c r="AQ10" s="22"/>
      <c r="AR10" s="22"/>
      <c r="AS10" s="22"/>
      <c r="AT10" s="22"/>
      <c r="AU10" s="22"/>
      <c r="AV10" s="22"/>
      <c r="AW10" s="23"/>
      <c r="AX10" s="27"/>
      <c r="AY10" s="25"/>
      <c r="AZ10" s="27"/>
      <c r="BA10" s="25"/>
      <c r="BB10" s="22" t="s">
        <v>255</v>
      </c>
      <c r="BC10" s="22"/>
      <c r="BD10" s="22"/>
      <c r="BE10" s="22"/>
      <c r="BF10" s="23"/>
      <c r="BG10" s="23"/>
      <c r="BH10" s="22"/>
      <c r="BI10" s="23">
        <v>0</v>
      </c>
      <c r="BJ10" s="23">
        <v>0</v>
      </c>
      <c r="BK10" s="24"/>
      <c r="BL10" s="24"/>
      <c r="BM10" s="22"/>
      <c r="BN10" s="24"/>
      <c r="BO10" s="24">
        <v>45818</v>
      </c>
      <c r="BP10" s="25">
        <v>0</v>
      </c>
      <c r="BQ10" s="24">
        <v>45698</v>
      </c>
    </row>
    <row r="11" spans="1:69" ht="22.5" customHeight="1" x14ac:dyDescent="0.2">
      <c r="A11" s="28" t="s">
        <v>220</v>
      </c>
      <c r="B11" s="28"/>
      <c r="C11" s="28" t="s">
        <v>221</v>
      </c>
      <c r="D11" s="28" t="s">
        <v>222</v>
      </c>
      <c r="E11" s="29">
        <v>401589</v>
      </c>
      <c r="F11" s="29">
        <v>39</v>
      </c>
      <c r="G11" s="29">
        <v>1</v>
      </c>
      <c r="H11" s="29">
        <v>0</v>
      </c>
      <c r="I11" s="30">
        <v>45698</v>
      </c>
      <c r="J11" s="28" t="s">
        <v>223</v>
      </c>
      <c r="K11" s="28" t="s">
        <v>256</v>
      </c>
      <c r="L11" s="31">
        <v>-18.96</v>
      </c>
      <c r="M11" s="31">
        <v>-1.04</v>
      </c>
      <c r="N11" s="31">
        <v>-20</v>
      </c>
      <c r="O11" s="28"/>
      <c r="P11" s="32"/>
      <c r="Q11" s="31">
        <v>-20</v>
      </c>
      <c r="R11" s="28"/>
      <c r="S11" s="31">
        <v>0</v>
      </c>
      <c r="T11" s="28"/>
      <c r="U11" s="29"/>
      <c r="V11" s="28"/>
      <c r="W11" s="29"/>
      <c r="X11" s="29"/>
      <c r="Y11" s="29"/>
      <c r="Z11" s="31">
        <v>0</v>
      </c>
      <c r="AA11" s="31">
        <v>0</v>
      </c>
      <c r="AB11" s="31">
        <v>0</v>
      </c>
      <c r="AC11" s="28"/>
      <c r="AD11" s="28" t="s">
        <v>225</v>
      </c>
      <c r="AE11" s="28" t="s">
        <v>226</v>
      </c>
      <c r="AF11" s="28" t="s">
        <v>31</v>
      </c>
      <c r="AG11" s="28" t="s">
        <v>53</v>
      </c>
      <c r="AH11" s="28" t="s">
        <v>228</v>
      </c>
      <c r="AI11" s="28" t="s">
        <v>31</v>
      </c>
      <c r="AJ11" s="28"/>
      <c r="AK11" s="28" t="s">
        <v>34</v>
      </c>
      <c r="AL11" s="28" t="s">
        <v>54</v>
      </c>
      <c r="AM11" s="28" t="s">
        <v>231</v>
      </c>
      <c r="AN11" s="28" t="s">
        <v>232</v>
      </c>
      <c r="AO11" s="28" t="s">
        <v>231</v>
      </c>
      <c r="AP11" s="28" t="s">
        <v>232</v>
      </c>
      <c r="AQ11" s="28"/>
      <c r="AR11" s="28"/>
      <c r="AS11" s="28"/>
      <c r="AT11" s="28"/>
      <c r="AU11" s="28"/>
      <c r="AV11" s="28"/>
      <c r="AW11" s="29"/>
      <c r="AX11" s="33"/>
      <c r="AY11" s="31"/>
      <c r="AZ11" s="33"/>
      <c r="BA11" s="31"/>
      <c r="BB11" s="28" t="s">
        <v>257</v>
      </c>
      <c r="BC11" s="28"/>
      <c r="BD11" s="28"/>
      <c r="BE11" s="28"/>
      <c r="BF11" s="29"/>
      <c r="BG11" s="29"/>
      <c r="BH11" s="28"/>
      <c r="BI11" s="29">
        <v>0</v>
      </c>
      <c r="BJ11" s="29">
        <v>0</v>
      </c>
      <c r="BK11" s="30"/>
      <c r="BL11" s="30"/>
      <c r="BM11" s="28"/>
      <c r="BN11" s="30"/>
      <c r="BO11" s="30">
        <v>45818</v>
      </c>
      <c r="BP11" s="31">
        <v>0</v>
      </c>
      <c r="BQ11" s="30">
        <v>45698</v>
      </c>
    </row>
    <row r="12" spans="1:69" ht="22.5" hidden="1" customHeight="1" x14ac:dyDescent="0.2">
      <c r="A12" s="28" t="s">
        <v>220</v>
      </c>
      <c r="B12" s="28"/>
      <c r="C12" s="28" t="s">
        <v>221</v>
      </c>
      <c r="D12" s="28" t="s">
        <v>222</v>
      </c>
      <c r="E12" s="29">
        <v>401637</v>
      </c>
      <c r="F12" s="29">
        <v>55</v>
      </c>
      <c r="G12" s="29">
        <v>1</v>
      </c>
      <c r="H12" s="29">
        <v>0</v>
      </c>
      <c r="I12" s="30">
        <v>45698</v>
      </c>
      <c r="J12" s="28" t="s">
        <v>223</v>
      </c>
      <c r="K12" s="28" t="s">
        <v>258</v>
      </c>
      <c r="L12" s="31">
        <v>-389.43</v>
      </c>
      <c r="M12" s="31">
        <v>-21.42</v>
      </c>
      <c r="N12" s="31">
        <v>-410.85</v>
      </c>
      <c r="O12" s="28"/>
      <c r="P12" s="32"/>
      <c r="Q12" s="31">
        <v>-410.85</v>
      </c>
      <c r="R12" s="28"/>
      <c r="S12" s="31">
        <v>0</v>
      </c>
      <c r="T12" s="28"/>
      <c r="U12" s="29"/>
      <c r="V12" s="28"/>
      <c r="W12" s="29"/>
      <c r="X12" s="29"/>
      <c r="Y12" s="29"/>
      <c r="Z12" s="31">
        <v>0</v>
      </c>
      <c r="AA12" s="31">
        <v>0</v>
      </c>
      <c r="AB12" s="31">
        <v>0</v>
      </c>
      <c r="AC12" s="28"/>
      <c r="AD12" s="28" t="s">
        <v>225</v>
      </c>
      <c r="AE12" s="28" t="s">
        <v>226</v>
      </c>
      <c r="AF12" s="28" t="s">
        <v>31</v>
      </c>
      <c r="AG12" s="28" t="s">
        <v>259</v>
      </c>
      <c r="AH12" s="28" t="s">
        <v>228</v>
      </c>
      <c r="AI12" s="28" t="s">
        <v>31</v>
      </c>
      <c r="AJ12" s="28"/>
      <c r="AK12" s="28" t="s">
        <v>260</v>
      </c>
      <c r="AL12" s="28" t="s">
        <v>31</v>
      </c>
      <c r="AM12" s="28" t="s">
        <v>231</v>
      </c>
      <c r="AN12" s="28" t="s">
        <v>232</v>
      </c>
      <c r="AO12" s="28" t="s">
        <v>231</v>
      </c>
      <c r="AP12" s="28" t="s">
        <v>232</v>
      </c>
      <c r="AQ12" s="28"/>
      <c r="AR12" s="28"/>
      <c r="AS12" s="28"/>
      <c r="AT12" s="28"/>
      <c r="AU12" s="28"/>
      <c r="AV12" s="28"/>
      <c r="AW12" s="29"/>
      <c r="AX12" s="33"/>
      <c r="AY12" s="31"/>
      <c r="AZ12" s="33"/>
      <c r="BA12" s="31"/>
      <c r="BB12" s="28" t="s">
        <v>261</v>
      </c>
      <c r="BC12" s="28"/>
      <c r="BD12" s="28"/>
      <c r="BE12" s="28"/>
      <c r="BF12" s="29"/>
      <c r="BG12" s="29"/>
      <c r="BH12" s="28"/>
      <c r="BI12" s="29">
        <v>0</v>
      </c>
      <c r="BJ12" s="29">
        <v>0</v>
      </c>
      <c r="BK12" s="30"/>
      <c r="BL12" s="30"/>
      <c r="BM12" s="28"/>
      <c r="BN12" s="30"/>
      <c r="BO12" s="30">
        <v>45818</v>
      </c>
      <c r="BP12" s="31">
        <v>0</v>
      </c>
      <c r="BQ12" s="30">
        <v>45698</v>
      </c>
    </row>
    <row r="13" spans="1:69" ht="22.5" customHeight="1" x14ac:dyDescent="0.2">
      <c r="A13" s="28" t="s">
        <v>262</v>
      </c>
      <c r="B13" s="28"/>
      <c r="C13" s="28" t="s">
        <v>221</v>
      </c>
      <c r="D13" s="28" t="s">
        <v>222</v>
      </c>
      <c r="E13" s="29">
        <v>401938</v>
      </c>
      <c r="F13" s="29">
        <v>65</v>
      </c>
      <c r="G13" s="29">
        <v>11</v>
      </c>
      <c r="H13" s="29">
        <v>0</v>
      </c>
      <c r="I13" s="30">
        <v>45698</v>
      </c>
      <c r="J13" s="28" t="s">
        <v>263</v>
      </c>
      <c r="K13" s="28" t="s">
        <v>264</v>
      </c>
      <c r="L13" s="31">
        <v>28.16</v>
      </c>
      <c r="M13" s="31">
        <v>1.55</v>
      </c>
      <c r="N13" s="31">
        <v>29.71</v>
      </c>
      <c r="O13" s="28"/>
      <c r="P13" s="32">
        <v>45701</v>
      </c>
      <c r="Q13" s="31">
        <v>29.71</v>
      </c>
      <c r="R13" s="28" t="s">
        <v>265</v>
      </c>
      <c r="S13" s="31">
        <v>0</v>
      </c>
      <c r="T13" s="28"/>
      <c r="U13" s="29"/>
      <c r="V13" s="28"/>
      <c r="W13" s="29"/>
      <c r="X13" s="29"/>
      <c r="Y13" s="29"/>
      <c r="Z13" s="31">
        <v>0</v>
      </c>
      <c r="AA13" s="31">
        <v>0</v>
      </c>
      <c r="AB13" s="31">
        <v>0</v>
      </c>
      <c r="AC13" s="28"/>
      <c r="AD13" s="28" t="s">
        <v>266</v>
      </c>
      <c r="AE13" s="28" t="s">
        <v>267</v>
      </c>
      <c r="AF13" s="28" t="s">
        <v>31</v>
      </c>
      <c r="AG13" s="28" t="s">
        <v>42</v>
      </c>
      <c r="AH13" s="28" t="s">
        <v>228</v>
      </c>
      <c r="AI13" s="28" t="s">
        <v>31</v>
      </c>
      <c r="AJ13" s="28"/>
      <c r="AK13" s="28" t="s">
        <v>34</v>
      </c>
      <c r="AL13" s="28" t="s">
        <v>50</v>
      </c>
      <c r="AM13" s="28" t="s">
        <v>231</v>
      </c>
      <c r="AN13" s="28" t="s">
        <v>232</v>
      </c>
      <c r="AO13" s="28" t="s">
        <v>231</v>
      </c>
      <c r="AP13" s="28" t="s">
        <v>232</v>
      </c>
      <c r="AQ13" s="28"/>
      <c r="AR13" s="28"/>
      <c r="AS13" s="28"/>
      <c r="AT13" s="28"/>
      <c r="AU13" s="28"/>
      <c r="AV13" s="28"/>
      <c r="AW13" s="29"/>
      <c r="AX13" s="33"/>
      <c r="AY13" s="31"/>
      <c r="AZ13" s="33"/>
      <c r="BA13" s="31"/>
      <c r="BB13" s="28" t="s">
        <v>253</v>
      </c>
      <c r="BC13" s="28"/>
      <c r="BD13" s="28"/>
      <c r="BE13" s="28"/>
      <c r="BF13" s="29"/>
      <c r="BG13" s="29"/>
      <c r="BH13" s="28" t="s">
        <v>268</v>
      </c>
      <c r="BI13" s="29">
        <v>1</v>
      </c>
      <c r="BJ13" s="29">
        <v>0</v>
      </c>
      <c r="BK13" s="30"/>
      <c r="BL13" s="30"/>
      <c r="BM13" s="28"/>
      <c r="BN13" s="30">
        <v>45701</v>
      </c>
      <c r="BO13" s="30">
        <v>45701</v>
      </c>
      <c r="BP13" s="31">
        <v>29.71</v>
      </c>
      <c r="BQ13" s="30">
        <v>45700</v>
      </c>
    </row>
    <row r="14" spans="1:69" ht="22.5" customHeight="1" x14ac:dyDescent="0.2">
      <c r="A14" s="22" t="s">
        <v>262</v>
      </c>
      <c r="B14" s="22"/>
      <c r="C14" s="22" t="s">
        <v>221</v>
      </c>
      <c r="D14" s="22" t="s">
        <v>222</v>
      </c>
      <c r="E14" s="23">
        <v>401939</v>
      </c>
      <c r="F14" s="23">
        <v>64</v>
      </c>
      <c r="G14" s="23">
        <v>11</v>
      </c>
      <c r="H14" s="23">
        <v>0</v>
      </c>
      <c r="I14" s="24">
        <v>45698</v>
      </c>
      <c r="J14" s="22" t="s">
        <v>263</v>
      </c>
      <c r="K14" s="22" t="s">
        <v>269</v>
      </c>
      <c r="L14" s="25">
        <v>19.36</v>
      </c>
      <c r="M14" s="25">
        <v>1.06</v>
      </c>
      <c r="N14" s="25">
        <v>20.420000000000002</v>
      </c>
      <c r="O14" s="22"/>
      <c r="P14" s="26">
        <v>45701</v>
      </c>
      <c r="Q14" s="25">
        <v>20.420000000000002</v>
      </c>
      <c r="R14" s="22" t="s">
        <v>270</v>
      </c>
      <c r="S14" s="25">
        <v>0</v>
      </c>
      <c r="T14" s="22"/>
      <c r="U14" s="23"/>
      <c r="V14" s="22"/>
      <c r="W14" s="23"/>
      <c r="X14" s="23"/>
      <c r="Y14" s="23"/>
      <c r="Z14" s="25">
        <v>0</v>
      </c>
      <c r="AA14" s="25">
        <v>0</v>
      </c>
      <c r="AB14" s="25">
        <v>0</v>
      </c>
      <c r="AC14" s="22"/>
      <c r="AD14" s="22" t="s">
        <v>266</v>
      </c>
      <c r="AE14" s="22" t="s">
        <v>267</v>
      </c>
      <c r="AF14" s="22" t="s">
        <v>31</v>
      </c>
      <c r="AG14" s="22" t="s">
        <v>46</v>
      </c>
      <c r="AH14" s="22" t="s">
        <v>228</v>
      </c>
      <c r="AI14" s="22" t="s">
        <v>31</v>
      </c>
      <c r="AJ14" s="22"/>
      <c r="AK14" s="22" t="s">
        <v>34</v>
      </c>
      <c r="AL14" s="22" t="s">
        <v>47</v>
      </c>
      <c r="AM14" s="22" t="s">
        <v>231</v>
      </c>
      <c r="AN14" s="22" t="s">
        <v>232</v>
      </c>
      <c r="AO14" s="22" t="s">
        <v>231</v>
      </c>
      <c r="AP14" s="22" t="s">
        <v>232</v>
      </c>
      <c r="AQ14" s="22"/>
      <c r="AR14" s="22"/>
      <c r="AS14" s="22"/>
      <c r="AT14" s="22"/>
      <c r="AU14" s="22"/>
      <c r="AV14" s="22"/>
      <c r="AW14" s="23"/>
      <c r="AX14" s="27"/>
      <c r="AY14" s="25"/>
      <c r="AZ14" s="27"/>
      <c r="BA14" s="25"/>
      <c r="BB14" s="22" t="s">
        <v>246</v>
      </c>
      <c r="BC14" s="22"/>
      <c r="BD14" s="22"/>
      <c r="BE14" s="22"/>
      <c r="BF14" s="23"/>
      <c r="BG14" s="23"/>
      <c r="BH14" s="22" t="s">
        <v>271</v>
      </c>
      <c r="BI14" s="23">
        <v>1</v>
      </c>
      <c r="BJ14" s="23">
        <v>0</v>
      </c>
      <c r="BK14" s="24"/>
      <c r="BL14" s="24"/>
      <c r="BM14" s="22"/>
      <c r="BN14" s="24">
        <v>45701</v>
      </c>
      <c r="BO14" s="24">
        <v>45701</v>
      </c>
      <c r="BP14" s="25">
        <v>20.420000000000002</v>
      </c>
      <c r="BQ14" s="24">
        <v>45700</v>
      </c>
    </row>
    <row r="15" spans="1:69" ht="22.5" customHeight="1" x14ac:dyDescent="0.2">
      <c r="A15" s="28" t="s">
        <v>262</v>
      </c>
      <c r="B15" s="28"/>
      <c r="C15" s="28" t="s">
        <v>221</v>
      </c>
      <c r="D15" s="28" t="s">
        <v>222</v>
      </c>
      <c r="E15" s="29">
        <v>401940</v>
      </c>
      <c r="F15" s="29">
        <v>63</v>
      </c>
      <c r="G15" s="29">
        <v>11</v>
      </c>
      <c r="H15" s="29">
        <v>0</v>
      </c>
      <c r="I15" s="30">
        <v>45698</v>
      </c>
      <c r="J15" s="28" t="s">
        <v>263</v>
      </c>
      <c r="K15" s="28" t="s">
        <v>272</v>
      </c>
      <c r="L15" s="31">
        <v>696.96</v>
      </c>
      <c r="M15" s="31">
        <v>38.33</v>
      </c>
      <c r="N15" s="31">
        <v>735.29</v>
      </c>
      <c r="O15" s="28"/>
      <c r="P15" s="32">
        <v>45701</v>
      </c>
      <c r="Q15" s="31">
        <v>735.29</v>
      </c>
      <c r="R15" s="28" t="s">
        <v>273</v>
      </c>
      <c r="S15" s="31">
        <v>0</v>
      </c>
      <c r="T15" s="28"/>
      <c r="U15" s="29"/>
      <c r="V15" s="28"/>
      <c r="W15" s="29"/>
      <c r="X15" s="29"/>
      <c r="Y15" s="29"/>
      <c r="Z15" s="31">
        <v>0</v>
      </c>
      <c r="AA15" s="31">
        <v>0</v>
      </c>
      <c r="AB15" s="31">
        <v>0</v>
      </c>
      <c r="AC15" s="28"/>
      <c r="AD15" s="28" t="s">
        <v>266</v>
      </c>
      <c r="AE15" s="28" t="s">
        <v>267</v>
      </c>
      <c r="AF15" s="28" t="s">
        <v>31</v>
      </c>
      <c r="AG15" s="28" t="s">
        <v>32</v>
      </c>
      <c r="AH15" s="28" t="s">
        <v>228</v>
      </c>
      <c r="AI15" s="28" t="s">
        <v>31</v>
      </c>
      <c r="AJ15" s="28"/>
      <c r="AK15" s="28" t="s">
        <v>34</v>
      </c>
      <c r="AL15" s="28" t="s">
        <v>31</v>
      </c>
      <c r="AM15" s="28" t="s">
        <v>231</v>
      </c>
      <c r="AN15" s="28" t="s">
        <v>232</v>
      </c>
      <c r="AO15" s="28" t="s">
        <v>231</v>
      </c>
      <c r="AP15" s="28" t="s">
        <v>232</v>
      </c>
      <c r="AQ15" s="28"/>
      <c r="AR15" s="28"/>
      <c r="AS15" s="28"/>
      <c r="AT15" s="28"/>
      <c r="AU15" s="28"/>
      <c r="AV15" s="28"/>
      <c r="AW15" s="29"/>
      <c r="AX15" s="33"/>
      <c r="AY15" s="31"/>
      <c r="AZ15" s="33"/>
      <c r="BA15" s="31"/>
      <c r="BB15" s="28" t="s">
        <v>248</v>
      </c>
      <c r="BC15" s="28"/>
      <c r="BD15" s="28"/>
      <c r="BE15" s="28"/>
      <c r="BF15" s="29"/>
      <c r="BG15" s="29"/>
      <c r="BH15" s="28" t="s">
        <v>274</v>
      </c>
      <c r="BI15" s="29">
        <v>1</v>
      </c>
      <c r="BJ15" s="29">
        <v>0</v>
      </c>
      <c r="BK15" s="30"/>
      <c r="BL15" s="30"/>
      <c r="BM15" s="28"/>
      <c r="BN15" s="30">
        <v>45701</v>
      </c>
      <c r="BO15" s="30">
        <v>45701</v>
      </c>
      <c r="BP15" s="31">
        <v>735.29</v>
      </c>
      <c r="BQ15" s="30">
        <v>45700</v>
      </c>
    </row>
    <row r="16" spans="1:69" ht="22.5" customHeight="1" x14ac:dyDescent="0.2">
      <c r="A16" s="22" t="s">
        <v>262</v>
      </c>
      <c r="B16" s="22"/>
      <c r="C16" s="22" t="s">
        <v>221</v>
      </c>
      <c r="D16" s="22" t="s">
        <v>222</v>
      </c>
      <c r="E16" s="23">
        <v>401942</v>
      </c>
      <c r="F16" s="23">
        <v>62</v>
      </c>
      <c r="G16" s="23">
        <v>11</v>
      </c>
      <c r="H16" s="23">
        <v>0</v>
      </c>
      <c r="I16" s="24">
        <v>45698</v>
      </c>
      <c r="J16" s="22" t="s">
        <v>263</v>
      </c>
      <c r="K16" s="22" t="s">
        <v>275</v>
      </c>
      <c r="L16" s="25">
        <v>28.16</v>
      </c>
      <c r="M16" s="25">
        <v>1.55</v>
      </c>
      <c r="N16" s="25">
        <v>29.71</v>
      </c>
      <c r="O16" s="22"/>
      <c r="P16" s="26">
        <v>45701</v>
      </c>
      <c r="Q16" s="25">
        <v>29.71</v>
      </c>
      <c r="R16" s="22" t="s">
        <v>276</v>
      </c>
      <c r="S16" s="25">
        <v>0</v>
      </c>
      <c r="T16" s="22"/>
      <c r="U16" s="23"/>
      <c r="V16" s="22"/>
      <c r="W16" s="23"/>
      <c r="X16" s="23"/>
      <c r="Y16" s="23"/>
      <c r="Z16" s="25">
        <v>0</v>
      </c>
      <c r="AA16" s="25">
        <v>0</v>
      </c>
      <c r="AB16" s="25">
        <v>0</v>
      </c>
      <c r="AC16" s="22"/>
      <c r="AD16" s="22" t="s">
        <v>266</v>
      </c>
      <c r="AE16" s="22" t="s">
        <v>267</v>
      </c>
      <c r="AF16" s="22" t="s">
        <v>31</v>
      </c>
      <c r="AG16" s="22" t="s">
        <v>42</v>
      </c>
      <c r="AH16" s="22" t="s">
        <v>228</v>
      </c>
      <c r="AI16" s="22" t="s">
        <v>31</v>
      </c>
      <c r="AJ16" s="22"/>
      <c r="AK16" s="22" t="s">
        <v>34</v>
      </c>
      <c r="AL16" s="22" t="s">
        <v>250</v>
      </c>
      <c r="AM16" s="22" t="s">
        <v>231</v>
      </c>
      <c r="AN16" s="22" t="s">
        <v>232</v>
      </c>
      <c r="AO16" s="22" t="s">
        <v>231</v>
      </c>
      <c r="AP16" s="22" t="s">
        <v>232</v>
      </c>
      <c r="AQ16" s="22"/>
      <c r="AR16" s="22"/>
      <c r="AS16" s="22"/>
      <c r="AT16" s="22"/>
      <c r="AU16" s="22"/>
      <c r="AV16" s="22"/>
      <c r="AW16" s="23"/>
      <c r="AX16" s="27"/>
      <c r="AY16" s="25"/>
      <c r="AZ16" s="27"/>
      <c r="BA16" s="25"/>
      <c r="BB16" s="22" t="s">
        <v>251</v>
      </c>
      <c r="BC16" s="22"/>
      <c r="BD16" s="22"/>
      <c r="BE16" s="22"/>
      <c r="BF16" s="23"/>
      <c r="BG16" s="23"/>
      <c r="BH16" s="22" t="s">
        <v>277</v>
      </c>
      <c r="BI16" s="23">
        <v>1</v>
      </c>
      <c r="BJ16" s="23">
        <v>0</v>
      </c>
      <c r="BK16" s="24"/>
      <c r="BL16" s="24"/>
      <c r="BM16" s="22"/>
      <c r="BN16" s="24">
        <v>45701</v>
      </c>
      <c r="BO16" s="24">
        <v>45701</v>
      </c>
      <c r="BP16" s="25">
        <v>29.71</v>
      </c>
      <c r="BQ16" s="24">
        <v>45700</v>
      </c>
    </row>
    <row r="17" spans="1:69" ht="22.5" customHeight="1" x14ac:dyDescent="0.2">
      <c r="A17" s="28" t="s">
        <v>262</v>
      </c>
      <c r="B17" s="28"/>
      <c r="C17" s="28" t="s">
        <v>221</v>
      </c>
      <c r="D17" s="28" t="s">
        <v>222</v>
      </c>
      <c r="E17" s="29">
        <v>401943</v>
      </c>
      <c r="F17" s="29">
        <v>61</v>
      </c>
      <c r="G17" s="29">
        <v>11</v>
      </c>
      <c r="H17" s="29">
        <v>0</v>
      </c>
      <c r="I17" s="30">
        <v>45698</v>
      </c>
      <c r="J17" s="28" t="s">
        <v>263</v>
      </c>
      <c r="K17" s="28" t="s">
        <v>278</v>
      </c>
      <c r="L17" s="31">
        <v>41.36</v>
      </c>
      <c r="M17" s="31">
        <v>2.27</v>
      </c>
      <c r="N17" s="31">
        <v>43.63</v>
      </c>
      <c r="O17" s="28"/>
      <c r="P17" s="32">
        <v>45701</v>
      </c>
      <c r="Q17" s="31">
        <v>43.63</v>
      </c>
      <c r="R17" s="28" t="s">
        <v>279</v>
      </c>
      <c r="S17" s="31">
        <v>0</v>
      </c>
      <c r="T17" s="28"/>
      <c r="U17" s="29"/>
      <c r="V17" s="28"/>
      <c r="W17" s="29"/>
      <c r="X17" s="29"/>
      <c r="Y17" s="29"/>
      <c r="Z17" s="31">
        <v>0</v>
      </c>
      <c r="AA17" s="31">
        <v>0</v>
      </c>
      <c r="AB17" s="31">
        <v>0</v>
      </c>
      <c r="AC17" s="28"/>
      <c r="AD17" s="28" t="s">
        <v>266</v>
      </c>
      <c r="AE17" s="28" t="s">
        <v>267</v>
      </c>
      <c r="AF17" s="28" t="s">
        <v>31</v>
      </c>
      <c r="AG17" s="28" t="s">
        <v>42</v>
      </c>
      <c r="AH17" s="28" t="s">
        <v>228</v>
      </c>
      <c r="AI17" s="28" t="s">
        <v>31</v>
      </c>
      <c r="AJ17" s="28"/>
      <c r="AK17" s="28" t="s">
        <v>34</v>
      </c>
      <c r="AL17" s="28" t="s">
        <v>43</v>
      </c>
      <c r="AM17" s="28" t="s">
        <v>231</v>
      </c>
      <c r="AN17" s="28" t="s">
        <v>232</v>
      </c>
      <c r="AO17" s="28" t="s">
        <v>231</v>
      </c>
      <c r="AP17" s="28" t="s">
        <v>232</v>
      </c>
      <c r="AQ17" s="28"/>
      <c r="AR17" s="28"/>
      <c r="AS17" s="28"/>
      <c r="AT17" s="28"/>
      <c r="AU17" s="28"/>
      <c r="AV17" s="28"/>
      <c r="AW17" s="29"/>
      <c r="AX17" s="33"/>
      <c r="AY17" s="31"/>
      <c r="AZ17" s="33"/>
      <c r="BA17" s="31"/>
      <c r="BB17" s="28" t="s">
        <v>255</v>
      </c>
      <c r="BC17" s="28"/>
      <c r="BD17" s="28"/>
      <c r="BE17" s="28"/>
      <c r="BF17" s="29"/>
      <c r="BG17" s="29"/>
      <c r="BH17" s="28" t="s">
        <v>280</v>
      </c>
      <c r="BI17" s="29">
        <v>1</v>
      </c>
      <c r="BJ17" s="29">
        <v>0</v>
      </c>
      <c r="BK17" s="30"/>
      <c r="BL17" s="30"/>
      <c r="BM17" s="28"/>
      <c r="BN17" s="30">
        <v>45701</v>
      </c>
      <c r="BO17" s="30">
        <v>45701</v>
      </c>
      <c r="BP17" s="31">
        <v>43.63</v>
      </c>
      <c r="BQ17" s="30">
        <v>45700</v>
      </c>
    </row>
    <row r="18" spans="1:69" ht="22.5" hidden="1" customHeight="1" x14ac:dyDescent="0.2">
      <c r="A18" s="22" t="s">
        <v>262</v>
      </c>
      <c r="B18" s="22"/>
      <c r="C18" s="22" t="s">
        <v>221</v>
      </c>
      <c r="D18" s="22" t="s">
        <v>222</v>
      </c>
      <c r="E18" s="23">
        <v>402989</v>
      </c>
      <c r="F18" s="23">
        <v>148</v>
      </c>
      <c r="G18" s="23">
        <v>22</v>
      </c>
      <c r="H18" s="23">
        <v>5</v>
      </c>
      <c r="I18" s="24">
        <v>45705</v>
      </c>
      <c r="J18" s="22" t="s">
        <v>281</v>
      </c>
      <c r="K18" s="22" t="s">
        <v>282</v>
      </c>
      <c r="L18" s="25">
        <v>115.88</v>
      </c>
      <c r="M18" s="25">
        <v>23.18</v>
      </c>
      <c r="N18" s="25">
        <v>139.06</v>
      </c>
      <c r="O18" s="22"/>
      <c r="P18" s="26">
        <v>45720</v>
      </c>
      <c r="Q18" s="25">
        <v>139.06</v>
      </c>
      <c r="R18" s="22"/>
      <c r="S18" s="25">
        <v>0</v>
      </c>
      <c r="T18" s="22"/>
      <c r="U18" s="23"/>
      <c r="V18" s="22"/>
      <c r="W18" s="23"/>
      <c r="X18" s="23"/>
      <c r="Y18" s="23"/>
      <c r="Z18" s="25">
        <v>0</v>
      </c>
      <c r="AA18" s="25">
        <v>0</v>
      </c>
      <c r="AB18" s="25">
        <v>0</v>
      </c>
      <c r="AC18" s="22"/>
      <c r="AD18" s="22" t="s">
        <v>283</v>
      </c>
      <c r="AE18" s="22" t="s">
        <v>284</v>
      </c>
      <c r="AF18" s="22" t="s">
        <v>31</v>
      </c>
      <c r="AG18" s="22" t="s">
        <v>46</v>
      </c>
      <c r="AH18" s="22" t="s">
        <v>228</v>
      </c>
      <c r="AI18" s="22" t="s">
        <v>31</v>
      </c>
      <c r="AJ18" s="22"/>
      <c r="AK18" s="22" t="s">
        <v>285</v>
      </c>
      <c r="AL18" s="22" t="s">
        <v>286</v>
      </c>
      <c r="AM18" s="22" t="s">
        <v>231</v>
      </c>
      <c r="AN18" s="22" t="s">
        <v>232</v>
      </c>
      <c r="AO18" s="22" t="s">
        <v>231</v>
      </c>
      <c r="AP18" s="22" t="s">
        <v>232</v>
      </c>
      <c r="AQ18" s="22"/>
      <c r="AR18" s="22"/>
      <c r="AS18" s="22"/>
      <c r="AT18" s="22"/>
      <c r="AU18" s="22"/>
      <c r="AV18" s="22"/>
      <c r="AW18" s="23"/>
      <c r="AX18" s="27"/>
      <c r="AY18" s="25"/>
      <c r="AZ18" s="27"/>
      <c r="BA18" s="25"/>
      <c r="BB18" s="22"/>
      <c r="BC18" s="22"/>
      <c r="BD18" s="22"/>
      <c r="BE18" s="22"/>
      <c r="BF18" s="23"/>
      <c r="BG18" s="23"/>
      <c r="BH18" s="22"/>
      <c r="BI18" s="23">
        <v>1</v>
      </c>
      <c r="BJ18" s="23">
        <v>0</v>
      </c>
      <c r="BK18" s="24"/>
      <c r="BL18" s="24"/>
      <c r="BM18" s="22"/>
      <c r="BN18" s="24">
        <v>45720</v>
      </c>
      <c r="BO18" s="24">
        <v>45714</v>
      </c>
      <c r="BP18" s="25">
        <v>139.06</v>
      </c>
      <c r="BQ18" s="24">
        <v>45713</v>
      </c>
    </row>
    <row r="19" spans="1:69" ht="22.5" hidden="1" customHeight="1" x14ac:dyDescent="0.2">
      <c r="A19" s="28" t="s">
        <v>262</v>
      </c>
      <c r="B19" s="28"/>
      <c r="C19" s="28" t="s">
        <v>221</v>
      </c>
      <c r="D19" s="28" t="s">
        <v>222</v>
      </c>
      <c r="E19" s="29">
        <v>402990</v>
      </c>
      <c r="F19" s="29">
        <v>148</v>
      </c>
      <c r="G19" s="29">
        <v>22</v>
      </c>
      <c r="H19" s="29">
        <v>6</v>
      </c>
      <c r="I19" s="30">
        <v>45705</v>
      </c>
      <c r="J19" s="28" t="s">
        <v>281</v>
      </c>
      <c r="K19" s="28" t="s">
        <v>287</v>
      </c>
      <c r="L19" s="31">
        <v>338.21</v>
      </c>
      <c r="M19" s="31">
        <v>67.64</v>
      </c>
      <c r="N19" s="31">
        <v>405.85</v>
      </c>
      <c r="O19" s="28"/>
      <c r="P19" s="32">
        <v>45720</v>
      </c>
      <c r="Q19" s="31">
        <v>405.85</v>
      </c>
      <c r="R19" s="28"/>
      <c r="S19" s="31">
        <v>0</v>
      </c>
      <c r="T19" s="28"/>
      <c r="U19" s="29"/>
      <c r="V19" s="28"/>
      <c r="W19" s="29"/>
      <c r="X19" s="29"/>
      <c r="Y19" s="29"/>
      <c r="Z19" s="31">
        <v>0</v>
      </c>
      <c r="AA19" s="31">
        <v>0</v>
      </c>
      <c r="AB19" s="31">
        <v>0</v>
      </c>
      <c r="AC19" s="28"/>
      <c r="AD19" s="28" t="s">
        <v>283</v>
      </c>
      <c r="AE19" s="28" t="s">
        <v>284</v>
      </c>
      <c r="AF19" s="28" t="s">
        <v>31</v>
      </c>
      <c r="AG19" s="28" t="s">
        <v>288</v>
      </c>
      <c r="AH19" s="28" t="s">
        <v>228</v>
      </c>
      <c r="AI19" s="28" t="s">
        <v>31</v>
      </c>
      <c r="AJ19" s="28"/>
      <c r="AK19" s="28" t="s">
        <v>289</v>
      </c>
      <c r="AL19" s="28" t="s">
        <v>31</v>
      </c>
      <c r="AM19" s="28" t="s">
        <v>231</v>
      </c>
      <c r="AN19" s="28" t="s">
        <v>232</v>
      </c>
      <c r="AO19" s="28" t="s">
        <v>231</v>
      </c>
      <c r="AP19" s="28" t="s">
        <v>232</v>
      </c>
      <c r="AQ19" s="28"/>
      <c r="AR19" s="28"/>
      <c r="AS19" s="28"/>
      <c r="AT19" s="28"/>
      <c r="AU19" s="28"/>
      <c r="AV19" s="28"/>
      <c r="AW19" s="29"/>
      <c r="AX19" s="33"/>
      <c r="AY19" s="31"/>
      <c r="AZ19" s="33"/>
      <c r="BA19" s="31"/>
      <c r="BB19" s="28"/>
      <c r="BC19" s="28"/>
      <c r="BD19" s="28"/>
      <c r="BE19" s="28"/>
      <c r="BF19" s="29"/>
      <c r="BG19" s="29"/>
      <c r="BH19" s="28"/>
      <c r="BI19" s="29">
        <v>1</v>
      </c>
      <c r="BJ19" s="29">
        <v>0</v>
      </c>
      <c r="BK19" s="30"/>
      <c r="BL19" s="30"/>
      <c r="BM19" s="28"/>
      <c r="BN19" s="30">
        <v>45720</v>
      </c>
      <c r="BO19" s="30">
        <v>45714</v>
      </c>
      <c r="BP19" s="31">
        <v>405.85</v>
      </c>
      <c r="BQ19" s="30">
        <v>45713</v>
      </c>
    </row>
    <row r="20" spans="1:69" ht="22.5" hidden="1" customHeight="1" x14ac:dyDescent="0.2">
      <c r="A20" s="28" t="s">
        <v>262</v>
      </c>
      <c r="B20" s="28"/>
      <c r="C20" s="28" t="s">
        <v>221</v>
      </c>
      <c r="D20" s="28" t="s">
        <v>222</v>
      </c>
      <c r="E20" s="29">
        <v>403011</v>
      </c>
      <c r="F20" s="29">
        <v>182</v>
      </c>
      <c r="G20" s="29">
        <v>28</v>
      </c>
      <c r="H20" s="29">
        <v>0</v>
      </c>
      <c r="I20" s="30">
        <v>45706</v>
      </c>
      <c r="J20" s="28" t="s">
        <v>290</v>
      </c>
      <c r="K20" s="28" t="s">
        <v>291</v>
      </c>
      <c r="L20" s="31">
        <v>185.57</v>
      </c>
      <c r="M20" s="31">
        <v>13.77</v>
      </c>
      <c r="N20" s="31">
        <v>199.34</v>
      </c>
      <c r="O20" s="28"/>
      <c r="P20" s="32">
        <v>45715</v>
      </c>
      <c r="Q20" s="31">
        <v>199.34</v>
      </c>
      <c r="R20" s="28" t="s">
        <v>292</v>
      </c>
      <c r="S20" s="31">
        <v>0</v>
      </c>
      <c r="T20" s="28"/>
      <c r="U20" s="29"/>
      <c r="V20" s="28"/>
      <c r="W20" s="29"/>
      <c r="X20" s="29"/>
      <c r="Y20" s="29"/>
      <c r="Z20" s="31">
        <v>0</v>
      </c>
      <c r="AA20" s="31">
        <v>0</v>
      </c>
      <c r="AB20" s="31">
        <v>0</v>
      </c>
      <c r="AC20" s="28"/>
      <c r="AD20" s="28" t="s">
        <v>293</v>
      </c>
      <c r="AE20" s="28" t="s">
        <v>294</v>
      </c>
      <c r="AF20" s="28" t="s">
        <v>31</v>
      </c>
      <c r="AG20" s="28" t="s">
        <v>53</v>
      </c>
      <c r="AH20" s="28" t="s">
        <v>228</v>
      </c>
      <c r="AI20" s="28" t="s">
        <v>31</v>
      </c>
      <c r="AJ20" s="28"/>
      <c r="AK20" s="28" t="s">
        <v>239</v>
      </c>
      <c r="AL20" s="28" t="s">
        <v>240</v>
      </c>
      <c r="AM20" s="28" t="s">
        <v>231</v>
      </c>
      <c r="AN20" s="28" t="s">
        <v>232</v>
      </c>
      <c r="AO20" s="28" t="s">
        <v>231</v>
      </c>
      <c r="AP20" s="28" t="s">
        <v>232</v>
      </c>
      <c r="AQ20" s="28"/>
      <c r="AR20" s="28"/>
      <c r="AS20" s="28"/>
      <c r="AT20" s="28"/>
      <c r="AU20" s="28"/>
      <c r="AV20" s="28"/>
      <c r="AW20" s="29"/>
      <c r="AX20" s="33"/>
      <c r="AY20" s="31"/>
      <c r="AZ20" s="33"/>
      <c r="BA20" s="31"/>
      <c r="BB20" s="28" t="s">
        <v>241</v>
      </c>
      <c r="BC20" s="28"/>
      <c r="BD20" s="28"/>
      <c r="BE20" s="28"/>
      <c r="BF20" s="29"/>
      <c r="BG20" s="29"/>
      <c r="BH20" s="28" t="s">
        <v>295</v>
      </c>
      <c r="BI20" s="29">
        <v>1</v>
      </c>
      <c r="BJ20" s="29">
        <v>0</v>
      </c>
      <c r="BK20" s="30"/>
      <c r="BL20" s="30"/>
      <c r="BM20" s="28"/>
      <c r="BN20" s="30">
        <v>45715</v>
      </c>
      <c r="BO20" s="30">
        <v>45714</v>
      </c>
      <c r="BP20" s="31">
        <v>199.34</v>
      </c>
      <c r="BQ20" s="30">
        <v>45713</v>
      </c>
    </row>
    <row r="21" spans="1:69" ht="22.5" hidden="1" customHeight="1" x14ac:dyDescent="0.2">
      <c r="A21" s="28" t="s">
        <v>262</v>
      </c>
      <c r="B21" s="28"/>
      <c r="C21" s="28" t="s">
        <v>221</v>
      </c>
      <c r="D21" s="28" t="s">
        <v>222</v>
      </c>
      <c r="E21" s="29">
        <v>403075</v>
      </c>
      <c r="F21" s="29">
        <v>203</v>
      </c>
      <c r="G21" s="29">
        <v>28</v>
      </c>
      <c r="H21" s="29">
        <v>0</v>
      </c>
      <c r="I21" s="30">
        <v>45706</v>
      </c>
      <c r="J21" s="28" t="s">
        <v>290</v>
      </c>
      <c r="K21" s="28" t="s">
        <v>296</v>
      </c>
      <c r="L21" s="31">
        <v>46.23</v>
      </c>
      <c r="M21" s="31">
        <v>2.54</v>
      </c>
      <c r="N21" s="31">
        <v>48.77</v>
      </c>
      <c r="O21" s="28"/>
      <c r="P21" s="32">
        <v>45715</v>
      </c>
      <c r="Q21" s="31">
        <v>48.77</v>
      </c>
      <c r="R21" s="28" t="s">
        <v>297</v>
      </c>
      <c r="S21" s="31">
        <v>0</v>
      </c>
      <c r="T21" s="28"/>
      <c r="U21" s="29"/>
      <c r="V21" s="28"/>
      <c r="W21" s="29"/>
      <c r="X21" s="29"/>
      <c r="Y21" s="29"/>
      <c r="Z21" s="31">
        <v>0</v>
      </c>
      <c r="AA21" s="31">
        <v>0</v>
      </c>
      <c r="AB21" s="31">
        <v>0</v>
      </c>
      <c r="AC21" s="28"/>
      <c r="AD21" s="28" t="s">
        <v>293</v>
      </c>
      <c r="AE21" s="28" t="s">
        <v>294</v>
      </c>
      <c r="AF21" s="28" t="s">
        <v>31</v>
      </c>
      <c r="AG21" s="28" t="s">
        <v>53</v>
      </c>
      <c r="AH21" s="28" t="s">
        <v>228</v>
      </c>
      <c r="AI21" s="28" t="s">
        <v>31</v>
      </c>
      <c r="AJ21" s="28"/>
      <c r="AK21" s="28" t="s">
        <v>239</v>
      </c>
      <c r="AL21" s="28" t="s">
        <v>240</v>
      </c>
      <c r="AM21" s="28" t="s">
        <v>231</v>
      </c>
      <c r="AN21" s="28" t="s">
        <v>232</v>
      </c>
      <c r="AO21" s="28" t="s">
        <v>231</v>
      </c>
      <c r="AP21" s="28" t="s">
        <v>232</v>
      </c>
      <c r="AQ21" s="28"/>
      <c r="AR21" s="28"/>
      <c r="AS21" s="28"/>
      <c r="AT21" s="28"/>
      <c r="AU21" s="28"/>
      <c r="AV21" s="28"/>
      <c r="AW21" s="29"/>
      <c r="AX21" s="33"/>
      <c r="AY21" s="31"/>
      <c r="AZ21" s="33"/>
      <c r="BA21" s="31"/>
      <c r="BB21" s="28"/>
      <c r="BC21" s="28"/>
      <c r="BD21" s="28"/>
      <c r="BE21" s="28"/>
      <c r="BF21" s="29"/>
      <c r="BG21" s="29"/>
      <c r="BH21" s="28" t="s">
        <v>298</v>
      </c>
      <c r="BI21" s="29">
        <v>1</v>
      </c>
      <c r="BJ21" s="29">
        <v>0</v>
      </c>
      <c r="BK21" s="30"/>
      <c r="BL21" s="30"/>
      <c r="BM21" s="28"/>
      <c r="BN21" s="30">
        <v>45715</v>
      </c>
      <c r="BO21" s="30">
        <v>45714</v>
      </c>
      <c r="BP21" s="31">
        <v>48.77</v>
      </c>
      <c r="BQ21" s="30">
        <v>45713</v>
      </c>
    </row>
    <row r="22" spans="1:69" ht="22.5" hidden="1" customHeight="1" x14ac:dyDescent="0.2">
      <c r="A22" s="28" t="s">
        <v>262</v>
      </c>
      <c r="B22" s="28"/>
      <c r="C22" s="28" t="s">
        <v>221</v>
      </c>
      <c r="D22" s="28" t="s">
        <v>222</v>
      </c>
      <c r="E22" s="29">
        <v>403082</v>
      </c>
      <c r="F22" s="29">
        <v>246</v>
      </c>
      <c r="G22" s="29">
        <v>34</v>
      </c>
      <c r="H22" s="29">
        <v>0</v>
      </c>
      <c r="I22" s="30">
        <v>45712</v>
      </c>
      <c r="J22" s="28" t="s">
        <v>299</v>
      </c>
      <c r="K22" s="28" t="s">
        <v>300</v>
      </c>
      <c r="L22" s="31">
        <v>181.58</v>
      </c>
      <c r="M22" s="31">
        <v>11.46</v>
      </c>
      <c r="N22" s="31">
        <v>193.04</v>
      </c>
      <c r="O22" s="28"/>
      <c r="P22" s="32">
        <v>45714</v>
      </c>
      <c r="Q22" s="31">
        <v>193.04</v>
      </c>
      <c r="R22" s="28" t="s">
        <v>301</v>
      </c>
      <c r="S22" s="31">
        <v>0</v>
      </c>
      <c r="T22" s="28"/>
      <c r="U22" s="29"/>
      <c r="V22" s="28"/>
      <c r="W22" s="29"/>
      <c r="X22" s="29"/>
      <c r="Y22" s="29"/>
      <c r="Z22" s="31">
        <v>0</v>
      </c>
      <c r="AA22" s="31">
        <v>0</v>
      </c>
      <c r="AB22" s="31">
        <v>0</v>
      </c>
      <c r="AC22" s="28"/>
      <c r="AD22" s="28" t="s">
        <v>293</v>
      </c>
      <c r="AE22" s="28" t="s">
        <v>294</v>
      </c>
      <c r="AF22" s="28" t="s">
        <v>31</v>
      </c>
      <c r="AG22" s="28" t="s">
        <v>53</v>
      </c>
      <c r="AH22" s="28" t="s">
        <v>228</v>
      </c>
      <c r="AI22" s="28" t="s">
        <v>31</v>
      </c>
      <c r="AJ22" s="28"/>
      <c r="AK22" s="28" t="s">
        <v>239</v>
      </c>
      <c r="AL22" s="28" t="s">
        <v>240</v>
      </c>
      <c r="AM22" s="28" t="s">
        <v>231</v>
      </c>
      <c r="AN22" s="28" t="s">
        <v>232</v>
      </c>
      <c r="AO22" s="28" t="s">
        <v>231</v>
      </c>
      <c r="AP22" s="28" t="s">
        <v>232</v>
      </c>
      <c r="AQ22" s="28"/>
      <c r="AR22" s="28"/>
      <c r="AS22" s="28"/>
      <c r="AT22" s="28"/>
      <c r="AU22" s="28"/>
      <c r="AV22" s="28"/>
      <c r="AW22" s="29"/>
      <c r="AX22" s="33"/>
      <c r="AY22" s="31"/>
      <c r="AZ22" s="33"/>
      <c r="BA22" s="31"/>
      <c r="BB22" s="28"/>
      <c r="BC22" s="28"/>
      <c r="BD22" s="28"/>
      <c r="BE22" s="28"/>
      <c r="BF22" s="29"/>
      <c r="BG22" s="29"/>
      <c r="BH22" s="28" t="s">
        <v>302</v>
      </c>
      <c r="BI22" s="29">
        <v>1</v>
      </c>
      <c r="BJ22" s="29">
        <v>0</v>
      </c>
      <c r="BK22" s="30"/>
      <c r="BL22" s="30"/>
      <c r="BM22" s="28"/>
      <c r="BN22" s="30">
        <v>45714</v>
      </c>
      <c r="BO22" s="30">
        <v>45713</v>
      </c>
      <c r="BP22" s="31">
        <v>193.04</v>
      </c>
      <c r="BQ22" s="30">
        <v>45712</v>
      </c>
    </row>
    <row r="23" spans="1:69" ht="22.5" hidden="1" customHeight="1" x14ac:dyDescent="0.2">
      <c r="A23" s="22" t="s">
        <v>262</v>
      </c>
      <c r="B23" s="22"/>
      <c r="C23" s="22" t="s">
        <v>221</v>
      </c>
      <c r="D23" s="22" t="s">
        <v>222</v>
      </c>
      <c r="E23" s="23">
        <v>403084</v>
      </c>
      <c r="F23" s="23">
        <v>245</v>
      </c>
      <c r="G23" s="23">
        <v>34</v>
      </c>
      <c r="H23" s="23">
        <v>0</v>
      </c>
      <c r="I23" s="24">
        <v>45712</v>
      </c>
      <c r="J23" s="22" t="s">
        <v>299</v>
      </c>
      <c r="K23" s="22" t="s">
        <v>303</v>
      </c>
      <c r="L23" s="25">
        <v>127.93</v>
      </c>
      <c r="M23" s="25">
        <v>7.04</v>
      </c>
      <c r="N23" s="25">
        <v>134.97</v>
      </c>
      <c r="O23" s="22"/>
      <c r="P23" s="26">
        <v>45714</v>
      </c>
      <c r="Q23" s="25">
        <v>134.97</v>
      </c>
      <c r="R23" s="22" t="s">
        <v>304</v>
      </c>
      <c r="S23" s="25">
        <v>0</v>
      </c>
      <c r="T23" s="22"/>
      <c r="U23" s="23"/>
      <c r="V23" s="22"/>
      <c r="W23" s="23"/>
      <c r="X23" s="23"/>
      <c r="Y23" s="23"/>
      <c r="Z23" s="25">
        <v>0</v>
      </c>
      <c r="AA23" s="25">
        <v>0</v>
      </c>
      <c r="AB23" s="25">
        <v>0</v>
      </c>
      <c r="AC23" s="22"/>
      <c r="AD23" s="22" t="s">
        <v>293</v>
      </c>
      <c r="AE23" s="22" t="s">
        <v>294</v>
      </c>
      <c r="AF23" s="22" t="s">
        <v>31</v>
      </c>
      <c r="AG23" s="22" t="s">
        <v>53</v>
      </c>
      <c r="AH23" s="22" t="s">
        <v>228</v>
      </c>
      <c r="AI23" s="22" t="s">
        <v>31</v>
      </c>
      <c r="AJ23" s="22"/>
      <c r="AK23" s="22" t="s">
        <v>239</v>
      </c>
      <c r="AL23" s="22" t="s">
        <v>240</v>
      </c>
      <c r="AM23" s="22" t="s">
        <v>231</v>
      </c>
      <c r="AN23" s="22" t="s">
        <v>232</v>
      </c>
      <c r="AO23" s="22" t="s">
        <v>231</v>
      </c>
      <c r="AP23" s="22" t="s">
        <v>232</v>
      </c>
      <c r="AQ23" s="22"/>
      <c r="AR23" s="22"/>
      <c r="AS23" s="22"/>
      <c r="AT23" s="22"/>
      <c r="AU23" s="22"/>
      <c r="AV23" s="22"/>
      <c r="AW23" s="23"/>
      <c r="AX23" s="27"/>
      <c r="AY23" s="25"/>
      <c r="AZ23" s="27"/>
      <c r="BA23" s="25"/>
      <c r="BB23" s="22"/>
      <c r="BC23" s="22"/>
      <c r="BD23" s="22"/>
      <c r="BE23" s="22"/>
      <c r="BF23" s="23"/>
      <c r="BG23" s="23"/>
      <c r="BH23" s="22" t="s">
        <v>305</v>
      </c>
      <c r="BI23" s="23">
        <v>1</v>
      </c>
      <c r="BJ23" s="23">
        <v>0</v>
      </c>
      <c r="BK23" s="24"/>
      <c r="BL23" s="24"/>
      <c r="BM23" s="22"/>
      <c r="BN23" s="24">
        <v>45714</v>
      </c>
      <c r="BO23" s="24">
        <v>45713</v>
      </c>
      <c r="BP23" s="25">
        <v>134.97</v>
      </c>
      <c r="BQ23" s="24">
        <v>45712</v>
      </c>
    </row>
    <row r="24" spans="1:69" ht="22.5" customHeight="1" x14ac:dyDescent="0.2">
      <c r="A24" s="28" t="s">
        <v>262</v>
      </c>
      <c r="B24" s="28"/>
      <c r="C24" s="28" t="s">
        <v>221</v>
      </c>
      <c r="D24" s="28" t="s">
        <v>222</v>
      </c>
      <c r="E24" s="29">
        <v>403107</v>
      </c>
      <c r="F24" s="29">
        <v>219</v>
      </c>
      <c r="G24" s="29">
        <v>30</v>
      </c>
      <c r="H24" s="29">
        <v>0</v>
      </c>
      <c r="I24" s="30">
        <v>45709</v>
      </c>
      <c r="J24" s="28" t="s">
        <v>290</v>
      </c>
      <c r="K24" s="28" t="s">
        <v>306</v>
      </c>
      <c r="L24" s="31">
        <v>28.83</v>
      </c>
      <c r="M24" s="31">
        <v>1.59</v>
      </c>
      <c r="N24" s="31">
        <v>30.42</v>
      </c>
      <c r="O24" s="28"/>
      <c r="P24" s="32">
        <v>45714</v>
      </c>
      <c r="Q24" s="31">
        <v>30.42</v>
      </c>
      <c r="R24" s="28" t="s">
        <v>307</v>
      </c>
      <c r="S24" s="31">
        <v>0</v>
      </c>
      <c r="T24" s="28"/>
      <c r="U24" s="29"/>
      <c r="V24" s="28"/>
      <c r="W24" s="29"/>
      <c r="X24" s="29"/>
      <c r="Y24" s="29"/>
      <c r="Z24" s="31">
        <v>0</v>
      </c>
      <c r="AA24" s="31">
        <v>0</v>
      </c>
      <c r="AB24" s="31">
        <v>0</v>
      </c>
      <c r="AC24" s="28"/>
      <c r="AD24" s="28" t="s">
        <v>308</v>
      </c>
      <c r="AE24" s="28" t="s">
        <v>309</v>
      </c>
      <c r="AF24" s="28" t="s">
        <v>31</v>
      </c>
      <c r="AG24" s="28" t="s">
        <v>46</v>
      </c>
      <c r="AH24" s="28" t="s">
        <v>228</v>
      </c>
      <c r="AI24" s="28" t="s">
        <v>31</v>
      </c>
      <c r="AJ24" s="28"/>
      <c r="AK24" s="28" t="s">
        <v>34</v>
      </c>
      <c r="AL24" s="28" t="s">
        <v>47</v>
      </c>
      <c r="AM24" s="28" t="s">
        <v>231</v>
      </c>
      <c r="AN24" s="28" t="s">
        <v>232</v>
      </c>
      <c r="AO24" s="28" t="s">
        <v>231</v>
      </c>
      <c r="AP24" s="28" t="s">
        <v>232</v>
      </c>
      <c r="AQ24" s="28"/>
      <c r="AR24" s="28"/>
      <c r="AS24" s="28"/>
      <c r="AT24" s="28"/>
      <c r="AU24" s="28"/>
      <c r="AV24" s="28"/>
      <c r="AW24" s="29"/>
      <c r="AX24" s="33"/>
      <c r="AY24" s="31"/>
      <c r="AZ24" s="33"/>
      <c r="BA24" s="31"/>
      <c r="BB24" s="28"/>
      <c r="BC24" s="28"/>
      <c r="BD24" s="28"/>
      <c r="BE24" s="28"/>
      <c r="BF24" s="29"/>
      <c r="BG24" s="29"/>
      <c r="BH24" s="28" t="s">
        <v>310</v>
      </c>
      <c r="BI24" s="29">
        <v>1</v>
      </c>
      <c r="BJ24" s="29">
        <v>0</v>
      </c>
      <c r="BK24" s="30"/>
      <c r="BL24" s="30"/>
      <c r="BM24" s="28"/>
      <c r="BN24" s="30">
        <v>45714</v>
      </c>
      <c r="BO24" s="30">
        <v>45713</v>
      </c>
      <c r="BP24" s="31">
        <v>30.42</v>
      </c>
      <c r="BQ24" s="30">
        <v>45712</v>
      </c>
    </row>
    <row r="25" spans="1:69" ht="22.5" customHeight="1" x14ac:dyDescent="0.2">
      <c r="A25" s="22" t="s">
        <v>262</v>
      </c>
      <c r="B25" s="22"/>
      <c r="C25" s="22" t="s">
        <v>221</v>
      </c>
      <c r="D25" s="22" t="s">
        <v>222</v>
      </c>
      <c r="E25" s="23">
        <v>403108</v>
      </c>
      <c r="F25" s="23">
        <v>220</v>
      </c>
      <c r="G25" s="23">
        <v>30</v>
      </c>
      <c r="H25" s="23">
        <v>0</v>
      </c>
      <c r="I25" s="24">
        <v>45709</v>
      </c>
      <c r="J25" s="22" t="s">
        <v>290</v>
      </c>
      <c r="K25" s="22" t="s">
        <v>311</v>
      </c>
      <c r="L25" s="25">
        <v>66.540000000000006</v>
      </c>
      <c r="M25" s="25">
        <v>3.66</v>
      </c>
      <c r="N25" s="25">
        <v>70.2</v>
      </c>
      <c r="O25" s="22"/>
      <c r="P25" s="26">
        <v>45714</v>
      </c>
      <c r="Q25" s="25">
        <v>70.2</v>
      </c>
      <c r="R25" s="22" t="s">
        <v>312</v>
      </c>
      <c r="S25" s="25">
        <v>0</v>
      </c>
      <c r="T25" s="22"/>
      <c r="U25" s="23"/>
      <c r="V25" s="22"/>
      <c r="W25" s="23"/>
      <c r="X25" s="23"/>
      <c r="Y25" s="23"/>
      <c r="Z25" s="25">
        <v>0</v>
      </c>
      <c r="AA25" s="25">
        <v>0</v>
      </c>
      <c r="AB25" s="25">
        <v>0</v>
      </c>
      <c r="AC25" s="22"/>
      <c r="AD25" s="22" t="s">
        <v>308</v>
      </c>
      <c r="AE25" s="22" t="s">
        <v>309</v>
      </c>
      <c r="AF25" s="22" t="s">
        <v>31</v>
      </c>
      <c r="AG25" s="22" t="s">
        <v>42</v>
      </c>
      <c r="AH25" s="22" t="s">
        <v>228</v>
      </c>
      <c r="AI25" s="22" t="s">
        <v>31</v>
      </c>
      <c r="AJ25" s="22"/>
      <c r="AK25" s="22" t="s">
        <v>34</v>
      </c>
      <c r="AL25" s="22" t="s">
        <v>43</v>
      </c>
      <c r="AM25" s="22" t="s">
        <v>231</v>
      </c>
      <c r="AN25" s="22" t="s">
        <v>232</v>
      </c>
      <c r="AO25" s="22" t="s">
        <v>231</v>
      </c>
      <c r="AP25" s="22" t="s">
        <v>232</v>
      </c>
      <c r="AQ25" s="22"/>
      <c r="AR25" s="22"/>
      <c r="AS25" s="22"/>
      <c r="AT25" s="22"/>
      <c r="AU25" s="22"/>
      <c r="AV25" s="22"/>
      <c r="AW25" s="23"/>
      <c r="AX25" s="27"/>
      <c r="AY25" s="25"/>
      <c r="AZ25" s="27"/>
      <c r="BA25" s="25"/>
      <c r="BB25" s="22"/>
      <c r="BC25" s="22"/>
      <c r="BD25" s="22"/>
      <c r="BE25" s="22"/>
      <c r="BF25" s="23"/>
      <c r="BG25" s="23"/>
      <c r="BH25" s="22" t="s">
        <v>313</v>
      </c>
      <c r="BI25" s="23">
        <v>1</v>
      </c>
      <c r="BJ25" s="23">
        <v>0</v>
      </c>
      <c r="BK25" s="24"/>
      <c r="BL25" s="24"/>
      <c r="BM25" s="22"/>
      <c r="BN25" s="24">
        <v>45714</v>
      </c>
      <c r="BO25" s="24">
        <v>45713</v>
      </c>
      <c r="BP25" s="25">
        <v>70.2</v>
      </c>
      <c r="BQ25" s="24">
        <v>45712</v>
      </c>
    </row>
    <row r="26" spans="1:69" ht="22.5" customHeight="1" x14ac:dyDescent="0.2">
      <c r="A26" s="28" t="s">
        <v>262</v>
      </c>
      <c r="B26" s="28"/>
      <c r="C26" s="28" t="s">
        <v>221</v>
      </c>
      <c r="D26" s="28" t="s">
        <v>222</v>
      </c>
      <c r="E26" s="29">
        <v>403109</v>
      </c>
      <c r="F26" s="29">
        <v>221</v>
      </c>
      <c r="G26" s="29">
        <v>30</v>
      </c>
      <c r="H26" s="29">
        <v>0</v>
      </c>
      <c r="I26" s="30">
        <v>45709</v>
      </c>
      <c r="J26" s="28" t="s">
        <v>290</v>
      </c>
      <c r="K26" s="28" t="s">
        <v>314</v>
      </c>
      <c r="L26" s="31">
        <v>53.23</v>
      </c>
      <c r="M26" s="31">
        <v>2.93</v>
      </c>
      <c r="N26" s="31">
        <v>56.16</v>
      </c>
      <c r="O26" s="28"/>
      <c r="P26" s="32">
        <v>45714</v>
      </c>
      <c r="Q26" s="31">
        <v>56.16</v>
      </c>
      <c r="R26" s="28" t="s">
        <v>315</v>
      </c>
      <c r="S26" s="31">
        <v>0</v>
      </c>
      <c r="T26" s="28"/>
      <c r="U26" s="29"/>
      <c r="V26" s="28"/>
      <c r="W26" s="29"/>
      <c r="X26" s="29"/>
      <c r="Y26" s="29"/>
      <c r="Z26" s="31">
        <v>0</v>
      </c>
      <c r="AA26" s="31">
        <v>0</v>
      </c>
      <c r="AB26" s="31">
        <v>0</v>
      </c>
      <c r="AC26" s="28"/>
      <c r="AD26" s="28" t="s">
        <v>308</v>
      </c>
      <c r="AE26" s="28" t="s">
        <v>309</v>
      </c>
      <c r="AF26" s="28" t="s">
        <v>31</v>
      </c>
      <c r="AG26" s="28" t="s">
        <v>42</v>
      </c>
      <c r="AH26" s="28" t="s">
        <v>228</v>
      </c>
      <c r="AI26" s="28" t="s">
        <v>31</v>
      </c>
      <c r="AJ26" s="28"/>
      <c r="AK26" s="28" t="s">
        <v>34</v>
      </c>
      <c r="AL26" s="28" t="s">
        <v>50</v>
      </c>
      <c r="AM26" s="28" t="s">
        <v>231</v>
      </c>
      <c r="AN26" s="28" t="s">
        <v>232</v>
      </c>
      <c r="AO26" s="28" t="s">
        <v>231</v>
      </c>
      <c r="AP26" s="28" t="s">
        <v>232</v>
      </c>
      <c r="AQ26" s="28"/>
      <c r="AR26" s="28"/>
      <c r="AS26" s="28"/>
      <c r="AT26" s="28"/>
      <c r="AU26" s="28"/>
      <c r="AV26" s="28"/>
      <c r="AW26" s="29"/>
      <c r="AX26" s="33"/>
      <c r="AY26" s="31"/>
      <c r="AZ26" s="33"/>
      <c r="BA26" s="31"/>
      <c r="BB26" s="28"/>
      <c r="BC26" s="28"/>
      <c r="BD26" s="28"/>
      <c r="BE26" s="28"/>
      <c r="BF26" s="29"/>
      <c r="BG26" s="29"/>
      <c r="BH26" s="28" t="s">
        <v>316</v>
      </c>
      <c r="BI26" s="29">
        <v>1</v>
      </c>
      <c r="BJ26" s="29">
        <v>0</v>
      </c>
      <c r="BK26" s="30"/>
      <c r="BL26" s="30"/>
      <c r="BM26" s="28"/>
      <c r="BN26" s="30">
        <v>45714</v>
      </c>
      <c r="BO26" s="30">
        <v>45713</v>
      </c>
      <c r="BP26" s="31">
        <v>56.16</v>
      </c>
      <c r="BQ26" s="30">
        <v>45712</v>
      </c>
    </row>
    <row r="27" spans="1:69" ht="22.5" customHeight="1" x14ac:dyDescent="0.2">
      <c r="A27" s="22" t="s">
        <v>262</v>
      </c>
      <c r="B27" s="22"/>
      <c r="C27" s="22" t="s">
        <v>221</v>
      </c>
      <c r="D27" s="22" t="s">
        <v>222</v>
      </c>
      <c r="E27" s="23">
        <v>403110</v>
      </c>
      <c r="F27" s="23">
        <v>222</v>
      </c>
      <c r="G27" s="23">
        <v>30</v>
      </c>
      <c r="H27" s="23">
        <v>0</v>
      </c>
      <c r="I27" s="24">
        <v>45709</v>
      </c>
      <c r="J27" s="22" t="s">
        <v>290</v>
      </c>
      <c r="K27" s="22" t="s">
        <v>317</v>
      </c>
      <c r="L27" s="25">
        <v>53.23</v>
      </c>
      <c r="M27" s="25">
        <v>2.93</v>
      </c>
      <c r="N27" s="25">
        <v>56.16</v>
      </c>
      <c r="O27" s="22"/>
      <c r="P27" s="26">
        <v>45714</v>
      </c>
      <c r="Q27" s="25">
        <v>56.16</v>
      </c>
      <c r="R27" s="22" t="s">
        <v>318</v>
      </c>
      <c r="S27" s="25">
        <v>0</v>
      </c>
      <c r="T27" s="22"/>
      <c r="U27" s="23"/>
      <c r="V27" s="22"/>
      <c r="W27" s="23"/>
      <c r="X27" s="23"/>
      <c r="Y27" s="23"/>
      <c r="Z27" s="25">
        <v>0</v>
      </c>
      <c r="AA27" s="25">
        <v>0</v>
      </c>
      <c r="AB27" s="25">
        <v>0</v>
      </c>
      <c r="AC27" s="22"/>
      <c r="AD27" s="22" t="s">
        <v>308</v>
      </c>
      <c r="AE27" s="22" t="s">
        <v>309</v>
      </c>
      <c r="AF27" s="22" t="s">
        <v>31</v>
      </c>
      <c r="AG27" s="22" t="s">
        <v>42</v>
      </c>
      <c r="AH27" s="22" t="s">
        <v>228</v>
      </c>
      <c r="AI27" s="22" t="s">
        <v>31</v>
      </c>
      <c r="AJ27" s="22"/>
      <c r="AK27" s="22" t="s">
        <v>34</v>
      </c>
      <c r="AL27" s="22" t="s">
        <v>250</v>
      </c>
      <c r="AM27" s="22" t="s">
        <v>231</v>
      </c>
      <c r="AN27" s="22" t="s">
        <v>232</v>
      </c>
      <c r="AO27" s="22" t="s">
        <v>231</v>
      </c>
      <c r="AP27" s="22" t="s">
        <v>232</v>
      </c>
      <c r="AQ27" s="22"/>
      <c r="AR27" s="22"/>
      <c r="AS27" s="22"/>
      <c r="AT27" s="22"/>
      <c r="AU27" s="22"/>
      <c r="AV27" s="22"/>
      <c r="AW27" s="23"/>
      <c r="AX27" s="27"/>
      <c r="AY27" s="25"/>
      <c r="AZ27" s="27"/>
      <c r="BA27" s="25"/>
      <c r="BB27" s="22"/>
      <c r="BC27" s="22"/>
      <c r="BD27" s="22"/>
      <c r="BE27" s="22"/>
      <c r="BF27" s="23"/>
      <c r="BG27" s="23"/>
      <c r="BH27" s="22" t="s">
        <v>319</v>
      </c>
      <c r="BI27" s="23">
        <v>1</v>
      </c>
      <c r="BJ27" s="23">
        <v>0</v>
      </c>
      <c r="BK27" s="24"/>
      <c r="BL27" s="24"/>
      <c r="BM27" s="22"/>
      <c r="BN27" s="24">
        <v>45714</v>
      </c>
      <c r="BO27" s="24">
        <v>45713</v>
      </c>
      <c r="BP27" s="25">
        <v>56.16</v>
      </c>
      <c r="BQ27" s="24">
        <v>45712</v>
      </c>
    </row>
    <row r="28" spans="1:69" ht="22.5" customHeight="1" x14ac:dyDescent="0.2">
      <c r="A28" s="28" t="s">
        <v>262</v>
      </c>
      <c r="B28" s="28"/>
      <c r="C28" s="28" t="s">
        <v>221</v>
      </c>
      <c r="D28" s="28" t="s">
        <v>222</v>
      </c>
      <c r="E28" s="29">
        <v>403111</v>
      </c>
      <c r="F28" s="29">
        <v>223</v>
      </c>
      <c r="G28" s="29">
        <v>30</v>
      </c>
      <c r="H28" s="29">
        <v>0</v>
      </c>
      <c r="I28" s="30">
        <v>45709</v>
      </c>
      <c r="J28" s="28" t="s">
        <v>290</v>
      </c>
      <c r="K28" s="28" t="s">
        <v>320</v>
      </c>
      <c r="L28" s="31">
        <v>1255.3900000000001</v>
      </c>
      <c r="M28" s="31">
        <v>69.05</v>
      </c>
      <c r="N28" s="31">
        <v>1324.44</v>
      </c>
      <c r="O28" s="28"/>
      <c r="P28" s="32">
        <v>45714</v>
      </c>
      <c r="Q28" s="31">
        <v>1324.44</v>
      </c>
      <c r="R28" s="28" t="s">
        <v>321</v>
      </c>
      <c r="S28" s="31">
        <v>0</v>
      </c>
      <c r="T28" s="28"/>
      <c r="U28" s="29"/>
      <c r="V28" s="28"/>
      <c r="W28" s="29"/>
      <c r="X28" s="29"/>
      <c r="Y28" s="29"/>
      <c r="Z28" s="31">
        <v>0</v>
      </c>
      <c r="AA28" s="31">
        <v>0</v>
      </c>
      <c r="AB28" s="31">
        <v>0</v>
      </c>
      <c r="AC28" s="28"/>
      <c r="AD28" s="28" t="s">
        <v>308</v>
      </c>
      <c r="AE28" s="28" t="s">
        <v>309</v>
      </c>
      <c r="AF28" s="28" t="s">
        <v>31</v>
      </c>
      <c r="AG28" s="28" t="s">
        <v>32</v>
      </c>
      <c r="AH28" s="28" t="s">
        <v>228</v>
      </c>
      <c r="AI28" s="28" t="s">
        <v>31</v>
      </c>
      <c r="AJ28" s="28"/>
      <c r="AK28" s="28" t="s">
        <v>34</v>
      </c>
      <c r="AL28" s="28" t="s">
        <v>31</v>
      </c>
      <c r="AM28" s="28" t="s">
        <v>231</v>
      </c>
      <c r="AN28" s="28" t="s">
        <v>232</v>
      </c>
      <c r="AO28" s="28" t="s">
        <v>231</v>
      </c>
      <c r="AP28" s="28" t="s">
        <v>232</v>
      </c>
      <c r="AQ28" s="28"/>
      <c r="AR28" s="28"/>
      <c r="AS28" s="28"/>
      <c r="AT28" s="28"/>
      <c r="AU28" s="28"/>
      <c r="AV28" s="28"/>
      <c r="AW28" s="29"/>
      <c r="AX28" s="33"/>
      <c r="AY28" s="31"/>
      <c r="AZ28" s="33"/>
      <c r="BA28" s="31"/>
      <c r="BB28" s="28"/>
      <c r="BC28" s="28"/>
      <c r="BD28" s="28"/>
      <c r="BE28" s="28"/>
      <c r="BF28" s="29"/>
      <c r="BG28" s="29"/>
      <c r="BH28" s="28" t="s">
        <v>322</v>
      </c>
      <c r="BI28" s="29">
        <v>1</v>
      </c>
      <c r="BJ28" s="29">
        <v>0</v>
      </c>
      <c r="BK28" s="30"/>
      <c r="BL28" s="30"/>
      <c r="BM28" s="28"/>
      <c r="BN28" s="30">
        <v>45714</v>
      </c>
      <c r="BO28" s="30">
        <v>45713</v>
      </c>
      <c r="BP28" s="31">
        <v>1324.44</v>
      </c>
      <c r="BQ28" s="30">
        <v>45712</v>
      </c>
    </row>
    <row r="29" spans="1:69" ht="22.5" hidden="1" customHeight="1" x14ac:dyDescent="0.2">
      <c r="A29" s="22" t="s">
        <v>262</v>
      </c>
      <c r="B29" s="22"/>
      <c r="C29" s="22" t="s">
        <v>221</v>
      </c>
      <c r="D29" s="22" t="s">
        <v>222</v>
      </c>
      <c r="E29" s="23">
        <v>403112</v>
      </c>
      <c r="F29" s="23">
        <v>224</v>
      </c>
      <c r="G29" s="23">
        <v>30</v>
      </c>
      <c r="H29" s="23">
        <v>0</v>
      </c>
      <c r="I29" s="24">
        <v>45709</v>
      </c>
      <c r="J29" s="22" t="s">
        <v>290</v>
      </c>
      <c r="K29" s="22" t="s">
        <v>323</v>
      </c>
      <c r="L29" s="25">
        <v>389.43</v>
      </c>
      <c r="M29" s="25">
        <v>21.42</v>
      </c>
      <c r="N29" s="25">
        <v>410.85</v>
      </c>
      <c r="O29" s="22"/>
      <c r="P29" s="26">
        <v>45714</v>
      </c>
      <c r="Q29" s="25">
        <v>410.85</v>
      </c>
      <c r="R29" s="22" t="s">
        <v>324</v>
      </c>
      <c r="S29" s="25">
        <v>0</v>
      </c>
      <c r="T29" s="22"/>
      <c r="U29" s="23"/>
      <c r="V29" s="22"/>
      <c r="W29" s="23"/>
      <c r="X29" s="23"/>
      <c r="Y29" s="23"/>
      <c r="Z29" s="25">
        <v>0</v>
      </c>
      <c r="AA29" s="25">
        <v>0</v>
      </c>
      <c r="AB29" s="25">
        <v>0</v>
      </c>
      <c r="AC29" s="22"/>
      <c r="AD29" s="22" t="s">
        <v>308</v>
      </c>
      <c r="AE29" s="22" t="s">
        <v>309</v>
      </c>
      <c r="AF29" s="22" t="s">
        <v>31</v>
      </c>
      <c r="AG29" s="22" t="s">
        <v>259</v>
      </c>
      <c r="AH29" s="22" t="s">
        <v>228</v>
      </c>
      <c r="AI29" s="22" t="s">
        <v>31</v>
      </c>
      <c r="AJ29" s="22"/>
      <c r="AK29" s="22" t="s">
        <v>260</v>
      </c>
      <c r="AL29" s="22" t="s">
        <v>31</v>
      </c>
      <c r="AM29" s="22" t="s">
        <v>231</v>
      </c>
      <c r="AN29" s="22" t="s">
        <v>232</v>
      </c>
      <c r="AO29" s="22" t="s">
        <v>231</v>
      </c>
      <c r="AP29" s="22" t="s">
        <v>232</v>
      </c>
      <c r="AQ29" s="22"/>
      <c r="AR29" s="22"/>
      <c r="AS29" s="22"/>
      <c r="AT29" s="22"/>
      <c r="AU29" s="22"/>
      <c r="AV29" s="22"/>
      <c r="AW29" s="23"/>
      <c r="AX29" s="27"/>
      <c r="AY29" s="25"/>
      <c r="AZ29" s="27"/>
      <c r="BA29" s="25"/>
      <c r="BB29" s="22" t="s">
        <v>261</v>
      </c>
      <c r="BC29" s="22"/>
      <c r="BD29" s="22"/>
      <c r="BE29" s="22"/>
      <c r="BF29" s="23"/>
      <c r="BG29" s="23"/>
      <c r="BH29" s="22" t="s">
        <v>325</v>
      </c>
      <c r="BI29" s="23">
        <v>1</v>
      </c>
      <c r="BJ29" s="23">
        <v>0</v>
      </c>
      <c r="BK29" s="24"/>
      <c r="BL29" s="24"/>
      <c r="BM29" s="22"/>
      <c r="BN29" s="24">
        <v>45714</v>
      </c>
      <c r="BO29" s="24">
        <v>45713</v>
      </c>
      <c r="BP29" s="25">
        <v>410.85</v>
      </c>
      <c r="BQ29" s="24">
        <v>45712</v>
      </c>
    </row>
    <row r="30" spans="1:69" ht="22.5" hidden="1" customHeight="1" x14ac:dyDescent="0.2">
      <c r="A30" s="22" t="s">
        <v>262</v>
      </c>
      <c r="B30" s="22"/>
      <c r="C30" s="22" t="s">
        <v>221</v>
      </c>
      <c r="D30" s="22" t="s">
        <v>222</v>
      </c>
      <c r="E30" s="23">
        <v>403165</v>
      </c>
      <c r="F30" s="23">
        <v>271</v>
      </c>
      <c r="G30" s="23">
        <v>39</v>
      </c>
      <c r="H30" s="23">
        <v>0</v>
      </c>
      <c r="I30" s="24">
        <v>45714</v>
      </c>
      <c r="J30" s="22" t="s">
        <v>299</v>
      </c>
      <c r="K30" s="22" t="s">
        <v>326</v>
      </c>
      <c r="L30" s="25">
        <v>92.56</v>
      </c>
      <c r="M30" s="25">
        <v>5.09</v>
      </c>
      <c r="N30" s="25">
        <v>97.65</v>
      </c>
      <c r="O30" s="22"/>
      <c r="P30" s="26">
        <v>45726</v>
      </c>
      <c r="Q30" s="25">
        <v>97.65</v>
      </c>
      <c r="R30" s="22" t="s">
        <v>327</v>
      </c>
      <c r="S30" s="25">
        <v>0</v>
      </c>
      <c r="T30" s="22"/>
      <c r="U30" s="23"/>
      <c r="V30" s="22"/>
      <c r="W30" s="23"/>
      <c r="X30" s="23"/>
      <c r="Y30" s="23"/>
      <c r="Z30" s="25">
        <v>0</v>
      </c>
      <c r="AA30" s="25">
        <v>0</v>
      </c>
      <c r="AB30" s="25">
        <v>0</v>
      </c>
      <c r="AC30" s="22"/>
      <c r="AD30" s="22" t="s">
        <v>308</v>
      </c>
      <c r="AE30" s="22" t="s">
        <v>309</v>
      </c>
      <c r="AF30" s="22" t="s">
        <v>31</v>
      </c>
      <c r="AG30" s="22" t="s">
        <v>227</v>
      </c>
      <c r="AH30" s="22" t="s">
        <v>228</v>
      </c>
      <c r="AI30" s="22" t="s">
        <v>31</v>
      </c>
      <c r="AJ30" s="22"/>
      <c r="AK30" s="22" t="s">
        <v>229</v>
      </c>
      <c r="AL30" s="22" t="s">
        <v>230</v>
      </c>
      <c r="AM30" s="22" t="s">
        <v>231</v>
      </c>
      <c r="AN30" s="22" t="s">
        <v>232</v>
      </c>
      <c r="AO30" s="22" t="s">
        <v>231</v>
      </c>
      <c r="AP30" s="22" t="s">
        <v>232</v>
      </c>
      <c r="AQ30" s="22"/>
      <c r="AR30" s="22"/>
      <c r="AS30" s="22"/>
      <c r="AT30" s="22"/>
      <c r="AU30" s="22"/>
      <c r="AV30" s="22"/>
      <c r="AW30" s="23"/>
      <c r="AX30" s="27"/>
      <c r="AY30" s="25"/>
      <c r="AZ30" s="27"/>
      <c r="BA30" s="25"/>
      <c r="BB30" s="22" t="s">
        <v>233</v>
      </c>
      <c r="BC30" s="22"/>
      <c r="BD30" s="22"/>
      <c r="BE30" s="22"/>
      <c r="BF30" s="23"/>
      <c r="BG30" s="23"/>
      <c r="BH30" s="22" t="s">
        <v>328</v>
      </c>
      <c r="BI30" s="23">
        <v>1</v>
      </c>
      <c r="BJ30" s="23">
        <v>0</v>
      </c>
      <c r="BK30" s="24"/>
      <c r="BL30" s="24"/>
      <c r="BM30" s="22"/>
      <c r="BN30" s="24">
        <v>45726</v>
      </c>
      <c r="BO30" s="24">
        <v>45726</v>
      </c>
      <c r="BP30" s="25">
        <v>97.65</v>
      </c>
      <c r="BQ30" s="24">
        <v>45725</v>
      </c>
    </row>
    <row r="31" spans="1:69" ht="22.5" hidden="1" customHeight="1" x14ac:dyDescent="0.2">
      <c r="A31" s="22" t="s">
        <v>262</v>
      </c>
      <c r="B31" s="22"/>
      <c r="C31" s="22" t="s">
        <v>221</v>
      </c>
      <c r="D31" s="22" t="s">
        <v>222</v>
      </c>
      <c r="E31" s="23">
        <v>403191</v>
      </c>
      <c r="F31" s="23">
        <v>267</v>
      </c>
      <c r="G31" s="23">
        <v>39</v>
      </c>
      <c r="H31" s="23">
        <v>0</v>
      </c>
      <c r="I31" s="24">
        <v>45714</v>
      </c>
      <c r="J31" s="22" t="s">
        <v>299</v>
      </c>
      <c r="K31" s="22" t="s">
        <v>329</v>
      </c>
      <c r="L31" s="25">
        <v>141.16</v>
      </c>
      <c r="M31" s="25">
        <v>8.52</v>
      </c>
      <c r="N31" s="25">
        <v>149.68</v>
      </c>
      <c r="O31" s="22"/>
      <c r="P31" s="26">
        <v>45726</v>
      </c>
      <c r="Q31" s="25">
        <v>149.68</v>
      </c>
      <c r="R31" s="22" t="s">
        <v>330</v>
      </c>
      <c r="S31" s="25">
        <v>0</v>
      </c>
      <c r="T31" s="22"/>
      <c r="U31" s="23"/>
      <c r="V31" s="22"/>
      <c r="W31" s="23"/>
      <c r="X31" s="23"/>
      <c r="Y31" s="23"/>
      <c r="Z31" s="25">
        <v>0</v>
      </c>
      <c r="AA31" s="25">
        <v>0</v>
      </c>
      <c r="AB31" s="25">
        <v>0</v>
      </c>
      <c r="AC31" s="22"/>
      <c r="AD31" s="22" t="s">
        <v>293</v>
      </c>
      <c r="AE31" s="22" t="s">
        <v>294</v>
      </c>
      <c r="AF31" s="22" t="s">
        <v>31</v>
      </c>
      <c r="AG31" s="22" t="s">
        <v>42</v>
      </c>
      <c r="AH31" s="22" t="s">
        <v>228</v>
      </c>
      <c r="AI31" s="22" t="s">
        <v>31</v>
      </c>
      <c r="AJ31" s="22"/>
      <c r="AK31" s="22" t="s">
        <v>235</v>
      </c>
      <c r="AL31" s="22" t="s">
        <v>331</v>
      </c>
      <c r="AM31" s="22" t="s">
        <v>231</v>
      </c>
      <c r="AN31" s="22" t="s">
        <v>232</v>
      </c>
      <c r="AO31" s="22" t="s">
        <v>231</v>
      </c>
      <c r="AP31" s="22" t="s">
        <v>232</v>
      </c>
      <c r="AQ31" s="22"/>
      <c r="AR31" s="22"/>
      <c r="AS31" s="22"/>
      <c r="AT31" s="22"/>
      <c r="AU31" s="22"/>
      <c r="AV31" s="22"/>
      <c r="AW31" s="23"/>
      <c r="AX31" s="27"/>
      <c r="AY31" s="25"/>
      <c r="AZ31" s="27"/>
      <c r="BA31" s="25"/>
      <c r="BB31" s="22"/>
      <c r="BC31" s="22"/>
      <c r="BD31" s="22"/>
      <c r="BE31" s="22"/>
      <c r="BF31" s="23"/>
      <c r="BG31" s="23"/>
      <c r="BH31" s="22" t="s">
        <v>332</v>
      </c>
      <c r="BI31" s="23">
        <v>1</v>
      </c>
      <c r="BJ31" s="23">
        <v>0</v>
      </c>
      <c r="BK31" s="24"/>
      <c r="BL31" s="24"/>
      <c r="BM31" s="22"/>
      <c r="BN31" s="24">
        <v>45726</v>
      </c>
      <c r="BO31" s="24">
        <v>45726</v>
      </c>
      <c r="BP31" s="25">
        <v>149.68</v>
      </c>
      <c r="BQ31" s="24">
        <v>45725</v>
      </c>
    </row>
    <row r="32" spans="1:69" ht="22.5" hidden="1" customHeight="1" x14ac:dyDescent="0.2">
      <c r="A32" s="28" t="s">
        <v>262</v>
      </c>
      <c r="B32" s="28"/>
      <c r="C32" s="28" t="s">
        <v>221</v>
      </c>
      <c r="D32" s="28" t="s">
        <v>222</v>
      </c>
      <c r="E32" s="29">
        <v>403192</v>
      </c>
      <c r="F32" s="29">
        <v>268</v>
      </c>
      <c r="G32" s="29">
        <v>39</v>
      </c>
      <c r="H32" s="29">
        <v>0</v>
      </c>
      <c r="I32" s="30">
        <v>45714</v>
      </c>
      <c r="J32" s="28" t="s">
        <v>299</v>
      </c>
      <c r="K32" s="28" t="s">
        <v>333</v>
      </c>
      <c r="L32" s="31">
        <v>119.61</v>
      </c>
      <c r="M32" s="31">
        <v>7.73</v>
      </c>
      <c r="N32" s="31">
        <v>127.34</v>
      </c>
      <c r="O32" s="28"/>
      <c r="P32" s="32">
        <v>45726</v>
      </c>
      <c r="Q32" s="31">
        <v>127.34</v>
      </c>
      <c r="R32" s="28" t="s">
        <v>334</v>
      </c>
      <c r="S32" s="31">
        <v>0</v>
      </c>
      <c r="T32" s="28"/>
      <c r="U32" s="29"/>
      <c r="V32" s="28"/>
      <c r="W32" s="29"/>
      <c r="X32" s="29"/>
      <c r="Y32" s="29"/>
      <c r="Z32" s="31">
        <v>0</v>
      </c>
      <c r="AA32" s="31">
        <v>0</v>
      </c>
      <c r="AB32" s="31">
        <v>0</v>
      </c>
      <c r="AC32" s="28"/>
      <c r="AD32" s="28" t="s">
        <v>293</v>
      </c>
      <c r="AE32" s="28" t="s">
        <v>294</v>
      </c>
      <c r="AF32" s="28" t="s">
        <v>31</v>
      </c>
      <c r="AG32" s="28" t="s">
        <v>42</v>
      </c>
      <c r="AH32" s="28" t="s">
        <v>228</v>
      </c>
      <c r="AI32" s="28" t="s">
        <v>31</v>
      </c>
      <c r="AJ32" s="28"/>
      <c r="AK32" s="28" t="s">
        <v>235</v>
      </c>
      <c r="AL32" s="28" t="s">
        <v>331</v>
      </c>
      <c r="AM32" s="28" t="s">
        <v>231</v>
      </c>
      <c r="AN32" s="28" t="s">
        <v>232</v>
      </c>
      <c r="AO32" s="28" t="s">
        <v>231</v>
      </c>
      <c r="AP32" s="28" t="s">
        <v>232</v>
      </c>
      <c r="AQ32" s="28"/>
      <c r="AR32" s="28"/>
      <c r="AS32" s="28"/>
      <c r="AT32" s="28"/>
      <c r="AU32" s="28"/>
      <c r="AV32" s="28"/>
      <c r="AW32" s="29"/>
      <c r="AX32" s="33"/>
      <c r="AY32" s="31"/>
      <c r="AZ32" s="33"/>
      <c r="BA32" s="31"/>
      <c r="BB32" s="28"/>
      <c r="BC32" s="28"/>
      <c r="BD32" s="28"/>
      <c r="BE32" s="28"/>
      <c r="BF32" s="29"/>
      <c r="BG32" s="29"/>
      <c r="BH32" s="28" t="s">
        <v>335</v>
      </c>
      <c r="BI32" s="29">
        <v>1</v>
      </c>
      <c r="BJ32" s="29">
        <v>0</v>
      </c>
      <c r="BK32" s="30"/>
      <c r="BL32" s="30"/>
      <c r="BM32" s="28"/>
      <c r="BN32" s="30">
        <v>45726</v>
      </c>
      <c r="BO32" s="30">
        <v>45726</v>
      </c>
      <c r="BP32" s="31">
        <v>127.34</v>
      </c>
      <c r="BQ32" s="30">
        <v>45725</v>
      </c>
    </row>
    <row r="33" spans="1:69" ht="22.5" hidden="1" customHeight="1" x14ac:dyDescent="0.2">
      <c r="A33" s="22" t="s">
        <v>262</v>
      </c>
      <c r="B33" s="22"/>
      <c r="C33" s="22" t="s">
        <v>221</v>
      </c>
      <c r="D33" s="22" t="s">
        <v>222</v>
      </c>
      <c r="E33" s="23">
        <v>403193</v>
      </c>
      <c r="F33" s="23">
        <v>269</v>
      </c>
      <c r="G33" s="23">
        <v>39</v>
      </c>
      <c r="H33" s="23">
        <v>0</v>
      </c>
      <c r="I33" s="24">
        <v>45714</v>
      </c>
      <c r="J33" s="22" t="s">
        <v>299</v>
      </c>
      <c r="K33" s="22" t="s">
        <v>336</v>
      </c>
      <c r="L33" s="25">
        <v>93.69</v>
      </c>
      <c r="M33" s="25">
        <v>6.3</v>
      </c>
      <c r="N33" s="25">
        <v>99.99</v>
      </c>
      <c r="O33" s="22"/>
      <c r="P33" s="26">
        <v>45726</v>
      </c>
      <c r="Q33" s="25">
        <v>99.99</v>
      </c>
      <c r="R33" s="22" t="s">
        <v>337</v>
      </c>
      <c r="S33" s="25">
        <v>0</v>
      </c>
      <c r="T33" s="22"/>
      <c r="U33" s="23"/>
      <c r="V33" s="22"/>
      <c r="W33" s="23"/>
      <c r="X33" s="23"/>
      <c r="Y33" s="23"/>
      <c r="Z33" s="25">
        <v>0</v>
      </c>
      <c r="AA33" s="25">
        <v>0</v>
      </c>
      <c r="AB33" s="25">
        <v>0</v>
      </c>
      <c r="AC33" s="22"/>
      <c r="AD33" s="22" t="s">
        <v>293</v>
      </c>
      <c r="AE33" s="22" t="s">
        <v>294</v>
      </c>
      <c r="AF33" s="22" t="s">
        <v>31</v>
      </c>
      <c r="AG33" s="22" t="s">
        <v>42</v>
      </c>
      <c r="AH33" s="22" t="s">
        <v>228</v>
      </c>
      <c r="AI33" s="22" t="s">
        <v>31</v>
      </c>
      <c r="AJ33" s="22"/>
      <c r="AK33" s="22" t="s">
        <v>235</v>
      </c>
      <c r="AL33" s="22" t="s">
        <v>331</v>
      </c>
      <c r="AM33" s="22" t="s">
        <v>231</v>
      </c>
      <c r="AN33" s="22" t="s">
        <v>232</v>
      </c>
      <c r="AO33" s="22" t="s">
        <v>231</v>
      </c>
      <c r="AP33" s="22" t="s">
        <v>232</v>
      </c>
      <c r="AQ33" s="22"/>
      <c r="AR33" s="22"/>
      <c r="AS33" s="22"/>
      <c r="AT33" s="22"/>
      <c r="AU33" s="22"/>
      <c r="AV33" s="22"/>
      <c r="AW33" s="23"/>
      <c r="AX33" s="27"/>
      <c r="AY33" s="25"/>
      <c r="AZ33" s="27"/>
      <c r="BA33" s="25"/>
      <c r="BB33" s="22"/>
      <c r="BC33" s="22"/>
      <c r="BD33" s="22"/>
      <c r="BE33" s="22"/>
      <c r="BF33" s="23"/>
      <c r="BG33" s="23"/>
      <c r="BH33" s="22" t="s">
        <v>338</v>
      </c>
      <c r="BI33" s="23">
        <v>1</v>
      </c>
      <c r="BJ33" s="23">
        <v>0</v>
      </c>
      <c r="BK33" s="24"/>
      <c r="BL33" s="24"/>
      <c r="BM33" s="22"/>
      <c r="BN33" s="24">
        <v>45726</v>
      </c>
      <c r="BO33" s="24">
        <v>45726</v>
      </c>
      <c r="BP33" s="25">
        <v>99.99</v>
      </c>
      <c r="BQ33" s="24">
        <v>45725</v>
      </c>
    </row>
    <row r="34" spans="1:69" ht="22.5" hidden="1" customHeight="1" x14ac:dyDescent="0.2">
      <c r="A34" s="28" t="s">
        <v>262</v>
      </c>
      <c r="B34" s="28"/>
      <c r="C34" s="28" t="s">
        <v>221</v>
      </c>
      <c r="D34" s="28" t="s">
        <v>222</v>
      </c>
      <c r="E34" s="29">
        <v>403194</v>
      </c>
      <c r="F34" s="29">
        <v>270</v>
      </c>
      <c r="G34" s="29">
        <v>39</v>
      </c>
      <c r="H34" s="29">
        <v>0</v>
      </c>
      <c r="I34" s="30">
        <v>45714</v>
      </c>
      <c r="J34" s="28" t="s">
        <v>299</v>
      </c>
      <c r="K34" s="28" t="s">
        <v>339</v>
      </c>
      <c r="L34" s="31">
        <v>27.47</v>
      </c>
      <c r="M34" s="31">
        <v>2.17</v>
      </c>
      <c r="N34" s="31">
        <v>29.64</v>
      </c>
      <c r="O34" s="28"/>
      <c r="P34" s="32">
        <v>45726</v>
      </c>
      <c r="Q34" s="31">
        <v>29.64</v>
      </c>
      <c r="R34" s="28" t="s">
        <v>340</v>
      </c>
      <c r="S34" s="31">
        <v>0</v>
      </c>
      <c r="T34" s="28"/>
      <c r="U34" s="29"/>
      <c r="V34" s="28"/>
      <c r="W34" s="29"/>
      <c r="X34" s="29"/>
      <c r="Y34" s="29"/>
      <c r="Z34" s="31">
        <v>0</v>
      </c>
      <c r="AA34" s="31">
        <v>0</v>
      </c>
      <c r="AB34" s="31">
        <v>0</v>
      </c>
      <c r="AC34" s="28"/>
      <c r="AD34" s="28" t="s">
        <v>293</v>
      </c>
      <c r="AE34" s="28" t="s">
        <v>294</v>
      </c>
      <c r="AF34" s="28" t="s">
        <v>31</v>
      </c>
      <c r="AG34" s="28" t="s">
        <v>42</v>
      </c>
      <c r="AH34" s="28" t="s">
        <v>228</v>
      </c>
      <c r="AI34" s="28" t="s">
        <v>31</v>
      </c>
      <c r="AJ34" s="28"/>
      <c r="AK34" s="28" t="s">
        <v>235</v>
      </c>
      <c r="AL34" s="28" t="s">
        <v>331</v>
      </c>
      <c r="AM34" s="28" t="s">
        <v>231</v>
      </c>
      <c r="AN34" s="28" t="s">
        <v>232</v>
      </c>
      <c r="AO34" s="28" t="s">
        <v>231</v>
      </c>
      <c r="AP34" s="28" t="s">
        <v>232</v>
      </c>
      <c r="AQ34" s="28"/>
      <c r="AR34" s="28"/>
      <c r="AS34" s="28"/>
      <c r="AT34" s="28"/>
      <c r="AU34" s="28"/>
      <c r="AV34" s="28"/>
      <c r="AW34" s="29"/>
      <c r="AX34" s="33"/>
      <c r="AY34" s="31"/>
      <c r="AZ34" s="33"/>
      <c r="BA34" s="31"/>
      <c r="BB34" s="28"/>
      <c r="BC34" s="28"/>
      <c r="BD34" s="28"/>
      <c r="BE34" s="28"/>
      <c r="BF34" s="29"/>
      <c r="BG34" s="29"/>
      <c r="BH34" s="28" t="s">
        <v>341</v>
      </c>
      <c r="BI34" s="29">
        <v>1</v>
      </c>
      <c r="BJ34" s="29">
        <v>0</v>
      </c>
      <c r="BK34" s="30"/>
      <c r="BL34" s="30"/>
      <c r="BM34" s="28"/>
      <c r="BN34" s="30">
        <v>45726</v>
      </c>
      <c r="BO34" s="30">
        <v>45726</v>
      </c>
      <c r="BP34" s="31">
        <v>29.64</v>
      </c>
      <c r="BQ34" s="30">
        <v>45725</v>
      </c>
    </row>
    <row r="35" spans="1:69" ht="22.5" hidden="1" customHeight="1" x14ac:dyDescent="0.2">
      <c r="A35" s="28" t="s">
        <v>262</v>
      </c>
      <c r="B35" s="28"/>
      <c r="C35" s="28" t="s">
        <v>221</v>
      </c>
      <c r="D35" s="28" t="s">
        <v>222</v>
      </c>
      <c r="E35" s="29">
        <v>403208</v>
      </c>
      <c r="F35" s="29">
        <v>289</v>
      </c>
      <c r="G35" s="29">
        <v>43</v>
      </c>
      <c r="H35" s="29">
        <v>0</v>
      </c>
      <c r="I35" s="30">
        <v>45715</v>
      </c>
      <c r="J35" s="28" t="s">
        <v>290</v>
      </c>
      <c r="K35" s="28" t="s">
        <v>342</v>
      </c>
      <c r="L35" s="31">
        <v>27.42</v>
      </c>
      <c r="M35" s="31">
        <v>1.51</v>
      </c>
      <c r="N35" s="31">
        <v>28.93</v>
      </c>
      <c r="O35" s="28"/>
      <c r="P35" s="32">
        <v>45726</v>
      </c>
      <c r="Q35" s="31">
        <v>28.93</v>
      </c>
      <c r="R35" s="28" t="s">
        <v>343</v>
      </c>
      <c r="S35" s="31">
        <v>0</v>
      </c>
      <c r="T35" s="28"/>
      <c r="U35" s="29"/>
      <c r="V35" s="28"/>
      <c r="W35" s="29"/>
      <c r="X35" s="29"/>
      <c r="Y35" s="29"/>
      <c r="Z35" s="31">
        <v>0</v>
      </c>
      <c r="AA35" s="31">
        <v>0</v>
      </c>
      <c r="AB35" s="31">
        <v>0</v>
      </c>
      <c r="AC35" s="28"/>
      <c r="AD35" s="28" t="s">
        <v>293</v>
      </c>
      <c r="AE35" s="28" t="s">
        <v>294</v>
      </c>
      <c r="AF35" s="28" t="s">
        <v>31</v>
      </c>
      <c r="AG35" s="28" t="s">
        <v>42</v>
      </c>
      <c r="AH35" s="28" t="s">
        <v>228</v>
      </c>
      <c r="AI35" s="28" t="s">
        <v>31</v>
      </c>
      <c r="AJ35" s="28"/>
      <c r="AK35" s="28" t="s">
        <v>235</v>
      </c>
      <c r="AL35" s="28" t="s">
        <v>331</v>
      </c>
      <c r="AM35" s="28" t="s">
        <v>231</v>
      </c>
      <c r="AN35" s="28" t="s">
        <v>232</v>
      </c>
      <c r="AO35" s="28" t="s">
        <v>231</v>
      </c>
      <c r="AP35" s="28" t="s">
        <v>232</v>
      </c>
      <c r="AQ35" s="28"/>
      <c r="AR35" s="28"/>
      <c r="AS35" s="28"/>
      <c r="AT35" s="28"/>
      <c r="AU35" s="28"/>
      <c r="AV35" s="28"/>
      <c r="AW35" s="29"/>
      <c r="AX35" s="33"/>
      <c r="AY35" s="31"/>
      <c r="AZ35" s="33"/>
      <c r="BA35" s="31"/>
      <c r="BB35" s="28"/>
      <c r="BC35" s="28"/>
      <c r="BD35" s="28"/>
      <c r="BE35" s="28"/>
      <c r="BF35" s="29"/>
      <c r="BG35" s="29"/>
      <c r="BH35" s="28" t="s">
        <v>344</v>
      </c>
      <c r="BI35" s="29">
        <v>1</v>
      </c>
      <c r="BJ35" s="29">
        <v>0</v>
      </c>
      <c r="BK35" s="30"/>
      <c r="BL35" s="30"/>
      <c r="BM35" s="28"/>
      <c r="BN35" s="30">
        <v>45726</v>
      </c>
      <c r="BO35" s="30">
        <v>45726</v>
      </c>
      <c r="BP35" s="31">
        <v>28.93</v>
      </c>
      <c r="BQ35" s="30">
        <v>45725</v>
      </c>
    </row>
    <row r="36" spans="1:69" ht="22.5" hidden="1" customHeight="1" x14ac:dyDescent="0.2">
      <c r="A36" s="22" t="s">
        <v>262</v>
      </c>
      <c r="B36" s="22"/>
      <c r="C36" s="22" t="s">
        <v>221</v>
      </c>
      <c r="D36" s="22" t="s">
        <v>222</v>
      </c>
      <c r="E36" s="23">
        <v>403209</v>
      </c>
      <c r="F36" s="23">
        <v>290</v>
      </c>
      <c r="G36" s="23">
        <v>43</v>
      </c>
      <c r="H36" s="23">
        <v>0</v>
      </c>
      <c r="I36" s="24">
        <v>45715</v>
      </c>
      <c r="J36" s="22" t="s">
        <v>290</v>
      </c>
      <c r="K36" s="22" t="s">
        <v>345</v>
      </c>
      <c r="L36" s="25">
        <v>26.15</v>
      </c>
      <c r="M36" s="25">
        <v>1.66</v>
      </c>
      <c r="N36" s="25">
        <v>27.81</v>
      </c>
      <c r="O36" s="22"/>
      <c r="P36" s="26">
        <v>45726</v>
      </c>
      <c r="Q36" s="25">
        <v>27.81</v>
      </c>
      <c r="R36" s="22" t="s">
        <v>346</v>
      </c>
      <c r="S36" s="25">
        <v>0</v>
      </c>
      <c r="T36" s="22"/>
      <c r="U36" s="23"/>
      <c r="V36" s="22"/>
      <c r="W36" s="23"/>
      <c r="X36" s="23"/>
      <c r="Y36" s="23"/>
      <c r="Z36" s="25">
        <v>0</v>
      </c>
      <c r="AA36" s="25">
        <v>0</v>
      </c>
      <c r="AB36" s="25">
        <v>0</v>
      </c>
      <c r="AC36" s="22"/>
      <c r="AD36" s="22" t="s">
        <v>293</v>
      </c>
      <c r="AE36" s="22" t="s">
        <v>294</v>
      </c>
      <c r="AF36" s="22" t="s">
        <v>31</v>
      </c>
      <c r="AG36" s="22" t="s">
        <v>42</v>
      </c>
      <c r="AH36" s="22" t="s">
        <v>228</v>
      </c>
      <c r="AI36" s="22" t="s">
        <v>31</v>
      </c>
      <c r="AJ36" s="22"/>
      <c r="AK36" s="22" t="s">
        <v>235</v>
      </c>
      <c r="AL36" s="22" t="s">
        <v>331</v>
      </c>
      <c r="AM36" s="22" t="s">
        <v>231</v>
      </c>
      <c r="AN36" s="22" t="s">
        <v>232</v>
      </c>
      <c r="AO36" s="22" t="s">
        <v>231</v>
      </c>
      <c r="AP36" s="22" t="s">
        <v>232</v>
      </c>
      <c r="AQ36" s="22"/>
      <c r="AR36" s="22"/>
      <c r="AS36" s="22"/>
      <c r="AT36" s="22"/>
      <c r="AU36" s="22"/>
      <c r="AV36" s="22"/>
      <c r="AW36" s="23"/>
      <c r="AX36" s="27"/>
      <c r="AY36" s="25"/>
      <c r="AZ36" s="27"/>
      <c r="BA36" s="25"/>
      <c r="BB36" s="22"/>
      <c r="BC36" s="22"/>
      <c r="BD36" s="22"/>
      <c r="BE36" s="22"/>
      <c r="BF36" s="23"/>
      <c r="BG36" s="23"/>
      <c r="BH36" s="22" t="s">
        <v>347</v>
      </c>
      <c r="BI36" s="23">
        <v>1</v>
      </c>
      <c r="BJ36" s="23">
        <v>0</v>
      </c>
      <c r="BK36" s="24"/>
      <c r="BL36" s="24"/>
      <c r="BM36" s="22"/>
      <c r="BN36" s="24">
        <v>45726</v>
      </c>
      <c r="BO36" s="24">
        <v>45726</v>
      </c>
      <c r="BP36" s="25">
        <v>27.81</v>
      </c>
      <c r="BQ36" s="24">
        <v>45725</v>
      </c>
    </row>
    <row r="37" spans="1:69" ht="22.5" hidden="1" customHeight="1" x14ac:dyDescent="0.2">
      <c r="A37" s="22" t="s">
        <v>262</v>
      </c>
      <c r="B37" s="22"/>
      <c r="C37" s="22" t="s">
        <v>221</v>
      </c>
      <c r="D37" s="22" t="s">
        <v>222</v>
      </c>
      <c r="E37" s="23">
        <v>403211</v>
      </c>
      <c r="F37" s="23">
        <v>291</v>
      </c>
      <c r="G37" s="23">
        <v>43</v>
      </c>
      <c r="H37" s="23">
        <v>0</v>
      </c>
      <c r="I37" s="24">
        <v>45715</v>
      </c>
      <c r="J37" s="22" t="s">
        <v>290</v>
      </c>
      <c r="K37" s="22" t="s">
        <v>348</v>
      </c>
      <c r="L37" s="25">
        <v>25.48</v>
      </c>
      <c r="M37" s="25">
        <v>3.6</v>
      </c>
      <c r="N37" s="25">
        <v>29.08</v>
      </c>
      <c r="O37" s="22"/>
      <c r="P37" s="26">
        <v>45726</v>
      </c>
      <c r="Q37" s="25">
        <v>29.08</v>
      </c>
      <c r="R37" s="22" t="s">
        <v>349</v>
      </c>
      <c r="S37" s="25">
        <v>0</v>
      </c>
      <c r="T37" s="22"/>
      <c r="U37" s="23"/>
      <c r="V37" s="22"/>
      <c r="W37" s="23"/>
      <c r="X37" s="23"/>
      <c r="Y37" s="23"/>
      <c r="Z37" s="25">
        <v>0</v>
      </c>
      <c r="AA37" s="25">
        <v>0</v>
      </c>
      <c r="AB37" s="25">
        <v>0</v>
      </c>
      <c r="AC37" s="22"/>
      <c r="AD37" s="22" t="s">
        <v>293</v>
      </c>
      <c r="AE37" s="22" t="s">
        <v>294</v>
      </c>
      <c r="AF37" s="22" t="s">
        <v>31</v>
      </c>
      <c r="AG37" s="22" t="s">
        <v>42</v>
      </c>
      <c r="AH37" s="22" t="s">
        <v>228</v>
      </c>
      <c r="AI37" s="22" t="s">
        <v>31</v>
      </c>
      <c r="AJ37" s="22"/>
      <c r="AK37" s="22" t="s">
        <v>235</v>
      </c>
      <c r="AL37" s="22" t="s">
        <v>331</v>
      </c>
      <c r="AM37" s="22" t="s">
        <v>231</v>
      </c>
      <c r="AN37" s="22" t="s">
        <v>232</v>
      </c>
      <c r="AO37" s="22" t="s">
        <v>231</v>
      </c>
      <c r="AP37" s="22" t="s">
        <v>232</v>
      </c>
      <c r="AQ37" s="22"/>
      <c r="AR37" s="22"/>
      <c r="AS37" s="22"/>
      <c r="AT37" s="22"/>
      <c r="AU37" s="22"/>
      <c r="AV37" s="22"/>
      <c r="AW37" s="23"/>
      <c r="AX37" s="27"/>
      <c r="AY37" s="25"/>
      <c r="AZ37" s="27"/>
      <c r="BA37" s="25"/>
      <c r="BB37" s="22"/>
      <c r="BC37" s="22"/>
      <c r="BD37" s="22"/>
      <c r="BE37" s="22"/>
      <c r="BF37" s="23"/>
      <c r="BG37" s="23"/>
      <c r="BH37" s="22" t="s">
        <v>350</v>
      </c>
      <c r="BI37" s="23">
        <v>1</v>
      </c>
      <c r="BJ37" s="23">
        <v>0</v>
      </c>
      <c r="BK37" s="24"/>
      <c r="BL37" s="24"/>
      <c r="BM37" s="22"/>
      <c r="BN37" s="24">
        <v>45726</v>
      </c>
      <c r="BO37" s="24">
        <v>45726</v>
      </c>
      <c r="BP37" s="25">
        <v>29.08</v>
      </c>
      <c r="BQ37" s="24">
        <v>45725</v>
      </c>
    </row>
    <row r="38" spans="1:69" ht="22.5" hidden="1" customHeight="1" x14ac:dyDescent="0.2">
      <c r="A38" s="22" t="s">
        <v>262</v>
      </c>
      <c r="B38" s="22"/>
      <c r="C38" s="22" t="s">
        <v>221</v>
      </c>
      <c r="D38" s="22" t="s">
        <v>222</v>
      </c>
      <c r="E38" s="23">
        <v>403213</v>
      </c>
      <c r="F38" s="23">
        <v>293</v>
      </c>
      <c r="G38" s="23">
        <v>43</v>
      </c>
      <c r="H38" s="23">
        <v>0</v>
      </c>
      <c r="I38" s="24">
        <v>45715</v>
      </c>
      <c r="J38" s="22" t="s">
        <v>290</v>
      </c>
      <c r="K38" s="22" t="s">
        <v>351</v>
      </c>
      <c r="L38" s="25">
        <v>28.44</v>
      </c>
      <c r="M38" s="25">
        <v>1.56</v>
      </c>
      <c r="N38" s="25">
        <v>30</v>
      </c>
      <c r="O38" s="22"/>
      <c r="P38" s="26">
        <v>45726</v>
      </c>
      <c r="Q38" s="25">
        <v>30</v>
      </c>
      <c r="R38" s="22" t="s">
        <v>352</v>
      </c>
      <c r="S38" s="25">
        <v>0</v>
      </c>
      <c r="T38" s="22"/>
      <c r="U38" s="23"/>
      <c r="V38" s="22"/>
      <c r="W38" s="23"/>
      <c r="X38" s="23"/>
      <c r="Y38" s="23"/>
      <c r="Z38" s="25">
        <v>0</v>
      </c>
      <c r="AA38" s="25">
        <v>0</v>
      </c>
      <c r="AB38" s="25">
        <v>0</v>
      </c>
      <c r="AC38" s="22"/>
      <c r="AD38" s="22" t="s">
        <v>293</v>
      </c>
      <c r="AE38" s="22" t="s">
        <v>294</v>
      </c>
      <c r="AF38" s="22" t="s">
        <v>31</v>
      </c>
      <c r="AG38" s="22" t="s">
        <v>42</v>
      </c>
      <c r="AH38" s="22" t="s">
        <v>228</v>
      </c>
      <c r="AI38" s="22" t="s">
        <v>31</v>
      </c>
      <c r="AJ38" s="22"/>
      <c r="AK38" s="22" t="s">
        <v>235</v>
      </c>
      <c r="AL38" s="22" t="s">
        <v>331</v>
      </c>
      <c r="AM38" s="22" t="s">
        <v>231</v>
      </c>
      <c r="AN38" s="22" t="s">
        <v>232</v>
      </c>
      <c r="AO38" s="22" t="s">
        <v>231</v>
      </c>
      <c r="AP38" s="22" t="s">
        <v>232</v>
      </c>
      <c r="AQ38" s="22"/>
      <c r="AR38" s="22"/>
      <c r="AS38" s="22"/>
      <c r="AT38" s="22"/>
      <c r="AU38" s="22"/>
      <c r="AV38" s="22"/>
      <c r="AW38" s="23"/>
      <c r="AX38" s="27"/>
      <c r="AY38" s="25"/>
      <c r="AZ38" s="27"/>
      <c r="BA38" s="25"/>
      <c r="BB38" s="22"/>
      <c r="BC38" s="22"/>
      <c r="BD38" s="22"/>
      <c r="BE38" s="22"/>
      <c r="BF38" s="23"/>
      <c r="BG38" s="23"/>
      <c r="BH38" s="22" t="s">
        <v>353</v>
      </c>
      <c r="BI38" s="23">
        <v>1</v>
      </c>
      <c r="BJ38" s="23">
        <v>0</v>
      </c>
      <c r="BK38" s="24"/>
      <c r="BL38" s="24"/>
      <c r="BM38" s="22"/>
      <c r="BN38" s="24">
        <v>45726</v>
      </c>
      <c r="BO38" s="24">
        <v>45726</v>
      </c>
      <c r="BP38" s="25">
        <v>30</v>
      </c>
      <c r="BQ38" s="24">
        <v>45725</v>
      </c>
    </row>
    <row r="39" spans="1:69" ht="22.5" hidden="1" customHeight="1" x14ac:dyDescent="0.2">
      <c r="A39" s="28" t="s">
        <v>262</v>
      </c>
      <c r="B39" s="28"/>
      <c r="C39" s="28" t="s">
        <v>221</v>
      </c>
      <c r="D39" s="28" t="s">
        <v>222</v>
      </c>
      <c r="E39" s="29">
        <v>403214</v>
      </c>
      <c r="F39" s="29">
        <v>294</v>
      </c>
      <c r="G39" s="29">
        <v>43</v>
      </c>
      <c r="H39" s="29">
        <v>0</v>
      </c>
      <c r="I39" s="30">
        <v>45715</v>
      </c>
      <c r="J39" s="28" t="s">
        <v>290</v>
      </c>
      <c r="K39" s="28" t="s">
        <v>354</v>
      </c>
      <c r="L39" s="31">
        <v>93.43</v>
      </c>
      <c r="M39" s="31">
        <v>5.96</v>
      </c>
      <c r="N39" s="31">
        <v>99.39</v>
      </c>
      <c r="O39" s="28"/>
      <c r="P39" s="32">
        <v>45726</v>
      </c>
      <c r="Q39" s="31">
        <v>99.39</v>
      </c>
      <c r="R39" s="28" t="s">
        <v>355</v>
      </c>
      <c r="S39" s="31">
        <v>0</v>
      </c>
      <c r="T39" s="28"/>
      <c r="U39" s="29"/>
      <c r="V39" s="28"/>
      <c r="W39" s="29"/>
      <c r="X39" s="29"/>
      <c r="Y39" s="29"/>
      <c r="Z39" s="31">
        <v>0</v>
      </c>
      <c r="AA39" s="31">
        <v>0</v>
      </c>
      <c r="AB39" s="31">
        <v>0</v>
      </c>
      <c r="AC39" s="28"/>
      <c r="AD39" s="28" t="s">
        <v>293</v>
      </c>
      <c r="AE39" s="28" t="s">
        <v>294</v>
      </c>
      <c r="AF39" s="28" t="s">
        <v>31</v>
      </c>
      <c r="AG39" s="28" t="s">
        <v>42</v>
      </c>
      <c r="AH39" s="28" t="s">
        <v>228</v>
      </c>
      <c r="AI39" s="28" t="s">
        <v>31</v>
      </c>
      <c r="AJ39" s="28"/>
      <c r="AK39" s="28" t="s">
        <v>235</v>
      </c>
      <c r="AL39" s="28" t="s">
        <v>331</v>
      </c>
      <c r="AM39" s="28" t="s">
        <v>231</v>
      </c>
      <c r="AN39" s="28" t="s">
        <v>232</v>
      </c>
      <c r="AO39" s="28" t="s">
        <v>231</v>
      </c>
      <c r="AP39" s="28" t="s">
        <v>232</v>
      </c>
      <c r="AQ39" s="28"/>
      <c r="AR39" s="28"/>
      <c r="AS39" s="28"/>
      <c r="AT39" s="28"/>
      <c r="AU39" s="28"/>
      <c r="AV39" s="28"/>
      <c r="AW39" s="29"/>
      <c r="AX39" s="33"/>
      <c r="AY39" s="31"/>
      <c r="AZ39" s="33"/>
      <c r="BA39" s="31"/>
      <c r="BB39" s="28"/>
      <c r="BC39" s="28"/>
      <c r="BD39" s="28"/>
      <c r="BE39" s="28"/>
      <c r="BF39" s="29"/>
      <c r="BG39" s="29"/>
      <c r="BH39" s="28" t="s">
        <v>356</v>
      </c>
      <c r="BI39" s="29">
        <v>1</v>
      </c>
      <c r="BJ39" s="29">
        <v>0</v>
      </c>
      <c r="BK39" s="30"/>
      <c r="BL39" s="30"/>
      <c r="BM39" s="28"/>
      <c r="BN39" s="30">
        <v>45726</v>
      </c>
      <c r="BO39" s="30">
        <v>45726</v>
      </c>
      <c r="BP39" s="31">
        <v>99.39</v>
      </c>
      <c r="BQ39" s="30">
        <v>45725</v>
      </c>
    </row>
    <row r="40" spans="1:69" ht="22.5" hidden="1" customHeight="1" x14ac:dyDescent="0.2">
      <c r="A40" s="22" t="s">
        <v>262</v>
      </c>
      <c r="B40" s="22"/>
      <c r="C40" s="22" t="s">
        <v>221</v>
      </c>
      <c r="D40" s="22" t="s">
        <v>222</v>
      </c>
      <c r="E40" s="23">
        <v>403221</v>
      </c>
      <c r="F40" s="23">
        <v>299</v>
      </c>
      <c r="G40" s="23">
        <v>43</v>
      </c>
      <c r="H40" s="23">
        <v>0</v>
      </c>
      <c r="I40" s="24">
        <v>45715</v>
      </c>
      <c r="J40" s="22" t="s">
        <v>290</v>
      </c>
      <c r="K40" s="22" t="s">
        <v>357</v>
      </c>
      <c r="L40" s="25">
        <v>121.05</v>
      </c>
      <c r="M40" s="25">
        <v>24.21</v>
      </c>
      <c r="N40" s="25">
        <v>145.26</v>
      </c>
      <c r="O40" s="22"/>
      <c r="P40" s="26">
        <v>45726</v>
      </c>
      <c r="Q40" s="25">
        <v>145.26</v>
      </c>
      <c r="R40" s="22" t="s">
        <v>358</v>
      </c>
      <c r="S40" s="25">
        <v>0</v>
      </c>
      <c r="T40" s="22"/>
      <c r="U40" s="23"/>
      <c r="V40" s="22"/>
      <c r="W40" s="23"/>
      <c r="X40" s="23"/>
      <c r="Y40" s="23"/>
      <c r="Z40" s="25">
        <v>0</v>
      </c>
      <c r="AA40" s="25">
        <v>0</v>
      </c>
      <c r="AB40" s="25">
        <v>0</v>
      </c>
      <c r="AC40" s="22"/>
      <c r="AD40" s="22" t="s">
        <v>293</v>
      </c>
      <c r="AE40" s="22" t="s">
        <v>294</v>
      </c>
      <c r="AF40" s="22" t="s">
        <v>31</v>
      </c>
      <c r="AG40" s="22" t="s">
        <v>53</v>
      </c>
      <c r="AH40" s="22" t="s">
        <v>228</v>
      </c>
      <c r="AI40" s="22" t="s">
        <v>31</v>
      </c>
      <c r="AJ40" s="22"/>
      <c r="AK40" s="22" t="s">
        <v>239</v>
      </c>
      <c r="AL40" s="22" t="s">
        <v>240</v>
      </c>
      <c r="AM40" s="22" t="s">
        <v>231</v>
      </c>
      <c r="AN40" s="22" t="s">
        <v>232</v>
      </c>
      <c r="AO40" s="22" t="s">
        <v>231</v>
      </c>
      <c r="AP40" s="22" t="s">
        <v>232</v>
      </c>
      <c r="AQ40" s="22"/>
      <c r="AR40" s="22"/>
      <c r="AS40" s="22"/>
      <c r="AT40" s="22"/>
      <c r="AU40" s="22"/>
      <c r="AV40" s="22"/>
      <c r="AW40" s="23"/>
      <c r="AX40" s="27"/>
      <c r="AY40" s="25"/>
      <c r="AZ40" s="27"/>
      <c r="BA40" s="25"/>
      <c r="BB40" s="22"/>
      <c r="BC40" s="22"/>
      <c r="BD40" s="22"/>
      <c r="BE40" s="22"/>
      <c r="BF40" s="23"/>
      <c r="BG40" s="23"/>
      <c r="BH40" s="22" t="s">
        <v>359</v>
      </c>
      <c r="BI40" s="23">
        <v>1</v>
      </c>
      <c r="BJ40" s="23">
        <v>0</v>
      </c>
      <c r="BK40" s="24"/>
      <c r="BL40" s="24"/>
      <c r="BM40" s="22"/>
      <c r="BN40" s="24">
        <v>45726</v>
      </c>
      <c r="BO40" s="24">
        <v>45726</v>
      </c>
      <c r="BP40" s="25">
        <v>145.26</v>
      </c>
      <c r="BQ40" s="24">
        <v>45725</v>
      </c>
    </row>
    <row r="41" spans="1:69" ht="22.5" hidden="1" customHeight="1" x14ac:dyDescent="0.2">
      <c r="A41" s="22" t="s">
        <v>262</v>
      </c>
      <c r="B41" s="22"/>
      <c r="C41" s="22" t="s">
        <v>221</v>
      </c>
      <c r="D41" s="22" t="s">
        <v>222</v>
      </c>
      <c r="E41" s="23">
        <v>403373</v>
      </c>
      <c r="F41" s="23">
        <v>486</v>
      </c>
      <c r="G41" s="23">
        <v>65</v>
      </c>
      <c r="H41" s="23">
        <v>0</v>
      </c>
      <c r="I41" s="24">
        <v>45736</v>
      </c>
      <c r="J41" s="22" t="s">
        <v>290</v>
      </c>
      <c r="K41" s="22" t="s">
        <v>360</v>
      </c>
      <c r="L41" s="25">
        <v>138.07</v>
      </c>
      <c r="M41" s="25">
        <v>10.77</v>
      </c>
      <c r="N41" s="25">
        <v>148.84</v>
      </c>
      <c r="O41" s="22"/>
      <c r="P41" s="26">
        <v>45741</v>
      </c>
      <c r="Q41" s="25">
        <v>148.84</v>
      </c>
      <c r="R41" s="22" t="s">
        <v>361</v>
      </c>
      <c r="S41" s="25">
        <v>0</v>
      </c>
      <c r="T41" s="22"/>
      <c r="U41" s="23"/>
      <c r="V41" s="22"/>
      <c r="W41" s="23"/>
      <c r="X41" s="23"/>
      <c r="Y41" s="23"/>
      <c r="Z41" s="25">
        <v>0</v>
      </c>
      <c r="AA41" s="25">
        <v>0</v>
      </c>
      <c r="AB41" s="25">
        <v>0</v>
      </c>
      <c r="AC41" s="22"/>
      <c r="AD41" s="22" t="s">
        <v>293</v>
      </c>
      <c r="AE41" s="22" t="s">
        <v>294</v>
      </c>
      <c r="AF41" s="22" t="s">
        <v>31</v>
      </c>
      <c r="AG41" s="22" t="s">
        <v>53</v>
      </c>
      <c r="AH41" s="22" t="s">
        <v>228</v>
      </c>
      <c r="AI41" s="22" t="s">
        <v>31</v>
      </c>
      <c r="AJ41" s="22"/>
      <c r="AK41" s="22" t="s">
        <v>239</v>
      </c>
      <c r="AL41" s="22" t="s">
        <v>243</v>
      </c>
      <c r="AM41" s="22" t="s">
        <v>231</v>
      </c>
      <c r="AN41" s="22" t="s">
        <v>232</v>
      </c>
      <c r="AO41" s="22" t="s">
        <v>231</v>
      </c>
      <c r="AP41" s="22" t="s">
        <v>232</v>
      </c>
      <c r="AQ41" s="22"/>
      <c r="AR41" s="22"/>
      <c r="AS41" s="22"/>
      <c r="AT41" s="22"/>
      <c r="AU41" s="22"/>
      <c r="AV41" s="22"/>
      <c r="AW41" s="23"/>
      <c r="AX41" s="27"/>
      <c r="AY41" s="25"/>
      <c r="AZ41" s="27"/>
      <c r="BA41" s="25"/>
      <c r="BB41" s="22"/>
      <c r="BC41" s="22"/>
      <c r="BD41" s="22"/>
      <c r="BE41" s="22"/>
      <c r="BF41" s="23"/>
      <c r="BG41" s="23"/>
      <c r="BH41" s="22" t="s">
        <v>362</v>
      </c>
      <c r="BI41" s="23">
        <v>1</v>
      </c>
      <c r="BJ41" s="23">
        <v>0</v>
      </c>
      <c r="BK41" s="24"/>
      <c r="BL41" s="24"/>
      <c r="BM41" s="22"/>
      <c r="BN41" s="24">
        <v>45740</v>
      </c>
      <c r="BO41" s="24">
        <v>45740</v>
      </c>
      <c r="BP41" s="25">
        <v>148.84</v>
      </c>
      <c r="BQ41" s="24">
        <v>45739</v>
      </c>
    </row>
    <row r="42" spans="1:69" ht="22.5" hidden="1" customHeight="1" x14ac:dyDescent="0.2">
      <c r="A42" s="28" t="s">
        <v>262</v>
      </c>
      <c r="B42" s="28"/>
      <c r="C42" s="28" t="s">
        <v>221</v>
      </c>
      <c r="D42" s="28" t="s">
        <v>222</v>
      </c>
      <c r="E42" s="29">
        <v>404335</v>
      </c>
      <c r="F42" s="29">
        <v>407</v>
      </c>
      <c r="G42" s="29">
        <v>58</v>
      </c>
      <c r="H42" s="29">
        <v>0</v>
      </c>
      <c r="I42" s="30">
        <v>45728</v>
      </c>
      <c r="J42" s="28" t="s">
        <v>263</v>
      </c>
      <c r="K42" s="28" t="s">
        <v>363</v>
      </c>
      <c r="L42" s="31">
        <v>187.08</v>
      </c>
      <c r="M42" s="31">
        <v>11.81</v>
      </c>
      <c r="N42" s="31">
        <v>198.89</v>
      </c>
      <c r="O42" s="28"/>
      <c r="P42" s="32">
        <v>45733</v>
      </c>
      <c r="Q42" s="31">
        <v>198.89</v>
      </c>
      <c r="R42" s="28" t="s">
        <v>364</v>
      </c>
      <c r="S42" s="31">
        <v>0</v>
      </c>
      <c r="T42" s="28"/>
      <c r="U42" s="29"/>
      <c r="V42" s="28"/>
      <c r="W42" s="29"/>
      <c r="X42" s="29"/>
      <c r="Y42" s="29"/>
      <c r="Z42" s="31">
        <v>0</v>
      </c>
      <c r="AA42" s="31">
        <v>0</v>
      </c>
      <c r="AB42" s="31">
        <v>0</v>
      </c>
      <c r="AC42" s="28"/>
      <c r="AD42" s="28" t="s">
        <v>365</v>
      </c>
      <c r="AE42" s="28" t="s">
        <v>366</v>
      </c>
      <c r="AF42" s="28" t="s">
        <v>31</v>
      </c>
      <c r="AG42" s="28" t="s">
        <v>42</v>
      </c>
      <c r="AH42" s="28" t="s">
        <v>228</v>
      </c>
      <c r="AI42" s="28" t="s">
        <v>31</v>
      </c>
      <c r="AJ42" s="28"/>
      <c r="AK42" s="28" t="s">
        <v>235</v>
      </c>
      <c r="AL42" s="28" t="s">
        <v>250</v>
      </c>
      <c r="AM42" s="28" t="s">
        <v>231</v>
      </c>
      <c r="AN42" s="28" t="s">
        <v>232</v>
      </c>
      <c r="AO42" s="28" t="s">
        <v>231</v>
      </c>
      <c r="AP42" s="28" t="s">
        <v>232</v>
      </c>
      <c r="AQ42" s="28"/>
      <c r="AR42" s="28"/>
      <c r="AS42" s="28"/>
      <c r="AT42" s="28"/>
      <c r="AU42" s="28"/>
      <c r="AV42" s="28"/>
      <c r="AW42" s="29"/>
      <c r="AX42" s="33"/>
      <c r="AY42" s="31"/>
      <c r="AZ42" s="33"/>
      <c r="BA42" s="31"/>
      <c r="BB42" s="28"/>
      <c r="BC42" s="28"/>
      <c r="BD42" s="28"/>
      <c r="BE42" s="28"/>
      <c r="BF42" s="29"/>
      <c r="BG42" s="29"/>
      <c r="BH42" s="28" t="s">
        <v>367</v>
      </c>
      <c r="BI42" s="29">
        <v>1</v>
      </c>
      <c r="BJ42" s="29">
        <v>0</v>
      </c>
      <c r="BK42" s="30"/>
      <c r="BL42" s="30"/>
      <c r="BM42" s="28"/>
      <c r="BN42" s="30">
        <v>45733</v>
      </c>
      <c r="BO42" s="30">
        <v>45733</v>
      </c>
      <c r="BP42" s="31">
        <v>198.89</v>
      </c>
      <c r="BQ42" s="30">
        <v>45732</v>
      </c>
    </row>
    <row r="43" spans="1:69" ht="22.5" hidden="1" customHeight="1" x14ac:dyDescent="0.2">
      <c r="A43" s="22" t="s">
        <v>262</v>
      </c>
      <c r="B43" s="22"/>
      <c r="C43" s="22" t="s">
        <v>221</v>
      </c>
      <c r="D43" s="22" t="s">
        <v>222</v>
      </c>
      <c r="E43" s="23">
        <v>404336</v>
      </c>
      <c r="F43" s="23">
        <v>408</v>
      </c>
      <c r="G43" s="23">
        <v>58</v>
      </c>
      <c r="H43" s="23">
        <v>0</v>
      </c>
      <c r="I43" s="24">
        <v>45728</v>
      </c>
      <c r="J43" s="22" t="s">
        <v>263</v>
      </c>
      <c r="K43" s="22" t="s">
        <v>368</v>
      </c>
      <c r="L43" s="25">
        <v>142.55000000000001</v>
      </c>
      <c r="M43" s="25">
        <v>7.84</v>
      </c>
      <c r="N43" s="25">
        <v>150.38999999999999</v>
      </c>
      <c r="O43" s="22"/>
      <c r="P43" s="26">
        <v>45733</v>
      </c>
      <c r="Q43" s="25">
        <v>150.38999999999999</v>
      </c>
      <c r="R43" s="22" t="s">
        <v>369</v>
      </c>
      <c r="S43" s="25">
        <v>0</v>
      </c>
      <c r="T43" s="22"/>
      <c r="U43" s="23"/>
      <c r="V43" s="22"/>
      <c r="W43" s="23"/>
      <c r="X43" s="23"/>
      <c r="Y43" s="23"/>
      <c r="Z43" s="25">
        <v>0</v>
      </c>
      <c r="AA43" s="25">
        <v>0</v>
      </c>
      <c r="AB43" s="25">
        <v>0</v>
      </c>
      <c r="AC43" s="22"/>
      <c r="AD43" s="22" t="s">
        <v>365</v>
      </c>
      <c r="AE43" s="22" t="s">
        <v>366</v>
      </c>
      <c r="AF43" s="22" t="s">
        <v>31</v>
      </c>
      <c r="AG43" s="22" t="s">
        <v>42</v>
      </c>
      <c r="AH43" s="22" t="s">
        <v>228</v>
      </c>
      <c r="AI43" s="22" t="s">
        <v>31</v>
      </c>
      <c r="AJ43" s="22"/>
      <c r="AK43" s="22" t="s">
        <v>235</v>
      </c>
      <c r="AL43" s="22" t="s">
        <v>250</v>
      </c>
      <c r="AM43" s="22" t="s">
        <v>231</v>
      </c>
      <c r="AN43" s="22" t="s">
        <v>232</v>
      </c>
      <c r="AO43" s="22" t="s">
        <v>231</v>
      </c>
      <c r="AP43" s="22" t="s">
        <v>232</v>
      </c>
      <c r="AQ43" s="22"/>
      <c r="AR43" s="22"/>
      <c r="AS43" s="22"/>
      <c r="AT43" s="22"/>
      <c r="AU43" s="22"/>
      <c r="AV43" s="22"/>
      <c r="AW43" s="23"/>
      <c r="AX43" s="27"/>
      <c r="AY43" s="25"/>
      <c r="AZ43" s="27"/>
      <c r="BA43" s="25"/>
      <c r="BB43" s="22"/>
      <c r="BC43" s="22"/>
      <c r="BD43" s="22"/>
      <c r="BE43" s="22"/>
      <c r="BF43" s="23"/>
      <c r="BG43" s="23"/>
      <c r="BH43" s="22" t="s">
        <v>370</v>
      </c>
      <c r="BI43" s="23">
        <v>1</v>
      </c>
      <c r="BJ43" s="23">
        <v>0</v>
      </c>
      <c r="BK43" s="24"/>
      <c r="BL43" s="24"/>
      <c r="BM43" s="22"/>
      <c r="BN43" s="24">
        <v>45733</v>
      </c>
      <c r="BO43" s="24">
        <v>45733</v>
      </c>
      <c r="BP43" s="25">
        <v>150.38999999999999</v>
      </c>
      <c r="BQ43" s="24">
        <v>45732</v>
      </c>
    </row>
    <row r="44" spans="1:69" ht="22.5" hidden="1" customHeight="1" x14ac:dyDescent="0.2">
      <c r="A44" s="28" t="s">
        <v>262</v>
      </c>
      <c r="B44" s="28"/>
      <c r="C44" s="28" t="s">
        <v>221</v>
      </c>
      <c r="D44" s="28" t="s">
        <v>222</v>
      </c>
      <c r="E44" s="29">
        <v>405097</v>
      </c>
      <c r="F44" s="29">
        <v>409</v>
      </c>
      <c r="G44" s="29">
        <v>58</v>
      </c>
      <c r="H44" s="29">
        <v>0</v>
      </c>
      <c r="I44" s="30">
        <v>45728</v>
      </c>
      <c r="J44" s="28" t="s">
        <v>263</v>
      </c>
      <c r="K44" s="28" t="s">
        <v>371</v>
      </c>
      <c r="L44" s="31">
        <v>23.33</v>
      </c>
      <c r="M44" s="31">
        <v>1.28</v>
      </c>
      <c r="N44" s="31">
        <v>24.61</v>
      </c>
      <c r="O44" s="28"/>
      <c r="P44" s="32">
        <v>45733</v>
      </c>
      <c r="Q44" s="31">
        <v>24.61</v>
      </c>
      <c r="R44" s="28" t="s">
        <v>372</v>
      </c>
      <c r="S44" s="31">
        <v>0</v>
      </c>
      <c r="T44" s="28"/>
      <c r="U44" s="29"/>
      <c r="V44" s="28"/>
      <c r="W44" s="29"/>
      <c r="X44" s="29"/>
      <c r="Y44" s="29"/>
      <c r="Z44" s="31">
        <v>0</v>
      </c>
      <c r="AA44" s="31">
        <v>0</v>
      </c>
      <c r="AB44" s="31">
        <v>0</v>
      </c>
      <c r="AC44" s="28"/>
      <c r="AD44" s="28" t="s">
        <v>365</v>
      </c>
      <c r="AE44" s="28" t="s">
        <v>366</v>
      </c>
      <c r="AF44" s="28" t="s">
        <v>31</v>
      </c>
      <c r="AG44" s="28" t="s">
        <v>53</v>
      </c>
      <c r="AH44" s="28" t="s">
        <v>228</v>
      </c>
      <c r="AI44" s="28" t="s">
        <v>31</v>
      </c>
      <c r="AJ44" s="28"/>
      <c r="AK44" s="28" t="s">
        <v>239</v>
      </c>
      <c r="AL44" s="28" t="s">
        <v>240</v>
      </c>
      <c r="AM44" s="28" t="s">
        <v>231</v>
      </c>
      <c r="AN44" s="28" t="s">
        <v>232</v>
      </c>
      <c r="AO44" s="28" t="s">
        <v>231</v>
      </c>
      <c r="AP44" s="28" t="s">
        <v>232</v>
      </c>
      <c r="AQ44" s="28"/>
      <c r="AR44" s="28"/>
      <c r="AS44" s="28"/>
      <c r="AT44" s="28"/>
      <c r="AU44" s="28"/>
      <c r="AV44" s="28"/>
      <c r="AW44" s="29"/>
      <c r="AX44" s="33"/>
      <c r="AY44" s="31"/>
      <c r="AZ44" s="33"/>
      <c r="BA44" s="31"/>
      <c r="BB44" s="28"/>
      <c r="BC44" s="28"/>
      <c r="BD44" s="28"/>
      <c r="BE44" s="28"/>
      <c r="BF44" s="29"/>
      <c r="BG44" s="29"/>
      <c r="BH44" s="28" t="s">
        <v>373</v>
      </c>
      <c r="BI44" s="29">
        <v>1</v>
      </c>
      <c r="BJ44" s="29">
        <v>0</v>
      </c>
      <c r="BK44" s="30"/>
      <c r="BL44" s="30"/>
      <c r="BM44" s="28"/>
      <c r="BN44" s="30">
        <v>45733</v>
      </c>
      <c r="BO44" s="30">
        <v>45733</v>
      </c>
      <c r="BP44" s="31">
        <v>24.61</v>
      </c>
      <c r="BQ44" s="30">
        <v>45732</v>
      </c>
    </row>
    <row r="45" spans="1:69" ht="22.5" hidden="1" customHeight="1" x14ac:dyDescent="0.2">
      <c r="A45" s="28" t="s">
        <v>262</v>
      </c>
      <c r="B45" s="28"/>
      <c r="C45" s="28" t="s">
        <v>221</v>
      </c>
      <c r="D45" s="28" t="s">
        <v>222</v>
      </c>
      <c r="E45" s="29">
        <v>405099</v>
      </c>
      <c r="F45" s="29">
        <v>405</v>
      </c>
      <c r="G45" s="29">
        <v>58</v>
      </c>
      <c r="H45" s="29">
        <v>0</v>
      </c>
      <c r="I45" s="30">
        <v>45728</v>
      </c>
      <c r="J45" s="28" t="s">
        <v>263</v>
      </c>
      <c r="K45" s="28" t="s">
        <v>374</v>
      </c>
      <c r="L45" s="31">
        <v>110.81</v>
      </c>
      <c r="M45" s="31">
        <v>6.48</v>
      </c>
      <c r="N45" s="31">
        <v>117.29</v>
      </c>
      <c r="O45" s="28"/>
      <c r="P45" s="32">
        <v>45733</v>
      </c>
      <c r="Q45" s="31">
        <v>117.29</v>
      </c>
      <c r="R45" s="28" t="s">
        <v>375</v>
      </c>
      <c r="S45" s="31">
        <v>0</v>
      </c>
      <c r="T45" s="28"/>
      <c r="U45" s="29"/>
      <c r="V45" s="28"/>
      <c r="W45" s="29"/>
      <c r="X45" s="29"/>
      <c r="Y45" s="29"/>
      <c r="Z45" s="31">
        <v>0</v>
      </c>
      <c r="AA45" s="31">
        <v>0</v>
      </c>
      <c r="AB45" s="31">
        <v>0</v>
      </c>
      <c r="AC45" s="28"/>
      <c r="AD45" s="28" t="s">
        <v>293</v>
      </c>
      <c r="AE45" s="28" t="s">
        <v>294</v>
      </c>
      <c r="AF45" s="28" t="s">
        <v>31</v>
      </c>
      <c r="AG45" s="28" t="s">
        <v>42</v>
      </c>
      <c r="AH45" s="28" t="s">
        <v>228</v>
      </c>
      <c r="AI45" s="28" t="s">
        <v>31</v>
      </c>
      <c r="AJ45" s="28"/>
      <c r="AK45" s="28" t="s">
        <v>235</v>
      </c>
      <c r="AL45" s="28" t="s">
        <v>331</v>
      </c>
      <c r="AM45" s="28" t="s">
        <v>231</v>
      </c>
      <c r="AN45" s="28" t="s">
        <v>232</v>
      </c>
      <c r="AO45" s="28" t="s">
        <v>231</v>
      </c>
      <c r="AP45" s="28" t="s">
        <v>232</v>
      </c>
      <c r="AQ45" s="28"/>
      <c r="AR45" s="28"/>
      <c r="AS45" s="28"/>
      <c r="AT45" s="28"/>
      <c r="AU45" s="28"/>
      <c r="AV45" s="28"/>
      <c r="AW45" s="29"/>
      <c r="AX45" s="33"/>
      <c r="AY45" s="31"/>
      <c r="AZ45" s="33"/>
      <c r="BA45" s="31"/>
      <c r="BB45" s="28"/>
      <c r="BC45" s="28"/>
      <c r="BD45" s="28"/>
      <c r="BE45" s="28"/>
      <c r="BF45" s="29"/>
      <c r="BG45" s="29"/>
      <c r="BH45" s="28" t="s">
        <v>376</v>
      </c>
      <c r="BI45" s="29">
        <v>1</v>
      </c>
      <c r="BJ45" s="29">
        <v>0</v>
      </c>
      <c r="BK45" s="30"/>
      <c r="BL45" s="30"/>
      <c r="BM45" s="28"/>
      <c r="BN45" s="30">
        <v>45733</v>
      </c>
      <c r="BO45" s="30">
        <v>45733</v>
      </c>
      <c r="BP45" s="31">
        <v>117.29</v>
      </c>
      <c r="BQ45" s="30">
        <v>45732</v>
      </c>
    </row>
    <row r="46" spans="1:69" ht="22.5" hidden="1" customHeight="1" x14ac:dyDescent="0.2">
      <c r="A46" s="22" t="s">
        <v>262</v>
      </c>
      <c r="B46" s="22"/>
      <c r="C46" s="22" t="s">
        <v>221</v>
      </c>
      <c r="D46" s="22" t="s">
        <v>222</v>
      </c>
      <c r="E46" s="23">
        <v>405100</v>
      </c>
      <c r="F46" s="23">
        <v>406</v>
      </c>
      <c r="G46" s="23">
        <v>58</v>
      </c>
      <c r="H46" s="23">
        <v>0</v>
      </c>
      <c r="I46" s="24">
        <v>45728</v>
      </c>
      <c r="J46" s="22" t="s">
        <v>263</v>
      </c>
      <c r="K46" s="22" t="s">
        <v>377</v>
      </c>
      <c r="L46" s="25">
        <v>78.69</v>
      </c>
      <c r="M46" s="25">
        <v>5.05</v>
      </c>
      <c r="N46" s="25">
        <v>83.74</v>
      </c>
      <c r="O46" s="22"/>
      <c r="P46" s="26">
        <v>45733</v>
      </c>
      <c r="Q46" s="25">
        <v>83.74</v>
      </c>
      <c r="R46" s="22" t="s">
        <v>378</v>
      </c>
      <c r="S46" s="25">
        <v>0</v>
      </c>
      <c r="T46" s="22"/>
      <c r="U46" s="23"/>
      <c r="V46" s="22"/>
      <c r="W46" s="23"/>
      <c r="X46" s="23"/>
      <c r="Y46" s="23"/>
      <c r="Z46" s="25">
        <v>0</v>
      </c>
      <c r="AA46" s="25">
        <v>0</v>
      </c>
      <c r="AB46" s="25">
        <v>0</v>
      </c>
      <c r="AC46" s="22"/>
      <c r="AD46" s="22" t="s">
        <v>293</v>
      </c>
      <c r="AE46" s="22" t="s">
        <v>294</v>
      </c>
      <c r="AF46" s="22" t="s">
        <v>31</v>
      </c>
      <c r="AG46" s="22" t="s">
        <v>42</v>
      </c>
      <c r="AH46" s="22" t="s">
        <v>228</v>
      </c>
      <c r="AI46" s="22" t="s">
        <v>31</v>
      </c>
      <c r="AJ46" s="22"/>
      <c r="AK46" s="22" t="s">
        <v>235</v>
      </c>
      <c r="AL46" s="22" t="s">
        <v>331</v>
      </c>
      <c r="AM46" s="22" t="s">
        <v>231</v>
      </c>
      <c r="AN46" s="22" t="s">
        <v>232</v>
      </c>
      <c r="AO46" s="22" t="s">
        <v>231</v>
      </c>
      <c r="AP46" s="22" t="s">
        <v>232</v>
      </c>
      <c r="AQ46" s="22"/>
      <c r="AR46" s="22"/>
      <c r="AS46" s="22"/>
      <c r="AT46" s="22"/>
      <c r="AU46" s="22"/>
      <c r="AV46" s="22"/>
      <c r="AW46" s="23"/>
      <c r="AX46" s="27"/>
      <c r="AY46" s="25"/>
      <c r="AZ46" s="27"/>
      <c r="BA46" s="25"/>
      <c r="BB46" s="22"/>
      <c r="BC46" s="22"/>
      <c r="BD46" s="22"/>
      <c r="BE46" s="22"/>
      <c r="BF46" s="23"/>
      <c r="BG46" s="23"/>
      <c r="BH46" s="22" t="s">
        <v>379</v>
      </c>
      <c r="BI46" s="23">
        <v>1</v>
      </c>
      <c r="BJ46" s="23">
        <v>0</v>
      </c>
      <c r="BK46" s="24"/>
      <c r="BL46" s="24"/>
      <c r="BM46" s="22"/>
      <c r="BN46" s="24">
        <v>45733</v>
      </c>
      <c r="BO46" s="24">
        <v>45733</v>
      </c>
      <c r="BP46" s="25">
        <v>83.74</v>
      </c>
      <c r="BQ46" s="24">
        <v>45732</v>
      </c>
    </row>
    <row r="47" spans="1:69" ht="22.5" hidden="1" customHeight="1" x14ac:dyDescent="0.2">
      <c r="A47" s="22" t="s">
        <v>262</v>
      </c>
      <c r="B47" s="22"/>
      <c r="C47" s="22" t="s">
        <v>221</v>
      </c>
      <c r="D47" s="22" t="s">
        <v>222</v>
      </c>
      <c r="E47" s="23">
        <v>406028</v>
      </c>
      <c r="F47" s="23">
        <v>440</v>
      </c>
      <c r="G47" s="23">
        <v>61</v>
      </c>
      <c r="H47" s="23">
        <v>0</v>
      </c>
      <c r="I47" s="24">
        <v>45736</v>
      </c>
      <c r="J47" s="22" t="s">
        <v>263</v>
      </c>
      <c r="K47" s="22" t="s">
        <v>380</v>
      </c>
      <c r="L47" s="25">
        <v>952.59</v>
      </c>
      <c r="M47" s="25">
        <v>68.59</v>
      </c>
      <c r="N47" s="25">
        <v>1021.18</v>
      </c>
      <c r="O47" s="22"/>
      <c r="P47" s="26">
        <v>45741</v>
      </c>
      <c r="Q47" s="25">
        <v>1021.18</v>
      </c>
      <c r="R47" s="22" t="s">
        <v>381</v>
      </c>
      <c r="S47" s="25">
        <v>0</v>
      </c>
      <c r="T47" s="22"/>
      <c r="U47" s="23"/>
      <c r="V47" s="22"/>
      <c r="W47" s="23"/>
      <c r="X47" s="23"/>
      <c r="Y47" s="23"/>
      <c r="Z47" s="25">
        <v>0</v>
      </c>
      <c r="AA47" s="25">
        <v>0</v>
      </c>
      <c r="AB47" s="25">
        <v>0</v>
      </c>
      <c r="AC47" s="22"/>
      <c r="AD47" s="22" t="s">
        <v>293</v>
      </c>
      <c r="AE47" s="22" t="s">
        <v>294</v>
      </c>
      <c r="AF47" s="22" t="s">
        <v>31</v>
      </c>
      <c r="AG47" s="22" t="s">
        <v>42</v>
      </c>
      <c r="AH47" s="22" t="s">
        <v>228</v>
      </c>
      <c r="AI47" s="22" t="s">
        <v>31</v>
      </c>
      <c r="AJ47" s="22"/>
      <c r="AK47" s="22" t="s">
        <v>235</v>
      </c>
      <c r="AL47" s="22" t="s">
        <v>236</v>
      </c>
      <c r="AM47" s="22" t="s">
        <v>231</v>
      </c>
      <c r="AN47" s="22" t="s">
        <v>232</v>
      </c>
      <c r="AO47" s="22" t="s">
        <v>231</v>
      </c>
      <c r="AP47" s="22" t="s">
        <v>232</v>
      </c>
      <c r="AQ47" s="22"/>
      <c r="AR47" s="22"/>
      <c r="AS47" s="22"/>
      <c r="AT47" s="22"/>
      <c r="AU47" s="22"/>
      <c r="AV47" s="22"/>
      <c r="AW47" s="23"/>
      <c r="AX47" s="27"/>
      <c r="AY47" s="25"/>
      <c r="AZ47" s="27"/>
      <c r="BA47" s="25"/>
      <c r="BB47" s="22" t="s">
        <v>237</v>
      </c>
      <c r="BC47" s="22"/>
      <c r="BD47" s="22"/>
      <c r="BE47" s="22"/>
      <c r="BF47" s="23"/>
      <c r="BG47" s="23"/>
      <c r="BH47" s="22" t="s">
        <v>382</v>
      </c>
      <c r="BI47" s="23">
        <v>1</v>
      </c>
      <c r="BJ47" s="23">
        <v>0</v>
      </c>
      <c r="BK47" s="24"/>
      <c r="BL47" s="24"/>
      <c r="BM47" s="22"/>
      <c r="BN47" s="24">
        <v>45736</v>
      </c>
      <c r="BO47" s="24">
        <v>45736</v>
      </c>
      <c r="BP47" s="25">
        <v>1021.18</v>
      </c>
      <c r="BQ47" s="24">
        <v>45735</v>
      </c>
    </row>
    <row r="48" spans="1:69" ht="22.5" hidden="1" customHeight="1" x14ac:dyDescent="0.2">
      <c r="A48" s="22" t="s">
        <v>262</v>
      </c>
      <c r="B48" s="22"/>
      <c r="C48" s="22" t="s">
        <v>221</v>
      </c>
      <c r="D48" s="22" t="s">
        <v>222</v>
      </c>
      <c r="E48" s="23">
        <v>406071</v>
      </c>
      <c r="F48" s="23">
        <v>490</v>
      </c>
      <c r="G48" s="23">
        <v>65</v>
      </c>
      <c r="H48" s="23">
        <v>0</v>
      </c>
      <c r="I48" s="24">
        <v>45736</v>
      </c>
      <c r="J48" s="22" t="s">
        <v>290</v>
      </c>
      <c r="K48" s="22" t="s">
        <v>383</v>
      </c>
      <c r="L48" s="25">
        <v>174.04</v>
      </c>
      <c r="M48" s="25">
        <v>9.57</v>
      </c>
      <c r="N48" s="25">
        <v>183.61</v>
      </c>
      <c r="O48" s="22"/>
      <c r="P48" s="26">
        <v>45741</v>
      </c>
      <c r="Q48" s="25">
        <v>183.61</v>
      </c>
      <c r="R48" s="22" t="s">
        <v>384</v>
      </c>
      <c r="S48" s="25">
        <v>0</v>
      </c>
      <c r="T48" s="22"/>
      <c r="U48" s="23"/>
      <c r="V48" s="22"/>
      <c r="W48" s="23"/>
      <c r="X48" s="23"/>
      <c r="Y48" s="23"/>
      <c r="Z48" s="25">
        <v>0</v>
      </c>
      <c r="AA48" s="25">
        <v>0</v>
      </c>
      <c r="AB48" s="25">
        <v>0</v>
      </c>
      <c r="AC48" s="22"/>
      <c r="AD48" s="22" t="s">
        <v>293</v>
      </c>
      <c r="AE48" s="22" t="s">
        <v>294</v>
      </c>
      <c r="AF48" s="22" t="s">
        <v>31</v>
      </c>
      <c r="AG48" s="22" t="s">
        <v>42</v>
      </c>
      <c r="AH48" s="22" t="s">
        <v>228</v>
      </c>
      <c r="AI48" s="22" t="s">
        <v>31</v>
      </c>
      <c r="AJ48" s="22"/>
      <c r="AK48" s="22" t="s">
        <v>235</v>
      </c>
      <c r="AL48" s="22" t="s">
        <v>236</v>
      </c>
      <c r="AM48" s="22" t="s">
        <v>231</v>
      </c>
      <c r="AN48" s="22" t="s">
        <v>232</v>
      </c>
      <c r="AO48" s="22" t="s">
        <v>231</v>
      </c>
      <c r="AP48" s="22" t="s">
        <v>232</v>
      </c>
      <c r="AQ48" s="22"/>
      <c r="AR48" s="22"/>
      <c r="AS48" s="22"/>
      <c r="AT48" s="22"/>
      <c r="AU48" s="22"/>
      <c r="AV48" s="22"/>
      <c r="AW48" s="23"/>
      <c r="AX48" s="27"/>
      <c r="AY48" s="25"/>
      <c r="AZ48" s="27"/>
      <c r="BA48" s="25"/>
      <c r="BB48" s="22"/>
      <c r="BC48" s="22"/>
      <c r="BD48" s="22"/>
      <c r="BE48" s="22"/>
      <c r="BF48" s="23"/>
      <c r="BG48" s="23"/>
      <c r="BH48" s="22" t="s">
        <v>385</v>
      </c>
      <c r="BI48" s="23">
        <v>1</v>
      </c>
      <c r="BJ48" s="23">
        <v>0</v>
      </c>
      <c r="BK48" s="24"/>
      <c r="BL48" s="24"/>
      <c r="BM48" s="22"/>
      <c r="BN48" s="24">
        <v>45740</v>
      </c>
      <c r="BO48" s="24">
        <v>45740</v>
      </c>
      <c r="BP48" s="25">
        <v>183.61</v>
      </c>
      <c r="BQ48" s="24">
        <v>45739</v>
      </c>
    </row>
    <row r="49" spans="1:69" ht="22.5" hidden="1" customHeight="1" x14ac:dyDescent="0.2">
      <c r="A49" s="22" t="s">
        <v>262</v>
      </c>
      <c r="B49" s="22"/>
      <c r="C49" s="22" t="s">
        <v>221</v>
      </c>
      <c r="D49" s="22" t="s">
        <v>222</v>
      </c>
      <c r="E49" s="23">
        <v>406085</v>
      </c>
      <c r="F49" s="23">
        <v>504</v>
      </c>
      <c r="G49" s="23">
        <v>65</v>
      </c>
      <c r="H49" s="23">
        <v>0</v>
      </c>
      <c r="I49" s="24">
        <v>45736</v>
      </c>
      <c r="J49" s="22" t="s">
        <v>290</v>
      </c>
      <c r="K49" s="22" t="s">
        <v>386</v>
      </c>
      <c r="L49" s="25">
        <v>28.19</v>
      </c>
      <c r="M49" s="25">
        <v>1.55</v>
      </c>
      <c r="N49" s="25">
        <v>29.74</v>
      </c>
      <c r="O49" s="22"/>
      <c r="P49" s="26">
        <v>45741</v>
      </c>
      <c r="Q49" s="25">
        <v>29.74</v>
      </c>
      <c r="R49" s="22" t="s">
        <v>387</v>
      </c>
      <c r="S49" s="25">
        <v>0</v>
      </c>
      <c r="T49" s="22"/>
      <c r="U49" s="23"/>
      <c r="V49" s="22"/>
      <c r="W49" s="23"/>
      <c r="X49" s="23"/>
      <c r="Y49" s="23"/>
      <c r="Z49" s="25">
        <v>0</v>
      </c>
      <c r="AA49" s="25">
        <v>0</v>
      </c>
      <c r="AB49" s="25">
        <v>0</v>
      </c>
      <c r="AC49" s="22"/>
      <c r="AD49" s="22" t="s">
        <v>293</v>
      </c>
      <c r="AE49" s="22" t="s">
        <v>294</v>
      </c>
      <c r="AF49" s="22" t="s">
        <v>31</v>
      </c>
      <c r="AG49" s="22" t="s">
        <v>42</v>
      </c>
      <c r="AH49" s="22" t="s">
        <v>228</v>
      </c>
      <c r="AI49" s="22" t="s">
        <v>31</v>
      </c>
      <c r="AJ49" s="22"/>
      <c r="AK49" s="22" t="s">
        <v>235</v>
      </c>
      <c r="AL49" s="22" t="s">
        <v>331</v>
      </c>
      <c r="AM49" s="22" t="s">
        <v>231</v>
      </c>
      <c r="AN49" s="22" t="s">
        <v>232</v>
      </c>
      <c r="AO49" s="22" t="s">
        <v>231</v>
      </c>
      <c r="AP49" s="22" t="s">
        <v>232</v>
      </c>
      <c r="AQ49" s="22"/>
      <c r="AR49" s="22"/>
      <c r="AS49" s="22"/>
      <c r="AT49" s="22"/>
      <c r="AU49" s="22"/>
      <c r="AV49" s="22"/>
      <c r="AW49" s="23"/>
      <c r="AX49" s="27"/>
      <c r="AY49" s="25"/>
      <c r="AZ49" s="27"/>
      <c r="BA49" s="25"/>
      <c r="BB49" s="22"/>
      <c r="BC49" s="22"/>
      <c r="BD49" s="22"/>
      <c r="BE49" s="22"/>
      <c r="BF49" s="23"/>
      <c r="BG49" s="23"/>
      <c r="BH49" s="22" t="s">
        <v>388</v>
      </c>
      <c r="BI49" s="23">
        <v>1</v>
      </c>
      <c r="BJ49" s="23">
        <v>0</v>
      </c>
      <c r="BK49" s="24"/>
      <c r="BL49" s="24"/>
      <c r="BM49" s="22"/>
      <c r="BN49" s="24">
        <v>45740</v>
      </c>
      <c r="BO49" s="24">
        <v>45740</v>
      </c>
      <c r="BP49" s="25">
        <v>29.74</v>
      </c>
      <c r="BQ49" s="24">
        <v>45739</v>
      </c>
    </row>
    <row r="50" spans="1:69" ht="22.5" hidden="1" customHeight="1" x14ac:dyDescent="0.2">
      <c r="A50" s="28" t="s">
        <v>262</v>
      </c>
      <c r="B50" s="28"/>
      <c r="C50" s="28" t="s">
        <v>221</v>
      </c>
      <c r="D50" s="28" t="s">
        <v>222</v>
      </c>
      <c r="E50" s="29">
        <v>406086</v>
      </c>
      <c r="F50" s="29">
        <v>505</v>
      </c>
      <c r="G50" s="29">
        <v>65</v>
      </c>
      <c r="H50" s="29">
        <v>0</v>
      </c>
      <c r="I50" s="30">
        <v>45736</v>
      </c>
      <c r="J50" s="28" t="s">
        <v>290</v>
      </c>
      <c r="K50" s="28" t="s">
        <v>389</v>
      </c>
      <c r="L50" s="31">
        <v>27.88</v>
      </c>
      <c r="M50" s="31">
        <v>1.53</v>
      </c>
      <c r="N50" s="31">
        <v>29.41</v>
      </c>
      <c r="O50" s="28"/>
      <c r="P50" s="32">
        <v>45741</v>
      </c>
      <c r="Q50" s="31">
        <v>29.41</v>
      </c>
      <c r="R50" s="28" t="s">
        <v>390</v>
      </c>
      <c r="S50" s="31">
        <v>0</v>
      </c>
      <c r="T50" s="28"/>
      <c r="U50" s="29"/>
      <c r="V50" s="28"/>
      <c r="W50" s="29"/>
      <c r="X50" s="29"/>
      <c r="Y50" s="29"/>
      <c r="Z50" s="31">
        <v>0</v>
      </c>
      <c r="AA50" s="31">
        <v>0</v>
      </c>
      <c r="AB50" s="31">
        <v>0</v>
      </c>
      <c r="AC50" s="28"/>
      <c r="AD50" s="28" t="s">
        <v>293</v>
      </c>
      <c r="AE50" s="28" t="s">
        <v>294</v>
      </c>
      <c r="AF50" s="28" t="s">
        <v>31</v>
      </c>
      <c r="AG50" s="28" t="s">
        <v>42</v>
      </c>
      <c r="AH50" s="28" t="s">
        <v>228</v>
      </c>
      <c r="AI50" s="28" t="s">
        <v>31</v>
      </c>
      <c r="AJ50" s="28"/>
      <c r="AK50" s="28" t="s">
        <v>235</v>
      </c>
      <c r="AL50" s="28" t="s">
        <v>331</v>
      </c>
      <c r="AM50" s="28" t="s">
        <v>231</v>
      </c>
      <c r="AN50" s="28" t="s">
        <v>232</v>
      </c>
      <c r="AO50" s="28" t="s">
        <v>231</v>
      </c>
      <c r="AP50" s="28" t="s">
        <v>232</v>
      </c>
      <c r="AQ50" s="28"/>
      <c r="AR50" s="28"/>
      <c r="AS50" s="28"/>
      <c r="AT50" s="28"/>
      <c r="AU50" s="28"/>
      <c r="AV50" s="28"/>
      <c r="AW50" s="29"/>
      <c r="AX50" s="33"/>
      <c r="AY50" s="31"/>
      <c r="AZ50" s="33"/>
      <c r="BA50" s="31"/>
      <c r="BB50" s="28"/>
      <c r="BC50" s="28"/>
      <c r="BD50" s="28"/>
      <c r="BE50" s="28"/>
      <c r="BF50" s="29"/>
      <c r="BG50" s="29"/>
      <c r="BH50" s="28" t="s">
        <v>391</v>
      </c>
      <c r="BI50" s="29">
        <v>1</v>
      </c>
      <c r="BJ50" s="29">
        <v>0</v>
      </c>
      <c r="BK50" s="30"/>
      <c r="BL50" s="30"/>
      <c r="BM50" s="28"/>
      <c r="BN50" s="30">
        <v>45740</v>
      </c>
      <c r="BO50" s="30">
        <v>45740</v>
      </c>
      <c r="BP50" s="31">
        <v>29.41</v>
      </c>
      <c r="BQ50" s="30">
        <v>45739</v>
      </c>
    </row>
    <row r="51" spans="1:69" ht="22.5" hidden="1" customHeight="1" x14ac:dyDescent="0.2">
      <c r="A51" s="22" t="s">
        <v>262</v>
      </c>
      <c r="B51" s="22"/>
      <c r="C51" s="22" t="s">
        <v>221</v>
      </c>
      <c r="D51" s="22" t="s">
        <v>222</v>
      </c>
      <c r="E51" s="23">
        <v>406087</v>
      </c>
      <c r="F51" s="23">
        <v>506</v>
      </c>
      <c r="G51" s="23">
        <v>65</v>
      </c>
      <c r="H51" s="23">
        <v>0</v>
      </c>
      <c r="I51" s="24">
        <v>45736</v>
      </c>
      <c r="J51" s="22" t="s">
        <v>290</v>
      </c>
      <c r="K51" s="22" t="s">
        <v>392</v>
      </c>
      <c r="L51" s="25">
        <v>126.83</v>
      </c>
      <c r="M51" s="25">
        <v>8.32</v>
      </c>
      <c r="N51" s="25">
        <v>135.15</v>
      </c>
      <c r="O51" s="22"/>
      <c r="P51" s="26">
        <v>45741</v>
      </c>
      <c r="Q51" s="25">
        <v>135.15</v>
      </c>
      <c r="R51" s="22" t="s">
        <v>393</v>
      </c>
      <c r="S51" s="25">
        <v>0</v>
      </c>
      <c r="T51" s="22"/>
      <c r="U51" s="23"/>
      <c r="V51" s="22"/>
      <c r="W51" s="23"/>
      <c r="X51" s="23"/>
      <c r="Y51" s="23"/>
      <c r="Z51" s="25">
        <v>0</v>
      </c>
      <c r="AA51" s="25">
        <v>0</v>
      </c>
      <c r="AB51" s="25">
        <v>0</v>
      </c>
      <c r="AC51" s="22"/>
      <c r="AD51" s="22" t="s">
        <v>293</v>
      </c>
      <c r="AE51" s="22" t="s">
        <v>294</v>
      </c>
      <c r="AF51" s="22" t="s">
        <v>31</v>
      </c>
      <c r="AG51" s="22" t="s">
        <v>42</v>
      </c>
      <c r="AH51" s="22" t="s">
        <v>228</v>
      </c>
      <c r="AI51" s="22" t="s">
        <v>31</v>
      </c>
      <c r="AJ51" s="22"/>
      <c r="AK51" s="22" t="s">
        <v>235</v>
      </c>
      <c r="AL51" s="22" t="s">
        <v>331</v>
      </c>
      <c r="AM51" s="22" t="s">
        <v>231</v>
      </c>
      <c r="AN51" s="22" t="s">
        <v>232</v>
      </c>
      <c r="AO51" s="22" t="s">
        <v>231</v>
      </c>
      <c r="AP51" s="22" t="s">
        <v>232</v>
      </c>
      <c r="AQ51" s="22"/>
      <c r="AR51" s="22"/>
      <c r="AS51" s="22"/>
      <c r="AT51" s="22"/>
      <c r="AU51" s="22"/>
      <c r="AV51" s="22"/>
      <c r="AW51" s="23"/>
      <c r="AX51" s="27"/>
      <c r="AY51" s="25"/>
      <c r="AZ51" s="27"/>
      <c r="BA51" s="25"/>
      <c r="BB51" s="22"/>
      <c r="BC51" s="22"/>
      <c r="BD51" s="22"/>
      <c r="BE51" s="22"/>
      <c r="BF51" s="23"/>
      <c r="BG51" s="23"/>
      <c r="BH51" s="22" t="s">
        <v>394</v>
      </c>
      <c r="BI51" s="23">
        <v>1</v>
      </c>
      <c r="BJ51" s="23">
        <v>0</v>
      </c>
      <c r="BK51" s="24"/>
      <c r="BL51" s="24"/>
      <c r="BM51" s="22"/>
      <c r="BN51" s="24">
        <v>45740</v>
      </c>
      <c r="BO51" s="24">
        <v>45740</v>
      </c>
      <c r="BP51" s="25">
        <v>135.15</v>
      </c>
      <c r="BQ51" s="24">
        <v>45739</v>
      </c>
    </row>
    <row r="52" spans="1:69" ht="22.5" hidden="1" customHeight="1" x14ac:dyDescent="0.2">
      <c r="A52" s="22" t="s">
        <v>262</v>
      </c>
      <c r="B52" s="22"/>
      <c r="C52" s="22" t="s">
        <v>221</v>
      </c>
      <c r="D52" s="22" t="s">
        <v>222</v>
      </c>
      <c r="E52" s="23">
        <v>407974</v>
      </c>
      <c r="F52" s="23">
        <v>746</v>
      </c>
      <c r="G52" s="23">
        <v>99</v>
      </c>
      <c r="H52" s="23">
        <v>0</v>
      </c>
      <c r="I52" s="24">
        <v>45765</v>
      </c>
      <c r="J52" s="22" t="s">
        <v>395</v>
      </c>
      <c r="K52" s="22" t="s">
        <v>396</v>
      </c>
      <c r="L52" s="25">
        <v>79.540000000000006</v>
      </c>
      <c r="M52" s="25">
        <v>6.01</v>
      </c>
      <c r="N52" s="25">
        <v>85.55</v>
      </c>
      <c r="O52" s="22"/>
      <c r="P52" s="26">
        <v>45782</v>
      </c>
      <c r="Q52" s="25">
        <v>85.55</v>
      </c>
      <c r="R52" s="22" t="s">
        <v>397</v>
      </c>
      <c r="S52" s="25">
        <v>0</v>
      </c>
      <c r="T52" s="22"/>
      <c r="U52" s="23"/>
      <c r="V52" s="22"/>
      <c r="W52" s="23"/>
      <c r="X52" s="23"/>
      <c r="Y52" s="23"/>
      <c r="Z52" s="25">
        <v>0</v>
      </c>
      <c r="AA52" s="25">
        <v>0</v>
      </c>
      <c r="AB52" s="25">
        <v>0</v>
      </c>
      <c r="AC52" s="22"/>
      <c r="AD52" s="22" t="s">
        <v>365</v>
      </c>
      <c r="AE52" s="22" t="s">
        <v>366</v>
      </c>
      <c r="AF52" s="22" t="s">
        <v>31</v>
      </c>
      <c r="AG52" s="22" t="s">
        <v>46</v>
      </c>
      <c r="AH52" s="22" t="s">
        <v>228</v>
      </c>
      <c r="AI52" s="22" t="s">
        <v>31</v>
      </c>
      <c r="AJ52" s="22"/>
      <c r="AK52" s="22" t="s">
        <v>289</v>
      </c>
      <c r="AL52" s="22" t="s">
        <v>31</v>
      </c>
      <c r="AM52" s="22" t="s">
        <v>231</v>
      </c>
      <c r="AN52" s="22" t="s">
        <v>232</v>
      </c>
      <c r="AO52" s="22" t="s">
        <v>231</v>
      </c>
      <c r="AP52" s="22" t="s">
        <v>232</v>
      </c>
      <c r="AQ52" s="22"/>
      <c r="AR52" s="22"/>
      <c r="AS52" s="22"/>
      <c r="AT52" s="22"/>
      <c r="AU52" s="22"/>
      <c r="AV52" s="22"/>
      <c r="AW52" s="23"/>
      <c r="AX52" s="27"/>
      <c r="AY52" s="25"/>
      <c r="AZ52" s="27"/>
      <c r="BA52" s="25"/>
      <c r="BB52" s="22"/>
      <c r="BC52" s="22"/>
      <c r="BD52" s="22"/>
      <c r="BE52" s="22"/>
      <c r="BF52" s="23"/>
      <c r="BG52" s="23"/>
      <c r="BH52" s="22" t="s">
        <v>398</v>
      </c>
      <c r="BI52" s="23">
        <v>1</v>
      </c>
      <c r="BJ52" s="23">
        <v>0</v>
      </c>
      <c r="BK52" s="24"/>
      <c r="BL52" s="24"/>
      <c r="BM52" s="22"/>
      <c r="BN52" s="24">
        <v>45782</v>
      </c>
      <c r="BO52" s="24">
        <v>45782</v>
      </c>
      <c r="BP52" s="25">
        <v>85.55</v>
      </c>
      <c r="BQ52" s="24">
        <v>45781</v>
      </c>
    </row>
    <row r="53" spans="1:69" ht="22.5" hidden="1" customHeight="1" x14ac:dyDescent="0.2">
      <c r="A53" s="28" t="s">
        <v>262</v>
      </c>
      <c r="B53" s="28"/>
      <c r="C53" s="28" t="s">
        <v>221</v>
      </c>
      <c r="D53" s="28" t="s">
        <v>222</v>
      </c>
      <c r="E53" s="29">
        <v>407975</v>
      </c>
      <c r="F53" s="29">
        <v>747</v>
      </c>
      <c r="G53" s="29">
        <v>99</v>
      </c>
      <c r="H53" s="29">
        <v>0</v>
      </c>
      <c r="I53" s="30">
        <v>45765</v>
      </c>
      <c r="J53" s="28" t="s">
        <v>395</v>
      </c>
      <c r="K53" s="28" t="s">
        <v>399</v>
      </c>
      <c r="L53" s="31">
        <v>235.32</v>
      </c>
      <c r="M53" s="31">
        <v>13.62</v>
      </c>
      <c r="N53" s="31">
        <v>248.94</v>
      </c>
      <c r="O53" s="28"/>
      <c r="P53" s="32">
        <v>45782</v>
      </c>
      <c r="Q53" s="31">
        <v>248.94</v>
      </c>
      <c r="R53" s="28" t="s">
        <v>400</v>
      </c>
      <c r="S53" s="31">
        <v>0</v>
      </c>
      <c r="T53" s="28"/>
      <c r="U53" s="29"/>
      <c r="V53" s="28"/>
      <c r="W53" s="29"/>
      <c r="X53" s="29"/>
      <c r="Y53" s="29"/>
      <c r="Z53" s="31">
        <v>0</v>
      </c>
      <c r="AA53" s="31">
        <v>0</v>
      </c>
      <c r="AB53" s="31">
        <v>0</v>
      </c>
      <c r="AC53" s="28"/>
      <c r="AD53" s="28" t="s">
        <v>365</v>
      </c>
      <c r="AE53" s="28" t="s">
        <v>366</v>
      </c>
      <c r="AF53" s="28" t="s">
        <v>31</v>
      </c>
      <c r="AG53" s="28" t="s">
        <v>288</v>
      </c>
      <c r="AH53" s="28" t="s">
        <v>228</v>
      </c>
      <c r="AI53" s="28" t="s">
        <v>31</v>
      </c>
      <c r="AJ53" s="28"/>
      <c r="AK53" s="28" t="s">
        <v>289</v>
      </c>
      <c r="AL53" s="28" t="s">
        <v>31</v>
      </c>
      <c r="AM53" s="28" t="s">
        <v>231</v>
      </c>
      <c r="AN53" s="28" t="s">
        <v>232</v>
      </c>
      <c r="AO53" s="28" t="s">
        <v>231</v>
      </c>
      <c r="AP53" s="28" t="s">
        <v>232</v>
      </c>
      <c r="AQ53" s="28"/>
      <c r="AR53" s="28"/>
      <c r="AS53" s="28"/>
      <c r="AT53" s="28"/>
      <c r="AU53" s="28"/>
      <c r="AV53" s="28"/>
      <c r="AW53" s="29"/>
      <c r="AX53" s="33"/>
      <c r="AY53" s="31"/>
      <c r="AZ53" s="33"/>
      <c r="BA53" s="31"/>
      <c r="BB53" s="28"/>
      <c r="BC53" s="28"/>
      <c r="BD53" s="28"/>
      <c r="BE53" s="28"/>
      <c r="BF53" s="29"/>
      <c r="BG53" s="29"/>
      <c r="BH53" s="28" t="s">
        <v>401</v>
      </c>
      <c r="BI53" s="29">
        <v>1</v>
      </c>
      <c r="BJ53" s="29">
        <v>0</v>
      </c>
      <c r="BK53" s="30"/>
      <c r="BL53" s="30"/>
      <c r="BM53" s="28"/>
      <c r="BN53" s="30">
        <v>45782</v>
      </c>
      <c r="BO53" s="30">
        <v>45782</v>
      </c>
      <c r="BP53" s="31">
        <v>248.94</v>
      </c>
      <c r="BQ53" s="30">
        <v>45781</v>
      </c>
    </row>
    <row r="54" spans="1:69" ht="22.5" hidden="1" customHeight="1" x14ac:dyDescent="0.2">
      <c r="A54" s="28" t="s">
        <v>262</v>
      </c>
      <c r="B54" s="28"/>
      <c r="C54" s="28" t="s">
        <v>221</v>
      </c>
      <c r="D54" s="28" t="s">
        <v>222</v>
      </c>
      <c r="E54" s="29">
        <v>407983</v>
      </c>
      <c r="F54" s="29">
        <v>756</v>
      </c>
      <c r="G54" s="29">
        <v>102</v>
      </c>
      <c r="H54" s="29">
        <v>0</v>
      </c>
      <c r="I54" s="30">
        <v>45765</v>
      </c>
      <c r="J54" s="28" t="s">
        <v>395</v>
      </c>
      <c r="K54" s="28" t="s">
        <v>402</v>
      </c>
      <c r="L54" s="31">
        <v>119.18</v>
      </c>
      <c r="M54" s="31">
        <v>6.56</v>
      </c>
      <c r="N54" s="31">
        <v>125.74</v>
      </c>
      <c r="O54" s="28"/>
      <c r="P54" s="32">
        <v>45782</v>
      </c>
      <c r="Q54" s="31">
        <v>125.74</v>
      </c>
      <c r="R54" s="28" t="s">
        <v>403</v>
      </c>
      <c r="S54" s="31">
        <v>0</v>
      </c>
      <c r="T54" s="28"/>
      <c r="U54" s="29"/>
      <c r="V54" s="28"/>
      <c r="W54" s="29"/>
      <c r="X54" s="29"/>
      <c r="Y54" s="29"/>
      <c r="Z54" s="31">
        <v>0</v>
      </c>
      <c r="AA54" s="31">
        <v>0</v>
      </c>
      <c r="AB54" s="31">
        <v>0</v>
      </c>
      <c r="AC54" s="28"/>
      <c r="AD54" s="28" t="s">
        <v>293</v>
      </c>
      <c r="AE54" s="28" t="s">
        <v>294</v>
      </c>
      <c r="AF54" s="28" t="s">
        <v>31</v>
      </c>
      <c r="AG54" s="28" t="s">
        <v>53</v>
      </c>
      <c r="AH54" s="28" t="s">
        <v>228</v>
      </c>
      <c r="AI54" s="28" t="s">
        <v>31</v>
      </c>
      <c r="AJ54" s="28"/>
      <c r="AK54" s="28" t="s">
        <v>239</v>
      </c>
      <c r="AL54" s="28" t="s">
        <v>240</v>
      </c>
      <c r="AM54" s="28" t="s">
        <v>231</v>
      </c>
      <c r="AN54" s="28" t="s">
        <v>232</v>
      </c>
      <c r="AO54" s="28" t="s">
        <v>231</v>
      </c>
      <c r="AP54" s="28" t="s">
        <v>232</v>
      </c>
      <c r="AQ54" s="28"/>
      <c r="AR54" s="28"/>
      <c r="AS54" s="28"/>
      <c r="AT54" s="28"/>
      <c r="AU54" s="28"/>
      <c r="AV54" s="28"/>
      <c r="AW54" s="29"/>
      <c r="AX54" s="33"/>
      <c r="AY54" s="31"/>
      <c r="AZ54" s="33"/>
      <c r="BA54" s="31"/>
      <c r="BB54" s="28"/>
      <c r="BC54" s="28"/>
      <c r="BD54" s="28"/>
      <c r="BE54" s="28"/>
      <c r="BF54" s="29"/>
      <c r="BG54" s="29"/>
      <c r="BH54" s="28" t="s">
        <v>404</v>
      </c>
      <c r="BI54" s="29">
        <v>1</v>
      </c>
      <c r="BJ54" s="29">
        <v>0</v>
      </c>
      <c r="BK54" s="30"/>
      <c r="BL54" s="30"/>
      <c r="BM54" s="28"/>
      <c r="BN54" s="30">
        <v>45782</v>
      </c>
      <c r="BO54" s="30">
        <v>45782</v>
      </c>
      <c r="BP54" s="31">
        <v>125.74</v>
      </c>
      <c r="BQ54" s="30">
        <v>45781</v>
      </c>
    </row>
    <row r="55" spans="1:69" ht="22.5" hidden="1" customHeight="1" x14ac:dyDescent="0.2">
      <c r="A55" s="28" t="s">
        <v>262</v>
      </c>
      <c r="B55" s="28"/>
      <c r="C55" s="28" t="s">
        <v>221</v>
      </c>
      <c r="D55" s="28" t="s">
        <v>222</v>
      </c>
      <c r="E55" s="29">
        <v>408081</v>
      </c>
      <c r="F55" s="29">
        <v>829</v>
      </c>
      <c r="G55" s="29">
        <v>115</v>
      </c>
      <c r="H55" s="29">
        <v>0</v>
      </c>
      <c r="I55" s="30">
        <v>45775</v>
      </c>
      <c r="J55" s="28" t="s">
        <v>395</v>
      </c>
      <c r="K55" s="28" t="s">
        <v>405</v>
      </c>
      <c r="L55" s="31">
        <v>162</v>
      </c>
      <c r="M55" s="31">
        <v>32.4</v>
      </c>
      <c r="N55" s="31">
        <v>194.4</v>
      </c>
      <c r="O55" s="28"/>
      <c r="P55" s="32">
        <v>45782</v>
      </c>
      <c r="Q55" s="31">
        <v>194.4</v>
      </c>
      <c r="R55" s="28" t="s">
        <v>406</v>
      </c>
      <c r="S55" s="31">
        <v>0</v>
      </c>
      <c r="T55" s="28"/>
      <c r="U55" s="29"/>
      <c r="V55" s="28"/>
      <c r="W55" s="29"/>
      <c r="X55" s="29"/>
      <c r="Y55" s="29"/>
      <c r="Z55" s="31">
        <v>0</v>
      </c>
      <c r="AA55" s="31">
        <v>0</v>
      </c>
      <c r="AB55" s="31">
        <v>0</v>
      </c>
      <c r="AC55" s="28"/>
      <c r="AD55" s="28" t="s">
        <v>365</v>
      </c>
      <c r="AE55" s="28" t="s">
        <v>366</v>
      </c>
      <c r="AF55" s="28" t="s">
        <v>31</v>
      </c>
      <c r="AG55" s="28" t="s">
        <v>42</v>
      </c>
      <c r="AH55" s="28" t="s">
        <v>228</v>
      </c>
      <c r="AI55" s="28" t="s">
        <v>31</v>
      </c>
      <c r="AJ55" s="28"/>
      <c r="AK55" s="28" t="s">
        <v>235</v>
      </c>
      <c r="AL55" s="28" t="s">
        <v>250</v>
      </c>
      <c r="AM55" s="28" t="s">
        <v>231</v>
      </c>
      <c r="AN55" s="28" t="s">
        <v>232</v>
      </c>
      <c r="AO55" s="28" t="s">
        <v>231</v>
      </c>
      <c r="AP55" s="28" t="s">
        <v>232</v>
      </c>
      <c r="AQ55" s="28"/>
      <c r="AR55" s="28"/>
      <c r="AS55" s="28"/>
      <c r="AT55" s="28"/>
      <c r="AU55" s="28"/>
      <c r="AV55" s="28"/>
      <c r="AW55" s="29"/>
      <c r="AX55" s="33"/>
      <c r="AY55" s="31"/>
      <c r="AZ55" s="33"/>
      <c r="BA55" s="31"/>
      <c r="BB55" s="28"/>
      <c r="BC55" s="28"/>
      <c r="BD55" s="28"/>
      <c r="BE55" s="28"/>
      <c r="BF55" s="29"/>
      <c r="BG55" s="29"/>
      <c r="BH55" s="28" t="s">
        <v>407</v>
      </c>
      <c r="BI55" s="29">
        <v>1</v>
      </c>
      <c r="BJ55" s="29">
        <v>0</v>
      </c>
      <c r="BK55" s="30"/>
      <c r="BL55" s="30"/>
      <c r="BM55" s="28"/>
      <c r="BN55" s="30">
        <v>45782</v>
      </c>
      <c r="BO55" s="30">
        <v>45782</v>
      </c>
      <c r="BP55" s="31">
        <v>194.4</v>
      </c>
      <c r="BQ55" s="30">
        <v>45781</v>
      </c>
    </row>
    <row r="56" spans="1:69" ht="22.5" hidden="1" customHeight="1" x14ac:dyDescent="0.2">
      <c r="A56" s="28" t="s">
        <v>408</v>
      </c>
      <c r="B56" s="28"/>
      <c r="C56" s="28" t="s">
        <v>221</v>
      </c>
      <c r="D56" s="28" t="s">
        <v>222</v>
      </c>
      <c r="E56" s="29">
        <v>408120</v>
      </c>
      <c r="F56" s="29">
        <v>846</v>
      </c>
      <c r="G56" s="29">
        <v>119</v>
      </c>
      <c r="H56" s="29">
        <v>1</v>
      </c>
      <c r="I56" s="30">
        <v>45776</v>
      </c>
      <c r="J56" s="28" t="s">
        <v>281</v>
      </c>
      <c r="K56" s="28" t="s">
        <v>409</v>
      </c>
      <c r="L56" s="31">
        <v>187.23</v>
      </c>
      <c r="M56" s="31">
        <v>0</v>
      </c>
      <c r="N56" s="31">
        <v>187.23</v>
      </c>
      <c r="O56" s="28"/>
      <c r="P56" s="32">
        <v>45782</v>
      </c>
      <c r="Q56" s="31">
        <v>187.23</v>
      </c>
      <c r="R56" s="28"/>
      <c r="S56" s="31">
        <v>0</v>
      </c>
      <c r="T56" s="28"/>
      <c r="U56" s="29"/>
      <c r="V56" s="28"/>
      <c r="W56" s="29"/>
      <c r="X56" s="29"/>
      <c r="Y56" s="29"/>
      <c r="Z56" s="31">
        <v>0</v>
      </c>
      <c r="AA56" s="31">
        <v>0</v>
      </c>
      <c r="AB56" s="31">
        <v>0</v>
      </c>
      <c r="AC56" s="28"/>
      <c r="AD56" s="28" t="s">
        <v>410</v>
      </c>
      <c r="AE56" s="28" t="s">
        <v>411</v>
      </c>
      <c r="AF56" s="28" t="s">
        <v>31</v>
      </c>
      <c r="AG56" s="28" t="s">
        <v>53</v>
      </c>
      <c r="AH56" s="28" t="s">
        <v>228</v>
      </c>
      <c r="AI56" s="28" t="s">
        <v>31</v>
      </c>
      <c r="AJ56" s="28"/>
      <c r="AK56" s="28" t="s">
        <v>239</v>
      </c>
      <c r="AL56" s="28" t="s">
        <v>240</v>
      </c>
      <c r="AM56" s="28" t="s">
        <v>231</v>
      </c>
      <c r="AN56" s="28" t="s">
        <v>232</v>
      </c>
      <c r="AO56" s="28" t="s">
        <v>231</v>
      </c>
      <c r="AP56" s="28" t="s">
        <v>232</v>
      </c>
      <c r="AQ56" s="28"/>
      <c r="AR56" s="28"/>
      <c r="AS56" s="28"/>
      <c r="AT56" s="28"/>
      <c r="AU56" s="28"/>
      <c r="AV56" s="28"/>
      <c r="AW56" s="29"/>
      <c r="AX56" s="33"/>
      <c r="AY56" s="31"/>
      <c r="AZ56" s="33"/>
      <c r="BA56" s="31"/>
      <c r="BB56" s="28"/>
      <c r="BC56" s="28"/>
      <c r="BD56" s="28"/>
      <c r="BE56" s="28"/>
      <c r="BF56" s="29"/>
      <c r="BG56" s="29"/>
      <c r="BH56" s="28"/>
      <c r="BI56" s="29">
        <v>1</v>
      </c>
      <c r="BJ56" s="29">
        <v>0</v>
      </c>
      <c r="BK56" s="30"/>
      <c r="BL56" s="30"/>
      <c r="BM56" s="28"/>
      <c r="BN56" s="30">
        <v>45782</v>
      </c>
      <c r="BO56" s="30">
        <v>45782</v>
      </c>
      <c r="BP56" s="31">
        <v>187.23</v>
      </c>
      <c r="BQ56" s="30">
        <v>45781</v>
      </c>
    </row>
    <row r="57" spans="1:69" ht="22.5" hidden="1" customHeight="1" x14ac:dyDescent="0.2">
      <c r="A57" s="22" t="s">
        <v>262</v>
      </c>
      <c r="B57" s="22"/>
      <c r="C57" s="22" t="s">
        <v>221</v>
      </c>
      <c r="D57" s="22" t="s">
        <v>222</v>
      </c>
      <c r="E57" s="23">
        <v>408156</v>
      </c>
      <c r="F57" s="23">
        <v>854</v>
      </c>
      <c r="G57" s="23">
        <v>124</v>
      </c>
      <c r="H57" s="23">
        <v>0</v>
      </c>
      <c r="I57" s="24">
        <v>45786</v>
      </c>
      <c r="J57" s="22" t="s">
        <v>395</v>
      </c>
      <c r="K57" s="22" t="s">
        <v>412</v>
      </c>
      <c r="L57" s="25">
        <v>141.56</v>
      </c>
      <c r="M57" s="25">
        <v>7.79</v>
      </c>
      <c r="N57" s="25">
        <v>149.35</v>
      </c>
      <c r="O57" s="22"/>
      <c r="P57" s="26">
        <v>45796</v>
      </c>
      <c r="Q57" s="25">
        <v>149.35</v>
      </c>
      <c r="R57" s="22" t="s">
        <v>413</v>
      </c>
      <c r="S57" s="25">
        <v>0</v>
      </c>
      <c r="T57" s="22"/>
      <c r="U57" s="23"/>
      <c r="V57" s="22"/>
      <c r="W57" s="23"/>
      <c r="X57" s="23"/>
      <c r="Y57" s="23"/>
      <c r="Z57" s="25">
        <v>0</v>
      </c>
      <c r="AA57" s="25">
        <v>0</v>
      </c>
      <c r="AB57" s="25">
        <v>0</v>
      </c>
      <c r="AC57" s="22"/>
      <c r="AD57" s="22" t="s">
        <v>293</v>
      </c>
      <c r="AE57" s="22" t="s">
        <v>294</v>
      </c>
      <c r="AF57" s="22" t="s">
        <v>31</v>
      </c>
      <c r="AG57" s="22" t="s">
        <v>42</v>
      </c>
      <c r="AH57" s="22" t="s">
        <v>228</v>
      </c>
      <c r="AI57" s="22" t="s">
        <v>31</v>
      </c>
      <c r="AJ57" s="22"/>
      <c r="AK57" s="22" t="s">
        <v>235</v>
      </c>
      <c r="AL57" s="22" t="s">
        <v>331</v>
      </c>
      <c r="AM57" s="22" t="s">
        <v>231</v>
      </c>
      <c r="AN57" s="22" t="s">
        <v>232</v>
      </c>
      <c r="AO57" s="22" t="s">
        <v>231</v>
      </c>
      <c r="AP57" s="22" t="s">
        <v>232</v>
      </c>
      <c r="AQ57" s="22"/>
      <c r="AR57" s="22"/>
      <c r="AS57" s="22"/>
      <c r="AT57" s="22"/>
      <c r="AU57" s="22"/>
      <c r="AV57" s="22"/>
      <c r="AW57" s="23"/>
      <c r="AX57" s="27"/>
      <c r="AY57" s="25"/>
      <c r="AZ57" s="27"/>
      <c r="BA57" s="25"/>
      <c r="BB57" s="22"/>
      <c r="BC57" s="22"/>
      <c r="BD57" s="22"/>
      <c r="BE57" s="22"/>
      <c r="BF57" s="23"/>
      <c r="BG57" s="23"/>
      <c r="BH57" s="22" t="s">
        <v>414</v>
      </c>
      <c r="BI57" s="23">
        <v>1</v>
      </c>
      <c r="BJ57" s="23">
        <v>0</v>
      </c>
      <c r="BK57" s="24"/>
      <c r="BL57" s="24"/>
      <c r="BM57" s="22"/>
      <c r="BN57" s="24">
        <v>45796</v>
      </c>
      <c r="BO57" s="24">
        <v>45796</v>
      </c>
      <c r="BP57" s="25">
        <v>149.35</v>
      </c>
      <c r="BQ57" s="24">
        <v>45795</v>
      </c>
    </row>
    <row r="58" spans="1:69" ht="22.5" hidden="1" customHeight="1" x14ac:dyDescent="0.2">
      <c r="A58" s="28" t="s">
        <v>262</v>
      </c>
      <c r="B58" s="28"/>
      <c r="C58" s="28" t="s">
        <v>221</v>
      </c>
      <c r="D58" s="28" t="s">
        <v>222</v>
      </c>
      <c r="E58" s="29">
        <v>408157</v>
      </c>
      <c r="F58" s="29">
        <v>855</v>
      </c>
      <c r="G58" s="29">
        <v>124</v>
      </c>
      <c r="H58" s="29">
        <v>0</v>
      </c>
      <c r="I58" s="30">
        <v>45786</v>
      </c>
      <c r="J58" s="28" t="s">
        <v>395</v>
      </c>
      <c r="K58" s="28" t="s">
        <v>415</v>
      </c>
      <c r="L58" s="31">
        <v>142.18</v>
      </c>
      <c r="M58" s="31">
        <v>7.82</v>
      </c>
      <c r="N58" s="31">
        <v>150</v>
      </c>
      <c r="O58" s="28"/>
      <c r="P58" s="32">
        <v>45796</v>
      </c>
      <c r="Q58" s="31">
        <v>150</v>
      </c>
      <c r="R58" s="28" t="s">
        <v>416</v>
      </c>
      <c r="S58" s="31">
        <v>0</v>
      </c>
      <c r="T58" s="28"/>
      <c r="U58" s="29"/>
      <c r="V58" s="28"/>
      <c r="W58" s="29"/>
      <c r="X58" s="29"/>
      <c r="Y58" s="29"/>
      <c r="Z58" s="31">
        <v>0</v>
      </c>
      <c r="AA58" s="31">
        <v>0</v>
      </c>
      <c r="AB58" s="31">
        <v>0</v>
      </c>
      <c r="AC58" s="28"/>
      <c r="AD58" s="28" t="s">
        <v>293</v>
      </c>
      <c r="AE58" s="28" t="s">
        <v>294</v>
      </c>
      <c r="AF58" s="28" t="s">
        <v>31</v>
      </c>
      <c r="AG58" s="28" t="s">
        <v>42</v>
      </c>
      <c r="AH58" s="28" t="s">
        <v>228</v>
      </c>
      <c r="AI58" s="28" t="s">
        <v>31</v>
      </c>
      <c r="AJ58" s="28"/>
      <c r="AK58" s="28" t="s">
        <v>235</v>
      </c>
      <c r="AL58" s="28" t="s">
        <v>331</v>
      </c>
      <c r="AM58" s="28" t="s">
        <v>231</v>
      </c>
      <c r="AN58" s="28" t="s">
        <v>232</v>
      </c>
      <c r="AO58" s="28" t="s">
        <v>231</v>
      </c>
      <c r="AP58" s="28" t="s">
        <v>232</v>
      </c>
      <c r="AQ58" s="28"/>
      <c r="AR58" s="28"/>
      <c r="AS58" s="28"/>
      <c r="AT58" s="28"/>
      <c r="AU58" s="28"/>
      <c r="AV58" s="28"/>
      <c r="AW58" s="29"/>
      <c r="AX58" s="33"/>
      <c r="AY58" s="31"/>
      <c r="AZ58" s="33"/>
      <c r="BA58" s="31"/>
      <c r="BB58" s="28"/>
      <c r="BC58" s="28"/>
      <c r="BD58" s="28"/>
      <c r="BE58" s="28"/>
      <c r="BF58" s="29"/>
      <c r="BG58" s="29"/>
      <c r="BH58" s="28" t="s">
        <v>417</v>
      </c>
      <c r="BI58" s="29">
        <v>1</v>
      </c>
      <c r="BJ58" s="29">
        <v>0</v>
      </c>
      <c r="BK58" s="30"/>
      <c r="BL58" s="30"/>
      <c r="BM58" s="28"/>
      <c r="BN58" s="30">
        <v>45796</v>
      </c>
      <c r="BO58" s="30">
        <v>45796</v>
      </c>
      <c r="BP58" s="31">
        <v>150</v>
      </c>
      <c r="BQ58" s="30">
        <v>45795</v>
      </c>
    </row>
    <row r="59" spans="1:69" ht="22.5" hidden="1" customHeight="1" x14ac:dyDescent="0.2">
      <c r="A59" s="22" t="s">
        <v>262</v>
      </c>
      <c r="B59" s="22"/>
      <c r="C59" s="22" t="s">
        <v>221</v>
      </c>
      <c r="D59" s="22" t="s">
        <v>222</v>
      </c>
      <c r="E59" s="23">
        <v>408158</v>
      </c>
      <c r="F59" s="23">
        <v>856</v>
      </c>
      <c r="G59" s="23">
        <v>124</v>
      </c>
      <c r="H59" s="23">
        <v>0</v>
      </c>
      <c r="I59" s="24">
        <v>45786</v>
      </c>
      <c r="J59" s="22" t="s">
        <v>395</v>
      </c>
      <c r="K59" s="22" t="s">
        <v>418</v>
      </c>
      <c r="L59" s="25">
        <v>93.62</v>
      </c>
      <c r="M59" s="25">
        <v>6.26</v>
      </c>
      <c r="N59" s="25">
        <v>99.88</v>
      </c>
      <c r="O59" s="22"/>
      <c r="P59" s="26">
        <v>45796</v>
      </c>
      <c r="Q59" s="25">
        <v>99.88</v>
      </c>
      <c r="R59" s="22" t="s">
        <v>419</v>
      </c>
      <c r="S59" s="25">
        <v>0</v>
      </c>
      <c r="T59" s="22"/>
      <c r="U59" s="23"/>
      <c r="V59" s="22"/>
      <c r="W59" s="23"/>
      <c r="X59" s="23"/>
      <c r="Y59" s="23"/>
      <c r="Z59" s="25">
        <v>0</v>
      </c>
      <c r="AA59" s="25">
        <v>0</v>
      </c>
      <c r="AB59" s="25">
        <v>0</v>
      </c>
      <c r="AC59" s="22"/>
      <c r="AD59" s="22" t="s">
        <v>293</v>
      </c>
      <c r="AE59" s="22" t="s">
        <v>294</v>
      </c>
      <c r="AF59" s="22" t="s">
        <v>31</v>
      </c>
      <c r="AG59" s="22" t="s">
        <v>42</v>
      </c>
      <c r="AH59" s="22" t="s">
        <v>228</v>
      </c>
      <c r="AI59" s="22" t="s">
        <v>31</v>
      </c>
      <c r="AJ59" s="22"/>
      <c r="AK59" s="22" t="s">
        <v>235</v>
      </c>
      <c r="AL59" s="22" t="s">
        <v>331</v>
      </c>
      <c r="AM59" s="22" t="s">
        <v>231</v>
      </c>
      <c r="AN59" s="22" t="s">
        <v>232</v>
      </c>
      <c r="AO59" s="22" t="s">
        <v>231</v>
      </c>
      <c r="AP59" s="22" t="s">
        <v>232</v>
      </c>
      <c r="AQ59" s="22"/>
      <c r="AR59" s="22"/>
      <c r="AS59" s="22"/>
      <c r="AT59" s="22"/>
      <c r="AU59" s="22"/>
      <c r="AV59" s="22"/>
      <c r="AW59" s="23"/>
      <c r="AX59" s="27"/>
      <c r="AY59" s="25"/>
      <c r="AZ59" s="27"/>
      <c r="BA59" s="25"/>
      <c r="BB59" s="22"/>
      <c r="BC59" s="22"/>
      <c r="BD59" s="22"/>
      <c r="BE59" s="22"/>
      <c r="BF59" s="23"/>
      <c r="BG59" s="23"/>
      <c r="BH59" s="22" t="s">
        <v>420</v>
      </c>
      <c r="BI59" s="23">
        <v>1</v>
      </c>
      <c r="BJ59" s="23">
        <v>0</v>
      </c>
      <c r="BK59" s="24"/>
      <c r="BL59" s="24"/>
      <c r="BM59" s="22"/>
      <c r="BN59" s="24">
        <v>45796</v>
      </c>
      <c r="BO59" s="24">
        <v>45796</v>
      </c>
      <c r="BP59" s="25">
        <v>99.88</v>
      </c>
      <c r="BQ59" s="24">
        <v>45795</v>
      </c>
    </row>
    <row r="60" spans="1:69" ht="22.5" hidden="1" customHeight="1" x14ac:dyDescent="0.2">
      <c r="A60" s="28" t="s">
        <v>262</v>
      </c>
      <c r="B60" s="28"/>
      <c r="C60" s="28" t="s">
        <v>221</v>
      </c>
      <c r="D60" s="28" t="s">
        <v>222</v>
      </c>
      <c r="E60" s="29">
        <v>408165</v>
      </c>
      <c r="F60" s="29">
        <v>862</v>
      </c>
      <c r="G60" s="29">
        <v>124</v>
      </c>
      <c r="H60" s="29">
        <v>0</v>
      </c>
      <c r="I60" s="30">
        <v>45786</v>
      </c>
      <c r="J60" s="28" t="s">
        <v>395</v>
      </c>
      <c r="K60" s="28" t="s">
        <v>421</v>
      </c>
      <c r="L60" s="31">
        <v>27.63</v>
      </c>
      <c r="M60" s="31">
        <v>2.23</v>
      </c>
      <c r="N60" s="31">
        <v>29.86</v>
      </c>
      <c r="O60" s="28"/>
      <c r="P60" s="32">
        <v>45796</v>
      </c>
      <c r="Q60" s="31">
        <v>29.86</v>
      </c>
      <c r="R60" s="28" t="s">
        <v>422</v>
      </c>
      <c r="S60" s="31">
        <v>0</v>
      </c>
      <c r="T60" s="28"/>
      <c r="U60" s="29"/>
      <c r="V60" s="28"/>
      <c r="W60" s="29"/>
      <c r="X60" s="29"/>
      <c r="Y60" s="29"/>
      <c r="Z60" s="31">
        <v>0</v>
      </c>
      <c r="AA60" s="31">
        <v>0</v>
      </c>
      <c r="AB60" s="31">
        <v>0</v>
      </c>
      <c r="AC60" s="28"/>
      <c r="AD60" s="28" t="s">
        <v>293</v>
      </c>
      <c r="AE60" s="28" t="s">
        <v>294</v>
      </c>
      <c r="AF60" s="28" t="s">
        <v>31</v>
      </c>
      <c r="AG60" s="28" t="s">
        <v>42</v>
      </c>
      <c r="AH60" s="28" t="s">
        <v>228</v>
      </c>
      <c r="AI60" s="28" t="s">
        <v>31</v>
      </c>
      <c r="AJ60" s="28"/>
      <c r="AK60" s="28" t="s">
        <v>235</v>
      </c>
      <c r="AL60" s="28" t="s">
        <v>331</v>
      </c>
      <c r="AM60" s="28" t="s">
        <v>231</v>
      </c>
      <c r="AN60" s="28" t="s">
        <v>232</v>
      </c>
      <c r="AO60" s="28" t="s">
        <v>231</v>
      </c>
      <c r="AP60" s="28" t="s">
        <v>232</v>
      </c>
      <c r="AQ60" s="28"/>
      <c r="AR60" s="28"/>
      <c r="AS60" s="28"/>
      <c r="AT60" s="28"/>
      <c r="AU60" s="28"/>
      <c r="AV60" s="28"/>
      <c r="AW60" s="29"/>
      <c r="AX60" s="33"/>
      <c r="AY60" s="31"/>
      <c r="AZ60" s="33"/>
      <c r="BA60" s="31"/>
      <c r="BB60" s="28"/>
      <c r="BC60" s="28"/>
      <c r="BD60" s="28"/>
      <c r="BE60" s="28"/>
      <c r="BF60" s="29"/>
      <c r="BG60" s="29"/>
      <c r="BH60" s="28" t="s">
        <v>423</v>
      </c>
      <c r="BI60" s="29">
        <v>1</v>
      </c>
      <c r="BJ60" s="29">
        <v>0</v>
      </c>
      <c r="BK60" s="30"/>
      <c r="BL60" s="30"/>
      <c r="BM60" s="28"/>
      <c r="BN60" s="30">
        <v>45796</v>
      </c>
      <c r="BO60" s="30">
        <v>45796</v>
      </c>
      <c r="BP60" s="31">
        <v>29.86</v>
      </c>
      <c r="BQ60" s="30">
        <v>45795</v>
      </c>
    </row>
    <row r="61" spans="1:69" ht="22.5" hidden="1" customHeight="1" x14ac:dyDescent="0.2">
      <c r="A61" s="22" t="s">
        <v>262</v>
      </c>
      <c r="B61" s="22"/>
      <c r="C61" s="22" t="s">
        <v>221</v>
      </c>
      <c r="D61" s="22" t="s">
        <v>222</v>
      </c>
      <c r="E61" s="23">
        <v>408166</v>
      </c>
      <c r="F61" s="23">
        <v>863</v>
      </c>
      <c r="G61" s="23">
        <v>124</v>
      </c>
      <c r="H61" s="23">
        <v>0</v>
      </c>
      <c r="I61" s="24">
        <v>45786</v>
      </c>
      <c r="J61" s="22" t="s">
        <v>395</v>
      </c>
      <c r="K61" s="22" t="s">
        <v>424</v>
      </c>
      <c r="L61" s="25">
        <v>28.37</v>
      </c>
      <c r="M61" s="25">
        <v>1.56</v>
      </c>
      <c r="N61" s="25">
        <v>29.93</v>
      </c>
      <c r="O61" s="22"/>
      <c r="P61" s="26">
        <v>45796</v>
      </c>
      <c r="Q61" s="25">
        <v>29.93</v>
      </c>
      <c r="R61" s="22" t="s">
        <v>425</v>
      </c>
      <c r="S61" s="25">
        <v>0</v>
      </c>
      <c r="T61" s="22"/>
      <c r="U61" s="23"/>
      <c r="V61" s="22"/>
      <c r="W61" s="23"/>
      <c r="X61" s="23"/>
      <c r="Y61" s="23"/>
      <c r="Z61" s="25">
        <v>0</v>
      </c>
      <c r="AA61" s="25">
        <v>0</v>
      </c>
      <c r="AB61" s="25">
        <v>0</v>
      </c>
      <c r="AC61" s="22"/>
      <c r="AD61" s="22" t="s">
        <v>293</v>
      </c>
      <c r="AE61" s="22" t="s">
        <v>294</v>
      </c>
      <c r="AF61" s="22" t="s">
        <v>31</v>
      </c>
      <c r="AG61" s="22" t="s">
        <v>42</v>
      </c>
      <c r="AH61" s="22" t="s">
        <v>228</v>
      </c>
      <c r="AI61" s="22" t="s">
        <v>31</v>
      </c>
      <c r="AJ61" s="22"/>
      <c r="AK61" s="22" t="s">
        <v>235</v>
      </c>
      <c r="AL61" s="22" t="s">
        <v>331</v>
      </c>
      <c r="AM61" s="22" t="s">
        <v>231</v>
      </c>
      <c r="AN61" s="22" t="s">
        <v>232</v>
      </c>
      <c r="AO61" s="22" t="s">
        <v>231</v>
      </c>
      <c r="AP61" s="22" t="s">
        <v>232</v>
      </c>
      <c r="AQ61" s="22"/>
      <c r="AR61" s="22"/>
      <c r="AS61" s="22"/>
      <c r="AT61" s="22"/>
      <c r="AU61" s="22"/>
      <c r="AV61" s="22"/>
      <c r="AW61" s="23"/>
      <c r="AX61" s="27"/>
      <c r="AY61" s="25"/>
      <c r="AZ61" s="27"/>
      <c r="BA61" s="25"/>
      <c r="BB61" s="22"/>
      <c r="BC61" s="22"/>
      <c r="BD61" s="22"/>
      <c r="BE61" s="22"/>
      <c r="BF61" s="23"/>
      <c r="BG61" s="23"/>
      <c r="BH61" s="22" t="s">
        <v>426</v>
      </c>
      <c r="BI61" s="23">
        <v>1</v>
      </c>
      <c r="BJ61" s="23">
        <v>0</v>
      </c>
      <c r="BK61" s="24"/>
      <c r="BL61" s="24"/>
      <c r="BM61" s="22"/>
      <c r="BN61" s="24">
        <v>45796</v>
      </c>
      <c r="BO61" s="24">
        <v>45796</v>
      </c>
      <c r="BP61" s="25">
        <v>29.93</v>
      </c>
      <c r="BQ61" s="24">
        <v>45795</v>
      </c>
    </row>
    <row r="62" spans="1:69" ht="22.5" hidden="1" customHeight="1" x14ac:dyDescent="0.2">
      <c r="A62" s="28" t="s">
        <v>262</v>
      </c>
      <c r="B62" s="28"/>
      <c r="C62" s="28" t="s">
        <v>221</v>
      </c>
      <c r="D62" s="28" t="s">
        <v>222</v>
      </c>
      <c r="E62" s="29">
        <v>408167</v>
      </c>
      <c r="F62" s="29">
        <v>864</v>
      </c>
      <c r="G62" s="29">
        <v>124</v>
      </c>
      <c r="H62" s="29">
        <v>0</v>
      </c>
      <c r="I62" s="30">
        <v>45786</v>
      </c>
      <c r="J62" s="28" t="s">
        <v>395</v>
      </c>
      <c r="K62" s="28" t="s">
        <v>427</v>
      </c>
      <c r="L62" s="31">
        <v>28.25</v>
      </c>
      <c r="M62" s="31">
        <v>1.55</v>
      </c>
      <c r="N62" s="31">
        <v>29.8</v>
      </c>
      <c r="O62" s="28"/>
      <c r="P62" s="32">
        <v>45796</v>
      </c>
      <c r="Q62" s="31">
        <v>29.8</v>
      </c>
      <c r="R62" s="28" t="s">
        <v>428</v>
      </c>
      <c r="S62" s="31">
        <v>0</v>
      </c>
      <c r="T62" s="28"/>
      <c r="U62" s="29"/>
      <c r="V62" s="28"/>
      <c r="W62" s="29"/>
      <c r="X62" s="29"/>
      <c r="Y62" s="29"/>
      <c r="Z62" s="31">
        <v>0</v>
      </c>
      <c r="AA62" s="31">
        <v>0</v>
      </c>
      <c r="AB62" s="31">
        <v>0</v>
      </c>
      <c r="AC62" s="28"/>
      <c r="AD62" s="28" t="s">
        <v>293</v>
      </c>
      <c r="AE62" s="28" t="s">
        <v>294</v>
      </c>
      <c r="AF62" s="28" t="s">
        <v>31</v>
      </c>
      <c r="AG62" s="28" t="s">
        <v>42</v>
      </c>
      <c r="AH62" s="28" t="s">
        <v>228</v>
      </c>
      <c r="AI62" s="28" t="s">
        <v>31</v>
      </c>
      <c r="AJ62" s="28"/>
      <c r="AK62" s="28" t="s">
        <v>235</v>
      </c>
      <c r="AL62" s="28" t="s">
        <v>331</v>
      </c>
      <c r="AM62" s="28" t="s">
        <v>231</v>
      </c>
      <c r="AN62" s="28" t="s">
        <v>232</v>
      </c>
      <c r="AO62" s="28" t="s">
        <v>231</v>
      </c>
      <c r="AP62" s="28" t="s">
        <v>232</v>
      </c>
      <c r="AQ62" s="28"/>
      <c r="AR62" s="28"/>
      <c r="AS62" s="28"/>
      <c r="AT62" s="28"/>
      <c r="AU62" s="28"/>
      <c r="AV62" s="28"/>
      <c r="AW62" s="29"/>
      <c r="AX62" s="33"/>
      <c r="AY62" s="31"/>
      <c r="AZ62" s="33"/>
      <c r="BA62" s="31"/>
      <c r="BB62" s="28"/>
      <c r="BC62" s="28"/>
      <c r="BD62" s="28"/>
      <c r="BE62" s="28"/>
      <c r="BF62" s="29"/>
      <c r="BG62" s="29"/>
      <c r="BH62" s="28" t="s">
        <v>429</v>
      </c>
      <c r="BI62" s="29">
        <v>1</v>
      </c>
      <c r="BJ62" s="29">
        <v>0</v>
      </c>
      <c r="BK62" s="30"/>
      <c r="BL62" s="30"/>
      <c r="BM62" s="28"/>
      <c r="BN62" s="30">
        <v>45796</v>
      </c>
      <c r="BO62" s="30">
        <v>45796</v>
      </c>
      <c r="BP62" s="31">
        <v>29.8</v>
      </c>
      <c r="BQ62" s="30">
        <v>45795</v>
      </c>
    </row>
    <row r="63" spans="1:69" ht="22.5" hidden="1" customHeight="1" x14ac:dyDescent="0.2">
      <c r="A63" s="22" t="s">
        <v>262</v>
      </c>
      <c r="B63" s="22"/>
      <c r="C63" s="22" t="s">
        <v>221</v>
      </c>
      <c r="D63" s="22" t="s">
        <v>222</v>
      </c>
      <c r="E63" s="23">
        <v>408168</v>
      </c>
      <c r="F63" s="23">
        <v>865</v>
      </c>
      <c r="G63" s="23">
        <v>124</v>
      </c>
      <c r="H63" s="23">
        <v>0</v>
      </c>
      <c r="I63" s="24">
        <v>45786</v>
      </c>
      <c r="J63" s="22" t="s">
        <v>395</v>
      </c>
      <c r="K63" s="22" t="s">
        <v>430</v>
      </c>
      <c r="L63" s="25">
        <v>142.01</v>
      </c>
      <c r="M63" s="25">
        <v>7.81</v>
      </c>
      <c r="N63" s="25">
        <v>149.82</v>
      </c>
      <c r="O63" s="22"/>
      <c r="P63" s="26">
        <v>45796</v>
      </c>
      <c r="Q63" s="25">
        <v>149.82</v>
      </c>
      <c r="R63" s="22" t="s">
        <v>431</v>
      </c>
      <c r="S63" s="25">
        <v>0</v>
      </c>
      <c r="T63" s="22"/>
      <c r="U63" s="23"/>
      <c r="V63" s="22"/>
      <c r="W63" s="23"/>
      <c r="X63" s="23"/>
      <c r="Y63" s="23"/>
      <c r="Z63" s="25">
        <v>0</v>
      </c>
      <c r="AA63" s="25">
        <v>0</v>
      </c>
      <c r="AB63" s="25">
        <v>0</v>
      </c>
      <c r="AC63" s="22"/>
      <c r="AD63" s="22" t="s">
        <v>293</v>
      </c>
      <c r="AE63" s="22" t="s">
        <v>294</v>
      </c>
      <c r="AF63" s="22" t="s">
        <v>31</v>
      </c>
      <c r="AG63" s="22" t="s">
        <v>42</v>
      </c>
      <c r="AH63" s="22" t="s">
        <v>228</v>
      </c>
      <c r="AI63" s="22" t="s">
        <v>31</v>
      </c>
      <c r="AJ63" s="22"/>
      <c r="AK63" s="22" t="s">
        <v>235</v>
      </c>
      <c r="AL63" s="22" t="s">
        <v>331</v>
      </c>
      <c r="AM63" s="22" t="s">
        <v>231</v>
      </c>
      <c r="AN63" s="22" t="s">
        <v>232</v>
      </c>
      <c r="AO63" s="22" t="s">
        <v>231</v>
      </c>
      <c r="AP63" s="22" t="s">
        <v>232</v>
      </c>
      <c r="AQ63" s="22"/>
      <c r="AR63" s="22"/>
      <c r="AS63" s="22"/>
      <c r="AT63" s="22"/>
      <c r="AU63" s="22"/>
      <c r="AV63" s="22"/>
      <c r="AW63" s="23"/>
      <c r="AX63" s="27"/>
      <c r="AY63" s="25"/>
      <c r="AZ63" s="27"/>
      <c r="BA63" s="25"/>
      <c r="BB63" s="22"/>
      <c r="BC63" s="22"/>
      <c r="BD63" s="22"/>
      <c r="BE63" s="22"/>
      <c r="BF63" s="23"/>
      <c r="BG63" s="23"/>
      <c r="BH63" s="22" t="s">
        <v>432</v>
      </c>
      <c r="BI63" s="23">
        <v>1</v>
      </c>
      <c r="BJ63" s="23">
        <v>0</v>
      </c>
      <c r="BK63" s="24"/>
      <c r="BL63" s="24"/>
      <c r="BM63" s="22"/>
      <c r="BN63" s="24">
        <v>45796</v>
      </c>
      <c r="BO63" s="24">
        <v>45796</v>
      </c>
      <c r="BP63" s="25">
        <v>149.82</v>
      </c>
      <c r="BQ63" s="24">
        <v>45795</v>
      </c>
    </row>
    <row r="64" spans="1:69" ht="22.5" hidden="1" customHeight="1" x14ac:dyDescent="0.2">
      <c r="A64" s="22" t="s">
        <v>262</v>
      </c>
      <c r="B64" s="22"/>
      <c r="C64" s="22" t="s">
        <v>221</v>
      </c>
      <c r="D64" s="22" t="s">
        <v>222</v>
      </c>
      <c r="E64" s="23">
        <v>408224</v>
      </c>
      <c r="F64" s="23">
        <v>883</v>
      </c>
      <c r="G64" s="23">
        <v>129</v>
      </c>
      <c r="H64" s="23">
        <v>0</v>
      </c>
      <c r="I64" s="24">
        <v>45789</v>
      </c>
      <c r="J64" s="22" t="s">
        <v>395</v>
      </c>
      <c r="K64" s="22" t="s">
        <v>433</v>
      </c>
      <c r="L64" s="25">
        <v>70.98</v>
      </c>
      <c r="M64" s="25">
        <v>4.3099999999999996</v>
      </c>
      <c r="N64" s="25">
        <v>75.290000000000006</v>
      </c>
      <c r="O64" s="22"/>
      <c r="P64" s="26">
        <v>45796</v>
      </c>
      <c r="Q64" s="25">
        <v>75.290000000000006</v>
      </c>
      <c r="R64" s="22" t="s">
        <v>434</v>
      </c>
      <c r="S64" s="25">
        <v>0</v>
      </c>
      <c r="T64" s="22"/>
      <c r="U64" s="23"/>
      <c r="V64" s="22"/>
      <c r="W64" s="23"/>
      <c r="X64" s="23"/>
      <c r="Y64" s="23"/>
      <c r="Z64" s="25">
        <v>0</v>
      </c>
      <c r="AA64" s="25">
        <v>0</v>
      </c>
      <c r="AB64" s="25">
        <v>0</v>
      </c>
      <c r="AC64" s="22"/>
      <c r="AD64" s="22" t="s">
        <v>293</v>
      </c>
      <c r="AE64" s="22" t="s">
        <v>294</v>
      </c>
      <c r="AF64" s="22" t="s">
        <v>31</v>
      </c>
      <c r="AG64" s="22" t="s">
        <v>53</v>
      </c>
      <c r="AH64" s="22" t="s">
        <v>228</v>
      </c>
      <c r="AI64" s="22" t="s">
        <v>31</v>
      </c>
      <c r="AJ64" s="22"/>
      <c r="AK64" s="22" t="s">
        <v>239</v>
      </c>
      <c r="AL64" s="22" t="s">
        <v>240</v>
      </c>
      <c r="AM64" s="22" t="s">
        <v>231</v>
      </c>
      <c r="AN64" s="22" t="s">
        <v>232</v>
      </c>
      <c r="AO64" s="22" t="s">
        <v>231</v>
      </c>
      <c r="AP64" s="22" t="s">
        <v>232</v>
      </c>
      <c r="AQ64" s="22"/>
      <c r="AR64" s="22"/>
      <c r="AS64" s="22"/>
      <c r="AT64" s="22"/>
      <c r="AU64" s="22"/>
      <c r="AV64" s="22"/>
      <c r="AW64" s="23"/>
      <c r="AX64" s="27"/>
      <c r="AY64" s="25"/>
      <c r="AZ64" s="27"/>
      <c r="BA64" s="25"/>
      <c r="BB64" s="22"/>
      <c r="BC64" s="22"/>
      <c r="BD64" s="22"/>
      <c r="BE64" s="22"/>
      <c r="BF64" s="23"/>
      <c r="BG64" s="23"/>
      <c r="BH64" s="22" t="s">
        <v>435</v>
      </c>
      <c r="BI64" s="23">
        <v>1</v>
      </c>
      <c r="BJ64" s="23">
        <v>0</v>
      </c>
      <c r="BK64" s="24"/>
      <c r="BL64" s="24"/>
      <c r="BM64" s="22"/>
      <c r="BN64" s="24">
        <v>45796</v>
      </c>
      <c r="BO64" s="24">
        <v>45796</v>
      </c>
      <c r="BP64" s="25">
        <v>75.290000000000006</v>
      </c>
      <c r="BQ64" s="24">
        <v>45795</v>
      </c>
    </row>
    <row r="65" spans="1:69" ht="22.5" hidden="1" customHeight="1" x14ac:dyDescent="0.2">
      <c r="A65" s="22" t="s">
        <v>262</v>
      </c>
      <c r="B65" s="22"/>
      <c r="C65" s="22" t="s">
        <v>221</v>
      </c>
      <c r="D65" s="22" t="s">
        <v>222</v>
      </c>
      <c r="E65" s="23">
        <v>408241</v>
      </c>
      <c r="F65" s="23">
        <v>889</v>
      </c>
      <c r="G65" s="23">
        <v>131</v>
      </c>
      <c r="H65" s="23">
        <v>0</v>
      </c>
      <c r="I65" s="24">
        <v>45789</v>
      </c>
      <c r="J65" s="22" t="s">
        <v>395</v>
      </c>
      <c r="K65" s="22" t="s">
        <v>436</v>
      </c>
      <c r="L65" s="25">
        <v>63.1</v>
      </c>
      <c r="M65" s="25">
        <v>5.83</v>
      </c>
      <c r="N65" s="25">
        <v>68.930000000000007</v>
      </c>
      <c r="O65" s="22"/>
      <c r="P65" s="26">
        <v>45796</v>
      </c>
      <c r="Q65" s="25">
        <v>68.930000000000007</v>
      </c>
      <c r="R65" s="22" t="s">
        <v>437</v>
      </c>
      <c r="S65" s="25">
        <v>0</v>
      </c>
      <c r="T65" s="22"/>
      <c r="U65" s="23"/>
      <c r="V65" s="22"/>
      <c r="W65" s="23"/>
      <c r="X65" s="23"/>
      <c r="Y65" s="23"/>
      <c r="Z65" s="25">
        <v>0</v>
      </c>
      <c r="AA65" s="25">
        <v>0</v>
      </c>
      <c r="AB65" s="25">
        <v>0</v>
      </c>
      <c r="AC65" s="22"/>
      <c r="AD65" s="22" t="s">
        <v>293</v>
      </c>
      <c r="AE65" s="22" t="s">
        <v>294</v>
      </c>
      <c r="AF65" s="22" t="s">
        <v>31</v>
      </c>
      <c r="AG65" s="22" t="s">
        <v>57</v>
      </c>
      <c r="AH65" s="22" t="s">
        <v>228</v>
      </c>
      <c r="AI65" s="22" t="s">
        <v>31</v>
      </c>
      <c r="AJ65" s="22"/>
      <c r="AK65" s="22" t="s">
        <v>58</v>
      </c>
      <c r="AL65" s="22" t="s">
        <v>59</v>
      </c>
      <c r="AM65" s="22" t="s">
        <v>231</v>
      </c>
      <c r="AN65" s="22" t="s">
        <v>232</v>
      </c>
      <c r="AO65" s="22" t="s">
        <v>231</v>
      </c>
      <c r="AP65" s="22" t="s">
        <v>232</v>
      </c>
      <c r="AQ65" s="22"/>
      <c r="AR65" s="22"/>
      <c r="AS65" s="22"/>
      <c r="AT65" s="22"/>
      <c r="AU65" s="22"/>
      <c r="AV65" s="22"/>
      <c r="AW65" s="23"/>
      <c r="AX65" s="27"/>
      <c r="AY65" s="25"/>
      <c r="AZ65" s="27"/>
      <c r="BA65" s="25"/>
      <c r="BB65" s="22"/>
      <c r="BC65" s="22"/>
      <c r="BD65" s="22"/>
      <c r="BE65" s="22"/>
      <c r="BF65" s="23"/>
      <c r="BG65" s="23"/>
      <c r="BH65" s="22" t="s">
        <v>438</v>
      </c>
      <c r="BI65" s="23">
        <v>1</v>
      </c>
      <c r="BJ65" s="23">
        <v>0</v>
      </c>
      <c r="BK65" s="24"/>
      <c r="BL65" s="24"/>
      <c r="BM65" s="22"/>
      <c r="BN65" s="24">
        <v>45796</v>
      </c>
      <c r="BO65" s="24">
        <v>45796</v>
      </c>
      <c r="BP65" s="25">
        <v>68.930000000000007</v>
      </c>
      <c r="BQ65" s="24">
        <v>45795</v>
      </c>
    </row>
    <row r="66" spans="1:69" ht="22.5" hidden="1" customHeight="1" x14ac:dyDescent="0.2">
      <c r="A66" s="28" t="s">
        <v>408</v>
      </c>
      <c r="B66" s="28"/>
      <c r="C66" s="28" t="s">
        <v>221</v>
      </c>
      <c r="D66" s="28" t="s">
        <v>222</v>
      </c>
      <c r="E66" s="29">
        <v>409402</v>
      </c>
      <c r="F66" s="29">
        <v>994</v>
      </c>
      <c r="G66" s="29">
        <v>146</v>
      </c>
      <c r="H66" s="29">
        <v>1</v>
      </c>
      <c r="I66" s="30">
        <v>45793</v>
      </c>
      <c r="J66" s="28" t="s">
        <v>281</v>
      </c>
      <c r="K66" s="28" t="s">
        <v>439</v>
      </c>
      <c r="L66" s="31">
        <v>18.239999999999998</v>
      </c>
      <c r="M66" s="31">
        <v>3.65</v>
      </c>
      <c r="N66" s="31">
        <v>21.89</v>
      </c>
      <c r="O66" s="28"/>
      <c r="P66" s="32">
        <v>45796</v>
      </c>
      <c r="Q66" s="31">
        <v>21.89</v>
      </c>
      <c r="R66" s="28"/>
      <c r="S66" s="31">
        <v>0</v>
      </c>
      <c r="T66" s="28"/>
      <c r="U66" s="29"/>
      <c r="V66" s="28"/>
      <c r="W66" s="29"/>
      <c r="X66" s="29"/>
      <c r="Y66" s="29"/>
      <c r="Z66" s="31">
        <v>0</v>
      </c>
      <c r="AA66" s="31">
        <v>0</v>
      </c>
      <c r="AB66" s="31">
        <v>0</v>
      </c>
      <c r="AC66" s="28"/>
      <c r="AD66" s="28" t="s">
        <v>283</v>
      </c>
      <c r="AE66" s="28" t="s">
        <v>284</v>
      </c>
      <c r="AF66" s="28" t="s">
        <v>31</v>
      </c>
      <c r="AG66" s="28" t="s">
        <v>46</v>
      </c>
      <c r="AH66" s="28" t="s">
        <v>228</v>
      </c>
      <c r="AI66" s="28" t="s">
        <v>31</v>
      </c>
      <c r="AJ66" s="28"/>
      <c r="AK66" s="28" t="s">
        <v>285</v>
      </c>
      <c r="AL66" s="28" t="s">
        <v>286</v>
      </c>
      <c r="AM66" s="28" t="s">
        <v>231</v>
      </c>
      <c r="AN66" s="28" t="s">
        <v>232</v>
      </c>
      <c r="AO66" s="28" t="s">
        <v>231</v>
      </c>
      <c r="AP66" s="28" t="s">
        <v>232</v>
      </c>
      <c r="AQ66" s="28"/>
      <c r="AR66" s="28"/>
      <c r="AS66" s="28"/>
      <c r="AT66" s="28"/>
      <c r="AU66" s="28"/>
      <c r="AV66" s="28"/>
      <c r="AW66" s="29"/>
      <c r="AX66" s="33"/>
      <c r="AY66" s="31"/>
      <c r="AZ66" s="33"/>
      <c r="BA66" s="31"/>
      <c r="BB66" s="28"/>
      <c r="BC66" s="28"/>
      <c r="BD66" s="28"/>
      <c r="BE66" s="28"/>
      <c r="BF66" s="29"/>
      <c r="BG66" s="29"/>
      <c r="BH66" s="28"/>
      <c r="BI66" s="29">
        <v>1</v>
      </c>
      <c r="BJ66" s="29">
        <v>0</v>
      </c>
      <c r="BK66" s="30"/>
      <c r="BL66" s="30"/>
      <c r="BM66" s="28"/>
      <c r="BN66" s="30">
        <v>45796</v>
      </c>
      <c r="BO66" s="30">
        <v>45796</v>
      </c>
      <c r="BP66" s="31">
        <v>21.89</v>
      </c>
      <c r="BQ66" s="30">
        <v>45795</v>
      </c>
    </row>
    <row r="67" spans="1:69" ht="22.5" hidden="1" customHeight="1" x14ac:dyDescent="0.2">
      <c r="A67" s="28" t="s">
        <v>262</v>
      </c>
      <c r="B67" s="28"/>
      <c r="C67" s="28" t="s">
        <v>221</v>
      </c>
      <c r="D67" s="28" t="s">
        <v>222</v>
      </c>
      <c r="E67" s="29">
        <v>409425</v>
      </c>
      <c r="F67" s="29">
        <v>998</v>
      </c>
      <c r="G67" s="29">
        <v>147</v>
      </c>
      <c r="H67" s="29">
        <v>0</v>
      </c>
      <c r="I67" s="30">
        <v>45798</v>
      </c>
      <c r="J67" s="28" t="s">
        <v>263</v>
      </c>
      <c r="K67" s="28" t="s">
        <v>440</v>
      </c>
      <c r="L67" s="31">
        <v>82.47</v>
      </c>
      <c r="M67" s="31">
        <v>16.489999999999998</v>
      </c>
      <c r="N67" s="31">
        <v>98.96</v>
      </c>
      <c r="O67" s="28"/>
      <c r="P67" s="32">
        <v>45811</v>
      </c>
      <c r="Q67" s="31">
        <v>98.96</v>
      </c>
      <c r="R67" s="28" t="s">
        <v>441</v>
      </c>
      <c r="S67" s="31">
        <v>0</v>
      </c>
      <c r="T67" s="28"/>
      <c r="U67" s="29"/>
      <c r="V67" s="28"/>
      <c r="W67" s="29"/>
      <c r="X67" s="29"/>
      <c r="Y67" s="29"/>
      <c r="Z67" s="31">
        <v>0</v>
      </c>
      <c r="AA67" s="31">
        <v>0</v>
      </c>
      <c r="AB67" s="31">
        <v>0</v>
      </c>
      <c r="AC67" s="28"/>
      <c r="AD67" s="28" t="s">
        <v>293</v>
      </c>
      <c r="AE67" s="28" t="s">
        <v>294</v>
      </c>
      <c r="AF67" s="28" t="s">
        <v>31</v>
      </c>
      <c r="AG67" s="28" t="s">
        <v>53</v>
      </c>
      <c r="AH67" s="28" t="s">
        <v>228</v>
      </c>
      <c r="AI67" s="28" t="s">
        <v>31</v>
      </c>
      <c r="AJ67" s="28"/>
      <c r="AK67" s="28" t="s">
        <v>239</v>
      </c>
      <c r="AL67" s="28" t="s">
        <v>243</v>
      </c>
      <c r="AM67" s="28" t="s">
        <v>231</v>
      </c>
      <c r="AN67" s="28" t="s">
        <v>232</v>
      </c>
      <c r="AO67" s="28" t="s">
        <v>231</v>
      </c>
      <c r="AP67" s="28" t="s">
        <v>232</v>
      </c>
      <c r="AQ67" s="28"/>
      <c r="AR67" s="28"/>
      <c r="AS67" s="28"/>
      <c r="AT67" s="28"/>
      <c r="AU67" s="28"/>
      <c r="AV67" s="28"/>
      <c r="AW67" s="29"/>
      <c r="AX67" s="33"/>
      <c r="AY67" s="31"/>
      <c r="AZ67" s="33"/>
      <c r="BA67" s="31"/>
      <c r="BB67" s="28"/>
      <c r="BC67" s="28"/>
      <c r="BD67" s="28"/>
      <c r="BE67" s="28"/>
      <c r="BF67" s="29"/>
      <c r="BG67" s="29"/>
      <c r="BH67" s="28" t="s">
        <v>442</v>
      </c>
      <c r="BI67" s="29">
        <v>1</v>
      </c>
      <c r="BJ67" s="29">
        <v>0</v>
      </c>
      <c r="BK67" s="30"/>
      <c r="BL67" s="30"/>
      <c r="BM67" s="28"/>
      <c r="BN67" s="30">
        <v>45811</v>
      </c>
      <c r="BO67" s="30">
        <v>45811</v>
      </c>
      <c r="BP67" s="31">
        <v>98.96</v>
      </c>
      <c r="BQ67" s="30">
        <v>45810</v>
      </c>
    </row>
    <row r="68" spans="1:69" ht="22.5" hidden="1" customHeight="1" x14ac:dyDescent="0.2">
      <c r="A68" s="28" t="s">
        <v>262</v>
      </c>
      <c r="B68" s="28"/>
      <c r="C68" s="28" t="s">
        <v>221</v>
      </c>
      <c r="D68" s="28" t="s">
        <v>222</v>
      </c>
      <c r="E68" s="29">
        <v>409433</v>
      </c>
      <c r="F68" s="29">
        <v>999</v>
      </c>
      <c r="G68" s="29">
        <v>147</v>
      </c>
      <c r="H68" s="29">
        <v>0</v>
      </c>
      <c r="I68" s="30">
        <v>45798</v>
      </c>
      <c r="J68" s="28" t="s">
        <v>263</v>
      </c>
      <c r="K68" s="28" t="s">
        <v>443</v>
      </c>
      <c r="L68" s="31">
        <v>166.29</v>
      </c>
      <c r="M68" s="31">
        <v>14.2</v>
      </c>
      <c r="N68" s="31">
        <v>180.49</v>
      </c>
      <c r="O68" s="28"/>
      <c r="P68" s="32">
        <v>45811</v>
      </c>
      <c r="Q68" s="31">
        <v>180.49</v>
      </c>
      <c r="R68" s="28" t="s">
        <v>444</v>
      </c>
      <c r="S68" s="31">
        <v>0</v>
      </c>
      <c r="T68" s="28"/>
      <c r="U68" s="29"/>
      <c r="V68" s="28"/>
      <c r="W68" s="29"/>
      <c r="X68" s="29"/>
      <c r="Y68" s="29"/>
      <c r="Z68" s="31">
        <v>0</v>
      </c>
      <c r="AA68" s="31">
        <v>0</v>
      </c>
      <c r="AB68" s="31">
        <v>0</v>
      </c>
      <c r="AC68" s="28"/>
      <c r="AD68" s="28" t="s">
        <v>293</v>
      </c>
      <c r="AE68" s="28" t="s">
        <v>294</v>
      </c>
      <c r="AF68" s="28" t="s">
        <v>31</v>
      </c>
      <c r="AG68" s="28" t="s">
        <v>53</v>
      </c>
      <c r="AH68" s="28" t="s">
        <v>228</v>
      </c>
      <c r="AI68" s="28" t="s">
        <v>31</v>
      </c>
      <c r="AJ68" s="28"/>
      <c r="AK68" s="28" t="s">
        <v>239</v>
      </c>
      <c r="AL68" s="28" t="s">
        <v>243</v>
      </c>
      <c r="AM68" s="28" t="s">
        <v>231</v>
      </c>
      <c r="AN68" s="28" t="s">
        <v>232</v>
      </c>
      <c r="AO68" s="28" t="s">
        <v>231</v>
      </c>
      <c r="AP68" s="28" t="s">
        <v>232</v>
      </c>
      <c r="AQ68" s="28"/>
      <c r="AR68" s="28"/>
      <c r="AS68" s="28"/>
      <c r="AT68" s="28"/>
      <c r="AU68" s="28"/>
      <c r="AV68" s="28"/>
      <c r="AW68" s="29"/>
      <c r="AX68" s="33"/>
      <c r="AY68" s="31"/>
      <c r="AZ68" s="33"/>
      <c r="BA68" s="31"/>
      <c r="BB68" s="28"/>
      <c r="BC68" s="28"/>
      <c r="BD68" s="28"/>
      <c r="BE68" s="28"/>
      <c r="BF68" s="29"/>
      <c r="BG68" s="29"/>
      <c r="BH68" s="28" t="s">
        <v>445</v>
      </c>
      <c r="BI68" s="29">
        <v>1</v>
      </c>
      <c r="BJ68" s="29">
        <v>0</v>
      </c>
      <c r="BK68" s="30"/>
      <c r="BL68" s="30"/>
      <c r="BM68" s="28"/>
      <c r="BN68" s="30">
        <v>45811</v>
      </c>
      <c r="BO68" s="30">
        <v>45811</v>
      </c>
      <c r="BP68" s="31">
        <v>180.49</v>
      </c>
      <c r="BQ68" s="30">
        <v>45810</v>
      </c>
    </row>
    <row r="69" spans="1:69" ht="22.5" hidden="1" customHeight="1" x14ac:dyDescent="0.2">
      <c r="A69" s="28" t="s">
        <v>262</v>
      </c>
      <c r="B69" s="28"/>
      <c r="C69" s="28" t="s">
        <v>221</v>
      </c>
      <c r="D69" s="28" t="s">
        <v>222</v>
      </c>
      <c r="E69" s="29">
        <v>409437</v>
      </c>
      <c r="F69" s="29">
        <v>1000</v>
      </c>
      <c r="G69" s="29">
        <v>147</v>
      </c>
      <c r="H69" s="29">
        <v>0</v>
      </c>
      <c r="I69" s="30">
        <v>45798</v>
      </c>
      <c r="J69" s="28" t="s">
        <v>263</v>
      </c>
      <c r="K69" s="28" t="s">
        <v>446</v>
      </c>
      <c r="L69" s="31">
        <v>113.71</v>
      </c>
      <c r="M69" s="31">
        <v>10.34</v>
      </c>
      <c r="N69" s="31">
        <v>124.05</v>
      </c>
      <c r="O69" s="28"/>
      <c r="P69" s="32">
        <v>45811</v>
      </c>
      <c r="Q69" s="31">
        <v>124.05</v>
      </c>
      <c r="R69" s="28" t="s">
        <v>447</v>
      </c>
      <c r="S69" s="31">
        <v>0</v>
      </c>
      <c r="T69" s="28"/>
      <c r="U69" s="29"/>
      <c r="V69" s="28"/>
      <c r="W69" s="29"/>
      <c r="X69" s="29"/>
      <c r="Y69" s="29"/>
      <c r="Z69" s="31">
        <v>0</v>
      </c>
      <c r="AA69" s="31">
        <v>0</v>
      </c>
      <c r="AB69" s="31">
        <v>0</v>
      </c>
      <c r="AC69" s="28"/>
      <c r="AD69" s="28" t="s">
        <v>365</v>
      </c>
      <c r="AE69" s="28" t="s">
        <v>366</v>
      </c>
      <c r="AF69" s="28" t="s">
        <v>31</v>
      </c>
      <c r="AG69" s="28" t="s">
        <v>46</v>
      </c>
      <c r="AH69" s="28" t="s">
        <v>228</v>
      </c>
      <c r="AI69" s="28" t="s">
        <v>31</v>
      </c>
      <c r="AJ69" s="28"/>
      <c r="AK69" s="28" t="s">
        <v>289</v>
      </c>
      <c r="AL69" s="28" t="s">
        <v>31</v>
      </c>
      <c r="AM69" s="28" t="s">
        <v>231</v>
      </c>
      <c r="AN69" s="28" t="s">
        <v>232</v>
      </c>
      <c r="AO69" s="28" t="s">
        <v>231</v>
      </c>
      <c r="AP69" s="28" t="s">
        <v>232</v>
      </c>
      <c r="AQ69" s="28"/>
      <c r="AR69" s="28"/>
      <c r="AS69" s="28"/>
      <c r="AT69" s="28"/>
      <c r="AU69" s="28"/>
      <c r="AV69" s="28"/>
      <c r="AW69" s="29"/>
      <c r="AX69" s="33"/>
      <c r="AY69" s="31"/>
      <c r="AZ69" s="33"/>
      <c r="BA69" s="31"/>
      <c r="BB69" s="28"/>
      <c r="BC69" s="28"/>
      <c r="BD69" s="28"/>
      <c r="BE69" s="28"/>
      <c r="BF69" s="29"/>
      <c r="BG69" s="29"/>
      <c r="BH69" s="28" t="s">
        <v>448</v>
      </c>
      <c r="BI69" s="29">
        <v>1</v>
      </c>
      <c r="BJ69" s="29">
        <v>0</v>
      </c>
      <c r="BK69" s="30"/>
      <c r="BL69" s="30"/>
      <c r="BM69" s="28"/>
      <c r="BN69" s="30">
        <v>45811</v>
      </c>
      <c r="BO69" s="30">
        <v>45811</v>
      </c>
      <c r="BP69" s="31">
        <v>124.05</v>
      </c>
      <c r="BQ69" s="30">
        <v>45810</v>
      </c>
    </row>
    <row r="70" spans="1:69" ht="22.5" hidden="1" customHeight="1" x14ac:dyDescent="0.2">
      <c r="A70" s="22" t="s">
        <v>262</v>
      </c>
      <c r="B70" s="22"/>
      <c r="C70" s="22" t="s">
        <v>221</v>
      </c>
      <c r="D70" s="22" t="s">
        <v>222</v>
      </c>
      <c r="E70" s="23">
        <v>409438</v>
      </c>
      <c r="F70" s="23">
        <v>1001</v>
      </c>
      <c r="G70" s="23">
        <v>147</v>
      </c>
      <c r="H70" s="23">
        <v>0</v>
      </c>
      <c r="I70" s="24">
        <v>45798</v>
      </c>
      <c r="J70" s="22" t="s">
        <v>263</v>
      </c>
      <c r="K70" s="22" t="s">
        <v>449</v>
      </c>
      <c r="L70" s="25">
        <v>11.75</v>
      </c>
      <c r="M70" s="25">
        <v>0.65</v>
      </c>
      <c r="N70" s="25">
        <v>12.4</v>
      </c>
      <c r="O70" s="22"/>
      <c r="P70" s="26">
        <v>45811</v>
      </c>
      <c r="Q70" s="25">
        <v>12.4</v>
      </c>
      <c r="R70" s="22" t="s">
        <v>450</v>
      </c>
      <c r="S70" s="25">
        <v>0</v>
      </c>
      <c r="T70" s="22"/>
      <c r="U70" s="23"/>
      <c r="V70" s="22"/>
      <c r="W70" s="23"/>
      <c r="X70" s="23"/>
      <c r="Y70" s="23"/>
      <c r="Z70" s="25">
        <v>0</v>
      </c>
      <c r="AA70" s="25">
        <v>0</v>
      </c>
      <c r="AB70" s="25">
        <v>0</v>
      </c>
      <c r="AC70" s="22"/>
      <c r="AD70" s="22" t="s">
        <v>365</v>
      </c>
      <c r="AE70" s="22" t="s">
        <v>366</v>
      </c>
      <c r="AF70" s="22" t="s">
        <v>31</v>
      </c>
      <c r="AG70" s="22" t="s">
        <v>259</v>
      </c>
      <c r="AH70" s="22" t="s">
        <v>228</v>
      </c>
      <c r="AI70" s="22" t="s">
        <v>31</v>
      </c>
      <c r="AJ70" s="22"/>
      <c r="AK70" s="22" t="s">
        <v>260</v>
      </c>
      <c r="AL70" s="22" t="s">
        <v>31</v>
      </c>
      <c r="AM70" s="22" t="s">
        <v>231</v>
      </c>
      <c r="AN70" s="22" t="s">
        <v>232</v>
      </c>
      <c r="AO70" s="22" t="s">
        <v>231</v>
      </c>
      <c r="AP70" s="22" t="s">
        <v>232</v>
      </c>
      <c r="AQ70" s="22"/>
      <c r="AR70" s="22"/>
      <c r="AS70" s="22"/>
      <c r="AT70" s="22"/>
      <c r="AU70" s="22"/>
      <c r="AV70" s="22"/>
      <c r="AW70" s="23"/>
      <c r="AX70" s="27"/>
      <c r="AY70" s="25"/>
      <c r="AZ70" s="27"/>
      <c r="BA70" s="25"/>
      <c r="BB70" s="22"/>
      <c r="BC70" s="22"/>
      <c r="BD70" s="22"/>
      <c r="BE70" s="22"/>
      <c r="BF70" s="23"/>
      <c r="BG70" s="23"/>
      <c r="BH70" s="22" t="s">
        <v>451</v>
      </c>
      <c r="BI70" s="23">
        <v>1</v>
      </c>
      <c r="BJ70" s="23">
        <v>0</v>
      </c>
      <c r="BK70" s="24"/>
      <c r="BL70" s="24"/>
      <c r="BM70" s="22"/>
      <c r="BN70" s="24">
        <v>45811</v>
      </c>
      <c r="BO70" s="24">
        <v>45811</v>
      </c>
      <c r="BP70" s="25">
        <v>12.4</v>
      </c>
      <c r="BQ70" s="24">
        <v>45810</v>
      </c>
    </row>
    <row r="71" spans="1:69" ht="22.5" hidden="1" customHeight="1" x14ac:dyDescent="0.2">
      <c r="A71" s="22" t="s">
        <v>262</v>
      </c>
      <c r="B71" s="22"/>
      <c r="C71" s="22" t="s">
        <v>221</v>
      </c>
      <c r="D71" s="22" t="s">
        <v>222</v>
      </c>
      <c r="E71" s="23">
        <v>409473</v>
      </c>
      <c r="F71" s="23">
        <v>1030</v>
      </c>
      <c r="G71" s="23">
        <v>152</v>
      </c>
      <c r="H71" s="23">
        <v>0</v>
      </c>
      <c r="I71" s="24">
        <v>45804</v>
      </c>
      <c r="J71" s="22" t="s">
        <v>395</v>
      </c>
      <c r="K71" s="22" t="s">
        <v>452</v>
      </c>
      <c r="L71" s="25">
        <v>86.27</v>
      </c>
      <c r="M71" s="25">
        <v>11.88</v>
      </c>
      <c r="N71" s="25">
        <v>98.15</v>
      </c>
      <c r="O71" s="22"/>
      <c r="P71" s="26">
        <v>45810</v>
      </c>
      <c r="Q71" s="25">
        <v>98.15</v>
      </c>
      <c r="R71" s="22" t="s">
        <v>453</v>
      </c>
      <c r="S71" s="25">
        <v>0</v>
      </c>
      <c r="T71" s="22"/>
      <c r="U71" s="23"/>
      <c r="V71" s="22"/>
      <c r="W71" s="23"/>
      <c r="X71" s="23"/>
      <c r="Y71" s="23"/>
      <c r="Z71" s="25">
        <v>0</v>
      </c>
      <c r="AA71" s="25">
        <v>0</v>
      </c>
      <c r="AB71" s="25">
        <v>0</v>
      </c>
      <c r="AC71" s="22"/>
      <c r="AD71" s="22" t="s">
        <v>365</v>
      </c>
      <c r="AE71" s="22" t="s">
        <v>366</v>
      </c>
      <c r="AF71" s="22" t="s">
        <v>31</v>
      </c>
      <c r="AG71" s="22" t="s">
        <v>288</v>
      </c>
      <c r="AH71" s="22" t="s">
        <v>228</v>
      </c>
      <c r="AI71" s="22" t="s">
        <v>31</v>
      </c>
      <c r="AJ71" s="22"/>
      <c r="AK71" s="22" t="s">
        <v>289</v>
      </c>
      <c r="AL71" s="22" t="s">
        <v>31</v>
      </c>
      <c r="AM71" s="22" t="s">
        <v>231</v>
      </c>
      <c r="AN71" s="22" t="s">
        <v>232</v>
      </c>
      <c r="AO71" s="22" t="s">
        <v>231</v>
      </c>
      <c r="AP71" s="22" t="s">
        <v>232</v>
      </c>
      <c r="AQ71" s="22"/>
      <c r="AR71" s="22"/>
      <c r="AS71" s="22"/>
      <c r="AT71" s="22"/>
      <c r="AU71" s="22"/>
      <c r="AV71" s="22"/>
      <c r="AW71" s="23"/>
      <c r="AX71" s="27"/>
      <c r="AY71" s="25"/>
      <c r="AZ71" s="27"/>
      <c r="BA71" s="25"/>
      <c r="BB71" s="22"/>
      <c r="BC71" s="22"/>
      <c r="BD71" s="22"/>
      <c r="BE71" s="22"/>
      <c r="BF71" s="23"/>
      <c r="BG71" s="23"/>
      <c r="BH71" s="22" t="s">
        <v>454</v>
      </c>
      <c r="BI71" s="23">
        <v>1</v>
      </c>
      <c r="BJ71" s="23">
        <v>0</v>
      </c>
      <c r="BK71" s="24"/>
      <c r="BL71" s="24"/>
      <c r="BM71" s="22"/>
      <c r="BN71" s="24">
        <v>45810</v>
      </c>
      <c r="BO71" s="24">
        <v>45810</v>
      </c>
      <c r="BP71" s="25">
        <v>98.15</v>
      </c>
      <c r="BQ71" s="24">
        <v>45809</v>
      </c>
    </row>
    <row r="72" spans="1:69" ht="22.5" hidden="1" customHeight="1" x14ac:dyDescent="0.2">
      <c r="A72" s="22" t="s">
        <v>262</v>
      </c>
      <c r="B72" s="22"/>
      <c r="C72" s="22" t="s">
        <v>221</v>
      </c>
      <c r="D72" s="22" t="s">
        <v>222</v>
      </c>
      <c r="E72" s="23">
        <v>409545</v>
      </c>
      <c r="F72" s="23">
        <v>1067</v>
      </c>
      <c r="G72" s="23">
        <v>158</v>
      </c>
      <c r="H72" s="23">
        <v>0</v>
      </c>
      <c r="I72" s="24">
        <v>45811</v>
      </c>
      <c r="J72" s="22" t="s">
        <v>395</v>
      </c>
      <c r="K72" s="22" t="s">
        <v>455</v>
      </c>
      <c r="L72" s="25">
        <v>362.96</v>
      </c>
      <c r="M72" s="25">
        <v>30.61</v>
      </c>
      <c r="N72" s="25">
        <v>393.57</v>
      </c>
      <c r="O72" s="22"/>
      <c r="P72" s="26">
        <v>45821</v>
      </c>
      <c r="Q72" s="25">
        <v>393.57</v>
      </c>
      <c r="R72" s="22" t="s">
        <v>456</v>
      </c>
      <c r="S72" s="25">
        <v>0</v>
      </c>
      <c r="T72" s="22"/>
      <c r="U72" s="23"/>
      <c r="V72" s="22"/>
      <c r="W72" s="23"/>
      <c r="X72" s="23"/>
      <c r="Y72" s="23"/>
      <c r="Z72" s="25">
        <v>0</v>
      </c>
      <c r="AA72" s="25">
        <v>0</v>
      </c>
      <c r="AB72" s="25">
        <v>0</v>
      </c>
      <c r="AC72" s="22"/>
      <c r="AD72" s="22" t="s">
        <v>293</v>
      </c>
      <c r="AE72" s="22" t="s">
        <v>294</v>
      </c>
      <c r="AF72" s="22" t="s">
        <v>31</v>
      </c>
      <c r="AG72" s="22" t="s">
        <v>53</v>
      </c>
      <c r="AH72" s="22" t="s">
        <v>228</v>
      </c>
      <c r="AI72" s="22" t="s">
        <v>31</v>
      </c>
      <c r="AJ72" s="22"/>
      <c r="AK72" s="22" t="s">
        <v>239</v>
      </c>
      <c r="AL72" s="22" t="s">
        <v>457</v>
      </c>
      <c r="AM72" s="22" t="s">
        <v>231</v>
      </c>
      <c r="AN72" s="22" t="s">
        <v>232</v>
      </c>
      <c r="AO72" s="22" t="s">
        <v>231</v>
      </c>
      <c r="AP72" s="22" t="s">
        <v>232</v>
      </c>
      <c r="AQ72" s="22"/>
      <c r="AR72" s="22"/>
      <c r="AS72" s="22"/>
      <c r="AT72" s="22"/>
      <c r="AU72" s="22"/>
      <c r="AV72" s="22"/>
      <c r="AW72" s="23"/>
      <c r="AX72" s="27"/>
      <c r="AY72" s="25"/>
      <c r="AZ72" s="27"/>
      <c r="BA72" s="25"/>
      <c r="BB72" s="22"/>
      <c r="BC72" s="22"/>
      <c r="BD72" s="22"/>
      <c r="BE72" s="22"/>
      <c r="BF72" s="23"/>
      <c r="BG72" s="23"/>
      <c r="BH72" s="22" t="s">
        <v>458</v>
      </c>
      <c r="BI72" s="23">
        <v>1</v>
      </c>
      <c r="BJ72" s="23">
        <v>0</v>
      </c>
      <c r="BK72" s="24"/>
      <c r="BL72" s="24"/>
      <c r="BM72" s="22"/>
      <c r="BN72" s="24">
        <v>45821</v>
      </c>
      <c r="BO72" s="24">
        <v>45821</v>
      </c>
      <c r="BP72" s="25">
        <v>393.57</v>
      </c>
      <c r="BQ72" s="24">
        <v>45820</v>
      </c>
    </row>
    <row r="73" spans="1:69" ht="22.5" customHeight="1" x14ac:dyDescent="0.2">
      <c r="A73" s="22" t="s">
        <v>262</v>
      </c>
      <c r="B73" s="22"/>
      <c r="C73" s="22" t="s">
        <v>221</v>
      </c>
      <c r="D73" s="22" t="s">
        <v>222</v>
      </c>
      <c r="E73" s="23">
        <v>409926</v>
      </c>
      <c r="F73" s="23">
        <v>1076</v>
      </c>
      <c r="G73" s="23">
        <v>160</v>
      </c>
      <c r="H73" s="23">
        <v>0</v>
      </c>
      <c r="I73" s="24">
        <v>45812</v>
      </c>
      <c r="J73" s="22" t="s">
        <v>395</v>
      </c>
      <c r="K73" s="22" t="s">
        <v>459</v>
      </c>
      <c r="L73" s="25">
        <v>469.04</v>
      </c>
      <c r="M73" s="25">
        <v>25.8</v>
      </c>
      <c r="N73" s="25">
        <v>494.84</v>
      </c>
      <c r="O73" s="22"/>
      <c r="P73" s="26">
        <v>45821</v>
      </c>
      <c r="Q73" s="25">
        <v>494.84</v>
      </c>
      <c r="R73" s="22" t="s">
        <v>460</v>
      </c>
      <c r="S73" s="25">
        <v>0</v>
      </c>
      <c r="T73" s="22"/>
      <c r="U73" s="23"/>
      <c r="V73" s="22"/>
      <c r="W73" s="23"/>
      <c r="X73" s="23"/>
      <c r="Y73" s="23"/>
      <c r="Z73" s="25">
        <v>0</v>
      </c>
      <c r="AA73" s="25">
        <v>0</v>
      </c>
      <c r="AB73" s="25">
        <v>0</v>
      </c>
      <c r="AC73" s="22"/>
      <c r="AD73" s="22" t="s">
        <v>266</v>
      </c>
      <c r="AE73" s="22" t="s">
        <v>267</v>
      </c>
      <c r="AF73" s="22" t="s">
        <v>31</v>
      </c>
      <c r="AG73" s="22" t="s">
        <v>32</v>
      </c>
      <c r="AH73" s="22" t="s">
        <v>228</v>
      </c>
      <c r="AI73" s="22" t="s">
        <v>31</v>
      </c>
      <c r="AJ73" s="22"/>
      <c r="AK73" s="22" t="s">
        <v>34</v>
      </c>
      <c r="AL73" s="22" t="s">
        <v>31</v>
      </c>
      <c r="AM73" s="22" t="s">
        <v>231</v>
      </c>
      <c r="AN73" s="22" t="s">
        <v>232</v>
      </c>
      <c r="AO73" s="22" t="s">
        <v>231</v>
      </c>
      <c r="AP73" s="22" t="s">
        <v>232</v>
      </c>
      <c r="AQ73" s="22"/>
      <c r="AR73" s="22"/>
      <c r="AS73" s="22"/>
      <c r="AT73" s="22"/>
      <c r="AU73" s="22"/>
      <c r="AV73" s="22"/>
      <c r="AW73" s="23"/>
      <c r="AX73" s="27"/>
      <c r="AY73" s="25"/>
      <c r="AZ73" s="27"/>
      <c r="BA73" s="25"/>
      <c r="BB73" s="22"/>
      <c r="BC73" s="22"/>
      <c r="BD73" s="22"/>
      <c r="BE73" s="22"/>
      <c r="BF73" s="23"/>
      <c r="BG73" s="23"/>
      <c r="BH73" s="22" t="s">
        <v>461</v>
      </c>
      <c r="BI73" s="23">
        <v>1</v>
      </c>
      <c r="BJ73" s="23">
        <v>0</v>
      </c>
      <c r="BK73" s="24"/>
      <c r="BL73" s="24"/>
      <c r="BM73" s="22"/>
      <c r="BN73" s="24">
        <v>45821</v>
      </c>
      <c r="BO73" s="24">
        <v>45821</v>
      </c>
      <c r="BP73" s="25">
        <v>494.84</v>
      </c>
      <c r="BQ73" s="24">
        <v>45820</v>
      </c>
    </row>
    <row r="74" spans="1:69" ht="22.5" customHeight="1" x14ac:dyDescent="0.2">
      <c r="A74" s="28" t="s">
        <v>262</v>
      </c>
      <c r="B74" s="28"/>
      <c r="C74" s="28" t="s">
        <v>221</v>
      </c>
      <c r="D74" s="28" t="s">
        <v>222</v>
      </c>
      <c r="E74" s="29">
        <v>409927</v>
      </c>
      <c r="F74" s="29">
        <v>1077</v>
      </c>
      <c r="G74" s="29">
        <v>160</v>
      </c>
      <c r="H74" s="29">
        <v>0</v>
      </c>
      <c r="I74" s="30">
        <v>45812</v>
      </c>
      <c r="J74" s="28" t="s">
        <v>395</v>
      </c>
      <c r="K74" s="28" t="s">
        <v>462</v>
      </c>
      <c r="L74" s="31">
        <v>24.64</v>
      </c>
      <c r="M74" s="31">
        <v>1.36</v>
      </c>
      <c r="N74" s="31">
        <v>26</v>
      </c>
      <c r="O74" s="28"/>
      <c r="P74" s="32">
        <v>45821</v>
      </c>
      <c r="Q74" s="31">
        <v>26</v>
      </c>
      <c r="R74" s="28" t="s">
        <v>463</v>
      </c>
      <c r="S74" s="31">
        <v>0</v>
      </c>
      <c r="T74" s="28"/>
      <c r="U74" s="29"/>
      <c r="V74" s="28"/>
      <c r="W74" s="29"/>
      <c r="X74" s="29"/>
      <c r="Y74" s="29"/>
      <c r="Z74" s="31">
        <v>0</v>
      </c>
      <c r="AA74" s="31">
        <v>0</v>
      </c>
      <c r="AB74" s="31">
        <v>0</v>
      </c>
      <c r="AC74" s="28"/>
      <c r="AD74" s="28" t="s">
        <v>266</v>
      </c>
      <c r="AE74" s="28" t="s">
        <v>267</v>
      </c>
      <c r="AF74" s="28" t="s">
        <v>31</v>
      </c>
      <c r="AG74" s="28" t="s">
        <v>42</v>
      </c>
      <c r="AH74" s="28" t="s">
        <v>228</v>
      </c>
      <c r="AI74" s="28" t="s">
        <v>31</v>
      </c>
      <c r="AJ74" s="28"/>
      <c r="AK74" s="28" t="s">
        <v>34</v>
      </c>
      <c r="AL74" s="28" t="s">
        <v>250</v>
      </c>
      <c r="AM74" s="28" t="s">
        <v>231</v>
      </c>
      <c r="AN74" s="28" t="s">
        <v>232</v>
      </c>
      <c r="AO74" s="28" t="s">
        <v>231</v>
      </c>
      <c r="AP74" s="28" t="s">
        <v>232</v>
      </c>
      <c r="AQ74" s="28"/>
      <c r="AR74" s="28"/>
      <c r="AS74" s="28"/>
      <c r="AT74" s="28"/>
      <c r="AU74" s="28"/>
      <c r="AV74" s="28"/>
      <c r="AW74" s="29"/>
      <c r="AX74" s="33"/>
      <c r="AY74" s="31"/>
      <c r="AZ74" s="33"/>
      <c r="BA74" s="31"/>
      <c r="BB74" s="28"/>
      <c r="BC74" s="28"/>
      <c r="BD74" s="28"/>
      <c r="BE74" s="28"/>
      <c r="BF74" s="29"/>
      <c r="BG74" s="29"/>
      <c r="BH74" s="28" t="s">
        <v>464</v>
      </c>
      <c r="BI74" s="29">
        <v>1</v>
      </c>
      <c r="BJ74" s="29">
        <v>0</v>
      </c>
      <c r="BK74" s="30"/>
      <c r="BL74" s="30"/>
      <c r="BM74" s="28"/>
      <c r="BN74" s="30">
        <v>45821</v>
      </c>
      <c r="BO74" s="30">
        <v>45821</v>
      </c>
      <c r="BP74" s="31">
        <v>26</v>
      </c>
      <c r="BQ74" s="30">
        <v>45820</v>
      </c>
    </row>
    <row r="75" spans="1:69" ht="22.5" customHeight="1" x14ac:dyDescent="0.2">
      <c r="A75" s="22" t="s">
        <v>262</v>
      </c>
      <c r="B75" s="22"/>
      <c r="C75" s="22" t="s">
        <v>221</v>
      </c>
      <c r="D75" s="22" t="s">
        <v>222</v>
      </c>
      <c r="E75" s="23">
        <v>409928</v>
      </c>
      <c r="F75" s="23">
        <v>1078</v>
      </c>
      <c r="G75" s="23">
        <v>160</v>
      </c>
      <c r="H75" s="23">
        <v>0</v>
      </c>
      <c r="I75" s="24">
        <v>45812</v>
      </c>
      <c r="J75" s="22" t="s">
        <v>395</v>
      </c>
      <c r="K75" s="22" t="s">
        <v>465</v>
      </c>
      <c r="L75" s="25">
        <v>24.64</v>
      </c>
      <c r="M75" s="25">
        <v>1.36</v>
      </c>
      <c r="N75" s="25">
        <v>26</v>
      </c>
      <c r="O75" s="22"/>
      <c r="P75" s="26">
        <v>45821</v>
      </c>
      <c r="Q75" s="25">
        <v>26</v>
      </c>
      <c r="R75" s="22" t="s">
        <v>466</v>
      </c>
      <c r="S75" s="25">
        <v>0</v>
      </c>
      <c r="T75" s="22"/>
      <c r="U75" s="23"/>
      <c r="V75" s="22"/>
      <c r="W75" s="23"/>
      <c r="X75" s="23"/>
      <c r="Y75" s="23"/>
      <c r="Z75" s="25">
        <v>0</v>
      </c>
      <c r="AA75" s="25">
        <v>0</v>
      </c>
      <c r="AB75" s="25">
        <v>0</v>
      </c>
      <c r="AC75" s="22"/>
      <c r="AD75" s="22" t="s">
        <v>266</v>
      </c>
      <c r="AE75" s="22" t="s">
        <v>267</v>
      </c>
      <c r="AF75" s="22" t="s">
        <v>31</v>
      </c>
      <c r="AG75" s="22" t="s">
        <v>42</v>
      </c>
      <c r="AH75" s="22" t="s">
        <v>228</v>
      </c>
      <c r="AI75" s="22" t="s">
        <v>31</v>
      </c>
      <c r="AJ75" s="22"/>
      <c r="AK75" s="22" t="s">
        <v>34</v>
      </c>
      <c r="AL75" s="22" t="s">
        <v>50</v>
      </c>
      <c r="AM75" s="22" t="s">
        <v>231</v>
      </c>
      <c r="AN75" s="22" t="s">
        <v>232</v>
      </c>
      <c r="AO75" s="22" t="s">
        <v>231</v>
      </c>
      <c r="AP75" s="22" t="s">
        <v>232</v>
      </c>
      <c r="AQ75" s="22"/>
      <c r="AR75" s="22"/>
      <c r="AS75" s="22"/>
      <c r="AT75" s="22"/>
      <c r="AU75" s="22"/>
      <c r="AV75" s="22"/>
      <c r="AW75" s="23"/>
      <c r="AX75" s="27"/>
      <c r="AY75" s="25"/>
      <c r="AZ75" s="27"/>
      <c r="BA75" s="25"/>
      <c r="BB75" s="22"/>
      <c r="BC75" s="22"/>
      <c r="BD75" s="22"/>
      <c r="BE75" s="22"/>
      <c r="BF75" s="23"/>
      <c r="BG75" s="23"/>
      <c r="BH75" s="22" t="s">
        <v>467</v>
      </c>
      <c r="BI75" s="23">
        <v>1</v>
      </c>
      <c r="BJ75" s="23">
        <v>0</v>
      </c>
      <c r="BK75" s="24"/>
      <c r="BL75" s="24"/>
      <c r="BM75" s="22"/>
      <c r="BN75" s="24">
        <v>45821</v>
      </c>
      <c r="BO75" s="24">
        <v>45821</v>
      </c>
      <c r="BP75" s="25">
        <v>26</v>
      </c>
      <c r="BQ75" s="24">
        <v>45820</v>
      </c>
    </row>
    <row r="76" spans="1:69" ht="22.5" customHeight="1" x14ac:dyDescent="0.2">
      <c r="A76" s="28" t="s">
        <v>262</v>
      </c>
      <c r="B76" s="28"/>
      <c r="C76" s="28" t="s">
        <v>221</v>
      </c>
      <c r="D76" s="28" t="s">
        <v>222</v>
      </c>
      <c r="E76" s="29">
        <v>409929</v>
      </c>
      <c r="F76" s="29">
        <v>1079</v>
      </c>
      <c r="G76" s="29">
        <v>160</v>
      </c>
      <c r="H76" s="29">
        <v>0</v>
      </c>
      <c r="I76" s="30">
        <v>45812</v>
      </c>
      <c r="J76" s="28" t="s">
        <v>395</v>
      </c>
      <c r="K76" s="28" t="s">
        <v>468</v>
      </c>
      <c r="L76" s="31">
        <v>30.8</v>
      </c>
      <c r="M76" s="31">
        <v>1.69</v>
      </c>
      <c r="N76" s="31">
        <v>32.49</v>
      </c>
      <c r="O76" s="28"/>
      <c r="P76" s="32">
        <v>45821</v>
      </c>
      <c r="Q76" s="31">
        <v>32.49</v>
      </c>
      <c r="R76" s="28" t="s">
        <v>469</v>
      </c>
      <c r="S76" s="31">
        <v>0</v>
      </c>
      <c r="T76" s="28"/>
      <c r="U76" s="29"/>
      <c r="V76" s="28"/>
      <c r="W76" s="29"/>
      <c r="X76" s="29"/>
      <c r="Y76" s="29"/>
      <c r="Z76" s="31">
        <v>0</v>
      </c>
      <c r="AA76" s="31">
        <v>0</v>
      </c>
      <c r="AB76" s="31">
        <v>0</v>
      </c>
      <c r="AC76" s="28"/>
      <c r="AD76" s="28" t="s">
        <v>266</v>
      </c>
      <c r="AE76" s="28" t="s">
        <v>267</v>
      </c>
      <c r="AF76" s="28" t="s">
        <v>31</v>
      </c>
      <c r="AG76" s="28" t="s">
        <v>42</v>
      </c>
      <c r="AH76" s="28" t="s">
        <v>228</v>
      </c>
      <c r="AI76" s="28" t="s">
        <v>31</v>
      </c>
      <c r="AJ76" s="28"/>
      <c r="AK76" s="28" t="s">
        <v>34</v>
      </c>
      <c r="AL76" s="28" t="s">
        <v>43</v>
      </c>
      <c r="AM76" s="28" t="s">
        <v>231</v>
      </c>
      <c r="AN76" s="28" t="s">
        <v>232</v>
      </c>
      <c r="AO76" s="28" t="s">
        <v>231</v>
      </c>
      <c r="AP76" s="28" t="s">
        <v>232</v>
      </c>
      <c r="AQ76" s="28"/>
      <c r="AR76" s="28"/>
      <c r="AS76" s="28"/>
      <c r="AT76" s="28"/>
      <c r="AU76" s="28"/>
      <c r="AV76" s="28"/>
      <c r="AW76" s="29"/>
      <c r="AX76" s="33"/>
      <c r="AY76" s="31"/>
      <c r="AZ76" s="33"/>
      <c r="BA76" s="31"/>
      <c r="BB76" s="28"/>
      <c r="BC76" s="28"/>
      <c r="BD76" s="28"/>
      <c r="BE76" s="28"/>
      <c r="BF76" s="29"/>
      <c r="BG76" s="29"/>
      <c r="BH76" s="28" t="s">
        <v>470</v>
      </c>
      <c r="BI76" s="29">
        <v>1</v>
      </c>
      <c r="BJ76" s="29">
        <v>0</v>
      </c>
      <c r="BK76" s="30"/>
      <c r="BL76" s="30"/>
      <c r="BM76" s="28"/>
      <c r="BN76" s="30">
        <v>45821</v>
      </c>
      <c r="BO76" s="30">
        <v>45821</v>
      </c>
      <c r="BP76" s="31">
        <v>32.49</v>
      </c>
      <c r="BQ76" s="30">
        <v>45820</v>
      </c>
    </row>
    <row r="77" spans="1:69" ht="22.5" customHeight="1" x14ac:dyDescent="0.2">
      <c r="A77" s="22" t="s">
        <v>262</v>
      </c>
      <c r="B77" s="22"/>
      <c r="C77" s="22" t="s">
        <v>221</v>
      </c>
      <c r="D77" s="22" t="s">
        <v>222</v>
      </c>
      <c r="E77" s="23">
        <v>409930</v>
      </c>
      <c r="F77" s="23">
        <v>1080</v>
      </c>
      <c r="G77" s="23">
        <v>160</v>
      </c>
      <c r="H77" s="23">
        <v>0</v>
      </c>
      <c r="I77" s="24">
        <v>45812</v>
      </c>
      <c r="J77" s="22" t="s">
        <v>395</v>
      </c>
      <c r="K77" s="22" t="s">
        <v>471</v>
      </c>
      <c r="L77" s="25">
        <v>23.76</v>
      </c>
      <c r="M77" s="25">
        <v>1.31</v>
      </c>
      <c r="N77" s="25">
        <v>25.07</v>
      </c>
      <c r="O77" s="22"/>
      <c r="P77" s="26">
        <v>45821</v>
      </c>
      <c r="Q77" s="25">
        <v>25.07</v>
      </c>
      <c r="R77" s="22" t="s">
        <v>472</v>
      </c>
      <c r="S77" s="25">
        <v>0</v>
      </c>
      <c r="T77" s="22"/>
      <c r="U77" s="23"/>
      <c r="V77" s="22"/>
      <c r="W77" s="23"/>
      <c r="X77" s="23"/>
      <c r="Y77" s="23"/>
      <c r="Z77" s="25">
        <v>0</v>
      </c>
      <c r="AA77" s="25">
        <v>0</v>
      </c>
      <c r="AB77" s="25">
        <v>0</v>
      </c>
      <c r="AC77" s="22"/>
      <c r="AD77" s="22" t="s">
        <v>266</v>
      </c>
      <c r="AE77" s="22" t="s">
        <v>267</v>
      </c>
      <c r="AF77" s="22" t="s">
        <v>31</v>
      </c>
      <c r="AG77" s="22" t="s">
        <v>46</v>
      </c>
      <c r="AH77" s="22" t="s">
        <v>228</v>
      </c>
      <c r="AI77" s="22" t="s">
        <v>31</v>
      </c>
      <c r="AJ77" s="22"/>
      <c r="AK77" s="22" t="s">
        <v>34</v>
      </c>
      <c r="AL77" s="22" t="s">
        <v>47</v>
      </c>
      <c r="AM77" s="22" t="s">
        <v>231</v>
      </c>
      <c r="AN77" s="22" t="s">
        <v>232</v>
      </c>
      <c r="AO77" s="22" t="s">
        <v>231</v>
      </c>
      <c r="AP77" s="22" t="s">
        <v>232</v>
      </c>
      <c r="AQ77" s="22"/>
      <c r="AR77" s="22"/>
      <c r="AS77" s="22"/>
      <c r="AT77" s="22"/>
      <c r="AU77" s="22"/>
      <c r="AV77" s="22"/>
      <c r="AW77" s="23"/>
      <c r="AX77" s="27"/>
      <c r="AY77" s="25"/>
      <c r="AZ77" s="27"/>
      <c r="BA77" s="25"/>
      <c r="BB77" s="22"/>
      <c r="BC77" s="22"/>
      <c r="BD77" s="22"/>
      <c r="BE77" s="22"/>
      <c r="BF77" s="23"/>
      <c r="BG77" s="23"/>
      <c r="BH77" s="22" t="s">
        <v>473</v>
      </c>
      <c r="BI77" s="23">
        <v>1</v>
      </c>
      <c r="BJ77" s="23">
        <v>0</v>
      </c>
      <c r="BK77" s="24"/>
      <c r="BL77" s="24"/>
      <c r="BM77" s="22"/>
      <c r="BN77" s="24">
        <v>45821</v>
      </c>
      <c r="BO77" s="24">
        <v>45821</v>
      </c>
      <c r="BP77" s="25">
        <v>25.07</v>
      </c>
      <c r="BQ77" s="24">
        <v>45820</v>
      </c>
    </row>
    <row r="78" spans="1:69" ht="22.5" customHeight="1" x14ac:dyDescent="0.2">
      <c r="A78" s="22" t="s">
        <v>262</v>
      </c>
      <c r="B78" s="22"/>
      <c r="C78" s="22" t="s">
        <v>221</v>
      </c>
      <c r="D78" s="22" t="s">
        <v>222</v>
      </c>
      <c r="E78" s="23">
        <v>409940</v>
      </c>
      <c r="F78" s="23">
        <v>1087</v>
      </c>
      <c r="G78" s="23">
        <v>160</v>
      </c>
      <c r="H78" s="23">
        <v>0</v>
      </c>
      <c r="I78" s="24">
        <v>45812</v>
      </c>
      <c r="J78" s="22" t="s">
        <v>395</v>
      </c>
      <c r="K78" s="22" t="s">
        <v>474</v>
      </c>
      <c r="L78" s="25">
        <v>101.2</v>
      </c>
      <c r="M78" s="25">
        <v>5.57</v>
      </c>
      <c r="N78" s="25">
        <v>106.77</v>
      </c>
      <c r="O78" s="22"/>
      <c r="P78" s="26">
        <v>45821</v>
      </c>
      <c r="Q78" s="25">
        <v>106.77</v>
      </c>
      <c r="R78" s="22" t="s">
        <v>460</v>
      </c>
      <c r="S78" s="25">
        <v>0</v>
      </c>
      <c r="T78" s="22"/>
      <c r="U78" s="23"/>
      <c r="V78" s="22"/>
      <c r="W78" s="23"/>
      <c r="X78" s="23"/>
      <c r="Y78" s="23"/>
      <c r="Z78" s="25">
        <v>0</v>
      </c>
      <c r="AA78" s="25">
        <v>0</v>
      </c>
      <c r="AB78" s="25">
        <v>0</v>
      </c>
      <c r="AC78" s="22"/>
      <c r="AD78" s="22" t="s">
        <v>266</v>
      </c>
      <c r="AE78" s="22" t="s">
        <v>267</v>
      </c>
      <c r="AF78" s="22" t="s">
        <v>31</v>
      </c>
      <c r="AG78" s="22" t="s">
        <v>32</v>
      </c>
      <c r="AH78" s="22" t="s">
        <v>228</v>
      </c>
      <c r="AI78" s="22" t="s">
        <v>31</v>
      </c>
      <c r="AJ78" s="22"/>
      <c r="AK78" s="22" t="s">
        <v>34</v>
      </c>
      <c r="AL78" s="22" t="s">
        <v>31</v>
      </c>
      <c r="AM78" s="22" t="s">
        <v>231</v>
      </c>
      <c r="AN78" s="22" t="s">
        <v>232</v>
      </c>
      <c r="AO78" s="22" t="s">
        <v>231</v>
      </c>
      <c r="AP78" s="22" t="s">
        <v>232</v>
      </c>
      <c r="AQ78" s="22"/>
      <c r="AR78" s="22"/>
      <c r="AS78" s="22"/>
      <c r="AT78" s="22"/>
      <c r="AU78" s="22"/>
      <c r="AV78" s="22"/>
      <c r="AW78" s="23"/>
      <c r="AX78" s="27"/>
      <c r="AY78" s="25"/>
      <c r="AZ78" s="27"/>
      <c r="BA78" s="25"/>
      <c r="BB78" s="22"/>
      <c r="BC78" s="22"/>
      <c r="BD78" s="22"/>
      <c r="BE78" s="22"/>
      <c r="BF78" s="23"/>
      <c r="BG78" s="23"/>
      <c r="BH78" s="22" t="s">
        <v>475</v>
      </c>
      <c r="BI78" s="23">
        <v>1</v>
      </c>
      <c r="BJ78" s="23">
        <v>0</v>
      </c>
      <c r="BK78" s="24"/>
      <c r="BL78" s="24"/>
      <c r="BM78" s="22"/>
      <c r="BN78" s="24">
        <v>45821</v>
      </c>
      <c r="BO78" s="24">
        <v>45821</v>
      </c>
      <c r="BP78" s="25">
        <v>106.77</v>
      </c>
      <c r="BQ78" s="24">
        <v>45820</v>
      </c>
    </row>
    <row r="79" spans="1:69" ht="22.5" customHeight="1" x14ac:dyDescent="0.2">
      <c r="A79" s="22" t="s">
        <v>262</v>
      </c>
      <c r="B79" s="22"/>
      <c r="C79" s="22" t="s">
        <v>221</v>
      </c>
      <c r="D79" s="22" t="s">
        <v>222</v>
      </c>
      <c r="E79" s="23">
        <v>409968</v>
      </c>
      <c r="F79" s="23">
        <v>1109</v>
      </c>
      <c r="G79" s="23">
        <v>164</v>
      </c>
      <c r="H79" s="23">
        <v>0</v>
      </c>
      <c r="I79" s="24">
        <v>45813</v>
      </c>
      <c r="J79" s="22" t="s">
        <v>395</v>
      </c>
      <c r="K79" s="22" t="s">
        <v>476</v>
      </c>
      <c r="L79" s="25">
        <v>72.09</v>
      </c>
      <c r="M79" s="25">
        <v>3.96</v>
      </c>
      <c r="N79" s="25">
        <v>76.05</v>
      </c>
      <c r="O79" s="22"/>
      <c r="P79" s="26">
        <v>45821</v>
      </c>
      <c r="Q79" s="25">
        <v>76.05</v>
      </c>
      <c r="R79" s="22" t="s">
        <v>312</v>
      </c>
      <c r="S79" s="25">
        <v>0</v>
      </c>
      <c r="T79" s="22"/>
      <c r="U79" s="23"/>
      <c r="V79" s="22"/>
      <c r="W79" s="23"/>
      <c r="X79" s="23"/>
      <c r="Y79" s="23"/>
      <c r="Z79" s="25">
        <v>0</v>
      </c>
      <c r="AA79" s="25">
        <v>0</v>
      </c>
      <c r="AB79" s="25">
        <v>0</v>
      </c>
      <c r="AC79" s="22"/>
      <c r="AD79" s="22" t="s">
        <v>308</v>
      </c>
      <c r="AE79" s="22" t="s">
        <v>309</v>
      </c>
      <c r="AF79" s="22" t="s">
        <v>31</v>
      </c>
      <c r="AG79" s="22" t="s">
        <v>42</v>
      </c>
      <c r="AH79" s="22" t="s">
        <v>228</v>
      </c>
      <c r="AI79" s="22" t="s">
        <v>31</v>
      </c>
      <c r="AJ79" s="22"/>
      <c r="AK79" s="22" t="s">
        <v>34</v>
      </c>
      <c r="AL79" s="22" t="s">
        <v>43</v>
      </c>
      <c r="AM79" s="22" t="s">
        <v>231</v>
      </c>
      <c r="AN79" s="22" t="s">
        <v>232</v>
      </c>
      <c r="AO79" s="22" t="s">
        <v>231</v>
      </c>
      <c r="AP79" s="22" t="s">
        <v>232</v>
      </c>
      <c r="AQ79" s="22"/>
      <c r="AR79" s="22"/>
      <c r="AS79" s="22"/>
      <c r="AT79" s="22"/>
      <c r="AU79" s="22"/>
      <c r="AV79" s="22"/>
      <c r="AW79" s="23"/>
      <c r="AX79" s="27"/>
      <c r="AY79" s="25"/>
      <c r="AZ79" s="27"/>
      <c r="BA79" s="25"/>
      <c r="BB79" s="22"/>
      <c r="BC79" s="22"/>
      <c r="BD79" s="22"/>
      <c r="BE79" s="22"/>
      <c r="BF79" s="23"/>
      <c r="BG79" s="23"/>
      <c r="BH79" s="22" t="s">
        <v>477</v>
      </c>
      <c r="BI79" s="23">
        <v>1</v>
      </c>
      <c r="BJ79" s="23">
        <v>0</v>
      </c>
      <c r="BK79" s="24"/>
      <c r="BL79" s="24"/>
      <c r="BM79" s="22"/>
      <c r="BN79" s="24">
        <v>45821</v>
      </c>
      <c r="BO79" s="24">
        <v>45821</v>
      </c>
      <c r="BP79" s="25">
        <v>76.05</v>
      </c>
      <c r="BQ79" s="24">
        <v>45820</v>
      </c>
    </row>
    <row r="80" spans="1:69" ht="22.5" customHeight="1" x14ac:dyDescent="0.2">
      <c r="A80" s="28" t="s">
        <v>262</v>
      </c>
      <c r="B80" s="28"/>
      <c r="C80" s="28" t="s">
        <v>221</v>
      </c>
      <c r="D80" s="28" t="s">
        <v>222</v>
      </c>
      <c r="E80" s="29">
        <v>409969</v>
      </c>
      <c r="F80" s="29">
        <v>1110</v>
      </c>
      <c r="G80" s="29">
        <v>164</v>
      </c>
      <c r="H80" s="29">
        <v>0</v>
      </c>
      <c r="I80" s="30">
        <v>45813</v>
      </c>
      <c r="J80" s="28" t="s">
        <v>395</v>
      </c>
      <c r="K80" s="28" t="s">
        <v>478</v>
      </c>
      <c r="L80" s="31">
        <v>32.159999999999997</v>
      </c>
      <c r="M80" s="31">
        <v>1.77</v>
      </c>
      <c r="N80" s="31">
        <v>33.93</v>
      </c>
      <c r="O80" s="28"/>
      <c r="P80" s="32">
        <v>45821</v>
      </c>
      <c r="Q80" s="31">
        <v>33.93</v>
      </c>
      <c r="R80" s="28" t="s">
        <v>307</v>
      </c>
      <c r="S80" s="31">
        <v>0</v>
      </c>
      <c r="T80" s="28"/>
      <c r="U80" s="29"/>
      <c r="V80" s="28"/>
      <c r="W80" s="29"/>
      <c r="X80" s="29"/>
      <c r="Y80" s="29"/>
      <c r="Z80" s="31">
        <v>0</v>
      </c>
      <c r="AA80" s="31">
        <v>0</v>
      </c>
      <c r="AB80" s="31">
        <v>0</v>
      </c>
      <c r="AC80" s="28"/>
      <c r="AD80" s="28" t="s">
        <v>308</v>
      </c>
      <c r="AE80" s="28" t="s">
        <v>309</v>
      </c>
      <c r="AF80" s="28" t="s">
        <v>31</v>
      </c>
      <c r="AG80" s="28" t="s">
        <v>46</v>
      </c>
      <c r="AH80" s="28" t="s">
        <v>228</v>
      </c>
      <c r="AI80" s="28" t="s">
        <v>31</v>
      </c>
      <c r="AJ80" s="28"/>
      <c r="AK80" s="28" t="s">
        <v>34</v>
      </c>
      <c r="AL80" s="28" t="s">
        <v>47</v>
      </c>
      <c r="AM80" s="28" t="s">
        <v>231</v>
      </c>
      <c r="AN80" s="28" t="s">
        <v>232</v>
      </c>
      <c r="AO80" s="28" t="s">
        <v>231</v>
      </c>
      <c r="AP80" s="28" t="s">
        <v>232</v>
      </c>
      <c r="AQ80" s="28"/>
      <c r="AR80" s="28"/>
      <c r="AS80" s="28"/>
      <c r="AT80" s="28"/>
      <c r="AU80" s="28"/>
      <c r="AV80" s="28"/>
      <c r="AW80" s="29"/>
      <c r="AX80" s="33"/>
      <c r="AY80" s="31"/>
      <c r="AZ80" s="33"/>
      <c r="BA80" s="31"/>
      <c r="BB80" s="28"/>
      <c r="BC80" s="28"/>
      <c r="BD80" s="28"/>
      <c r="BE80" s="28"/>
      <c r="BF80" s="29"/>
      <c r="BG80" s="29"/>
      <c r="BH80" s="28" t="s">
        <v>479</v>
      </c>
      <c r="BI80" s="29">
        <v>1</v>
      </c>
      <c r="BJ80" s="29">
        <v>0</v>
      </c>
      <c r="BK80" s="30"/>
      <c r="BL80" s="30"/>
      <c r="BM80" s="28"/>
      <c r="BN80" s="30">
        <v>45821</v>
      </c>
      <c r="BO80" s="30">
        <v>45821</v>
      </c>
      <c r="BP80" s="31">
        <v>33.93</v>
      </c>
      <c r="BQ80" s="30">
        <v>45820</v>
      </c>
    </row>
    <row r="81" spans="1:69" ht="22.5" customHeight="1" x14ac:dyDescent="0.2">
      <c r="A81" s="22" t="s">
        <v>262</v>
      </c>
      <c r="B81" s="22"/>
      <c r="C81" s="22" t="s">
        <v>221</v>
      </c>
      <c r="D81" s="22" t="s">
        <v>222</v>
      </c>
      <c r="E81" s="23">
        <v>409970</v>
      </c>
      <c r="F81" s="23">
        <v>1111</v>
      </c>
      <c r="G81" s="23">
        <v>164</v>
      </c>
      <c r="H81" s="23">
        <v>0</v>
      </c>
      <c r="I81" s="24">
        <v>45813</v>
      </c>
      <c r="J81" s="22" t="s">
        <v>395</v>
      </c>
      <c r="K81" s="22" t="s">
        <v>480</v>
      </c>
      <c r="L81" s="25">
        <v>1357.42</v>
      </c>
      <c r="M81" s="25">
        <v>74.66</v>
      </c>
      <c r="N81" s="25">
        <v>1432.08</v>
      </c>
      <c r="O81" s="22"/>
      <c r="P81" s="26">
        <v>45821</v>
      </c>
      <c r="Q81" s="25">
        <v>1432.08</v>
      </c>
      <c r="R81" s="22" t="s">
        <v>321</v>
      </c>
      <c r="S81" s="25">
        <v>0</v>
      </c>
      <c r="T81" s="22"/>
      <c r="U81" s="23"/>
      <c r="V81" s="22"/>
      <c r="W81" s="23"/>
      <c r="X81" s="23"/>
      <c r="Y81" s="23"/>
      <c r="Z81" s="25">
        <v>0</v>
      </c>
      <c r="AA81" s="25">
        <v>0</v>
      </c>
      <c r="AB81" s="25">
        <v>0</v>
      </c>
      <c r="AC81" s="22"/>
      <c r="AD81" s="22" t="s">
        <v>308</v>
      </c>
      <c r="AE81" s="22" t="s">
        <v>309</v>
      </c>
      <c r="AF81" s="22" t="s">
        <v>31</v>
      </c>
      <c r="AG81" s="22" t="s">
        <v>32</v>
      </c>
      <c r="AH81" s="22" t="s">
        <v>228</v>
      </c>
      <c r="AI81" s="22" t="s">
        <v>31</v>
      </c>
      <c r="AJ81" s="22"/>
      <c r="AK81" s="22" t="s">
        <v>34</v>
      </c>
      <c r="AL81" s="22" t="s">
        <v>31</v>
      </c>
      <c r="AM81" s="22" t="s">
        <v>231</v>
      </c>
      <c r="AN81" s="22" t="s">
        <v>232</v>
      </c>
      <c r="AO81" s="22" t="s">
        <v>231</v>
      </c>
      <c r="AP81" s="22" t="s">
        <v>232</v>
      </c>
      <c r="AQ81" s="22"/>
      <c r="AR81" s="22"/>
      <c r="AS81" s="22"/>
      <c r="AT81" s="22"/>
      <c r="AU81" s="22"/>
      <c r="AV81" s="22"/>
      <c r="AW81" s="23"/>
      <c r="AX81" s="27"/>
      <c r="AY81" s="25"/>
      <c r="AZ81" s="27"/>
      <c r="BA81" s="25"/>
      <c r="BB81" s="22"/>
      <c r="BC81" s="22"/>
      <c r="BD81" s="22"/>
      <c r="BE81" s="22"/>
      <c r="BF81" s="23"/>
      <c r="BG81" s="23"/>
      <c r="BH81" s="22" t="s">
        <v>481</v>
      </c>
      <c r="BI81" s="23">
        <v>1</v>
      </c>
      <c r="BJ81" s="23">
        <v>0</v>
      </c>
      <c r="BK81" s="24"/>
      <c r="BL81" s="24"/>
      <c r="BM81" s="22"/>
      <c r="BN81" s="24">
        <v>45821</v>
      </c>
      <c r="BO81" s="24">
        <v>45821</v>
      </c>
      <c r="BP81" s="25">
        <v>1432.08</v>
      </c>
      <c r="BQ81" s="24">
        <v>45820</v>
      </c>
    </row>
    <row r="82" spans="1:69" ht="22.5" hidden="1" customHeight="1" x14ac:dyDescent="0.2">
      <c r="A82" s="22" t="s">
        <v>408</v>
      </c>
      <c r="B82" s="22"/>
      <c r="C82" s="22" t="s">
        <v>221</v>
      </c>
      <c r="D82" s="22" t="s">
        <v>222</v>
      </c>
      <c r="E82" s="23">
        <v>410817</v>
      </c>
      <c r="F82" s="23">
        <v>1166</v>
      </c>
      <c r="G82" s="23">
        <v>174</v>
      </c>
      <c r="H82" s="23">
        <v>0</v>
      </c>
      <c r="I82" s="24">
        <v>45824</v>
      </c>
      <c r="J82" s="22" t="s">
        <v>281</v>
      </c>
      <c r="K82" s="22" t="s">
        <v>482</v>
      </c>
      <c r="L82" s="25">
        <v>218.33</v>
      </c>
      <c r="M82" s="25">
        <v>43.67</v>
      </c>
      <c r="N82" s="25">
        <v>262</v>
      </c>
      <c r="O82" s="22"/>
      <c r="P82" s="26">
        <v>45826</v>
      </c>
      <c r="Q82" s="25">
        <v>262</v>
      </c>
      <c r="R82" s="22"/>
      <c r="S82" s="25">
        <v>0</v>
      </c>
      <c r="T82" s="22"/>
      <c r="U82" s="23"/>
      <c r="V82" s="22"/>
      <c r="W82" s="23"/>
      <c r="X82" s="23"/>
      <c r="Y82" s="23"/>
      <c r="Z82" s="25">
        <v>0</v>
      </c>
      <c r="AA82" s="25">
        <v>0</v>
      </c>
      <c r="AB82" s="25">
        <v>0</v>
      </c>
      <c r="AC82" s="22"/>
      <c r="AD82" s="22" t="s">
        <v>283</v>
      </c>
      <c r="AE82" s="22" t="s">
        <v>284</v>
      </c>
      <c r="AF82" s="22" t="s">
        <v>31</v>
      </c>
      <c r="AG82" s="22" t="s">
        <v>288</v>
      </c>
      <c r="AH82" s="22" t="s">
        <v>228</v>
      </c>
      <c r="AI82" s="22" t="s">
        <v>31</v>
      </c>
      <c r="AJ82" s="22"/>
      <c r="AK82" s="22" t="s">
        <v>289</v>
      </c>
      <c r="AL82" s="22" t="s">
        <v>31</v>
      </c>
      <c r="AM82" s="22" t="s">
        <v>231</v>
      </c>
      <c r="AN82" s="22" t="s">
        <v>232</v>
      </c>
      <c r="AO82" s="22" t="s">
        <v>231</v>
      </c>
      <c r="AP82" s="22" t="s">
        <v>232</v>
      </c>
      <c r="AQ82" s="22"/>
      <c r="AR82" s="22"/>
      <c r="AS82" s="22"/>
      <c r="AT82" s="22"/>
      <c r="AU82" s="22"/>
      <c r="AV82" s="22"/>
      <c r="AW82" s="23"/>
      <c r="AX82" s="27"/>
      <c r="AY82" s="25"/>
      <c r="AZ82" s="27"/>
      <c r="BA82" s="25"/>
      <c r="BB82" s="22"/>
      <c r="BC82" s="22"/>
      <c r="BD82" s="22"/>
      <c r="BE82" s="22"/>
      <c r="BF82" s="23"/>
      <c r="BG82" s="23"/>
      <c r="BH82" s="22"/>
      <c r="BI82" s="23">
        <v>1</v>
      </c>
      <c r="BJ82" s="23">
        <v>0</v>
      </c>
      <c r="BK82" s="24"/>
      <c r="BL82" s="24"/>
      <c r="BM82" s="22"/>
      <c r="BN82" s="24">
        <v>45826</v>
      </c>
      <c r="BO82" s="24">
        <v>45825</v>
      </c>
      <c r="BP82" s="25">
        <v>262</v>
      </c>
      <c r="BQ82" s="24">
        <v>45824</v>
      </c>
    </row>
    <row r="83" spans="1:69" ht="22.5" hidden="1" customHeight="1" x14ac:dyDescent="0.2">
      <c r="A83" s="28" t="s">
        <v>408</v>
      </c>
      <c r="B83" s="28" t="s">
        <v>483</v>
      </c>
      <c r="C83" s="28" t="s">
        <v>221</v>
      </c>
      <c r="D83" s="28" t="s">
        <v>222</v>
      </c>
      <c r="E83" s="29">
        <v>410824</v>
      </c>
      <c r="F83" s="29">
        <v>1173</v>
      </c>
      <c r="G83" s="29">
        <v>175</v>
      </c>
      <c r="H83" s="29">
        <v>0</v>
      </c>
      <c r="I83" s="30">
        <v>45824</v>
      </c>
      <c r="J83" s="28" t="s">
        <v>281</v>
      </c>
      <c r="K83" s="28" t="s">
        <v>484</v>
      </c>
      <c r="L83" s="31">
        <v>15.88</v>
      </c>
      <c r="M83" s="31">
        <v>3.17</v>
      </c>
      <c r="N83" s="31">
        <v>19.05</v>
      </c>
      <c r="O83" s="28"/>
      <c r="P83" s="32"/>
      <c r="Q83" s="31">
        <v>19.05</v>
      </c>
      <c r="R83" s="28"/>
      <c r="S83" s="31">
        <v>0</v>
      </c>
      <c r="T83" s="28"/>
      <c r="U83" s="29"/>
      <c r="V83" s="28"/>
      <c r="W83" s="29"/>
      <c r="X83" s="29"/>
      <c r="Y83" s="29"/>
      <c r="Z83" s="31">
        <v>0</v>
      </c>
      <c r="AA83" s="31">
        <v>0</v>
      </c>
      <c r="AB83" s="31">
        <v>0</v>
      </c>
      <c r="AC83" s="28"/>
      <c r="AD83" s="28" t="s">
        <v>283</v>
      </c>
      <c r="AE83" s="28" t="s">
        <v>284</v>
      </c>
      <c r="AF83" s="28" t="s">
        <v>31</v>
      </c>
      <c r="AG83" s="28" t="s">
        <v>46</v>
      </c>
      <c r="AH83" s="28" t="s">
        <v>228</v>
      </c>
      <c r="AI83" s="28" t="s">
        <v>31</v>
      </c>
      <c r="AJ83" s="28"/>
      <c r="AK83" s="28" t="s">
        <v>285</v>
      </c>
      <c r="AL83" s="28" t="s">
        <v>286</v>
      </c>
      <c r="AM83" s="28" t="s">
        <v>231</v>
      </c>
      <c r="AN83" s="28" t="s">
        <v>232</v>
      </c>
      <c r="AO83" s="28" t="s">
        <v>231</v>
      </c>
      <c r="AP83" s="28" t="s">
        <v>232</v>
      </c>
      <c r="AQ83" s="28"/>
      <c r="AR83" s="28"/>
      <c r="AS83" s="28"/>
      <c r="AT83" s="28"/>
      <c r="AU83" s="28"/>
      <c r="AV83" s="28"/>
      <c r="AW83" s="29"/>
      <c r="AX83" s="33"/>
      <c r="AY83" s="31"/>
      <c r="AZ83" s="33"/>
      <c r="BA83" s="31"/>
      <c r="BB83" s="28"/>
      <c r="BC83" s="28"/>
      <c r="BD83" s="28"/>
      <c r="BE83" s="28"/>
      <c r="BF83" s="29"/>
      <c r="BG83" s="29"/>
      <c r="BH83" s="28"/>
      <c r="BI83" s="29">
        <v>1</v>
      </c>
      <c r="BJ83" s="29">
        <v>0</v>
      </c>
      <c r="BK83" s="30"/>
      <c r="BL83" s="30"/>
      <c r="BM83" s="28"/>
      <c r="BN83" s="30"/>
      <c r="BO83" s="30">
        <v>45825</v>
      </c>
      <c r="BP83" s="31">
        <v>0</v>
      </c>
      <c r="BQ83" s="30">
        <v>45824</v>
      </c>
    </row>
    <row r="84" spans="1:69" ht="22.5" hidden="1" customHeight="1" x14ac:dyDescent="0.2">
      <c r="A84" s="22" t="s">
        <v>408</v>
      </c>
      <c r="B84" s="22" t="s">
        <v>483</v>
      </c>
      <c r="C84" s="22" t="s">
        <v>221</v>
      </c>
      <c r="D84" s="22" t="s">
        <v>222</v>
      </c>
      <c r="E84" s="23">
        <v>410825</v>
      </c>
      <c r="F84" s="23">
        <v>1174</v>
      </c>
      <c r="G84" s="23">
        <v>175</v>
      </c>
      <c r="H84" s="23">
        <v>0</v>
      </c>
      <c r="I84" s="24">
        <v>45824</v>
      </c>
      <c r="J84" s="22" t="s">
        <v>281</v>
      </c>
      <c r="K84" s="22" t="s">
        <v>485</v>
      </c>
      <c r="L84" s="25">
        <v>37.42</v>
      </c>
      <c r="M84" s="25">
        <v>7.48</v>
      </c>
      <c r="N84" s="25">
        <v>44.9</v>
      </c>
      <c r="O84" s="22"/>
      <c r="P84" s="26"/>
      <c r="Q84" s="25">
        <v>44.9</v>
      </c>
      <c r="R84" s="22"/>
      <c r="S84" s="25">
        <v>0</v>
      </c>
      <c r="T84" s="22"/>
      <c r="U84" s="23"/>
      <c r="V84" s="22"/>
      <c r="W84" s="23"/>
      <c r="X84" s="23"/>
      <c r="Y84" s="23"/>
      <c r="Z84" s="25">
        <v>0</v>
      </c>
      <c r="AA84" s="25">
        <v>0</v>
      </c>
      <c r="AB84" s="25">
        <v>0</v>
      </c>
      <c r="AC84" s="22"/>
      <c r="AD84" s="22" t="s">
        <v>283</v>
      </c>
      <c r="AE84" s="22" t="s">
        <v>284</v>
      </c>
      <c r="AF84" s="22" t="s">
        <v>31</v>
      </c>
      <c r="AG84" s="22" t="s">
        <v>46</v>
      </c>
      <c r="AH84" s="22" t="s">
        <v>228</v>
      </c>
      <c r="AI84" s="22" t="s">
        <v>31</v>
      </c>
      <c r="AJ84" s="22"/>
      <c r="AK84" s="22" t="s">
        <v>289</v>
      </c>
      <c r="AL84" s="22" t="s">
        <v>31</v>
      </c>
      <c r="AM84" s="22" t="s">
        <v>231</v>
      </c>
      <c r="AN84" s="22" t="s">
        <v>232</v>
      </c>
      <c r="AO84" s="22" t="s">
        <v>231</v>
      </c>
      <c r="AP84" s="22" t="s">
        <v>232</v>
      </c>
      <c r="AQ84" s="22"/>
      <c r="AR84" s="22"/>
      <c r="AS84" s="22"/>
      <c r="AT84" s="22"/>
      <c r="AU84" s="22"/>
      <c r="AV84" s="22"/>
      <c r="AW84" s="23"/>
      <c r="AX84" s="27"/>
      <c r="AY84" s="25"/>
      <c r="AZ84" s="27"/>
      <c r="BA84" s="25"/>
      <c r="BB84" s="22"/>
      <c r="BC84" s="22"/>
      <c r="BD84" s="22"/>
      <c r="BE84" s="22"/>
      <c r="BF84" s="23"/>
      <c r="BG84" s="23"/>
      <c r="BH84" s="22"/>
      <c r="BI84" s="23">
        <v>1</v>
      </c>
      <c r="BJ84" s="23">
        <v>0</v>
      </c>
      <c r="BK84" s="24"/>
      <c r="BL84" s="24"/>
      <c r="BM84" s="22"/>
      <c r="BN84" s="24"/>
      <c r="BO84" s="24">
        <v>45825</v>
      </c>
      <c r="BP84" s="25">
        <v>0</v>
      </c>
      <c r="BQ84" s="24">
        <v>45824</v>
      </c>
    </row>
    <row r="85" spans="1:69" ht="22.5" hidden="1" customHeight="1" x14ac:dyDescent="0.2">
      <c r="A85" s="28" t="s">
        <v>486</v>
      </c>
      <c r="B85" s="28"/>
      <c r="C85" s="28" t="s">
        <v>221</v>
      </c>
      <c r="D85" s="28" t="s">
        <v>222</v>
      </c>
      <c r="E85" s="29">
        <v>410895</v>
      </c>
      <c r="F85" s="29">
        <v>25</v>
      </c>
      <c r="G85" s="29">
        <v>11</v>
      </c>
      <c r="H85" s="29">
        <v>0</v>
      </c>
      <c r="I85" s="30">
        <v>45826</v>
      </c>
      <c r="J85" s="28" t="s">
        <v>487</v>
      </c>
      <c r="K85" s="28" t="s">
        <v>488</v>
      </c>
      <c r="L85" s="31">
        <v>-15.88</v>
      </c>
      <c r="M85" s="31">
        <v>-3.17</v>
      </c>
      <c r="N85" s="31">
        <v>-19.05</v>
      </c>
      <c r="O85" s="28"/>
      <c r="P85" s="32"/>
      <c r="Q85" s="31">
        <v>-19.05</v>
      </c>
      <c r="R85" s="28"/>
      <c r="S85" s="31">
        <v>0</v>
      </c>
      <c r="T85" s="28"/>
      <c r="U85" s="29"/>
      <c r="V85" s="28"/>
      <c r="W85" s="29"/>
      <c r="X85" s="29"/>
      <c r="Y85" s="29"/>
      <c r="Z85" s="31">
        <v>0</v>
      </c>
      <c r="AA85" s="31">
        <v>0</v>
      </c>
      <c r="AB85" s="31">
        <v>0</v>
      </c>
      <c r="AC85" s="28"/>
      <c r="AD85" s="28" t="s">
        <v>283</v>
      </c>
      <c r="AE85" s="28" t="s">
        <v>284</v>
      </c>
      <c r="AF85" s="28" t="s">
        <v>31</v>
      </c>
      <c r="AG85" s="28" t="s">
        <v>46</v>
      </c>
      <c r="AH85" s="28" t="s">
        <v>228</v>
      </c>
      <c r="AI85" s="28" t="s">
        <v>31</v>
      </c>
      <c r="AJ85" s="28"/>
      <c r="AK85" s="28" t="s">
        <v>285</v>
      </c>
      <c r="AL85" s="28" t="s">
        <v>286</v>
      </c>
      <c r="AM85" s="28" t="s">
        <v>231</v>
      </c>
      <c r="AN85" s="28" t="s">
        <v>232</v>
      </c>
      <c r="AO85" s="28" t="s">
        <v>231</v>
      </c>
      <c r="AP85" s="28" t="s">
        <v>232</v>
      </c>
      <c r="AQ85" s="28"/>
      <c r="AR85" s="28"/>
      <c r="AS85" s="28"/>
      <c r="AT85" s="28"/>
      <c r="AU85" s="28"/>
      <c r="AV85" s="28"/>
      <c r="AW85" s="29"/>
      <c r="AX85" s="33"/>
      <c r="AY85" s="31"/>
      <c r="AZ85" s="33"/>
      <c r="BA85" s="31"/>
      <c r="BB85" s="28"/>
      <c r="BC85" s="28"/>
      <c r="BD85" s="28"/>
      <c r="BE85" s="28"/>
      <c r="BF85" s="29"/>
      <c r="BG85" s="29"/>
      <c r="BH85" s="28"/>
      <c r="BI85" s="29">
        <v>1</v>
      </c>
      <c r="BJ85" s="29">
        <v>0</v>
      </c>
      <c r="BK85" s="30"/>
      <c r="BL85" s="30"/>
      <c r="BM85" s="28"/>
      <c r="BN85" s="30"/>
      <c r="BO85" s="30">
        <v>45701</v>
      </c>
      <c r="BP85" s="31">
        <v>0</v>
      </c>
      <c r="BQ85" s="30"/>
    </row>
    <row r="86" spans="1:69" ht="22.5" hidden="1" customHeight="1" x14ac:dyDescent="0.2">
      <c r="A86" s="22" t="s">
        <v>486</v>
      </c>
      <c r="B86" s="22"/>
      <c r="C86" s="22" t="s">
        <v>221</v>
      </c>
      <c r="D86" s="22" t="s">
        <v>222</v>
      </c>
      <c r="E86" s="23">
        <v>410896</v>
      </c>
      <c r="F86" s="23">
        <v>26</v>
      </c>
      <c r="G86" s="23">
        <v>11</v>
      </c>
      <c r="H86" s="23">
        <v>0</v>
      </c>
      <c r="I86" s="24">
        <v>45826</v>
      </c>
      <c r="J86" s="22" t="s">
        <v>487</v>
      </c>
      <c r="K86" s="22" t="s">
        <v>489</v>
      </c>
      <c r="L86" s="25">
        <v>-37.42</v>
      </c>
      <c r="M86" s="25">
        <v>-7.48</v>
      </c>
      <c r="N86" s="25">
        <v>-44.9</v>
      </c>
      <c r="O86" s="22"/>
      <c r="P86" s="26"/>
      <c r="Q86" s="25">
        <v>-44.9</v>
      </c>
      <c r="R86" s="22"/>
      <c r="S86" s="25">
        <v>0</v>
      </c>
      <c r="T86" s="22"/>
      <c r="U86" s="23"/>
      <c r="V86" s="22"/>
      <c r="W86" s="23"/>
      <c r="X86" s="23"/>
      <c r="Y86" s="23"/>
      <c r="Z86" s="25">
        <v>0</v>
      </c>
      <c r="AA86" s="25">
        <v>0</v>
      </c>
      <c r="AB86" s="25">
        <v>0</v>
      </c>
      <c r="AC86" s="22"/>
      <c r="AD86" s="22" t="s">
        <v>283</v>
      </c>
      <c r="AE86" s="22" t="s">
        <v>284</v>
      </c>
      <c r="AF86" s="22" t="s">
        <v>31</v>
      </c>
      <c r="AG86" s="22" t="s">
        <v>46</v>
      </c>
      <c r="AH86" s="22" t="s">
        <v>228</v>
      </c>
      <c r="AI86" s="22" t="s">
        <v>31</v>
      </c>
      <c r="AJ86" s="22"/>
      <c r="AK86" s="22" t="s">
        <v>289</v>
      </c>
      <c r="AL86" s="22" t="s">
        <v>31</v>
      </c>
      <c r="AM86" s="22" t="s">
        <v>231</v>
      </c>
      <c r="AN86" s="22" t="s">
        <v>232</v>
      </c>
      <c r="AO86" s="22" t="s">
        <v>231</v>
      </c>
      <c r="AP86" s="22" t="s">
        <v>232</v>
      </c>
      <c r="AQ86" s="22"/>
      <c r="AR86" s="22"/>
      <c r="AS86" s="22"/>
      <c r="AT86" s="22"/>
      <c r="AU86" s="22"/>
      <c r="AV86" s="22"/>
      <c r="AW86" s="23"/>
      <c r="AX86" s="27"/>
      <c r="AY86" s="25"/>
      <c r="AZ86" s="27"/>
      <c r="BA86" s="25"/>
      <c r="BB86" s="22"/>
      <c r="BC86" s="22"/>
      <c r="BD86" s="22"/>
      <c r="BE86" s="22"/>
      <c r="BF86" s="23"/>
      <c r="BG86" s="23"/>
      <c r="BH86" s="22"/>
      <c r="BI86" s="23">
        <v>1</v>
      </c>
      <c r="BJ86" s="23">
        <v>0</v>
      </c>
      <c r="BK86" s="24"/>
      <c r="BL86" s="24"/>
      <c r="BM86" s="22"/>
      <c r="BN86" s="24"/>
      <c r="BO86" s="24">
        <v>45701</v>
      </c>
      <c r="BP86" s="25">
        <v>0</v>
      </c>
      <c r="BQ86" s="24"/>
    </row>
    <row r="87" spans="1:69" ht="22.5" hidden="1" customHeight="1" x14ac:dyDescent="0.2">
      <c r="A87" s="28" t="s">
        <v>408</v>
      </c>
      <c r="B87" s="28"/>
      <c r="C87" s="28" t="s">
        <v>221</v>
      </c>
      <c r="D87" s="28" t="s">
        <v>222</v>
      </c>
      <c r="E87" s="29">
        <v>410903</v>
      </c>
      <c r="F87" s="29">
        <v>1199</v>
      </c>
      <c r="G87" s="29">
        <v>182</v>
      </c>
      <c r="H87" s="29">
        <v>0</v>
      </c>
      <c r="I87" s="30">
        <v>45826</v>
      </c>
      <c r="J87" s="28" t="s">
        <v>281</v>
      </c>
      <c r="K87" s="28" t="s">
        <v>484</v>
      </c>
      <c r="L87" s="31">
        <v>15.88</v>
      </c>
      <c r="M87" s="31">
        <v>3.17</v>
      </c>
      <c r="N87" s="31">
        <v>19.05</v>
      </c>
      <c r="O87" s="28"/>
      <c r="P87" s="32">
        <v>45832</v>
      </c>
      <c r="Q87" s="31">
        <v>19.05</v>
      </c>
      <c r="R87" s="28"/>
      <c r="S87" s="31">
        <v>0</v>
      </c>
      <c r="T87" s="28"/>
      <c r="U87" s="29"/>
      <c r="V87" s="28"/>
      <c r="W87" s="29"/>
      <c r="X87" s="29"/>
      <c r="Y87" s="29"/>
      <c r="Z87" s="31">
        <v>0</v>
      </c>
      <c r="AA87" s="31">
        <v>0</v>
      </c>
      <c r="AB87" s="31">
        <v>0</v>
      </c>
      <c r="AC87" s="28"/>
      <c r="AD87" s="28" t="s">
        <v>283</v>
      </c>
      <c r="AE87" s="28" t="s">
        <v>284</v>
      </c>
      <c r="AF87" s="28" t="s">
        <v>31</v>
      </c>
      <c r="AG87" s="28" t="s">
        <v>46</v>
      </c>
      <c r="AH87" s="28" t="s">
        <v>228</v>
      </c>
      <c r="AI87" s="28" t="s">
        <v>31</v>
      </c>
      <c r="AJ87" s="28"/>
      <c r="AK87" s="28" t="s">
        <v>285</v>
      </c>
      <c r="AL87" s="28" t="s">
        <v>286</v>
      </c>
      <c r="AM87" s="28" t="s">
        <v>231</v>
      </c>
      <c r="AN87" s="28" t="s">
        <v>232</v>
      </c>
      <c r="AO87" s="28" t="s">
        <v>231</v>
      </c>
      <c r="AP87" s="28" t="s">
        <v>232</v>
      </c>
      <c r="AQ87" s="28"/>
      <c r="AR87" s="28"/>
      <c r="AS87" s="28"/>
      <c r="AT87" s="28"/>
      <c r="AU87" s="28"/>
      <c r="AV87" s="28"/>
      <c r="AW87" s="29"/>
      <c r="AX87" s="33"/>
      <c r="AY87" s="31"/>
      <c r="AZ87" s="33"/>
      <c r="BA87" s="31"/>
      <c r="BB87" s="28"/>
      <c r="BC87" s="28"/>
      <c r="BD87" s="28"/>
      <c r="BE87" s="28"/>
      <c r="BF87" s="29"/>
      <c r="BG87" s="29"/>
      <c r="BH87" s="28"/>
      <c r="BI87" s="29">
        <v>1</v>
      </c>
      <c r="BJ87" s="29">
        <v>0</v>
      </c>
      <c r="BK87" s="30"/>
      <c r="BL87" s="30"/>
      <c r="BM87" s="28"/>
      <c r="BN87" s="30">
        <v>45827</v>
      </c>
      <c r="BO87" s="30">
        <v>45827</v>
      </c>
      <c r="BP87" s="31">
        <v>19.05</v>
      </c>
      <c r="BQ87" s="30">
        <v>45826</v>
      </c>
    </row>
    <row r="88" spans="1:69" ht="22.5" hidden="1" customHeight="1" x14ac:dyDescent="0.2">
      <c r="A88" s="22" t="s">
        <v>408</v>
      </c>
      <c r="B88" s="22"/>
      <c r="C88" s="22" t="s">
        <v>221</v>
      </c>
      <c r="D88" s="22" t="s">
        <v>222</v>
      </c>
      <c r="E88" s="23">
        <v>410904</v>
      </c>
      <c r="F88" s="23">
        <v>1200</v>
      </c>
      <c r="G88" s="23">
        <v>182</v>
      </c>
      <c r="H88" s="23">
        <v>0</v>
      </c>
      <c r="I88" s="24">
        <v>45826</v>
      </c>
      <c r="J88" s="22" t="s">
        <v>281</v>
      </c>
      <c r="K88" s="22" t="s">
        <v>490</v>
      </c>
      <c r="L88" s="25">
        <v>37.42</v>
      </c>
      <c r="M88" s="25">
        <v>7.48</v>
      </c>
      <c r="N88" s="25">
        <v>44.9</v>
      </c>
      <c r="O88" s="22"/>
      <c r="P88" s="26">
        <v>45832</v>
      </c>
      <c r="Q88" s="25">
        <v>44.9</v>
      </c>
      <c r="R88" s="22"/>
      <c r="S88" s="25">
        <v>0</v>
      </c>
      <c r="T88" s="22"/>
      <c r="U88" s="23"/>
      <c r="V88" s="22"/>
      <c r="W88" s="23"/>
      <c r="X88" s="23"/>
      <c r="Y88" s="23"/>
      <c r="Z88" s="25">
        <v>0</v>
      </c>
      <c r="AA88" s="25">
        <v>0</v>
      </c>
      <c r="AB88" s="25">
        <v>0</v>
      </c>
      <c r="AC88" s="22"/>
      <c r="AD88" s="22" t="s">
        <v>283</v>
      </c>
      <c r="AE88" s="22" t="s">
        <v>284</v>
      </c>
      <c r="AF88" s="22" t="s">
        <v>31</v>
      </c>
      <c r="AG88" s="22" t="s">
        <v>46</v>
      </c>
      <c r="AH88" s="22" t="s">
        <v>228</v>
      </c>
      <c r="AI88" s="22" t="s">
        <v>31</v>
      </c>
      <c r="AJ88" s="22"/>
      <c r="AK88" s="22" t="s">
        <v>289</v>
      </c>
      <c r="AL88" s="22" t="s">
        <v>31</v>
      </c>
      <c r="AM88" s="22" t="s">
        <v>231</v>
      </c>
      <c r="AN88" s="22" t="s">
        <v>232</v>
      </c>
      <c r="AO88" s="22" t="s">
        <v>231</v>
      </c>
      <c r="AP88" s="22" t="s">
        <v>232</v>
      </c>
      <c r="AQ88" s="22"/>
      <c r="AR88" s="22"/>
      <c r="AS88" s="22"/>
      <c r="AT88" s="22"/>
      <c r="AU88" s="22"/>
      <c r="AV88" s="22"/>
      <c r="AW88" s="23"/>
      <c r="AX88" s="27"/>
      <c r="AY88" s="25"/>
      <c r="AZ88" s="27"/>
      <c r="BA88" s="25"/>
      <c r="BB88" s="22"/>
      <c r="BC88" s="22"/>
      <c r="BD88" s="22"/>
      <c r="BE88" s="22"/>
      <c r="BF88" s="23"/>
      <c r="BG88" s="23"/>
      <c r="BH88" s="22"/>
      <c r="BI88" s="23">
        <v>1</v>
      </c>
      <c r="BJ88" s="23">
        <v>0</v>
      </c>
      <c r="BK88" s="24"/>
      <c r="BL88" s="24"/>
      <c r="BM88" s="22"/>
      <c r="BN88" s="24">
        <v>45827</v>
      </c>
      <c r="BO88" s="24">
        <v>45827</v>
      </c>
      <c r="BP88" s="25">
        <v>44.9</v>
      </c>
      <c r="BQ88" s="24">
        <v>45826</v>
      </c>
    </row>
    <row r="89" spans="1:69" ht="22.5" hidden="1" customHeight="1" x14ac:dyDescent="0.2">
      <c r="A89" s="22" t="s">
        <v>262</v>
      </c>
      <c r="B89" s="22"/>
      <c r="C89" s="22" t="s">
        <v>221</v>
      </c>
      <c r="D89" s="22" t="s">
        <v>222</v>
      </c>
      <c r="E89" s="23">
        <v>410939</v>
      </c>
      <c r="F89" s="23">
        <v>1233</v>
      </c>
      <c r="G89" s="23">
        <v>190</v>
      </c>
      <c r="H89" s="23">
        <v>0</v>
      </c>
      <c r="I89" s="24">
        <v>45832</v>
      </c>
      <c r="J89" s="22" t="s">
        <v>395</v>
      </c>
      <c r="K89" s="22" t="s">
        <v>491</v>
      </c>
      <c r="L89" s="25">
        <v>186.76</v>
      </c>
      <c r="M89" s="25">
        <v>12.65</v>
      </c>
      <c r="N89" s="25">
        <v>199.41</v>
      </c>
      <c r="O89" s="22"/>
      <c r="P89" s="26">
        <v>45842</v>
      </c>
      <c r="Q89" s="25">
        <v>199.41</v>
      </c>
      <c r="R89" s="22" t="s">
        <v>492</v>
      </c>
      <c r="S89" s="25">
        <v>0</v>
      </c>
      <c r="T89" s="22"/>
      <c r="U89" s="23"/>
      <c r="V89" s="22"/>
      <c r="W89" s="23"/>
      <c r="X89" s="23"/>
      <c r="Y89" s="23"/>
      <c r="Z89" s="25">
        <v>0</v>
      </c>
      <c r="AA89" s="25">
        <v>0</v>
      </c>
      <c r="AB89" s="25">
        <v>0</v>
      </c>
      <c r="AC89" s="22"/>
      <c r="AD89" s="22" t="s">
        <v>293</v>
      </c>
      <c r="AE89" s="22" t="s">
        <v>294</v>
      </c>
      <c r="AF89" s="22" t="s">
        <v>31</v>
      </c>
      <c r="AG89" s="22" t="s">
        <v>53</v>
      </c>
      <c r="AH89" s="22" t="s">
        <v>228</v>
      </c>
      <c r="AI89" s="22" t="s">
        <v>31</v>
      </c>
      <c r="AJ89" s="22"/>
      <c r="AK89" s="22" t="s">
        <v>239</v>
      </c>
      <c r="AL89" s="22" t="s">
        <v>243</v>
      </c>
      <c r="AM89" s="22" t="s">
        <v>231</v>
      </c>
      <c r="AN89" s="22" t="s">
        <v>232</v>
      </c>
      <c r="AO89" s="22" t="s">
        <v>231</v>
      </c>
      <c r="AP89" s="22" t="s">
        <v>232</v>
      </c>
      <c r="AQ89" s="22"/>
      <c r="AR89" s="22"/>
      <c r="AS89" s="22"/>
      <c r="AT89" s="22"/>
      <c r="AU89" s="22"/>
      <c r="AV89" s="22"/>
      <c r="AW89" s="23"/>
      <c r="AX89" s="27"/>
      <c r="AY89" s="25"/>
      <c r="AZ89" s="27"/>
      <c r="BA89" s="25"/>
      <c r="BB89" s="22" t="s">
        <v>244</v>
      </c>
      <c r="BC89" s="22"/>
      <c r="BD89" s="22"/>
      <c r="BE89" s="22"/>
      <c r="BF89" s="23"/>
      <c r="BG89" s="23"/>
      <c r="BH89" s="22" t="s">
        <v>493</v>
      </c>
      <c r="BI89" s="23">
        <v>1</v>
      </c>
      <c r="BJ89" s="23">
        <v>0</v>
      </c>
      <c r="BK89" s="24"/>
      <c r="BL89" s="24"/>
      <c r="BM89" s="22"/>
      <c r="BN89" s="24">
        <v>45842</v>
      </c>
      <c r="BO89" s="24">
        <v>45842</v>
      </c>
      <c r="BP89" s="25">
        <v>199.41</v>
      </c>
      <c r="BQ89" s="24">
        <v>45841</v>
      </c>
    </row>
    <row r="90" spans="1:69" ht="22.5" customHeight="1" x14ac:dyDescent="0.2">
      <c r="A90" s="22" t="s">
        <v>262</v>
      </c>
      <c r="B90" s="22"/>
      <c r="C90" s="22" t="s">
        <v>221</v>
      </c>
      <c r="D90" s="22" t="s">
        <v>222</v>
      </c>
      <c r="E90" s="23">
        <v>410963</v>
      </c>
      <c r="F90" s="23">
        <v>1242</v>
      </c>
      <c r="G90" s="23">
        <v>190</v>
      </c>
      <c r="H90" s="23">
        <v>0</v>
      </c>
      <c r="I90" s="24">
        <v>45832</v>
      </c>
      <c r="J90" s="22" t="s">
        <v>395</v>
      </c>
      <c r="K90" s="22" t="s">
        <v>494</v>
      </c>
      <c r="L90" s="25">
        <v>24.4</v>
      </c>
      <c r="M90" s="25">
        <v>1.34</v>
      </c>
      <c r="N90" s="25">
        <v>25.74</v>
      </c>
      <c r="O90" s="22"/>
      <c r="P90" s="26">
        <v>45842</v>
      </c>
      <c r="Q90" s="25">
        <v>25.74</v>
      </c>
      <c r="R90" s="22" t="s">
        <v>307</v>
      </c>
      <c r="S90" s="25">
        <v>0</v>
      </c>
      <c r="T90" s="22"/>
      <c r="U90" s="23"/>
      <c r="V90" s="22"/>
      <c r="W90" s="23"/>
      <c r="X90" s="23"/>
      <c r="Y90" s="23"/>
      <c r="Z90" s="25">
        <v>0</v>
      </c>
      <c r="AA90" s="25">
        <v>0</v>
      </c>
      <c r="AB90" s="25">
        <v>0</v>
      </c>
      <c r="AC90" s="22"/>
      <c r="AD90" s="22" t="s">
        <v>308</v>
      </c>
      <c r="AE90" s="22" t="s">
        <v>309</v>
      </c>
      <c r="AF90" s="22" t="s">
        <v>31</v>
      </c>
      <c r="AG90" s="22" t="s">
        <v>46</v>
      </c>
      <c r="AH90" s="22" t="s">
        <v>228</v>
      </c>
      <c r="AI90" s="22" t="s">
        <v>31</v>
      </c>
      <c r="AJ90" s="22"/>
      <c r="AK90" s="22" t="s">
        <v>34</v>
      </c>
      <c r="AL90" s="22" t="s">
        <v>47</v>
      </c>
      <c r="AM90" s="22" t="s">
        <v>231</v>
      </c>
      <c r="AN90" s="22" t="s">
        <v>232</v>
      </c>
      <c r="AO90" s="22" t="s">
        <v>231</v>
      </c>
      <c r="AP90" s="22" t="s">
        <v>232</v>
      </c>
      <c r="AQ90" s="22"/>
      <c r="AR90" s="22"/>
      <c r="AS90" s="22"/>
      <c r="AT90" s="22"/>
      <c r="AU90" s="22"/>
      <c r="AV90" s="22"/>
      <c r="AW90" s="23"/>
      <c r="AX90" s="27"/>
      <c r="AY90" s="25"/>
      <c r="AZ90" s="27"/>
      <c r="BA90" s="25"/>
      <c r="BB90" s="22"/>
      <c r="BC90" s="22"/>
      <c r="BD90" s="22"/>
      <c r="BE90" s="22"/>
      <c r="BF90" s="23"/>
      <c r="BG90" s="23"/>
      <c r="BH90" s="22" t="s">
        <v>495</v>
      </c>
      <c r="BI90" s="23">
        <v>1</v>
      </c>
      <c r="BJ90" s="23">
        <v>0</v>
      </c>
      <c r="BK90" s="24"/>
      <c r="BL90" s="24"/>
      <c r="BM90" s="22"/>
      <c r="BN90" s="24">
        <v>45842</v>
      </c>
      <c r="BO90" s="24">
        <v>45842</v>
      </c>
      <c r="BP90" s="25">
        <v>25.74</v>
      </c>
      <c r="BQ90" s="24">
        <v>45841</v>
      </c>
    </row>
    <row r="91" spans="1:69" ht="22.5" customHeight="1" x14ac:dyDescent="0.2">
      <c r="A91" s="22" t="s">
        <v>262</v>
      </c>
      <c r="B91" s="22"/>
      <c r="C91" s="22" t="s">
        <v>221</v>
      </c>
      <c r="D91" s="22" t="s">
        <v>222</v>
      </c>
      <c r="E91" s="23">
        <v>410965</v>
      </c>
      <c r="F91" s="23">
        <v>1244</v>
      </c>
      <c r="G91" s="23">
        <v>190</v>
      </c>
      <c r="H91" s="23">
        <v>0</v>
      </c>
      <c r="I91" s="24">
        <v>45832</v>
      </c>
      <c r="J91" s="22" t="s">
        <v>395</v>
      </c>
      <c r="K91" s="22" t="s">
        <v>496</v>
      </c>
      <c r="L91" s="25">
        <v>55.45</v>
      </c>
      <c r="M91" s="25">
        <v>3.05</v>
      </c>
      <c r="N91" s="25">
        <v>58.5</v>
      </c>
      <c r="O91" s="22"/>
      <c r="P91" s="26">
        <v>45842</v>
      </c>
      <c r="Q91" s="25">
        <v>58.5</v>
      </c>
      <c r="R91" s="22" t="s">
        <v>312</v>
      </c>
      <c r="S91" s="25">
        <v>0</v>
      </c>
      <c r="T91" s="22"/>
      <c r="U91" s="23"/>
      <c r="V91" s="22"/>
      <c r="W91" s="23"/>
      <c r="X91" s="23"/>
      <c r="Y91" s="23"/>
      <c r="Z91" s="25">
        <v>0</v>
      </c>
      <c r="AA91" s="25">
        <v>0</v>
      </c>
      <c r="AB91" s="25">
        <v>0</v>
      </c>
      <c r="AC91" s="22"/>
      <c r="AD91" s="22" t="s">
        <v>308</v>
      </c>
      <c r="AE91" s="22" t="s">
        <v>309</v>
      </c>
      <c r="AF91" s="22" t="s">
        <v>31</v>
      </c>
      <c r="AG91" s="22" t="s">
        <v>42</v>
      </c>
      <c r="AH91" s="22" t="s">
        <v>228</v>
      </c>
      <c r="AI91" s="22" t="s">
        <v>31</v>
      </c>
      <c r="AJ91" s="22"/>
      <c r="AK91" s="22" t="s">
        <v>34</v>
      </c>
      <c r="AL91" s="22" t="s">
        <v>43</v>
      </c>
      <c r="AM91" s="22" t="s">
        <v>231</v>
      </c>
      <c r="AN91" s="22" t="s">
        <v>232</v>
      </c>
      <c r="AO91" s="22" t="s">
        <v>231</v>
      </c>
      <c r="AP91" s="22" t="s">
        <v>232</v>
      </c>
      <c r="AQ91" s="22"/>
      <c r="AR91" s="22"/>
      <c r="AS91" s="22"/>
      <c r="AT91" s="22"/>
      <c r="AU91" s="22"/>
      <c r="AV91" s="22"/>
      <c r="AW91" s="23"/>
      <c r="AX91" s="27"/>
      <c r="AY91" s="25"/>
      <c r="AZ91" s="27"/>
      <c r="BA91" s="25"/>
      <c r="BB91" s="22"/>
      <c r="BC91" s="22"/>
      <c r="BD91" s="22"/>
      <c r="BE91" s="22"/>
      <c r="BF91" s="23"/>
      <c r="BG91" s="23"/>
      <c r="BH91" s="22" t="s">
        <v>497</v>
      </c>
      <c r="BI91" s="23">
        <v>1</v>
      </c>
      <c r="BJ91" s="23">
        <v>0</v>
      </c>
      <c r="BK91" s="24"/>
      <c r="BL91" s="24"/>
      <c r="BM91" s="22"/>
      <c r="BN91" s="24">
        <v>45842</v>
      </c>
      <c r="BO91" s="24">
        <v>45842</v>
      </c>
      <c r="BP91" s="25">
        <v>58.5</v>
      </c>
      <c r="BQ91" s="24">
        <v>45841</v>
      </c>
    </row>
    <row r="92" spans="1:69" ht="22.5" customHeight="1" x14ac:dyDescent="0.2">
      <c r="A92" s="28" t="s">
        <v>262</v>
      </c>
      <c r="B92" s="28"/>
      <c r="C92" s="28" t="s">
        <v>221</v>
      </c>
      <c r="D92" s="28" t="s">
        <v>222</v>
      </c>
      <c r="E92" s="29">
        <v>410966</v>
      </c>
      <c r="F92" s="29">
        <v>1245</v>
      </c>
      <c r="G92" s="29">
        <v>190</v>
      </c>
      <c r="H92" s="29">
        <v>0</v>
      </c>
      <c r="I92" s="30">
        <v>45832</v>
      </c>
      <c r="J92" s="28" t="s">
        <v>395</v>
      </c>
      <c r="K92" s="28" t="s">
        <v>498</v>
      </c>
      <c r="L92" s="31">
        <v>44.36</v>
      </c>
      <c r="M92" s="31">
        <v>2.44</v>
      </c>
      <c r="N92" s="31">
        <v>46.8</v>
      </c>
      <c r="O92" s="28"/>
      <c r="P92" s="32">
        <v>45842</v>
      </c>
      <c r="Q92" s="31">
        <v>46.8</v>
      </c>
      <c r="R92" s="28" t="s">
        <v>318</v>
      </c>
      <c r="S92" s="31">
        <v>0</v>
      </c>
      <c r="T92" s="28"/>
      <c r="U92" s="29"/>
      <c r="V92" s="28"/>
      <c r="W92" s="29"/>
      <c r="X92" s="29"/>
      <c r="Y92" s="29"/>
      <c r="Z92" s="31">
        <v>0</v>
      </c>
      <c r="AA92" s="31">
        <v>0</v>
      </c>
      <c r="AB92" s="31">
        <v>0</v>
      </c>
      <c r="AC92" s="28"/>
      <c r="AD92" s="28" t="s">
        <v>308</v>
      </c>
      <c r="AE92" s="28" t="s">
        <v>309</v>
      </c>
      <c r="AF92" s="28" t="s">
        <v>31</v>
      </c>
      <c r="AG92" s="28" t="s">
        <v>42</v>
      </c>
      <c r="AH92" s="28" t="s">
        <v>228</v>
      </c>
      <c r="AI92" s="28" t="s">
        <v>31</v>
      </c>
      <c r="AJ92" s="28"/>
      <c r="AK92" s="28" t="s">
        <v>34</v>
      </c>
      <c r="AL92" s="28" t="s">
        <v>250</v>
      </c>
      <c r="AM92" s="28" t="s">
        <v>231</v>
      </c>
      <c r="AN92" s="28" t="s">
        <v>232</v>
      </c>
      <c r="AO92" s="28" t="s">
        <v>231</v>
      </c>
      <c r="AP92" s="28" t="s">
        <v>232</v>
      </c>
      <c r="AQ92" s="28"/>
      <c r="AR92" s="28"/>
      <c r="AS92" s="28"/>
      <c r="AT92" s="28"/>
      <c r="AU92" s="28"/>
      <c r="AV92" s="28"/>
      <c r="AW92" s="29"/>
      <c r="AX92" s="33"/>
      <c r="AY92" s="31"/>
      <c r="AZ92" s="33"/>
      <c r="BA92" s="31"/>
      <c r="BB92" s="28"/>
      <c r="BC92" s="28"/>
      <c r="BD92" s="28"/>
      <c r="BE92" s="28"/>
      <c r="BF92" s="29"/>
      <c r="BG92" s="29"/>
      <c r="BH92" s="28" t="s">
        <v>499</v>
      </c>
      <c r="BI92" s="29">
        <v>1</v>
      </c>
      <c r="BJ92" s="29">
        <v>0</v>
      </c>
      <c r="BK92" s="30"/>
      <c r="BL92" s="30"/>
      <c r="BM92" s="28"/>
      <c r="BN92" s="30">
        <v>45842</v>
      </c>
      <c r="BO92" s="30">
        <v>45842</v>
      </c>
      <c r="BP92" s="31">
        <v>46.8</v>
      </c>
      <c r="BQ92" s="30">
        <v>45841</v>
      </c>
    </row>
    <row r="93" spans="1:69" ht="22.5" customHeight="1" x14ac:dyDescent="0.2">
      <c r="A93" s="22" t="s">
        <v>262</v>
      </c>
      <c r="B93" s="22"/>
      <c r="C93" s="22" t="s">
        <v>221</v>
      </c>
      <c r="D93" s="22" t="s">
        <v>222</v>
      </c>
      <c r="E93" s="23">
        <v>410967</v>
      </c>
      <c r="F93" s="23">
        <v>1246</v>
      </c>
      <c r="G93" s="23">
        <v>190</v>
      </c>
      <c r="H93" s="23">
        <v>0</v>
      </c>
      <c r="I93" s="24">
        <v>45832</v>
      </c>
      <c r="J93" s="22" t="s">
        <v>395</v>
      </c>
      <c r="K93" s="22" t="s">
        <v>500</v>
      </c>
      <c r="L93" s="25">
        <v>1005.87</v>
      </c>
      <c r="M93" s="25">
        <v>55.32</v>
      </c>
      <c r="N93" s="25">
        <v>1061.19</v>
      </c>
      <c r="O93" s="22"/>
      <c r="P93" s="26">
        <v>45842</v>
      </c>
      <c r="Q93" s="25">
        <v>1061.19</v>
      </c>
      <c r="R93" s="22" t="s">
        <v>321</v>
      </c>
      <c r="S93" s="25">
        <v>0</v>
      </c>
      <c r="T93" s="22"/>
      <c r="U93" s="23"/>
      <c r="V93" s="22"/>
      <c r="W93" s="23"/>
      <c r="X93" s="23"/>
      <c r="Y93" s="23"/>
      <c r="Z93" s="25">
        <v>0</v>
      </c>
      <c r="AA93" s="25">
        <v>0</v>
      </c>
      <c r="AB93" s="25">
        <v>0</v>
      </c>
      <c r="AC93" s="22"/>
      <c r="AD93" s="22" t="s">
        <v>308</v>
      </c>
      <c r="AE93" s="22" t="s">
        <v>309</v>
      </c>
      <c r="AF93" s="22" t="s">
        <v>31</v>
      </c>
      <c r="AG93" s="22" t="s">
        <v>32</v>
      </c>
      <c r="AH93" s="22" t="s">
        <v>228</v>
      </c>
      <c r="AI93" s="22" t="s">
        <v>31</v>
      </c>
      <c r="AJ93" s="22"/>
      <c r="AK93" s="22" t="s">
        <v>34</v>
      </c>
      <c r="AL93" s="22" t="s">
        <v>31</v>
      </c>
      <c r="AM93" s="22" t="s">
        <v>231</v>
      </c>
      <c r="AN93" s="22" t="s">
        <v>232</v>
      </c>
      <c r="AO93" s="22" t="s">
        <v>231</v>
      </c>
      <c r="AP93" s="22" t="s">
        <v>232</v>
      </c>
      <c r="AQ93" s="22"/>
      <c r="AR93" s="22"/>
      <c r="AS93" s="22"/>
      <c r="AT93" s="22"/>
      <c r="AU93" s="22"/>
      <c r="AV93" s="22"/>
      <c r="AW93" s="23"/>
      <c r="AX93" s="27"/>
      <c r="AY93" s="25"/>
      <c r="AZ93" s="27"/>
      <c r="BA93" s="25"/>
      <c r="BB93" s="22"/>
      <c r="BC93" s="22"/>
      <c r="BD93" s="22"/>
      <c r="BE93" s="22"/>
      <c r="BF93" s="23"/>
      <c r="BG93" s="23"/>
      <c r="BH93" s="22" t="s">
        <v>501</v>
      </c>
      <c r="BI93" s="23">
        <v>1</v>
      </c>
      <c r="BJ93" s="23">
        <v>0</v>
      </c>
      <c r="BK93" s="24"/>
      <c r="BL93" s="24"/>
      <c r="BM93" s="22"/>
      <c r="BN93" s="24">
        <v>45842</v>
      </c>
      <c r="BO93" s="24">
        <v>45842</v>
      </c>
      <c r="BP93" s="25">
        <v>1061.19</v>
      </c>
      <c r="BQ93" s="24">
        <v>45841</v>
      </c>
    </row>
    <row r="94" spans="1:69" ht="22.5" hidden="1" customHeight="1" x14ac:dyDescent="0.2">
      <c r="A94" s="22" t="s">
        <v>262</v>
      </c>
      <c r="B94" s="22"/>
      <c r="C94" s="22" t="s">
        <v>221</v>
      </c>
      <c r="D94" s="22" t="s">
        <v>222</v>
      </c>
      <c r="E94" s="23">
        <v>411279</v>
      </c>
      <c r="F94" s="23">
        <v>1401</v>
      </c>
      <c r="G94" s="23">
        <v>212</v>
      </c>
      <c r="H94" s="23">
        <v>0</v>
      </c>
      <c r="I94" s="24">
        <v>45848</v>
      </c>
      <c r="J94" s="22" t="s">
        <v>263</v>
      </c>
      <c r="K94" s="22" t="s">
        <v>502</v>
      </c>
      <c r="L94" s="25">
        <v>138.87</v>
      </c>
      <c r="M94" s="25">
        <v>7.64</v>
      </c>
      <c r="N94" s="25">
        <v>146.51</v>
      </c>
      <c r="O94" s="22"/>
      <c r="P94" s="26">
        <v>45856</v>
      </c>
      <c r="Q94" s="25">
        <v>146.51</v>
      </c>
      <c r="R94" s="22" t="s">
        <v>503</v>
      </c>
      <c r="S94" s="25">
        <v>0</v>
      </c>
      <c r="T94" s="22"/>
      <c r="U94" s="23"/>
      <c r="V94" s="22"/>
      <c r="W94" s="23"/>
      <c r="X94" s="23"/>
      <c r="Y94" s="23"/>
      <c r="Z94" s="25">
        <v>0</v>
      </c>
      <c r="AA94" s="25">
        <v>0</v>
      </c>
      <c r="AB94" s="25">
        <v>0</v>
      </c>
      <c r="AC94" s="22"/>
      <c r="AD94" s="22" t="s">
        <v>365</v>
      </c>
      <c r="AE94" s="22" t="s">
        <v>366</v>
      </c>
      <c r="AF94" s="22" t="s">
        <v>31</v>
      </c>
      <c r="AG94" s="22" t="s">
        <v>42</v>
      </c>
      <c r="AH94" s="22" t="s">
        <v>228</v>
      </c>
      <c r="AI94" s="22" t="s">
        <v>31</v>
      </c>
      <c r="AJ94" s="22"/>
      <c r="AK94" s="22" t="s">
        <v>235</v>
      </c>
      <c r="AL94" s="22" t="s">
        <v>250</v>
      </c>
      <c r="AM94" s="22" t="s">
        <v>231</v>
      </c>
      <c r="AN94" s="22" t="s">
        <v>232</v>
      </c>
      <c r="AO94" s="22" t="s">
        <v>231</v>
      </c>
      <c r="AP94" s="22" t="s">
        <v>232</v>
      </c>
      <c r="AQ94" s="22"/>
      <c r="AR94" s="22"/>
      <c r="AS94" s="22"/>
      <c r="AT94" s="22"/>
      <c r="AU94" s="22"/>
      <c r="AV94" s="22"/>
      <c r="AW94" s="23"/>
      <c r="AX94" s="27"/>
      <c r="AY94" s="25"/>
      <c r="AZ94" s="27"/>
      <c r="BA94" s="25"/>
      <c r="BB94" s="22"/>
      <c r="BC94" s="22"/>
      <c r="BD94" s="22"/>
      <c r="BE94" s="22"/>
      <c r="BF94" s="23"/>
      <c r="BG94" s="23"/>
      <c r="BH94" s="22" t="s">
        <v>504</v>
      </c>
      <c r="BI94" s="23">
        <v>1</v>
      </c>
      <c r="BJ94" s="23">
        <v>0</v>
      </c>
      <c r="BK94" s="24"/>
      <c r="BL94" s="24"/>
      <c r="BM94" s="22"/>
      <c r="BN94" s="24">
        <v>45856</v>
      </c>
      <c r="BO94" s="24">
        <v>45855</v>
      </c>
      <c r="BP94" s="25">
        <v>146.51</v>
      </c>
      <c r="BQ94" s="24">
        <v>45854</v>
      </c>
    </row>
    <row r="95" spans="1:69" ht="22.5" hidden="1" customHeight="1" x14ac:dyDescent="0.2">
      <c r="A95" s="28" t="s">
        <v>262</v>
      </c>
      <c r="B95" s="28"/>
      <c r="C95" s="28" t="s">
        <v>221</v>
      </c>
      <c r="D95" s="28" t="s">
        <v>222</v>
      </c>
      <c r="E95" s="29">
        <v>411351</v>
      </c>
      <c r="F95" s="29">
        <v>1347</v>
      </c>
      <c r="G95" s="29">
        <v>204</v>
      </c>
      <c r="H95" s="29">
        <v>0</v>
      </c>
      <c r="I95" s="30">
        <v>45846</v>
      </c>
      <c r="J95" s="28" t="s">
        <v>395</v>
      </c>
      <c r="K95" s="28" t="s">
        <v>505</v>
      </c>
      <c r="L95" s="31">
        <v>25.16</v>
      </c>
      <c r="M95" s="31">
        <v>3.12</v>
      </c>
      <c r="N95" s="31">
        <v>28.28</v>
      </c>
      <c r="O95" s="28"/>
      <c r="P95" s="32">
        <v>45848</v>
      </c>
      <c r="Q95" s="31">
        <v>28.28</v>
      </c>
      <c r="R95" s="28" t="s">
        <v>506</v>
      </c>
      <c r="S95" s="31">
        <v>0</v>
      </c>
      <c r="T95" s="28"/>
      <c r="U95" s="29"/>
      <c r="V95" s="28"/>
      <c r="W95" s="29"/>
      <c r="X95" s="29"/>
      <c r="Y95" s="29"/>
      <c r="Z95" s="31">
        <v>0</v>
      </c>
      <c r="AA95" s="31">
        <v>0</v>
      </c>
      <c r="AB95" s="31">
        <v>0</v>
      </c>
      <c r="AC95" s="28"/>
      <c r="AD95" s="28" t="s">
        <v>293</v>
      </c>
      <c r="AE95" s="28" t="s">
        <v>294</v>
      </c>
      <c r="AF95" s="28" t="s">
        <v>31</v>
      </c>
      <c r="AG95" s="28" t="s">
        <v>42</v>
      </c>
      <c r="AH95" s="28" t="s">
        <v>228</v>
      </c>
      <c r="AI95" s="28" t="s">
        <v>31</v>
      </c>
      <c r="AJ95" s="28"/>
      <c r="AK95" s="28" t="s">
        <v>235</v>
      </c>
      <c r="AL95" s="28" t="s">
        <v>331</v>
      </c>
      <c r="AM95" s="28" t="s">
        <v>231</v>
      </c>
      <c r="AN95" s="28" t="s">
        <v>232</v>
      </c>
      <c r="AO95" s="28" t="s">
        <v>231</v>
      </c>
      <c r="AP95" s="28" t="s">
        <v>232</v>
      </c>
      <c r="AQ95" s="28"/>
      <c r="AR95" s="28"/>
      <c r="AS95" s="28"/>
      <c r="AT95" s="28"/>
      <c r="AU95" s="28"/>
      <c r="AV95" s="28"/>
      <c r="AW95" s="29"/>
      <c r="AX95" s="33"/>
      <c r="AY95" s="31"/>
      <c r="AZ95" s="33"/>
      <c r="BA95" s="31"/>
      <c r="BB95" s="28"/>
      <c r="BC95" s="28"/>
      <c r="BD95" s="28"/>
      <c r="BE95" s="28"/>
      <c r="BF95" s="29"/>
      <c r="BG95" s="29"/>
      <c r="BH95" s="28" t="s">
        <v>507</v>
      </c>
      <c r="BI95" s="29">
        <v>1</v>
      </c>
      <c r="BJ95" s="29">
        <v>0</v>
      </c>
      <c r="BK95" s="30"/>
      <c r="BL95" s="30"/>
      <c r="BM95" s="28"/>
      <c r="BN95" s="30">
        <v>45848</v>
      </c>
      <c r="BO95" s="30">
        <v>45848</v>
      </c>
      <c r="BP95" s="31">
        <v>28.28</v>
      </c>
      <c r="BQ95" s="30">
        <v>45847</v>
      </c>
    </row>
    <row r="96" spans="1:69" ht="22.5" hidden="1" customHeight="1" x14ac:dyDescent="0.2">
      <c r="A96" s="22" t="s">
        <v>262</v>
      </c>
      <c r="B96" s="22"/>
      <c r="C96" s="22" t="s">
        <v>221</v>
      </c>
      <c r="D96" s="22" t="s">
        <v>222</v>
      </c>
      <c r="E96" s="23">
        <v>411352</v>
      </c>
      <c r="F96" s="23">
        <v>1348</v>
      </c>
      <c r="G96" s="23">
        <v>204</v>
      </c>
      <c r="H96" s="23">
        <v>0</v>
      </c>
      <c r="I96" s="24">
        <v>45846</v>
      </c>
      <c r="J96" s="22" t="s">
        <v>395</v>
      </c>
      <c r="K96" s="22" t="s">
        <v>508</v>
      </c>
      <c r="L96" s="25">
        <v>72.709999999999994</v>
      </c>
      <c r="M96" s="25">
        <v>6.7</v>
      </c>
      <c r="N96" s="25">
        <v>79.41</v>
      </c>
      <c r="O96" s="22"/>
      <c r="P96" s="26">
        <v>45848</v>
      </c>
      <c r="Q96" s="25">
        <v>79.41</v>
      </c>
      <c r="R96" s="22" t="s">
        <v>509</v>
      </c>
      <c r="S96" s="25">
        <v>0</v>
      </c>
      <c r="T96" s="22"/>
      <c r="U96" s="23"/>
      <c r="V96" s="22"/>
      <c r="W96" s="23"/>
      <c r="X96" s="23"/>
      <c r="Y96" s="23"/>
      <c r="Z96" s="25">
        <v>0</v>
      </c>
      <c r="AA96" s="25">
        <v>0</v>
      </c>
      <c r="AB96" s="25">
        <v>0</v>
      </c>
      <c r="AC96" s="22"/>
      <c r="AD96" s="22" t="s">
        <v>293</v>
      </c>
      <c r="AE96" s="22" t="s">
        <v>294</v>
      </c>
      <c r="AF96" s="22" t="s">
        <v>31</v>
      </c>
      <c r="AG96" s="22" t="s">
        <v>42</v>
      </c>
      <c r="AH96" s="22" t="s">
        <v>228</v>
      </c>
      <c r="AI96" s="22" t="s">
        <v>31</v>
      </c>
      <c r="AJ96" s="22"/>
      <c r="AK96" s="22" t="s">
        <v>235</v>
      </c>
      <c r="AL96" s="22" t="s">
        <v>331</v>
      </c>
      <c r="AM96" s="22" t="s">
        <v>231</v>
      </c>
      <c r="AN96" s="22" t="s">
        <v>232</v>
      </c>
      <c r="AO96" s="22" t="s">
        <v>231</v>
      </c>
      <c r="AP96" s="22" t="s">
        <v>232</v>
      </c>
      <c r="AQ96" s="22"/>
      <c r="AR96" s="22"/>
      <c r="AS96" s="22"/>
      <c r="AT96" s="22"/>
      <c r="AU96" s="22"/>
      <c r="AV96" s="22"/>
      <c r="AW96" s="23"/>
      <c r="AX96" s="27"/>
      <c r="AY96" s="25"/>
      <c r="AZ96" s="27"/>
      <c r="BA96" s="25"/>
      <c r="BB96" s="22"/>
      <c r="BC96" s="22"/>
      <c r="BD96" s="22"/>
      <c r="BE96" s="22"/>
      <c r="BF96" s="23"/>
      <c r="BG96" s="23"/>
      <c r="BH96" s="22" t="s">
        <v>510</v>
      </c>
      <c r="BI96" s="23">
        <v>1</v>
      </c>
      <c r="BJ96" s="23">
        <v>0</v>
      </c>
      <c r="BK96" s="24"/>
      <c r="BL96" s="24"/>
      <c r="BM96" s="22"/>
      <c r="BN96" s="24">
        <v>45848</v>
      </c>
      <c r="BO96" s="24">
        <v>45848</v>
      </c>
      <c r="BP96" s="25">
        <v>79.41</v>
      </c>
      <c r="BQ96" s="24">
        <v>45847</v>
      </c>
    </row>
    <row r="97" spans="1:69" ht="22.5" hidden="1" customHeight="1" x14ac:dyDescent="0.2">
      <c r="A97" s="28" t="s">
        <v>262</v>
      </c>
      <c r="B97" s="28"/>
      <c r="C97" s="28" t="s">
        <v>221</v>
      </c>
      <c r="D97" s="28" t="s">
        <v>222</v>
      </c>
      <c r="E97" s="29">
        <v>411353</v>
      </c>
      <c r="F97" s="29">
        <v>1349</v>
      </c>
      <c r="G97" s="29">
        <v>204</v>
      </c>
      <c r="H97" s="29">
        <v>0</v>
      </c>
      <c r="I97" s="30">
        <v>45846</v>
      </c>
      <c r="J97" s="28" t="s">
        <v>395</v>
      </c>
      <c r="K97" s="28" t="s">
        <v>511</v>
      </c>
      <c r="L97" s="31">
        <v>94.21</v>
      </c>
      <c r="M97" s="31">
        <v>5.18</v>
      </c>
      <c r="N97" s="31">
        <v>99.39</v>
      </c>
      <c r="O97" s="28"/>
      <c r="P97" s="32">
        <v>45848</v>
      </c>
      <c r="Q97" s="31">
        <v>99.39</v>
      </c>
      <c r="R97" s="28" t="s">
        <v>512</v>
      </c>
      <c r="S97" s="31">
        <v>0</v>
      </c>
      <c r="T97" s="28"/>
      <c r="U97" s="29"/>
      <c r="V97" s="28"/>
      <c r="W97" s="29"/>
      <c r="X97" s="29"/>
      <c r="Y97" s="29"/>
      <c r="Z97" s="31">
        <v>0</v>
      </c>
      <c r="AA97" s="31">
        <v>0</v>
      </c>
      <c r="AB97" s="31">
        <v>0</v>
      </c>
      <c r="AC97" s="28"/>
      <c r="AD97" s="28" t="s">
        <v>293</v>
      </c>
      <c r="AE97" s="28" t="s">
        <v>294</v>
      </c>
      <c r="AF97" s="28" t="s">
        <v>31</v>
      </c>
      <c r="AG97" s="28" t="s">
        <v>42</v>
      </c>
      <c r="AH97" s="28" t="s">
        <v>228</v>
      </c>
      <c r="AI97" s="28" t="s">
        <v>31</v>
      </c>
      <c r="AJ97" s="28"/>
      <c r="AK97" s="28" t="s">
        <v>235</v>
      </c>
      <c r="AL97" s="28" t="s">
        <v>331</v>
      </c>
      <c r="AM97" s="28" t="s">
        <v>231</v>
      </c>
      <c r="AN97" s="28" t="s">
        <v>232</v>
      </c>
      <c r="AO97" s="28" t="s">
        <v>231</v>
      </c>
      <c r="AP97" s="28" t="s">
        <v>232</v>
      </c>
      <c r="AQ97" s="28"/>
      <c r="AR97" s="28"/>
      <c r="AS97" s="28"/>
      <c r="AT97" s="28"/>
      <c r="AU97" s="28"/>
      <c r="AV97" s="28"/>
      <c r="AW97" s="29"/>
      <c r="AX97" s="33"/>
      <c r="AY97" s="31"/>
      <c r="AZ97" s="33"/>
      <c r="BA97" s="31"/>
      <c r="BB97" s="28"/>
      <c r="BC97" s="28"/>
      <c r="BD97" s="28"/>
      <c r="BE97" s="28"/>
      <c r="BF97" s="29"/>
      <c r="BG97" s="29"/>
      <c r="BH97" s="28" t="s">
        <v>513</v>
      </c>
      <c r="BI97" s="29">
        <v>1</v>
      </c>
      <c r="BJ97" s="29">
        <v>0</v>
      </c>
      <c r="BK97" s="30"/>
      <c r="BL97" s="30"/>
      <c r="BM97" s="28"/>
      <c r="BN97" s="30">
        <v>45848</v>
      </c>
      <c r="BO97" s="30">
        <v>45848</v>
      </c>
      <c r="BP97" s="31">
        <v>99.39</v>
      </c>
      <c r="BQ97" s="30">
        <v>45847</v>
      </c>
    </row>
    <row r="98" spans="1:69" ht="22.5" hidden="1" customHeight="1" x14ac:dyDescent="0.2">
      <c r="A98" s="22" t="s">
        <v>262</v>
      </c>
      <c r="B98" s="22"/>
      <c r="C98" s="22" t="s">
        <v>221</v>
      </c>
      <c r="D98" s="22" t="s">
        <v>222</v>
      </c>
      <c r="E98" s="23">
        <v>411354</v>
      </c>
      <c r="F98" s="23">
        <v>1350</v>
      </c>
      <c r="G98" s="23">
        <v>204</v>
      </c>
      <c r="H98" s="23">
        <v>0</v>
      </c>
      <c r="I98" s="24">
        <v>45846</v>
      </c>
      <c r="J98" s="22" t="s">
        <v>395</v>
      </c>
      <c r="K98" s="22" t="s">
        <v>514</v>
      </c>
      <c r="L98" s="25">
        <v>28.01</v>
      </c>
      <c r="M98" s="25">
        <v>1.54</v>
      </c>
      <c r="N98" s="25">
        <v>29.55</v>
      </c>
      <c r="O98" s="22"/>
      <c r="P98" s="26">
        <v>45848</v>
      </c>
      <c r="Q98" s="25">
        <v>29.55</v>
      </c>
      <c r="R98" s="22" t="s">
        <v>515</v>
      </c>
      <c r="S98" s="25">
        <v>0</v>
      </c>
      <c r="T98" s="22"/>
      <c r="U98" s="23"/>
      <c r="V98" s="22"/>
      <c r="W98" s="23"/>
      <c r="X98" s="23"/>
      <c r="Y98" s="23"/>
      <c r="Z98" s="25">
        <v>0</v>
      </c>
      <c r="AA98" s="25">
        <v>0</v>
      </c>
      <c r="AB98" s="25">
        <v>0</v>
      </c>
      <c r="AC98" s="22"/>
      <c r="AD98" s="22" t="s">
        <v>293</v>
      </c>
      <c r="AE98" s="22" t="s">
        <v>294</v>
      </c>
      <c r="AF98" s="22" t="s">
        <v>31</v>
      </c>
      <c r="AG98" s="22" t="s">
        <v>42</v>
      </c>
      <c r="AH98" s="22" t="s">
        <v>228</v>
      </c>
      <c r="AI98" s="22" t="s">
        <v>31</v>
      </c>
      <c r="AJ98" s="22"/>
      <c r="AK98" s="22" t="s">
        <v>235</v>
      </c>
      <c r="AL98" s="22" t="s">
        <v>331</v>
      </c>
      <c r="AM98" s="22" t="s">
        <v>231</v>
      </c>
      <c r="AN98" s="22" t="s">
        <v>232</v>
      </c>
      <c r="AO98" s="22" t="s">
        <v>231</v>
      </c>
      <c r="AP98" s="22" t="s">
        <v>232</v>
      </c>
      <c r="AQ98" s="22"/>
      <c r="AR98" s="22"/>
      <c r="AS98" s="22"/>
      <c r="AT98" s="22"/>
      <c r="AU98" s="22"/>
      <c r="AV98" s="22"/>
      <c r="AW98" s="23"/>
      <c r="AX98" s="27"/>
      <c r="AY98" s="25"/>
      <c r="AZ98" s="27"/>
      <c r="BA98" s="25"/>
      <c r="BB98" s="22"/>
      <c r="BC98" s="22"/>
      <c r="BD98" s="22"/>
      <c r="BE98" s="22"/>
      <c r="BF98" s="23"/>
      <c r="BG98" s="23"/>
      <c r="BH98" s="22" t="s">
        <v>516</v>
      </c>
      <c r="BI98" s="23">
        <v>1</v>
      </c>
      <c r="BJ98" s="23">
        <v>0</v>
      </c>
      <c r="BK98" s="24"/>
      <c r="BL98" s="24"/>
      <c r="BM98" s="22"/>
      <c r="BN98" s="24">
        <v>45848</v>
      </c>
      <c r="BO98" s="24">
        <v>45848</v>
      </c>
      <c r="BP98" s="25">
        <v>29.55</v>
      </c>
      <c r="BQ98" s="24">
        <v>45847</v>
      </c>
    </row>
    <row r="99" spans="1:69" ht="22.5" hidden="1" customHeight="1" x14ac:dyDescent="0.2">
      <c r="A99" s="28" t="s">
        <v>262</v>
      </c>
      <c r="B99" s="28"/>
      <c r="C99" s="28" t="s">
        <v>221</v>
      </c>
      <c r="D99" s="28" t="s">
        <v>222</v>
      </c>
      <c r="E99" s="29">
        <v>411355</v>
      </c>
      <c r="F99" s="29">
        <v>1351</v>
      </c>
      <c r="G99" s="29">
        <v>204</v>
      </c>
      <c r="H99" s="29">
        <v>0</v>
      </c>
      <c r="I99" s="30">
        <v>45846</v>
      </c>
      <c r="J99" s="28" t="s">
        <v>395</v>
      </c>
      <c r="K99" s="28" t="s">
        <v>517</v>
      </c>
      <c r="L99" s="31">
        <v>26.94</v>
      </c>
      <c r="M99" s="31">
        <v>2.73</v>
      </c>
      <c r="N99" s="31">
        <v>29.67</v>
      </c>
      <c r="O99" s="28"/>
      <c r="P99" s="32">
        <v>45848</v>
      </c>
      <c r="Q99" s="31">
        <v>29.67</v>
      </c>
      <c r="R99" s="28" t="s">
        <v>518</v>
      </c>
      <c r="S99" s="31">
        <v>0</v>
      </c>
      <c r="T99" s="28"/>
      <c r="U99" s="29"/>
      <c r="V99" s="28"/>
      <c r="W99" s="29"/>
      <c r="X99" s="29"/>
      <c r="Y99" s="29"/>
      <c r="Z99" s="31">
        <v>0</v>
      </c>
      <c r="AA99" s="31">
        <v>0</v>
      </c>
      <c r="AB99" s="31">
        <v>0</v>
      </c>
      <c r="AC99" s="28"/>
      <c r="AD99" s="28" t="s">
        <v>293</v>
      </c>
      <c r="AE99" s="28" t="s">
        <v>294</v>
      </c>
      <c r="AF99" s="28" t="s">
        <v>31</v>
      </c>
      <c r="AG99" s="28" t="s">
        <v>42</v>
      </c>
      <c r="AH99" s="28" t="s">
        <v>228</v>
      </c>
      <c r="AI99" s="28" t="s">
        <v>31</v>
      </c>
      <c r="AJ99" s="28"/>
      <c r="AK99" s="28" t="s">
        <v>235</v>
      </c>
      <c r="AL99" s="28" t="s">
        <v>331</v>
      </c>
      <c r="AM99" s="28" t="s">
        <v>231</v>
      </c>
      <c r="AN99" s="28" t="s">
        <v>232</v>
      </c>
      <c r="AO99" s="28" t="s">
        <v>231</v>
      </c>
      <c r="AP99" s="28" t="s">
        <v>232</v>
      </c>
      <c r="AQ99" s="28"/>
      <c r="AR99" s="28"/>
      <c r="AS99" s="28"/>
      <c r="AT99" s="28"/>
      <c r="AU99" s="28"/>
      <c r="AV99" s="28"/>
      <c r="AW99" s="29"/>
      <c r="AX99" s="33"/>
      <c r="AY99" s="31"/>
      <c r="AZ99" s="33"/>
      <c r="BA99" s="31"/>
      <c r="BB99" s="28"/>
      <c r="BC99" s="28"/>
      <c r="BD99" s="28"/>
      <c r="BE99" s="28"/>
      <c r="BF99" s="29"/>
      <c r="BG99" s="29"/>
      <c r="BH99" s="28" t="s">
        <v>519</v>
      </c>
      <c r="BI99" s="29">
        <v>1</v>
      </c>
      <c r="BJ99" s="29">
        <v>0</v>
      </c>
      <c r="BK99" s="30"/>
      <c r="BL99" s="30"/>
      <c r="BM99" s="28"/>
      <c r="BN99" s="30">
        <v>45848</v>
      </c>
      <c r="BO99" s="30">
        <v>45848</v>
      </c>
      <c r="BP99" s="31">
        <v>29.67</v>
      </c>
      <c r="BQ99" s="30">
        <v>45847</v>
      </c>
    </row>
    <row r="100" spans="1:69" ht="22.5" hidden="1" customHeight="1" x14ac:dyDescent="0.2">
      <c r="A100" s="22" t="s">
        <v>262</v>
      </c>
      <c r="B100" s="22"/>
      <c r="C100" s="22" t="s">
        <v>221</v>
      </c>
      <c r="D100" s="22" t="s">
        <v>222</v>
      </c>
      <c r="E100" s="23">
        <v>411356</v>
      </c>
      <c r="F100" s="23">
        <v>1352</v>
      </c>
      <c r="G100" s="23">
        <v>204</v>
      </c>
      <c r="H100" s="23">
        <v>0</v>
      </c>
      <c r="I100" s="24">
        <v>45846</v>
      </c>
      <c r="J100" s="22" t="s">
        <v>395</v>
      </c>
      <c r="K100" s="22" t="s">
        <v>520</v>
      </c>
      <c r="L100" s="25">
        <v>91.98</v>
      </c>
      <c r="M100" s="25">
        <v>7.3</v>
      </c>
      <c r="N100" s="25">
        <v>99.28</v>
      </c>
      <c r="O100" s="22"/>
      <c r="P100" s="26">
        <v>45848</v>
      </c>
      <c r="Q100" s="25">
        <v>99.28</v>
      </c>
      <c r="R100" s="22" t="s">
        <v>521</v>
      </c>
      <c r="S100" s="25">
        <v>0</v>
      </c>
      <c r="T100" s="22"/>
      <c r="U100" s="23"/>
      <c r="V100" s="22"/>
      <c r="W100" s="23"/>
      <c r="X100" s="23"/>
      <c r="Y100" s="23"/>
      <c r="Z100" s="25">
        <v>0</v>
      </c>
      <c r="AA100" s="25">
        <v>0</v>
      </c>
      <c r="AB100" s="25">
        <v>0</v>
      </c>
      <c r="AC100" s="22"/>
      <c r="AD100" s="22" t="s">
        <v>293</v>
      </c>
      <c r="AE100" s="22" t="s">
        <v>294</v>
      </c>
      <c r="AF100" s="22" t="s">
        <v>31</v>
      </c>
      <c r="AG100" s="22" t="s">
        <v>42</v>
      </c>
      <c r="AH100" s="22" t="s">
        <v>228</v>
      </c>
      <c r="AI100" s="22" t="s">
        <v>31</v>
      </c>
      <c r="AJ100" s="22"/>
      <c r="AK100" s="22" t="s">
        <v>235</v>
      </c>
      <c r="AL100" s="22" t="s">
        <v>331</v>
      </c>
      <c r="AM100" s="22" t="s">
        <v>231</v>
      </c>
      <c r="AN100" s="22" t="s">
        <v>232</v>
      </c>
      <c r="AO100" s="22" t="s">
        <v>231</v>
      </c>
      <c r="AP100" s="22" t="s">
        <v>232</v>
      </c>
      <c r="AQ100" s="22"/>
      <c r="AR100" s="22"/>
      <c r="AS100" s="22"/>
      <c r="AT100" s="22"/>
      <c r="AU100" s="22"/>
      <c r="AV100" s="22"/>
      <c r="AW100" s="23"/>
      <c r="AX100" s="27"/>
      <c r="AY100" s="25"/>
      <c r="AZ100" s="27"/>
      <c r="BA100" s="25"/>
      <c r="BB100" s="22"/>
      <c r="BC100" s="22"/>
      <c r="BD100" s="22"/>
      <c r="BE100" s="22"/>
      <c r="BF100" s="23"/>
      <c r="BG100" s="23"/>
      <c r="BH100" s="22" t="s">
        <v>522</v>
      </c>
      <c r="BI100" s="23">
        <v>1</v>
      </c>
      <c r="BJ100" s="23">
        <v>0</v>
      </c>
      <c r="BK100" s="24"/>
      <c r="BL100" s="24"/>
      <c r="BM100" s="22"/>
      <c r="BN100" s="24">
        <v>45848</v>
      </c>
      <c r="BO100" s="24">
        <v>45848</v>
      </c>
      <c r="BP100" s="25">
        <v>99.28</v>
      </c>
      <c r="BQ100" s="24">
        <v>45847</v>
      </c>
    </row>
    <row r="101" spans="1:69" ht="22.5" hidden="1" customHeight="1" x14ac:dyDescent="0.2">
      <c r="A101" s="28" t="s">
        <v>262</v>
      </c>
      <c r="B101" s="28"/>
      <c r="C101" s="28" t="s">
        <v>221</v>
      </c>
      <c r="D101" s="28" t="s">
        <v>222</v>
      </c>
      <c r="E101" s="29">
        <v>411357</v>
      </c>
      <c r="F101" s="29">
        <v>1353</v>
      </c>
      <c r="G101" s="29">
        <v>204</v>
      </c>
      <c r="H101" s="29">
        <v>0</v>
      </c>
      <c r="I101" s="30">
        <v>45846</v>
      </c>
      <c r="J101" s="28" t="s">
        <v>395</v>
      </c>
      <c r="K101" s="28" t="s">
        <v>523</v>
      </c>
      <c r="L101" s="31">
        <v>27.75</v>
      </c>
      <c r="M101" s="31">
        <v>1.65</v>
      </c>
      <c r="N101" s="31">
        <v>29.4</v>
      </c>
      <c r="O101" s="28"/>
      <c r="P101" s="32">
        <v>45848</v>
      </c>
      <c r="Q101" s="31">
        <v>29.4</v>
      </c>
      <c r="R101" s="28" t="s">
        <v>524</v>
      </c>
      <c r="S101" s="31">
        <v>0</v>
      </c>
      <c r="T101" s="28"/>
      <c r="U101" s="29"/>
      <c r="V101" s="28"/>
      <c r="W101" s="29"/>
      <c r="X101" s="29"/>
      <c r="Y101" s="29"/>
      <c r="Z101" s="31">
        <v>0</v>
      </c>
      <c r="AA101" s="31">
        <v>0</v>
      </c>
      <c r="AB101" s="31">
        <v>0</v>
      </c>
      <c r="AC101" s="28"/>
      <c r="AD101" s="28" t="s">
        <v>293</v>
      </c>
      <c r="AE101" s="28" t="s">
        <v>294</v>
      </c>
      <c r="AF101" s="28" t="s">
        <v>31</v>
      </c>
      <c r="AG101" s="28" t="s">
        <v>42</v>
      </c>
      <c r="AH101" s="28" t="s">
        <v>228</v>
      </c>
      <c r="AI101" s="28" t="s">
        <v>31</v>
      </c>
      <c r="AJ101" s="28"/>
      <c r="AK101" s="28" t="s">
        <v>235</v>
      </c>
      <c r="AL101" s="28" t="s">
        <v>331</v>
      </c>
      <c r="AM101" s="28" t="s">
        <v>231</v>
      </c>
      <c r="AN101" s="28" t="s">
        <v>232</v>
      </c>
      <c r="AO101" s="28" t="s">
        <v>231</v>
      </c>
      <c r="AP101" s="28" t="s">
        <v>232</v>
      </c>
      <c r="AQ101" s="28"/>
      <c r="AR101" s="28"/>
      <c r="AS101" s="28"/>
      <c r="AT101" s="28"/>
      <c r="AU101" s="28"/>
      <c r="AV101" s="28"/>
      <c r="AW101" s="29"/>
      <c r="AX101" s="33"/>
      <c r="AY101" s="31"/>
      <c r="AZ101" s="33"/>
      <c r="BA101" s="31"/>
      <c r="BB101" s="28"/>
      <c r="BC101" s="28"/>
      <c r="BD101" s="28"/>
      <c r="BE101" s="28"/>
      <c r="BF101" s="29"/>
      <c r="BG101" s="29"/>
      <c r="BH101" s="28" t="s">
        <v>525</v>
      </c>
      <c r="BI101" s="29">
        <v>1</v>
      </c>
      <c r="BJ101" s="29">
        <v>0</v>
      </c>
      <c r="BK101" s="30"/>
      <c r="BL101" s="30"/>
      <c r="BM101" s="28"/>
      <c r="BN101" s="30">
        <v>45848</v>
      </c>
      <c r="BO101" s="30">
        <v>45848</v>
      </c>
      <c r="BP101" s="31">
        <v>29.4</v>
      </c>
      <c r="BQ101" s="30">
        <v>45847</v>
      </c>
    </row>
    <row r="102" spans="1:69" ht="22.5" hidden="1" customHeight="1" x14ac:dyDescent="0.2">
      <c r="A102" s="28" t="s">
        <v>262</v>
      </c>
      <c r="B102" s="28"/>
      <c r="C102" s="28" t="s">
        <v>221</v>
      </c>
      <c r="D102" s="28" t="s">
        <v>222</v>
      </c>
      <c r="E102" s="29">
        <v>411359</v>
      </c>
      <c r="F102" s="29">
        <v>1355</v>
      </c>
      <c r="G102" s="29">
        <v>204</v>
      </c>
      <c r="H102" s="29">
        <v>0</v>
      </c>
      <c r="I102" s="30">
        <v>45846</v>
      </c>
      <c r="J102" s="28" t="s">
        <v>395</v>
      </c>
      <c r="K102" s="28" t="s">
        <v>526</v>
      </c>
      <c r="L102" s="31">
        <v>27.76</v>
      </c>
      <c r="M102" s="31">
        <v>1.7</v>
      </c>
      <c r="N102" s="31">
        <v>29.46</v>
      </c>
      <c r="O102" s="28"/>
      <c r="P102" s="32">
        <v>45848</v>
      </c>
      <c r="Q102" s="31">
        <v>29.46</v>
      </c>
      <c r="R102" s="28" t="s">
        <v>527</v>
      </c>
      <c r="S102" s="31">
        <v>0</v>
      </c>
      <c r="T102" s="28"/>
      <c r="U102" s="29"/>
      <c r="V102" s="28"/>
      <c r="W102" s="29"/>
      <c r="X102" s="29"/>
      <c r="Y102" s="29"/>
      <c r="Z102" s="31">
        <v>0</v>
      </c>
      <c r="AA102" s="31">
        <v>0</v>
      </c>
      <c r="AB102" s="31">
        <v>0</v>
      </c>
      <c r="AC102" s="28"/>
      <c r="AD102" s="28" t="s">
        <v>293</v>
      </c>
      <c r="AE102" s="28" t="s">
        <v>294</v>
      </c>
      <c r="AF102" s="28" t="s">
        <v>31</v>
      </c>
      <c r="AG102" s="28" t="s">
        <v>42</v>
      </c>
      <c r="AH102" s="28" t="s">
        <v>228</v>
      </c>
      <c r="AI102" s="28" t="s">
        <v>31</v>
      </c>
      <c r="AJ102" s="28"/>
      <c r="AK102" s="28" t="s">
        <v>235</v>
      </c>
      <c r="AL102" s="28" t="s">
        <v>331</v>
      </c>
      <c r="AM102" s="28" t="s">
        <v>231</v>
      </c>
      <c r="AN102" s="28" t="s">
        <v>232</v>
      </c>
      <c r="AO102" s="28" t="s">
        <v>231</v>
      </c>
      <c r="AP102" s="28" t="s">
        <v>232</v>
      </c>
      <c r="AQ102" s="28"/>
      <c r="AR102" s="28"/>
      <c r="AS102" s="28"/>
      <c r="AT102" s="28"/>
      <c r="AU102" s="28"/>
      <c r="AV102" s="28"/>
      <c r="AW102" s="29"/>
      <c r="AX102" s="33"/>
      <c r="AY102" s="31"/>
      <c r="AZ102" s="33"/>
      <c r="BA102" s="31"/>
      <c r="BB102" s="28"/>
      <c r="BC102" s="28"/>
      <c r="BD102" s="28"/>
      <c r="BE102" s="28"/>
      <c r="BF102" s="29"/>
      <c r="BG102" s="29"/>
      <c r="BH102" s="28" t="s">
        <v>528</v>
      </c>
      <c r="BI102" s="29">
        <v>1</v>
      </c>
      <c r="BJ102" s="29">
        <v>0</v>
      </c>
      <c r="BK102" s="30"/>
      <c r="BL102" s="30"/>
      <c r="BM102" s="28"/>
      <c r="BN102" s="30">
        <v>45848</v>
      </c>
      <c r="BO102" s="30">
        <v>45848</v>
      </c>
      <c r="BP102" s="31">
        <v>29.46</v>
      </c>
      <c r="BQ102" s="30">
        <v>45847</v>
      </c>
    </row>
    <row r="103" spans="1:69" ht="22.5" hidden="1" customHeight="1" x14ac:dyDescent="0.2">
      <c r="A103" s="22" t="s">
        <v>262</v>
      </c>
      <c r="B103" s="22"/>
      <c r="C103" s="22" t="s">
        <v>221</v>
      </c>
      <c r="D103" s="22" t="s">
        <v>222</v>
      </c>
      <c r="E103" s="23">
        <v>411360</v>
      </c>
      <c r="F103" s="23">
        <v>1356</v>
      </c>
      <c r="G103" s="23">
        <v>204</v>
      </c>
      <c r="H103" s="23">
        <v>0</v>
      </c>
      <c r="I103" s="24">
        <v>45846</v>
      </c>
      <c r="J103" s="22" t="s">
        <v>395</v>
      </c>
      <c r="K103" s="22" t="s">
        <v>529</v>
      </c>
      <c r="L103" s="25">
        <v>93.22</v>
      </c>
      <c r="M103" s="25">
        <v>6.02</v>
      </c>
      <c r="N103" s="25">
        <v>99.24</v>
      </c>
      <c r="O103" s="22"/>
      <c r="P103" s="26">
        <v>45848</v>
      </c>
      <c r="Q103" s="25">
        <v>99.24</v>
      </c>
      <c r="R103" s="22" t="s">
        <v>530</v>
      </c>
      <c r="S103" s="25">
        <v>0</v>
      </c>
      <c r="T103" s="22"/>
      <c r="U103" s="23"/>
      <c r="V103" s="22"/>
      <c r="W103" s="23"/>
      <c r="X103" s="23"/>
      <c r="Y103" s="23"/>
      <c r="Z103" s="25">
        <v>0</v>
      </c>
      <c r="AA103" s="25">
        <v>0</v>
      </c>
      <c r="AB103" s="25">
        <v>0</v>
      </c>
      <c r="AC103" s="22"/>
      <c r="AD103" s="22" t="s">
        <v>293</v>
      </c>
      <c r="AE103" s="22" t="s">
        <v>294</v>
      </c>
      <c r="AF103" s="22" t="s">
        <v>31</v>
      </c>
      <c r="AG103" s="22" t="s">
        <v>42</v>
      </c>
      <c r="AH103" s="22" t="s">
        <v>228</v>
      </c>
      <c r="AI103" s="22" t="s">
        <v>31</v>
      </c>
      <c r="AJ103" s="22"/>
      <c r="AK103" s="22" t="s">
        <v>235</v>
      </c>
      <c r="AL103" s="22" t="s">
        <v>331</v>
      </c>
      <c r="AM103" s="22" t="s">
        <v>231</v>
      </c>
      <c r="AN103" s="22" t="s">
        <v>232</v>
      </c>
      <c r="AO103" s="22" t="s">
        <v>231</v>
      </c>
      <c r="AP103" s="22" t="s">
        <v>232</v>
      </c>
      <c r="AQ103" s="22"/>
      <c r="AR103" s="22"/>
      <c r="AS103" s="22"/>
      <c r="AT103" s="22"/>
      <c r="AU103" s="22"/>
      <c r="AV103" s="22"/>
      <c r="AW103" s="23"/>
      <c r="AX103" s="27"/>
      <c r="AY103" s="25"/>
      <c r="AZ103" s="27"/>
      <c r="BA103" s="25"/>
      <c r="BB103" s="22"/>
      <c r="BC103" s="22"/>
      <c r="BD103" s="22"/>
      <c r="BE103" s="22"/>
      <c r="BF103" s="23"/>
      <c r="BG103" s="23"/>
      <c r="BH103" s="22" t="s">
        <v>531</v>
      </c>
      <c r="BI103" s="23">
        <v>1</v>
      </c>
      <c r="BJ103" s="23">
        <v>0</v>
      </c>
      <c r="BK103" s="24"/>
      <c r="BL103" s="24"/>
      <c r="BM103" s="22"/>
      <c r="BN103" s="24">
        <v>45848</v>
      </c>
      <c r="BO103" s="24">
        <v>45848</v>
      </c>
      <c r="BP103" s="25">
        <v>99.24</v>
      </c>
      <c r="BQ103" s="24">
        <v>45847</v>
      </c>
    </row>
    <row r="104" spans="1:69" ht="22.5" hidden="1" customHeight="1" x14ac:dyDescent="0.2">
      <c r="A104" s="28" t="s">
        <v>262</v>
      </c>
      <c r="B104" s="28"/>
      <c r="C104" s="28" t="s">
        <v>221</v>
      </c>
      <c r="D104" s="28" t="s">
        <v>222</v>
      </c>
      <c r="E104" s="29">
        <v>411361</v>
      </c>
      <c r="F104" s="29">
        <v>1357</v>
      </c>
      <c r="G104" s="29">
        <v>204</v>
      </c>
      <c r="H104" s="29">
        <v>0</v>
      </c>
      <c r="I104" s="30">
        <v>45846</v>
      </c>
      <c r="J104" s="28" t="s">
        <v>395</v>
      </c>
      <c r="K104" s="28" t="s">
        <v>532</v>
      </c>
      <c r="L104" s="31">
        <v>27.07</v>
      </c>
      <c r="M104" s="31">
        <v>2.71</v>
      </c>
      <c r="N104" s="31">
        <v>29.78</v>
      </c>
      <c r="O104" s="28"/>
      <c r="P104" s="32">
        <v>45848</v>
      </c>
      <c r="Q104" s="31">
        <v>29.78</v>
      </c>
      <c r="R104" s="28" t="s">
        <v>533</v>
      </c>
      <c r="S104" s="31">
        <v>0</v>
      </c>
      <c r="T104" s="28"/>
      <c r="U104" s="29"/>
      <c r="V104" s="28"/>
      <c r="W104" s="29"/>
      <c r="X104" s="29"/>
      <c r="Y104" s="29"/>
      <c r="Z104" s="31">
        <v>0</v>
      </c>
      <c r="AA104" s="31">
        <v>0</v>
      </c>
      <c r="AB104" s="31">
        <v>0</v>
      </c>
      <c r="AC104" s="28"/>
      <c r="AD104" s="28" t="s">
        <v>293</v>
      </c>
      <c r="AE104" s="28" t="s">
        <v>294</v>
      </c>
      <c r="AF104" s="28" t="s">
        <v>31</v>
      </c>
      <c r="AG104" s="28" t="s">
        <v>42</v>
      </c>
      <c r="AH104" s="28" t="s">
        <v>228</v>
      </c>
      <c r="AI104" s="28" t="s">
        <v>31</v>
      </c>
      <c r="AJ104" s="28"/>
      <c r="AK104" s="28" t="s">
        <v>235</v>
      </c>
      <c r="AL104" s="28" t="s">
        <v>331</v>
      </c>
      <c r="AM104" s="28" t="s">
        <v>231</v>
      </c>
      <c r="AN104" s="28" t="s">
        <v>232</v>
      </c>
      <c r="AO104" s="28" t="s">
        <v>231</v>
      </c>
      <c r="AP104" s="28" t="s">
        <v>232</v>
      </c>
      <c r="AQ104" s="28"/>
      <c r="AR104" s="28"/>
      <c r="AS104" s="28"/>
      <c r="AT104" s="28"/>
      <c r="AU104" s="28"/>
      <c r="AV104" s="28"/>
      <c r="AW104" s="29"/>
      <c r="AX104" s="33"/>
      <c r="AY104" s="31"/>
      <c r="AZ104" s="33"/>
      <c r="BA104" s="31"/>
      <c r="BB104" s="28"/>
      <c r="BC104" s="28"/>
      <c r="BD104" s="28"/>
      <c r="BE104" s="28"/>
      <c r="BF104" s="29"/>
      <c r="BG104" s="29"/>
      <c r="BH104" s="28" t="s">
        <v>534</v>
      </c>
      <c r="BI104" s="29">
        <v>1</v>
      </c>
      <c r="BJ104" s="29">
        <v>0</v>
      </c>
      <c r="BK104" s="30"/>
      <c r="BL104" s="30"/>
      <c r="BM104" s="28"/>
      <c r="BN104" s="30">
        <v>45848</v>
      </c>
      <c r="BO104" s="30">
        <v>45848</v>
      </c>
      <c r="BP104" s="31">
        <v>29.78</v>
      </c>
      <c r="BQ104" s="30">
        <v>45847</v>
      </c>
    </row>
    <row r="105" spans="1:69" ht="22.5" hidden="1" customHeight="1" x14ac:dyDescent="0.2">
      <c r="A105" s="22" t="s">
        <v>262</v>
      </c>
      <c r="B105" s="22"/>
      <c r="C105" s="22" t="s">
        <v>221</v>
      </c>
      <c r="D105" s="22" t="s">
        <v>222</v>
      </c>
      <c r="E105" s="23">
        <v>411362</v>
      </c>
      <c r="F105" s="23">
        <v>1358</v>
      </c>
      <c r="G105" s="23">
        <v>204</v>
      </c>
      <c r="H105" s="23">
        <v>0</v>
      </c>
      <c r="I105" s="24">
        <v>45846</v>
      </c>
      <c r="J105" s="22" t="s">
        <v>395</v>
      </c>
      <c r="K105" s="22" t="s">
        <v>535</v>
      </c>
      <c r="L105" s="25">
        <v>26.67</v>
      </c>
      <c r="M105" s="25">
        <v>2.94</v>
      </c>
      <c r="N105" s="25">
        <v>29.61</v>
      </c>
      <c r="O105" s="22"/>
      <c r="P105" s="26">
        <v>45848</v>
      </c>
      <c r="Q105" s="25">
        <v>29.61</v>
      </c>
      <c r="R105" s="22" t="s">
        <v>536</v>
      </c>
      <c r="S105" s="25">
        <v>0</v>
      </c>
      <c r="T105" s="22"/>
      <c r="U105" s="23"/>
      <c r="V105" s="22"/>
      <c r="W105" s="23"/>
      <c r="X105" s="23"/>
      <c r="Y105" s="23"/>
      <c r="Z105" s="25">
        <v>0</v>
      </c>
      <c r="AA105" s="25">
        <v>0</v>
      </c>
      <c r="AB105" s="25">
        <v>0</v>
      </c>
      <c r="AC105" s="22"/>
      <c r="AD105" s="22" t="s">
        <v>293</v>
      </c>
      <c r="AE105" s="22" t="s">
        <v>294</v>
      </c>
      <c r="AF105" s="22" t="s">
        <v>31</v>
      </c>
      <c r="AG105" s="22" t="s">
        <v>42</v>
      </c>
      <c r="AH105" s="22" t="s">
        <v>228</v>
      </c>
      <c r="AI105" s="22" t="s">
        <v>31</v>
      </c>
      <c r="AJ105" s="22"/>
      <c r="AK105" s="22" t="s">
        <v>235</v>
      </c>
      <c r="AL105" s="22" t="s">
        <v>331</v>
      </c>
      <c r="AM105" s="22" t="s">
        <v>231</v>
      </c>
      <c r="AN105" s="22" t="s">
        <v>232</v>
      </c>
      <c r="AO105" s="22" t="s">
        <v>231</v>
      </c>
      <c r="AP105" s="22" t="s">
        <v>232</v>
      </c>
      <c r="AQ105" s="22"/>
      <c r="AR105" s="22"/>
      <c r="AS105" s="22"/>
      <c r="AT105" s="22"/>
      <c r="AU105" s="22"/>
      <c r="AV105" s="22"/>
      <c r="AW105" s="23"/>
      <c r="AX105" s="27"/>
      <c r="AY105" s="25"/>
      <c r="AZ105" s="27"/>
      <c r="BA105" s="25"/>
      <c r="BB105" s="22"/>
      <c r="BC105" s="22"/>
      <c r="BD105" s="22"/>
      <c r="BE105" s="22"/>
      <c r="BF105" s="23"/>
      <c r="BG105" s="23"/>
      <c r="BH105" s="22" t="s">
        <v>537</v>
      </c>
      <c r="BI105" s="23">
        <v>1</v>
      </c>
      <c r="BJ105" s="23">
        <v>0</v>
      </c>
      <c r="BK105" s="24"/>
      <c r="BL105" s="24"/>
      <c r="BM105" s="22"/>
      <c r="BN105" s="24">
        <v>45848</v>
      </c>
      <c r="BO105" s="24">
        <v>45848</v>
      </c>
      <c r="BP105" s="25">
        <v>29.61</v>
      </c>
      <c r="BQ105" s="24">
        <v>45847</v>
      </c>
    </row>
    <row r="106" spans="1:69" ht="22.5" hidden="1" customHeight="1" x14ac:dyDescent="0.2">
      <c r="A106" s="28" t="s">
        <v>262</v>
      </c>
      <c r="B106" s="28"/>
      <c r="C106" s="28" t="s">
        <v>221</v>
      </c>
      <c r="D106" s="28" t="s">
        <v>222</v>
      </c>
      <c r="E106" s="29">
        <v>411363</v>
      </c>
      <c r="F106" s="29">
        <v>1359</v>
      </c>
      <c r="G106" s="29">
        <v>204</v>
      </c>
      <c r="H106" s="29">
        <v>0</v>
      </c>
      <c r="I106" s="30">
        <v>45846</v>
      </c>
      <c r="J106" s="28" t="s">
        <v>395</v>
      </c>
      <c r="K106" s="28" t="s">
        <v>538</v>
      </c>
      <c r="L106" s="31">
        <v>111.15</v>
      </c>
      <c r="M106" s="31">
        <v>8.35</v>
      </c>
      <c r="N106" s="31">
        <v>119.5</v>
      </c>
      <c r="O106" s="28"/>
      <c r="P106" s="32">
        <v>45848</v>
      </c>
      <c r="Q106" s="31">
        <v>119.5</v>
      </c>
      <c r="R106" s="28" t="s">
        <v>539</v>
      </c>
      <c r="S106" s="31">
        <v>0</v>
      </c>
      <c r="T106" s="28"/>
      <c r="U106" s="29"/>
      <c r="V106" s="28"/>
      <c r="W106" s="29"/>
      <c r="X106" s="29"/>
      <c r="Y106" s="29"/>
      <c r="Z106" s="31">
        <v>0</v>
      </c>
      <c r="AA106" s="31">
        <v>0</v>
      </c>
      <c r="AB106" s="31">
        <v>0</v>
      </c>
      <c r="AC106" s="28"/>
      <c r="AD106" s="28" t="s">
        <v>293</v>
      </c>
      <c r="AE106" s="28" t="s">
        <v>294</v>
      </c>
      <c r="AF106" s="28" t="s">
        <v>31</v>
      </c>
      <c r="AG106" s="28" t="s">
        <v>42</v>
      </c>
      <c r="AH106" s="28" t="s">
        <v>228</v>
      </c>
      <c r="AI106" s="28" t="s">
        <v>31</v>
      </c>
      <c r="AJ106" s="28"/>
      <c r="AK106" s="28" t="s">
        <v>235</v>
      </c>
      <c r="AL106" s="28" t="s">
        <v>331</v>
      </c>
      <c r="AM106" s="28" t="s">
        <v>231</v>
      </c>
      <c r="AN106" s="28" t="s">
        <v>232</v>
      </c>
      <c r="AO106" s="28" t="s">
        <v>231</v>
      </c>
      <c r="AP106" s="28" t="s">
        <v>232</v>
      </c>
      <c r="AQ106" s="28"/>
      <c r="AR106" s="28"/>
      <c r="AS106" s="28"/>
      <c r="AT106" s="28"/>
      <c r="AU106" s="28"/>
      <c r="AV106" s="28"/>
      <c r="AW106" s="29"/>
      <c r="AX106" s="33"/>
      <c r="AY106" s="31"/>
      <c r="AZ106" s="33"/>
      <c r="BA106" s="31"/>
      <c r="BB106" s="28"/>
      <c r="BC106" s="28"/>
      <c r="BD106" s="28"/>
      <c r="BE106" s="28"/>
      <c r="BF106" s="29"/>
      <c r="BG106" s="29"/>
      <c r="BH106" s="28" t="s">
        <v>540</v>
      </c>
      <c r="BI106" s="29">
        <v>1</v>
      </c>
      <c r="BJ106" s="29">
        <v>0</v>
      </c>
      <c r="BK106" s="30"/>
      <c r="BL106" s="30"/>
      <c r="BM106" s="28"/>
      <c r="BN106" s="30">
        <v>45848</v>
      </c>
      <c r="BO106" s="30">
        <v>45848</v>
      </c>
      <c r="BP106" s="31">
        <v>119.5</v>
      </c>
      <c r="BQ106" s="30">
        <v>45847</v>
      </c>
    </row>
    <row r="107" spans="1:69" ht="22.5" hidden="1" customHeight="1" x14ac:dyDescent="0.2">
      <c r="A107" s="22" t="s">
        <v>262</v>
      </c>
      <c r="B107" s="22"/>
      <c r="C107" s="22" t="s">
        <v>221</v>
      </c>
      <c r="D107" s="22" t="s">
        <v>222</v>
      </c>
      <c r="E107" s="23">
        <v>411364</v>
      </c>
      <c r="F107" s="23">
        <v>1360</v>
      </c>
      <c r="G107" s="23">
        <v>204</v>
      </c>
      <c r="H107" s="23">
        <v>0</v>
      </c>
      <c r="I107" s="24">
        <v>45846</v>
      </c>
      <c r="J107" s="22" t="s">
        <v>395</v>
      </c>
      <c r="K107" s="22" t="s">
        <v>541</v>
      </c>
      <c r="L107" s="25">
        <v>94.14</v>
      </c>
      <c r="M107" s="25">
        <v>5.18</v>
      </c>
      <c r="N107" s="25">
        <v>99.32</v>
      </c>
      <c r="O107" s="22"/>
      <c r="P107" s="26">
        <v>45848</v>
      </c>
      <c r="Q107" s="25">
        <v>99.32</v>
      </c>
      <c r="R107" s="22" t="s">
        <v>542</v>
      </c>
      <c r="S107" s="25">
        <v>0</v>
      </c>
      <c r="T107" s="22"/>
      <c r="U107" s="23"/>
      <c r="V107" s="22"/>
      <c r="W107" s="23"/>
      <c r="X107" s="23"/>
      <c r="Y107" s="23"/>
      <c r="Z107" s="25">
        <v>0</v>
      </c>
      <c r="AA107" s="25">
        <v>0</v>
      </c>
      <c r="AB107" s="25">
        <v>0</v>
      </c>
      <c r="AC107" s="22"/>
      <c r="AD107" s="22" t="s">
        <v>293</v>
      </c>
      <c r="AE107" s="22" t="s">
        <v>294</v>
      </c>
      <c r="AF107" s="22" t="s">
        <v>31</v>
      </c>
      <c r="AG107" s="22" t="s">
        <v>42</v>
      </c>
      <c r="AH107" s="22" t="s">
        <v>228</v>
      </c>
      <c r="AI107" s="22" t="s">
        <v>31</v>
      </c>
      <c r="AJ107" s="22"/>
      <c r="AK107" s="22" t="s">
        <v>235</v>
      </c>
      <c r="AL107" s="22" t="s">
        <v>331</v>
      </c>
      <c r="AM107" s="22" t="s">
        <v>231</v>
      </c>
      <c r="AN107" s="22" t="s">
        <v>232</v>
      </c>
      <c r="AO107" s="22" t="s">
        <v>231</v>
      </c>
      <c r="AP107" s="22" t="s">
        <v>232</v>
      </c>
      <c r="AQ107" s="22"/>
      <c r="AR107" s="22"/>
      <c r="AS107" s="22"/>
      <c r="AT107" s="22"/>
      <c r="AU107" s="22"/>
      <c r="AV107" s="22"/>
      <c r="AW107" s="23"/>
      <c r="AX107" s="27"/>
      <c r="AY107" s="25"/>
      <c r="AZ107" s="27"/>
      <c r="BA107" s="25"/>
      <c r="BB107" s="22"/>
      <c r="BC107" s="22"/>
      <c r="BD107" s="22"/>
      <c r="BE107" s="22"/>
      <c r="BF107" s="23"/>
      <c r="BG107" s="23"/>
      <c r="BH107" s="22" t="s">
        <v>543</v>
      </c>
      <c r="BI107" s="23">
        <v>1</v>
      </c>
      <c r="BJ107" s="23">
        <v>0</v>
      </c>
      <c r="BK107" s="24"/>
      <c r="BL107" s="24"/>
      <c r="BM107" s="22"/>
      <c r="BN107" s="24">
        <v>45848</v>
      </c>
      <c r="BO107" s="24">
        <v>45848</v>
      </c>
      <c r="BP107" s="25">
        <v>99.32</v>
      </c>
      <c r="BQ107" s="24">
        <v>45847</v>
      </c>
    </row>
    <row r="108" spans="1:69" ht="22.5" hidden="1" customHeight="1" x14ac:dyDescent="0.2">
      <c r="A108" s="28" t="s">
        <v>262</v>
      </c>
      <c r="B108" s="28"/>
      <c r="C108" s="28" t="s">
        <v>221</v>
      </c>
      <c r="D108" s="28" t="s">
        <v>222</v>
      </c>
      <c r="E108" s="29">
        <v>411365</v>
      </c>
      <c r="F108" s="29">
        <v>1361</v>
      </c>
      <c r="G108" s="29">
        <v>204</v>
      </c>
      <c r="H108" s="29">
        <v>0</v>
      </c>
      <c r="I108" s="30">
        <v>45846</v>
      </c>
      <c r="J108" s="28" t="s">
        <v>395</v>
      </c>
      <c r="K108" s="28" t="s">
        <v>544</v>
      </c>
      <c r="L108" s="31">
        <v>141.97999999999999</v>
      </c>
      <c r="M108" s="31">
        <v>7.81</v>
      </c>
      <c r="N108" s="31">
        <v>149.79</v>
      </c>
      <c r="O108" s="28"/>
      <c r="P108" s="32">
        <v>45848</v>
      </c>
      <c r="Q108" s="31">
        <v>149.79</v>
      </c>
      <c r="R108" s="28" t="s">
        <v>545</v>
      </c>
      <c r="S108" s="31">
        <v>0</v>
      </c>
      <c r="T108" s="28"/>
      <c r="U108" s="29"/>
      <c r="V108" s="28"/>
      <c r="W108" s="29"/>
      <c r="X108" s="29"/>
      <c r="Y108" s="29"/>
      <c r="Z108" s="31">
        <v>0</v>
      </c>
      <c r="AA108" s="31">
        <v>0</v>
      </c>
      <c r="AB108" s="31">
        <v>0</v>
      </c>
      <c r="AC108" s="28"/>
      <c r="AD108" s="28" t="s">
        <v>293</v>
      </c>
      <c r="AE108" s="28" t="s">
        <v>294</v>
      </c>
      <c r="AF108" s="28" t="s">
        <v>31</v>
      </c>
      <c r="AG108" s="28" t="s">
        <v>42</v>
      </c>
      <c r="AH108" s="28" t="s">
        <v>228</v>
      </c>
      <c r="AI108" s="28" t="s">
        <v>31</v>
      </c>
      <c r="AJ108" s="28"/>
      <c r="AK108" s="28" t="s">
        <v>235</v>
      </c>
      <c r="AL108" s="28" t="s">
        <v>331</v>
      </c>
      <c r="AM108" s="28" t="s">
        <v>231</v>
      </c>
      <c r="AN108" s="28" t="s">
        <v>232</v>
      </c>
      <c r="AO108" s="28" t="s">
        <v>231</v>
      </c>
      <c r="AP108" s="28" t="s">
        <v>232</v>
      </c>
      <c r="AQ108" s="28"/>
      <c r="AR108" s="28"/>
      <c r="AS108" s="28"/>
      <c r="AT108" s="28"/>
      <c r="AU108" s="28"/>
      <c r="AV108" s="28"/>
      <c r="AW108" s="29"/>
      <c r="AX108" s="33"/>
      <c r="AY108" s="31"/>
      <c r="AZ108" s="33"/>
      <c r="BA108" s="31"/>
      <c r="BB108" s="28"/>
      <c r="BC108" s="28"/>
      <c r="BD108" s="28"/>
      <c r="BE108" s="28"/>
      <c r="BF108" s="29"/>
      <c r="BG108" s="29"/>
      <c r="BH108" s="28" t="s">
        <v>546</v>
      </c>
      <c r="BI108" s="29">
        <v>1</v>
      </c>
      <c r="BJ108" s="29">
        <v>0</v>
      </c>
      <c r="BK108" s="30"/>
      <c r="BL108" s="30"/>
      <c r="BM108" s="28"/>
      <c r="BN108" s="30">
        <v>45848</v>
      </c>
      <c r="BO108" s="30">
        <v>45848</v>
      </c>
      <c r="BP108" s="31">
        <v>149.79</v>
      </c>
      <c r="BQ108" s="30">
        <v>45847</v>
      </c>
    </row>
    <row r="109" spans="1:69" ht="22.5" hidden="1" customHeight="1" x14ac:dyDescent="0.2">
      <c r="A109" s="22" t="s">
        <v>262</v>
      </c>
      <c r="B109" s="22"/>
      <c r="C109" s="22" t="s">
        <v>221</v>
      </c>
      <c r="D109" s="22" t="s">
        <v>222</v>
      </c>
      <c r="E109" s="23">
        <v>411366</v>
      </c>
      <c r="F109" s="23">
        <v>1362</v>
      </c>
      <c r="G109" s="23">
        <v>204</v>
      </c>
      <c r="H109" s="23">
        <v>0</v>
      </c>
      <c r="I109" s="24">
        <v>45846</v>
      </c>
      <c r="J109" s="22" t="s">
        <v>395</v>
      </c>
      <c r="K109" s="22" t="s">
        <v>547</v>
      </c>
      <c r="L109" s="25">
        <v>141.85</v>
      </c>
      <c r="M109" s="25">
        <v>7.8</v>
      </c>
      <c r="N109" s="25">
        <v>149.65</v>
      </c>
      <c r="O109" s="22"/>
      <c r="P109" s="26">
        <v>45848</v>
      </c>
      <c r="Q109" s="25">
        <v>149.65</v>
      </c>
      <c r="R109" s="22" t="s">
        <v>548</v>
      </c>
      <c r="S109" s="25">
        <v>0</v>
      </c>
      <c r="T109" s="22"/>
      <c r="U109" s="23"/>
      <c r="V109" s="22"/>
      <c r="W109" s="23"/>
      <c r="X109" s="23"/>
      <c r="Y109" s="23"/>
      <c r="Z109" s="25">
        <v>0</v>
      </c>
      <c r="AA109" s="25">
        <v>0</v>
      </c>
      <c r="AB109" s="25">
        <v>0</v>
      </c>
      <c r="AC109" s="22"/>
      <c r="AD109" s="22" t="s">
        <v>293</v>
      </c>
      <c r="AE109" s="22" t="s">
        <v>294</v>
      </c>
      <c r="AF109" s="22" t="s">
        <v>31</v>
      </c>
      <c r="AG109" s="22" t="s">
        <v>42</v>
      </c>
      <c r="AH109" s="22" t="s">
        <v>228</v>
      </c>
      <c r="AI109" s="22" t="s">
        <v>31</v>
      </c>
      <c r="AJ109" s="22"/>
      <c r="AK109" s="22" t="s">
        <v>235</v>
      </c>
      <c r="AL109" s="22" t="s">
        <v>331</v>
      </c>
      <c r="AM109" s="22" t="s">
        <v>231</v>
      </c>
      <c r="AN109" s="22" t="s">
        <v>232</v>
      </c>
      <c r="AO109" s="22" t="s">
        <v>231</v>
      </c>
      <c r="AP109" s="22" t="s">
        <v>232</v>
      </c>
      <c r="AQ109" s="22"/>
      <c r="AR109" s="22"/>
      <c r="AS109" s="22"/>
      <c r="AT109" s="22"/>
      <c r="AU109" s="22"/>
      <c r="AV109" s="22"/>
      <c r="AW109" s="23"/>
      <c r="AX109" s="27"/>
      <c r="AY109" s="25"/>
      <c r="AZ109" s="27"/>
      <c r="BA109" s="25"/>
      <c r="BB109" s="22"/>
      <c r="BC109" s="22"/>
      <c r="BD109" s="22"/>
      <c r="BE109" s="22"/>
      <c r="BF109" s="23"/>
      <c r="BG109" s="23"/>
      <c r="BH109" s="22" t="s">
        <v>549</v>
      </c>
      <c r="BI109" s="23">
        <v>1</v>
      </c>
      <c r="BJ109" s="23">
        <v>0</v>
      </c>
      <c r="BK109" s="24"/>
      <c r="BL109" s="24"/>
      <c r="BM109" s="22"/>
      <c r="BN109" s="24">
        <v>45848</v>
      </c>
      <c r="BO109" s="24">
        <v>45848</v>
      </c>
      <c r="BP109" s="25">
        <v>149.65</v>
      </c>
      <c r="BQ109" s="24">
        <v>45847</v>
      </c>
    </row>
    <row r="110" spans="1:69" ht="22.5" hidden="1" customHeight="1" x14ac:dyDescent="0.2">
      <c r="A110" s="22" t="s">
        <v>262</v>
      </c>
      <c r="B110" s="22"/>
      <c r="C110" s="22" t="s">
        <v>221</v>
      </c>
      <c r="D110" s="22" t="s">
        <v>222</v>
      </c>
      <c r="E110" s="23">
        <v>411402</v>
      </c>
      <c r="F110" s="23">
        <v>1389</v>
      </c>
      <c r="G110" s="23">
        <v>211</v>
      </c>
      <c r="H110" s="23">
        <v>0</v>
      </c>
      <c r="I110" s="24">
        <v>45848</v>
      </c>
      <c r="J110" s="22" t="s">
        <v>395</v>
      </c>
      <c r="K110" s="22" t="s">
        <v>550</v>
      </c>
      <c r="L110" s="25">
        <v>141.93</v>
      </c>
      <c r="M110" s="25">
        <v>8.01</v>
      </c>
      <c r="N110" s="25">
        <v>149.94</v>
      </c>
      <c r="O110" s="22"/>
      <c r="P110" s="26">
        <v>45856</v>
      </c>
      <c r="Q110" s="25">
        <v>149.94</v>
      </c>
      <c r="R110" s="22" t="s">
        <v>551</v>
      </c>
      <c r="S110" s="25">
        <v>0</v>
      </c>
      <c r="T110" s="22"/>
      <c r="U110" s="23"/>
      <c r="V110" s="22"/>
      <c r="W110" s="23"/>
      <c r="X110" s="23"/>
      <c r="Y110" s="23"/>
      <c r="Z110" s="25">
        <v>0</v>
      </c>
      <c r="AA110" s="25">
        <v>0</v>
      </c>
      <c r="AB110" s="25">
        <v>0</v>
      </c>
      <c r="AC110" s="22"/>
      <c r="AD110" s="22" t="s">
        <v>293</v>
      </c>
      <c r="AE110" s="22" t="s">
        <v>294</v>
      </c>
      <c r="AF110" s="22" t="s">
        <v>31</v>
      </c>
      <c r="AG110" s="22" t="s">
        <v>42</v>
      </c>
      <c r="AH110" s="22" t="s">
        <v>228</v>
      </c>
      <c r="AI110" s="22" t="s">
        <v>31</v>
      </c>
      <c r="AJ110" s="22"/>
      <c r="AK110" s="22" t="s">
        <v>235</v>
      </c>
      <c r="AL110" s="22" t="s">
        <v>331</v>
      </c>
      <c r="AM110" s="22" t="s">
        <v>231</v>
      </c>
      <c r="AN110" s="22" t="s">
        <v>232</v>
      </c>
      <c r="AO110" s="22" t="s">
        <v>231</v>
      </c>
      <c r="AP110" s="22" t="s">
        <v>232</v>
      </c>
      <c r="AQ110" s="22"/>
      <c r="AR110" s="22"/>
      <c r="AS110" s="22"/>
      <c r="AT110" s="22"/>
      <c r="AU110" s="22"/>
      <c r="AV110" s="22"/>
      <c r="AW110" s="23"/>
      <c r="AX110" s="27"/>
      <c r="AY110" s="25"/>
      <c r="AZ110" s="27"/>
      <c r="BA110" s="25"/>
      <c r="BB110" s="22"/>
      <c r="BC110" s="22"/>
      <c r="BD110" s="22"/>
      <c r="BE110" s="22"/>
      <c r="BF110" s="23"/>
      <c r="BG110" s="23"/>
      <c r="BH110" s="22" t="s">
        <v>552</v>
      </c>
      <c r="BI110" s="23">
        <v>1</v>
      </c>
      <c r="BJ110" s="23">
        <v>0</v>
      </c>
      <c r="BK110" s="24"/>
      <c r="BL110" s="24"/>
      <c r="BM110" s="22"/>
      <c r="BN110" s="24">
        <v>45856</v>
      </c>
      <c r="BO110" s="24">
        <v>45855</v>
      </c>
      <c r="BP110" s="25">
        <v>149.94</v>
      </c>
      <c r="BQ110" s="24">
        <v>45854</v>
      </c>
    </row>
    <row r="111" spans="1:69" ht="22.5" hidden="1" customHeight="1" x14ac:dyDescent="0.2">
      <c r="A111" s="22" t="s">
        <v>262</v>
      </c>
      <c r="B111" s="22"/>
      <c r="C111" s="22" t="s">
        <v>221</v>
      </c>
      <c r="D111" s="22" t="s">
        <v>222</v>
      </c>
      <c r="E111" s="23">
        <v>411415</v>
      </c>
      <c r="F111" s="23">
        <v>1399</v>
      </c>
      <c r="G111" s="23">
        <v>212</v>
      </c>
      <c r="H111" s="23">
        <v>1</v>
      </c>
      <c r="I111" s="24">
        <v>45848</v>
      </c>
      <c r="J111" s="22" t="s">
        <v>263</v>
      </c>
      <c r="K111" s="22" t="s">
        <v>553</v>
      </c>
      <c r="L111" s="25">
        <v>217.31</v>
      </c>
      <c r="M111" s="25">
        <v>0</v>
      </c>
      <c r="N111" s="25">
        <v>217.31</v>
      </c>
      <c r="O111" s="22"/>
      <c r="P111" s="26">
        <v>45856</v>
      </c>
      <c r="Q111" s="25">
        <v>217.31</v>
      </c>
      <c r="R111" s="22" t="s">
        <v>554</v>
      </c>
      <c r="S111" s="25">
        <v>0</v>
      </c>
      <c r="T111" s="22"/>
      <c r="U111" s="23"/>
      <c r="V111" s="22"/>
      <c r="W111" s="23"/>
      <c r="X111" s="23"/>
      <c r="Y111" s="23"/>
      <c r="Z111" s="25">
        <v>0</v>
      </c>
      <c r="AA111" s="25">
        <v>0</v>
      </c>
      <c r="AB111" s="25">
        <v>0</v>
      </c>
      <c r="AC111" s="22"/>
      <c r="AD111" s="22" t="s">
        <v>293</v>
      </c>
      <c r="AE111" s="22" t="s">
        <v>294</v>
      </c>
      <c r="AF111" s="22" t="s">
        <v>31</v>
      </c>
      <c r="AG111" s="22" t="s">
        <v>259</v>
      </c>
      <c r="AH111" s="22" t="s">
        <v>228</v>
      </c>
      <c r="AI111" s="22" t="s">
        <v>31</v>
      </c>
      <c r="AJ111" s="22"/>
      <c r="AK111" s="22" t="s">
        <v>260</v>
      </c>
      <c r="AL111" s="22" t="s">
        <v>31</v>
      </c>
      <c r="AM111" s="22" t="s">
        <v>231</v>
      </c>
      <c r="AN111" s="22" t="s">
        <v>232</v>
      </c>
      <c r="AO111" s="22" t="s">
        <v>231</v>
      </c>
      <c r="AP111" s="22" t="s">
        <v>232</v>
      </c>
      <c r="AQ111" s="22"/>
      <c r="AR111" s="22"/>
      <c r="AS111" s="22"/>
      <c r="AT111" s="22"/>
      <c r="AU111" s="22"/>
      <c r="AV111" s="22"/>
      <c r="AW111" s="23"/>
      <c r="AX111" s="27"/>
      <c r="AY111" s="25"/>
      <c r="AZ111" s="27"/>
      <c r="BA111" s="25"/>
      <c r="BB111" s="22"/>
      <c r="BC111" s="22"/>
      <c r="BD111" s="22"/>
      <c r="BE111" s="22"/>
      <c r="BF111" s="23"/>
      <c r="BG111" s="23"/>
      <c r="BH111" s="22" t="s">
        <v>555</v>
      </c>
      <c r="BI111" s="23">
        <v>1</v>
      </c>
      <c r="BJ111" s="23">
        <v>0</v>
      </c>
      <c r="BK111" s="24"/>
      <c r="BL111" s="24"/>
      <c r="BM111" s="22"/>
      <c r="BN111" s="24">
        <v>45856</v>
      </c>
      <c r="BO111" s="24">
        <v>45855</v>
      </c>
      <c r="BP111" s="25">
        <v>217.31</v>
      </c>
      <c r="BQ111" s="24">
        <v>45854</v>
      </c>
    </row>
    <row r="112" spans="1:69" ht="22.5" hidden="1" customHeight="1" x14ac:dyDescent="0.2">
      <c r="A112" s="22" t="s">
        <v>262</v>
      </c>
      <c r="B112" s="22"/>
      <c r="C112" s="22" t="s">
        <v>221</v>
      </c>
      <c r="D112" s="22" t="s">
        <v>222</v>
      </c>
      <c r="E112" s="23">
        <v>411417</v>
      </c>
      <c r="F112" s="23">
        <v>1400</v>
      </c>
      <c r="G112" s="23">
        <v>212</v>
      </c>
      <c r="H112" s="23">
        <v>0</v>
      </c>
      <c r="I112" s="24">
        <v>45848</v>
      </c>
      <c r="J112" s="22" t="s">
        <v>263</v>
      </c>
      <c r="K112" s="22" t="s">
        <v>556</v>
      </c>
      <c r="L112" s="25">
        <v>147.16</v>
      </c>
      <c r="M112" s="25">
        <v>8.09</v>
      </c>
      <c r="N112" s="25">
        <v>155.25</v>
      </c>
      <c r="O112" s="22"/>
      <c r="P112" s="26">
        <v>45856</v>
      </c>
      <c r="Q112" s="25">
        <v>155.25</v>
      </c>
      <c r="R112" s="22" t="s">
        <v>557</v>
      </c>
      <c r="S112" s="25">
        <v>0</v>
      </c>
      <c r="T112" s="22"/>
      <c r="U112" s="23"/>
      <c r="V112" s="22"/>
      <c r="W112" s="23"/>
      <c r="X112" s="23"/>
      <c r="Y112" s="23"/>
      <c r="Z112" s="25">
        <v>0</v>
      </c>
      <c r="AA112" s="25">
        <v>0</v>
      </c>
      <c r="AB112" s="25">
        <v>0</v>
      </c>
      <c r="AC112" s="22"/>
      <c r="AD112" s="22" t="s">
        <v>308</v>
      </c>
      <c r="AE112" s="22" t="s">
        <v>309</v>
      </c>
      <c r="AF112" s="22" t="s">
        <v>31</v>
      </c>
      <c r="AG112" s="22" t="s">
        <v>259</v>
      </c>
      <c r="AH112" s="22" t="s">
        <v>228</v>
      </c>
      <c r="AI112" s="22" t="s">
        <v>31</v>
      </c>
      <c r="AJ112" s="22"/>
      <c r="AK112" s="22" t="s">
        <v>260</v>
      </c>
      <c r="AL112" s="22" t="s">
        <v>31</v>
      </c>
      <c r="AM112" s="22" t="s">
        <v>231</v>
      </c>
      <c r="AN112" s="22" t="s">
        <v>232</v>
      </c>
      <c r="AO112" s="22" t="s">
        <v>231</v>
      </c>
      <c r="AP112" s="22" t="s">
        <v>232</v>
      </c>
      <c r="AQ112" s="22"/>
      <c r="AR112" s="22"/>
      <c r="AS112" s="22"/>
      <c r="AT112" s="22"/>
      <c r="AU112" s="22"/>
      <c r="AV112" s="22"/>
      <c r="AW112" s="23"/>
      <c r="AX112" s="27"/>
      <c r="AY112" s="25"/>
      <c r="AZ112" s="27"/>
      <c r="BA112" s="25"/>
      <c r="BB112" s="22"/>
      <c r="BC112" s="22"/>
      <c r="BD112" s="22"/>
      <c r="BE112" s="22"/>
      <c r="BF112" s="23"/>
      <c r="BG112" s="23"/>
      <c r="BH112" s="22" t="s">
        <v>558</v>
      </c>
      <c r="BI112" s="23">
        <v>1</v>
      </c>
      <c r="BJ112" s="23">
        <v>0</v>
      </c>
      <c r="BK112" s="24"/>
      <c r="BL112" s="24"/>
      <c r="BM112" s="22"/>
      <c r="BN112" s="24">
        <v>45856</v>
      </c>
      <c r="BO112" s="24">
        <v>45855</v>
      </c>
      <c r="BP112" s="25">
        <v>155.25</v>
      </c>
      <c r="BQ112" s="24">
        <v>45854</v>
      </c>
    </row>
    <row r="113" spans="1:69" ht="22.5" customHeight="1" x14ac:dyDescent="0.2">
      <c r="A113" s="22" t="s">
        <v>262</v>
      </c>
      <c r="B113" s="22"/>
      <c r="C113" s="22" t="s">
        <v>221</v>
      </c>
      <c r="D113" s="22" t="s">
        <v>222</v>
      </c>
      <c r="E113" s="23">
        <v>412296</v>
      </c>
      <c r="F113" s="23">
        <v>1477</v>
      </c>
      <c r="G113" s="23">
        <v>224</v>
      </c>
      <c r="H113" s="23">
        <v>0</v>
      </c>
      <c r="I113" s="24">
        <v>45854</v>
      </c>
      <c r="J113" s="22" t="s">
        <v>395</v>
      </c>
      <c r="K113" s="22" t="s">
        <v>559</v>
      </c>
      <c r="L113" s="25">
        <v>506.88</v>
      </c>
      <c r="M113" s="25">
        <v>27.88</v>
      </c>
      <c r="N113" s="25">
        <v>534.76</v>
      </c>
      <c r="O113" s="22"/>
      <c r="P113" s="26">
        <v>45856</v>
      </c>
      <c r="Q113" s="25">
        <v>534.76</v>
      </c>
      <c r="R113" s="22" t="s">
        <v>460</v>
      </c>
      <c r="S113" s="25">
        <v>0</v>
      </c>
      <c r="T113" s="22"/>
      <c r="U113" s="23"/>
      <c r="V113" s="22"/>
      <c r="W113" s="23"/>
      <c r="X113" s="23"/>
      <c r="Y113" s="23"/>
      <c r="Z113" s="25">
        <v>0</v>
      </c>
      <c r="AA113" s="25">
        <v>0</v>
      </c>
      <c r="AB113" s="25">
        <v>0</v>
      </c>
      <c r="AC113" s="22"/>
      <c r="AD113" s="22" t="s">
        <v>266</v>
      </c>
      <c r="AE113" s="22" t="s">
        <v>267</v>
      </c>
      <c r="AF113" s="22" t="s">
        <v>31</v>
      </c>
      <c r="AG113" s="22" t="s">
        <v>32</v>
      </c>
      <c r="AH113" s="22" t="s">
        <v>228</v>
      </c>
      <c r="AI113" s="22" t="s">
        <v>31</v>
      </c>
      <c r="AJ113" s="22"/>
      <c r="AK113" s="22" t="s">
        <v>34</v>
      </c>
      <c r="AL113" s="22" t="s">
        <v>31</v>
      </c>
      <c r="AM113" s="22" t="s">
        <v>231</v>
      </c>
      <c r="AN113" s="22" t="s">
        <v>232</v>
      </c>
      <c r="AO113" s="22" t="s">
        <v>231</v>
      </c>
      <c r="AP113" s="22" t="s">
        <v>232</v>
      </c>
      <c r="AQ113" s="22"/>
      <c r="AR113" s="22"/>
      <c r="AS113" s="22"/>
      <c r="AT113" s="22"/>
      <c r="AU113" s="22"/>
      <c r="AV113" s="22"/>
      <c r="AW113" s="23"/>
      <c r="AX113" s="27"/>
      <c r="AY113" s="25"/>
      <c r="AZ113" s="27"/>
      <c r="BA113" s="25"/>
      <c r="BB113" s="22"/>
      <c r="BC113" s="22"/>
      <c r="BD113" s="22"/>
      <c r="BE113" s="22"/>
      <c r="BF113" s="23"/>
      <c r="BG113" s="23"/>
      <c r="BH113" s="22" t="s">
        <v>560</v>
      </c>
      <c r="BI113" s="23">
        <v>1</v>
      </c>
      <c r="BJ113" s="23">
        <v>0</v>
      </c>
      <c r="BK113" s="24"/>
      <c r="BL113" s="24"/>
      <c r="BM113" s="22"/>
      <c r="BN113" s="24">
        <v>45856</v>
      </c>
      <c r="BO113" s="24">
        <v>45855</v>
      </c>
      <c r="BP113" s="25">
        <v>534.76</v>
      </c>
      <c r="BQ113" s="24">
        <v>45854</v>
      </c>
    </row>
    <row r="114" spans="1:69" ht="22.5" customHeight="1" x14ac:dyDescent="0.2">
      <c r="A114" s="28" t="s">
        <v>262</v>
      </c>
      <c r="B114" s="28"/>
      <c r="C114" s="28" t="s">
        <v>221</v>
      </c>
      <c r="D114" s="28" t="s">
        <v>222</v>
      </c>
      <c r="E114" s="29">
        <v>412297</v>
      </c>
      <c r="F114" s="29">
        <v>1478</v>
      </c>
      <c r="G114" s="29">
        <v>224</v>
      </c>
      <c r="H114" s="29">
        <v>0</v>
      </c>
      <c r="I114" s="30">
        <v>45854</v>
      </c>
      <c r="J114" s="28" t="s">
        <v>395</v>
      </c>
      <c r="K114" s="28" t="s">
        <v>561</v>
      </c>
      <c r="L114" s="31">
        <v>21.12</v>
      </c>
      <c r="M114" s="31">
        <v>1.1599999999999999</v>
      </c>
      <c r="N114" s="31">
        <v>22.28</v>
      </c>
      <c r="O114" s="28"/>
      <c r="P114" s="32">
        <v>45856</v>
      </c>
      <c r="Q114" s="31">
        <v>22.28</v>
      </c>
      <c r="R114" s="28" t="s">
        <v>472</v>
      </c>
      <c r="S114" s="31">
        <v>0</v>
      </c>
      <c r="T114" s="28"/>
      <c r="U114" s="29"/>
      <c r="V114" s="28"/>
      <c r="W114" s="29"/>
      <c r="X114" s="29"/>
      <c r="Y114" s="29"/>
      <c r="Z114" s="31">
        <v>0</v>
      </c>
      <c r="AA114" s="31">
        <v>0</v>
      </c>
      <c r="AB114" s="31">
        <v>0</v>
      </c>
      <c r="AC114" s="28"/>
      <c r="AD114" s="28" t="s">
        <v>266</v>
      </c>
      <c r="AE114" s="28" t="s">
        <v>267</v>
      </c>
      <c r="AF114" s="28" t="s">
        <v>31</v>
      </c>
      <c r="AG114" s="28" t="s">
        <v>46</v>
      </c>
      <c r="AH114" s="28" t="s">
        <v>228</v>
      </c>
      <c r="AI114" s="28" t="s">
        <v>31</v>
      </c>
      <c r="AJ114" s="28"/>
      <c r="AK114" s="28" t="s">
        <v>34</v>
      </c>
      <c r="AL114" s="28" t="s">
        <v>47</v>
      </c>
      <c r="AM114" s="28" t="s">
        <v>231</v>
      </c>
      <c r="AN114" s="28" t="s">
        <v>232</v>
      </c>
      <c r="AO114" s="28" t="s">
        <v>231</v>
      </c>
      <c r="AP114" s="28" t="s">
        <v>232</v>
      </c>
      <c r="AQ114" s="28"/>
      <c r="AR114" s="28"/>
      <c r="AS114" s="28"/>
      <c r="AT114" s="28"/>
      <c r="AU114" s="28"/>
      <c r="AV114" s="28"/>
      <c r="AW114" s="29"/>
      <c r="AX114" s="33"/>
      <c r="AY114" s="31"/>
      <c r="AZ114" s="33"/>
      <c r="BA114" s="31"/>
      <c r="BB114" s="28"/>
      <c r="BC114" s="28"/>
      <c r="BD114" s="28"/>
      <c r="BE114" s="28"/>
      <c r="BF114" s="29"/>
      <c r="BG114" s="29"/>
      <c r="BH114" s="28" t="s">
        <v>562</v>
      </c>
      <c r="BI114" s="29">
        <v>1</v>
      </c>
      <c r="BJ114" s="29">
        <v>0</v>
      </c>
      <c r="BK114" s="30"/>
      <c r="BL114" s="30"/>
      <c r="BM114" s="28"/>
      <c r="BN114" s="30">
        <v>45856</v>
      </c>
      <c r="BO114" s="30">
        <v>45855</v>
      </c>
      <c r="BP114" s="31">
        <v>22.28</v>
      </c>
      <c r="BQ114" s="30">
        <v>45854</v>
      </c>
    </row>
    <row r="115" spans="1:69" ht="22.5" hidden="1" customHeight="1" x14ac:dyDescent="0.2">
      <c r="A115" s="22" t="s">
        <v>408</v>
      </c>
      <c r="B115" s="22"/>
      <c r="C115" s="22" t="s">
        <v>221</v>
      </c>
      <c r="D115" s="22" t="s">
        <v>222</v>
      </c>
      <c r="E115" s="23">
        <v>412349</v>
      </c>
      <c r="F115" s="23">
        <v>1528</v>
      </c>
      <c r="G115" s="23">
        <v>226</v>
      </c>
      <c r="H115" s="23">
        <v>0</v>
      </c>
      <c r="I115" s="24">
        <v>45855</v>
      </c>
      <c r="J115" s="22" t="s">
        <v>281</v>
      </c>
      <c r="K115" s="22" t="s">
        <v>563</v>
      </c>
      <c r="L115" s="25">
        <v>19.899999999999999</v>
      </c>
      <c r="M115" s="25">
        <v>3.98</v>
      </c>
      <c r="N115" s="25">
        <v>23.88</v>
      </c>
      <c r="O115" s="22"/>
      <c r="P115" s="26">
        <v>45856</v>
      </c>
      <c r="Q115" s="25">
        <v>23.88</v>
      </c>
      <c r="R115" s="22"/>
      <c r="S115" s="25">
        <v>0</v>
      </c>
      <c r="T115" s="22"/>
      <c r="U115" s="23"/>
      <c r="V115" s="22"/>
      <c r="W115" s="23"/>
      <c r="X115" s="23"/>
      <c r="Y115" s="23"/>
      <c r="Z115" s="25">
        <v>0</v>
      </c>
      <c r="AA115" s="25">
        <v>0</v>
      </c>
      <c r="AB115" s="25">
        <v>0</v>
      </c>
      <c r="AC115" s="22"/>
      <c r="AD115" s="22" t="s">
        <v>283</v>
      </c>
      <c r="AE115" s="22" t="s">
        <v>284</v>
      </c>
      <c r="AF115" s="22" t="s">
        <v>31</v>
      </c>
      <c r="AG115" s="22" t="s">
        <v>259</v>
      </c>
      <c r="AH115" s="22" t="s">
        <v>228</v>
      </c>
      <c r="AI115" s="22" t="s">
        <v>31</v>
      </c>
      <c r="AJ115" s="22"/>
      <c r="AK115" s="22" t="s">
        <v>260</v>
      </c>
      <c r="AL115" s="22" t="s">
        <v>31</v>
      </c>
      <c r="AM115" s="22" t="s">
        <v>231</v>
      </c>
      <c r="AN115" s="22" t="s">
        <v>232</v>
      </c>
      <c r="AO115" s="22" t="s">
        <v>231</v>
      </c>
      <c r="AP115" s="22" t="s">
        <v>232</v>
      </c>
      <c r="AQ115" s="22"/>
      <c r="AR115" s="22"/>
      <c r="AS115" s="22"/>
      <c r="AT115" s="22"/>
      <c r="AU115" s="22"/>
      <c r="AV115" s="22"/>
      <c r="AW115" s="23"/>
      <c r="AX115" s="27"/>
      <c r="AY115" s="25"/>
      <c r="AZ115" s="27"/>
      <c r="BA115" s="25"/>
      <c r="BB115" s="22"/>
      <c r="BC115" s="22"/>
      <c r="BD115" s="22"/>
      <c r="BE115" s="22"/>
      <c r="BF115" s="23"/>
      <c r="BG115" s="23"/>
      <c r="BH115" s="22"/>
      <c r="BI115" s="23">
        <v>1</v>
      </c>
      <c r="BJ115" s="23">
        <v>0</v>
      </c>
      <c r="BK115" s="24"/>
      <c r="BL115" s="24"/>
      <c r="BM115" s="22"/>
      <c r="BN115" s="24">
        <v>45856</v>
      </c>
      <c r="BO115" s="24">
        <v>45855</v>
      </c>
      <c r="BP115" s="25">
        <v>23.88</v>
      </c>
      <c r="BQ115" s="24">
        <v>45854</v>
      </c>
    </row>
    <row r="116" spans="1:69" ht="22.5" hidden="1" customHeight="1" x14ac:dyDescent="0.2">
      <c r="A116" s="22" t="s">
        <v>262</v>
      </c>
      <c r="B116" s="22"/>
      <c r="C116" s="22" t="s">
        <v>221</v>
      </c>
      <c r="D116" s="22" t="s">
        <v>222</v>
      </c>
      <c r="E116" s="23">
        <v>412359</v>
      </c>
      <c r="F116" s="23">
        <v>1553</v>
      </c>
      <c r="G116" s="23">
        <v>232</v>
      </c>
      <c r="H116" s="23">
        <v>0</v>
      </c>
      <c r="I116" s="24">
        <v>45855</v>
      </c>
      <c r="J116" s="22" t="s">
        <v>395</v>
      </c>
      <c r="K116" s="22" t="s">
        <v>564</v>
      </c>
      <c r="L116" s="25">
        <v>541.6</v>
      </c>
      <c r="M116" s="25">
        <v>37.909999999999997</v>
      </c>
      <c r="N116" s="25">
        <v>579.51</v>
      </c>
      <c r="O116" s="22"/>
      <c r="P116" s="26">
        <v>45866</v>
      </c>
      <c r="Q116" s="25">
        <v>579.51</v>
      </c>
      <c r="R116" s="22" t="s">
        <v>565</v>
      </c>
      <c r="S116" s="25">
        <v>0</v>
      </c>
      <c r="T116" s="22"/>
      <c r="U116" s="23"/>
      <c r="V116" s="22"/>
      <c r="W116" s="23"/>
      <c r="X116" s="23"/>
      <c r="Y116" s="23"/>
      <c r="Z116" s="25">
        <v>0</v>
      </c>
      <c r="AA116" s="25">
        <v>0</v>
      </c>
      <c r="AB116" s="25">
        <v>0</v>
      </c>
      <c r="AC116" s="22"/>
      <c r="AD116" s="22" t="s">
        <v>365</v>
      </c>
      <c r="AE116" s="22" t="s">
        <v>366</v>
      </c>
      <c r="AF116" s="22" t="s">
        <v>31</v>
      </c>
      <c r="AG116" s="22" t="s">
        <v>288</v>
      </c>
      <c r="AH116" s="22" t="s">
        <v>228</v>
      </c>
      <c r="AI116" s="22" t="s">
        <v>31</v>
      </c>
      <c r="AJ116" s="22"/>
      <c r="AK116" s="22" t="s">
        <v>289</v>
      </c>
      <c r="AL116" s="22" t="s">
        <v>31</v>
      </c>
      <c r="AM116" s="22" t="s">
        <v>231</v>
      </c>
      <c r="AN116" s="22" t="s">
        <v>232</v>
      </c>
      <c r="AO116" s="22" t="s">
        <v>231</v>
      </c>
      <c r="AP116" s="22" t="s">
        <v>232</v>
      </c>
      <c r="AQ116" s="22"/>
      <c r="AR116" s="22"/>
      <c r="AS116" s="22"/>
      <c r="AT116" s="22"/>
      <c r="AU116" s="22"/>
      <c r="AV116" s="22"/>
      <c r="AW116" s="23"/>
      <c r="AX116" s="27"/>
      <c r="AY116" s="25"/>
      <c r="AZ116" s="27"/>
      <c r="BA116" s="25"/>
      <c r="BB116" s="22"/>
      <c r="BC116" s="22"/>
      <c r="BD116" s="22"/>
      <c r="BE116" s="22"/>
      <c r="BF116" s="23"/>
      <c r="BG116" s="23"/>
      <c r="BH116" s="22" t="s">
        <v>566</v>
      </c>
      <c r="BI116" s="23">
        <v>1</v>
      </c>
      <c r="BJ116" s="23">
        <v>0</v>
      </c>
      <c r="BK116" s="24"/>
      <c r="BL116" s="24"/>
      <c r="BM116" s="22"/>
      <c r="BN116" s="24">
        <v>45866</v>
      </c>
      <c r="BO116" s="24">
        <v>45866</v>
      </c>
      <c r="BP116" s="25">
        <v>579.51</v>
      </c>
      <c r="BQ116" s="24">
        <v>45865</v>
      </c>
    </row>
    <row r="117" spans="1:69" ht="22.5" hidden="1" customHeight="1" x14ac:dyDescent="0.2">
      <c r="A117" s="22" t="s">
        <v>262</v>
      </c>
      <c r="B117" s="22"/>
      <c r="C117" s="22" t="s">
        <v>221</v>
      </c>
      <c r="D117" s="22" t="s">
        <v>222</v>
      </c>
      <c r="E117" s="23">
        <v>412704</v>
      </c>
      <c r="F117" s="23">
        <v>1564</v>
      </c>
      <c r="G117" s="23">
        <v>237</v>
      </c>
      <c r="H117" s="23">
        <v>0</v>
      </c>
      <c r="I117" s="24">
        <v>45861</v>
      </c>
      <c r="J117" s="22" t="s">
        <v>263</v>
      </c>
      <c r="K117" s="22" t="s">
        <v>567</v>
      </c>
      <c r="L117" s="25">
        <v>84.06</v>
      </c>
      <c r="M117" s="25">
        <v>4.62</v>
      </c>
      <c r="N117" s="25">
        <v>88.68</v>
      </c>
      <c r="O117" s="22"/>
      <c r="P117" s="26">
        <v>45866</v>
      </c>
      <c r="Q117" s="25">
        <v>88.68</v>
      </c>
      <c r="R117" s="22" t="s">
        <v>568</v>
      </c>
      <c r="S117" s="25">
        <v>0</v>
      </c>
      <c r="T117" s="22"/>
      <c r="U117" s="23"/>
      <c r="V117" s="22"/>
      <c r="W117" s="23"/>
      <c r="X117" s="23"/>
      <c r="Y117" s="23"/>
      <c r="Z117" s="25">
        <v>0</v>
      </c>
      <c r="AA117" s="25">
        <v>0</v>
      </c>
      <c r="AB117" s="25">
        <v>0</v>
      </c>
      <c r="AC117" s="22"/>
      <c r="AD117" s="22" t="s">
        <v>293</v>
      </c>
      <c r="AE117" s="22" t="s">
        <v>294</v>
      </c>
      <c r="AF117" s="22" t="s">
        <v>31</v>
      </c>
      <c r="AG117" s="22" t="s">
        <v>53</v>
      </c>
      <c r="AH117" s="22" t="s">
        <v>228</v>
      </c>
      <c r="AI117" s="22" t="s">
        <v>31</v>
      </c>
      <c r="AJ117" s="22"/>
      <c r="AK117" s="22" t="s">
        <v>239</v>
      </c>
      <c r="AL117" s="22" t="s">
        <v>457</v>
      </c>
      <c r="AM117" s="22" t="s">
        <v>231</v>
      </c>
      <c r="AN117" s="22" t="s">
        <v>232</v>
      </c>
      <c r="AO117" s="22" t="s">
        <v>231</v>
      </c>
      <c r="AP117" s="22" t="s">
        <v>232</v>
      </c>
      <c r="AQ117" s="22"/>
      <c r="AR117" s="22"/>
      <c r="AS117" s="22"/>
      <c r="AT117" s="22"/>
      <c r="AU117" s="22"/>
      <c r="AV117" s="22"/>
      <c r="AW117" s="23"/>
      <c r="AX117" s="27"/>
      <c r="AY117" s="25"/>
      <c r="AZ117" s="27"/>
      <c r="BA117" s="25"/>
      <c r="BB117" s="22"/>
      <c r="BC117" s="22"/>
      <c r="BD117" s="22"/>
      <c r="BE117" s="22"/>
      <c r="BF117" s="23"/>
      <c r="BG117" s="23"/>
      <c r="BH117" s="22" t="s">
        <v>569</v>
      </c>
      <c r="BI117" s="23">
        <v>1</v>
      </c>
      <c r="BJ117" s="23">
        <v>0</v>
      </c>
      <c r="BK117" s="24"/>
      <c r="BL117" s="24"/>
      <c r="BM117" s="22"/>
      <c r="BN117" s="24">
        <v>45866</v>
      </c>
      <c r="BO117" s="24">
        <v>45866</v>
      </c>
      <c r="BP117" s="25">
        <v>88.68</v>
      </c>
      <c r="BQ117" s="24">
        <v>45865</v>
      </c>
    </row>
    <row r="118" spans="1:69" ht="22.5" hidden="1" customHeight="1" x14ac:dyDescent="0.2">
      <c r="A118" s="22" t="s">
        <v>262</v>
      </c>
      <c r="B118" s="22"/>
      <c r="C118" s="22" t="s">
        <v>221</v>
      </c>
      <c r="D118" s="22" t="s">
        <v>222</v>
      </c>
      <c r="E118" s="23">
        <v>412724</v>
      </c>
      <c r="F118" s="23">
        <v>1571</v>
      </c>
      <c r="G118" s="23">
        <v>240</v>
      </c>
      <c r="H118" s="23">
        <v>0</v>
      </c>
      <c r="I118" s="24">
        <v>45863</v>
      </c>
      <c r="J118" s="22" t="s">
        <v>395</v>
      </c>
      <c r="K118" s="22" t="s">
        <v>570</v>
      </c>
      <c r="L118" s="25">
        <v>120.3</v>
      </c>
      <c r="M118" s="25">
        <v>8.3800000000000008</v>
      </c>
      <c r="N118" s="25">
        <v>128.68</v>
      </c>
      <c r="O118" s="22"/>
      <c r="P118" s="26">
        <v>45867</v>
      </c>
      <c r="Q118" s="25">
        <v>128.68</v>
      </c>
      <c r="R118" s="22" t="s">
        <v>571</v>
      </c>
      <c r="S118" s="25">
        <v>0</v>
      </c>
      <c r="T118" s="22"/>
      <c r="U118" s="23"/>
      <c r="V118" s="22"/>
      <c r="W118" s="23"/>
      <c r="X118" s="23"/>
      <c r="Y118" s="23"/>
      <c r="Z118" s="25">
        <v>0</v>
      </c>
      <c r="AA118" s="25">
        <v>0</v>
      </c>
      <c r="AB118" s="25">
        <v>0</v>
      </c>
      <c r="AC118" s="22"/>
      <c r="AD118" s="22" t="s">
        <v>293</v>
      </c>
      <c r="AE118" s="22" t="s">
        <v>294</v>
      </c>
      <c r="AF118" s="22" t="s">
        <v>31</v>
      </c>
      <c r="AG118" s="22" t="s">
        <v>53</v>
      </c>
      <c r="AH118" s="22" t="s">
        <v>228</v>
      </c>
      <c r="AI118" s="22" t="s">
        <v>31</v>
      </c>
      <c r="AJ118" s="22"/>
      <c r="AK118" s="22" t="s">
        <v>239</v>
      </c>
      <c r="AL118" s="22" t="s">
        <v>240</v>
      </c>
      <c r="AM118" s="22" t="s">
        <v>231</v>
      </c>
      <c r="AN118" s="22" t="s">
        <v>232</v>
      </c>
      <c r="AO118" s="22" t="s">
        <v>231</v>
      </c>
      <c r="AP118" s="22" t="s">
        <v>232</v>
      </c>
      <c r="AQ118" s="22"/>
      <c r="AR118" s="22"/>
      <c r="AS118" s="22"/>
      <c r="AT118" s="22"/>
      <c r="AU118" s="22"/>
      <c r="AV118" s="22"/>
      <c r="AW118" s="23"/>
      <c r="AX118" s="27"/>
      <c r="AY118" s="25"/>
      <c r="AZ118" s="27"/>
      <c r="BA118" s="25"/>
      <c r="BB118" s="22"/>
      <c r="BC118" s="22"/>
      <c r="BD118" s="22"/>
      <c r="BE118" s="22"/>
      <c r="BF118" s="23"/>
      <c r="BG118" s="23"/>
      <c r="BH118" s="22" t="s">
        <v>572</v>
      </c>
      <c r="BI118" s="23">
        <v>1</v>
      </c>
      <c r="BJ118" s="23">
        <v>0</v>
      </c>
      <c r="BK118" s="24"/>
      <c r="BL118" s="24"/>
      <c r="BM118" s="22"/>
      <c r="BN118" s="24">
        <v>45867</v>
      </c>
      <c r="BO118" s="24">
        <v>45866</v>
      </c>
      <c r="BP118" s="25">
        <v>128.68</v>
      </c>
      <c r="BQ118" s="24">
        <v>45865</v>
      </c>
    </row>
    <row r="119" spans="1:69" ht="22.5" hidden="1" customHeight="1" x14ac:dyDescent="0.2">
      <c r="A119" s="28" t="s">
        <v>262</v>
      </c>
      <c r="B119" s="28"/>
      <c r="C119" s="28" t="s">
        <v>221</v>
      </c>
      <c r="D119" s="28" t="s">
        <v>222</v>
      </c>
      <c r="E119" s="29">
        <v>412725</v>
      </c>
      <c r="F119" s="29">
        <v>1572</v>
      </c>
      <c r="G119" s="29">
        <v>240</v>
      </c>
      <c r="H119" s="29">
        <v>0</v>
      </c>
      <c r="I119" s="30">
        <v>45863</v>
      </c>
      <c r="J119" s="28" t="s">
        <v>395</v>
      </c>
      <c r="K119" s="28" t="s">
        <v>573</v>
      </c>
      <c r="L119" s="31">
        <v>142.19999999999999</v>
      </c>
      <c r="M119" s="31">
        <v>7.82</v>
      </c>
      <c r="N119" s="31">
        <v>150.02000000000001</v>
      </c>
      <c r="O119" s="28"/>
      <c r="P119" s="32">
        <v>45869</v>
      </c>
      <c r="Q119" s="31">
        <v>150.02000000000001</v>
      </c>
      <c r="R119" s="28" t="s">
        <v>574</v>
      </c>
      <c r="S119" s="31">
        <v>0</v>
      </c>
      <c r="T119" s="28"/>
      <c r="U119" s="29"/>
      <c r="V119" s="28"/>
      <c r="W119" s="29"/>
      <c r="X119" s="29"/>
      <c r="Y119" s="29"/>
      <c r="Z119" s="31">
        <v>0</v>
      </c>
      <c r="AA119" s="31">
        <v>0</v>
      </c>
      <c r="AB119" s="31">
        <v>0</v>
      </c>
      <c r="AC119" s="28"/>
      <c r="AD119" s="28" t="s">
        <v>293</v>
      </c>
      <c r="AE119" s="28" t="s">
        <v>294</v>
      </c>
      <c r="AF119" s="28" t="s">
        <v>31</v>
      </c>
      <c r="AG119" s="28" t="s">
        <v>53</v>
      </c>
      <c r="AH119" s="28" t="s">
        <v>228</v>
      </c>
      <c r="AI119" s="28" t="s">
        <v>31</v>
      </c>
      <c r="AJ119" s="28"/>
      <c r="AK119" s="28" t="s">
        <v>239</v>
      </c>
      <c r="AL119" s="28" t="s">
        <v>240</v>
      </c>
      <c r="AM119" s="28" t="s">
        <v>231</v>
      </c>
      <c r="AN119" s="28" t="s">
        <v>232</v>
      </c>
      <c r="AO119" s="28" t="s">
        <v>231</v>
      </c>
      <c r="AP119" s="28" t="s">
        <v>232</v>
      </c>
      <c r="AQ119" s="28"/>
      <c r="AR119" s="28"/>
      <c r="AS119" s="28"/>
      <c r="AT119" s="28"/>
      <c r="AU119" s="28"/>
      <c r="AV119" s="28"/>
      <c r="AW119" s="29"/>
      <c r="AX119" s="33"/>
      <c r="AY119" s="31"/>
      <c r="AZ119" s="33"/>
      <c r="BA119" s="31"/>
      <c r="BB119" s="28"/>
      <c r="BC119" s="28"/>
      <c r="BD119" s="28"/>
      <c r="BE119" s="28"/>
      <c r="BF119" s="29"/>
      <c r="BG119" s="29"/>
      <c r="BH119" s="28" t="s">
        <v>575</v>
      </c>
      <c r="BI119" s="29">
        <v>1</v>
      </c>
      <c r="BJ119" s="29">
        <v>0</v>
      </c>
      <c r="BK119" s="30"/>
      <c r="BL119" s="30"/>
      <c r="BM119" s="28"/>
      <c r="BN119" s="30">
        <v>45868</v>
      </c>
      <c r="BO119" s="30">
        <v>45866</v>
      </c>
      <c r="BP119" s="31">
        <v>150.02000000000001</v>
      </c>
      <c r="BQ119" s="30">
        <v>45865</v>
      </c>
    </row>
    <row r="120" spans="1:69" ht="22.5" hidden="1" customHeight="1" x14ac:dyDescent="0.2">
      <c r="A120" s="22" t="s">
        <v>262</v>
      </c>
      <c r="B120" s="22"/>
      <c r="C120" s="22" t="s">
        <v>221</v>
      </c>
      <c r="D120" s="22" t="s">
        <v>222</v>
      </c>
      <c r="E120" s="23">
        <v>412726</v>
      </c>
      <c r="F120" s="23">
        <v>1573</v>
      </c>
      <c r="G120" s="23">
        <v>240</v>
      </c>
      <c r="H120" s="23">
        <v>0</v>
      </c>
      <c r="I120" s="24">
        <v>45863</v>
      </c>
      <c r="J120" s="22" t="s">
        <v>395</v>
      </c>
      <c r="K120" s="22" t="s">
        <v>576</v>
      </c>
      <c r="L120" s="25">
        <v>89.05</v>
      </c>
      <c r="M120" s="25">
        <v>4.9000000000000004</v>
      </c>
      <c r="N120" s="25">
        <v>93.95</v>
      </c>
      <c r="O120" s="22"/>
      <c r="P120" s="26">
        <v>45867</v>
      </c>
      <c r="Q120" s="25">
        <v>93.95</v>
      </c>
      <c r="R120" s="22" t="s">
        <v>577</v>
      </c>
      <c r="S120" s="25">
        <v>0</v>
      </c>
      <c r="T120" s="22"/>
      <c r="U120" s="23"/>
      <c r="V120" s="22"/>
      <c r="W120" s="23"/>
      <c r="X120" s="23"/>
      <c r="Y120" s="23"/>
      <c r="Z120" s="25">
        <v>0</v>
      </c>
      <c r="AA120" s="25">
        <v>0</v>
      </c>
      <c r="AB120" s="25">
        <v>0</v>
      </c>
      <c r="AC120" s="22"/>
      <c r="AD120" s="22" t="s">
        <v>293</v>
      </c>
      <c r="AE120" s="22" t="s">
        <v>294</v>
      </c>
      <c r="AF120" s="22" t="s">
        <v>31</v>
      </c>
      <c r="AG120" s="22" t="s">
        <v>53</v>
      </c>
      <c r="AH120" s="22" t="s">
        <v>228</v>
      </c>
      <c r="AI120" s="22" t="s">
        <v>31</v>
      </c>
      <c r="AJ120" s="22"/>
      <c r="AK120" s="22" t="s">
        <v>239</v>
      </c>
      <c r="AL120" s="22" t="s">
        <v>240</v>
      </c>
      <c r="AM120" s="22" t="s">
        <v>231</v>
      </c>
      <c r="AN120" s="22" t="s">
        <v>232</v>
      </c>
      <c r="AO120" s="22" t="s">
        <v>231</v>
      </c>
      <c r="AP120" s="22" t="s">
        <v>232</v>
      </c>
      <c r="AQ120" s="22"/>
      <c r="AR120" s="22"/>
      <c r="AS120" s="22"/>
      <c r="AT120" s="22"/>
      <c r="AU120" s="22"/>
      <c r="AV120" s="22"/>
      <c r="AW120" s="23"/>
      <c r="AX120" s="27"/>
      <c r="AY120" s="25"/>
      <c r="AZ120" s="27"/>
      <c r="BA120" s="25"/>
      <c r="BB120" s="22"/>
      <c r="BC120" s="22"/>
      <c r="BD120" s="22"/>
      <c r="BE120" s="22"/>
      <c r="BF120" s="23"/>
      <c r="BG120" s="23"/>
      <c r="BH120" s="22" t="s">
        <v>578</v>
      </c>
      <c r="BI120" s="23">
        <v>1</v>
      </c>
      <c r="BJ120" s="23">
        <v>0</v>
      </c>
      <c r="BK120" s="24"/>
      <c r="BL120" s="24"/>
      <c r="BM120" s="22"/>
      <c r="BN120" s="24">
        <v>45867</v>
      </c>
      <c r="BO120" s="24">
        <v>45866</v>
      </c>
      <c r="BP120" s="25">
        <v>93.95</v>
      </c>
      <c r="BQ120" s="24">
        <v>45865</v>
      </c>
    </row>
    <row r="121" spans="1:69" ht="22.5" customHeight="1" x14ac:dyDescent="0.2">
      <c r="A121" s="28" t="s">
        <v>262</v>
      </c>
      <c r="B121" s="28"/>
      <c r="C121" s="28" t="s">
        <v>221</v>
      </c>
      <c r="D121" s="28" t="s">
        <v>222</v>
      </c>
      <c r="E121" s="29">
        <v>412728</v>
      </c>
      <c r="F121" s="29">
        <v>1575</v>
      </c>
      <c r="G121" s="29">
        <v>240</v>
      </c>
      <c r="H121" s="29">
        <v>0</v>
      </c>
      <c r="I121" s="30">
        <v>45863</v>
      </c>
      <c r="J121" s="28" t="s">
        <v>395</v>
      </c>
      <c r="K121" s="28" t="s">
        <v>579</v>
      </c>
      <c r="L121" s="31">
        <v>57.67</v>
      </c>
      <c r="M121" s="31">
        <v>3.17</v>
      </c>
      <c r="N121" s="31">
        <v>60.84</v>
      </c>
      <c r="O121" s="28"/>
      <c r="P121" s="32">
        <v>45867</v>
      </c>
      <c r="Q121" s="31">
        <v>60.84</v>
      </c>
      <c r="R121" s="28" t="s">
        <v>315</v>
      </c>
      <c r="S121" s="31">
        <v>0</v>
      </c>
      <c r="T121" s="28"/>
      <c r="U121" s="29"/>
      <c r="V121" s="28"/>
      <c r="W121" s="29"/>
      <c r="X121" s="29"/>
      <c r="Y121" s="29"/>
      <c r="Z121" s="31">
        <v>0</v>
      </c>
      <c r="AA121" s="31">
        <v>0</v>
      </c>
      <c r="AB121" s="31">
        <v>0</v>
      </c>
      <c r="AC121" s="28"/>
      <c r="AD121" s="28" t="s">
        <v>308</v>
      </c>
      <c r="AE121" s="28" t="s">
        <v>309</v>
      </c>
      <c r="AF121" s="28" t="s">
        <v>31</v>
      </c>
      <c r="AG121" s="28" t="s">
        <v>42</v>
      </c>
      <c r="AH121" s="28" t="s">
        <v>228</v>
      </c>
      <c r="AI121" s="28" t="s">
        <v>31</v>
      </c>
      <c r="AJ121" s="28"/>
      <c r="AK121" s="28" t="s">
        <v>34</v>
      </c>
      <c r="AL121" s="28" t="s">
        <v>50</v>
      </c>
      <c r="AM121" s="28" t="s">
        <v>231</v>
      </c>
      <c r="AN121" s="28" t="s">
        <v>232</v>
      </c>
      <c r="AO121" s="28" t="s">
        <v>231</v>
      </c>
      <c r="AP121" s="28" t="s">
        <v>232</v>
      </c>
      <c r="AQ121" s="28"/>
      <c r="AR121" s="28"/>
      <c r="AS121" s="28"/>
      <c r="AT121" s="28"/>
      <c r="AU121" s="28"/>
      <c r="AV121" s="28"/>
      <c r="AW121" s="29"/>
      <c r="AX121" s="33"/>
      <c r="AY121" s="31"/>
      <c r="AZ121" s="33"/>
      <c r="BA121" s="31"/>
      <c r="BB121" s="28"/>
      <c r="BC121" s="28"/>
      <c r="BD121" s="28"/>
      <c r="BE121" s="28"/>
      <c r="BF121" s="29"/>
      <c r="BG121" s="29"/>
      <c r="BH121" s="28" t="s">
        <v>580</v>
      </c>
      <c r="BI121" s="29">
        <v>1</v>
      </c>
      <c r="BJ121" s="29">
        <v>0</v>
      </c>
      <c r="BK121" s="30"/>
      <c r="BL121" s="30"/>
      <c r="BM121" s="28"/>
      <c r="BN121" s="30">
        <v>45867</v>
      </c>
      <c r="BO121" s="30">
        <v>45866</v>
      </c>
      <c r="BP121" s="31">
        <v>60.84</v>
      </c>
      <c r="BQ121" s="30">
        <v>45865</v>
      </c>
    </row>
    <row r="122" spans="1:69" ht="22.5" customHeight="1" x14ac:dyDescent="0.2">
      <c r="A122" s="22" t="s">
        <v>262</v>
      </c>
      <c r="B122" s="22"/>
      <c r="C122" s="22" t="s">
        <v>221</v>
      </c>
      <c r="D122" s="22" t="s">
        <v>222</v>
      </c>
      <c r="E122" s="23">
        <v>412729</v>
      </c>
      <c r="F122" s="23">
        <v>1576</v>
      </c>
      <c r="G122" s="23">
        <v>240</v>
      </c>
      <c r="H122" s="23">
        <v>0</v>
      </c>
      <c r="I122" s="24">
        <v>45863</v>
      </c>
      <c r="J122" s="22" t="s">
        <v>395</v>
      </c>
      <c r="K122" s="22" t="s">
        <v>581</v>
      </c>
      <c r="L122" s="25">
        <v>57.67</v>
      </c>
      <c r="M122" s="25">
        <v>3.17</v>
      </c>
      <c r="N122" s="25">
        <v>60.84</v>
      </c>
      <c r="O122" s="22"/>
      <c r="P122" s="26">
        <v>45867</v>
      </c>
      <c r="Q122" s="25">
        <v>60.84</v>
      </c>
      <c r="R122" s="22" t="s">
        <v>321</v>
      </c>
      <c r="S122" s="25">
        <v>0</v>
      </c>
      <c r="T122" s="22"/>
      <c r="U122" s="23"/>
      <c r="V122" s="22"/>
      <c r="W122" s="23"/>
      <c r="X122" s="23"/>
      <c r="Y122" s="23"/>
      <c r="Z122" s="25">
        <v>0</v>
      </c>
      <c r="AA122" s="25">
        <v>0</v>
      </c>
      <c r="AB122" s="25">
        <v>0</v>
      </c>
      <c r="AC122" s="22"/>
      <c r="AD122" s="22" t="s">
        <v>308</v>
      </c>
      <c r="AE122" s="22" t="s">
        <v>309</v>
      </c>
      <c r="AF122" s="22" t="s">
        <v>31</v>
      </c>
      <c r="AG122" s="22" t="s">
        <v>32</v>
      </c>
      <c r="AH122" s="22" t="s">
        <v>228</v>
      </c>
      <c r="AI122" s="22" t="s">
        <v>31</v>
      </c>
      <c r="AJ122" s="22"/>
      <c r="AK122" s="22" t="s">
        <v>34</v>
      </c>
      <c r="AL122" s="22" t="s">
        <v>31</v>
      </c>
      <c r="AM122" s="22" t="s">
        <v>231</v>
      </c>
      <c r="AN122" s="22" t="s">
        <v>232</v>
      </c>
      <c r="AO122" s="22" t="s">
        <v>231</v>
      </c>
      <c r="AP122" s="22" t="s">
        <v>232</v>
      </c>
      <c r="AQ122" s="22"/>
      <c r="AR122" s="22"/>
      <c r="AS122" s="22"/>
      <c r="AT122" s="22"/>
      <c r="AU122" s="22"/>
      <c r="AV122" s="22"/>
      <c r="AW122" s="23"/>
      <c r="AX122" s="27"/>
      <c r="AY122" s="25"/>
      <c r="AZ122" s="27"/>
      <c r="BA122" s="25"/>
      <c r="BB122" s="22"/>
      <c r="BC122" s="22"/>
      <c r="BD122" s="22"/>
      <c r="BE122" s="22"/>
      <c r="BF122" s="23"/>
      <c r="BG122" s="23"/>
      <c r="BH122" s="22" t="s">
        <v>582</v>
      </c>
      <c r="BI122" s="23">
        <v>1</v>
      </c>
      <c r="BJ122" s="23">
        <v>0</v>
      </c>
      <c r="BK122" s="24"/>
      <c r="BL122" s="24"/>
      <c r="BM122" s="22"/>
      <c r="BN122" s="24">
        <v>45867</v>
      </c>
      <c r="BO122" s="24">
        <v>45866</v>
      </c>
      <c r="BP122" s="25">
        <v>60.84</v>
      </c>
      <c r="BQ122" s="24">
        <v>45865</v>
      </c>
    </row>
    <row r="123" spans="1:69" ht="22.5" hidden="1" customHeight="1" x14ac:dyDescent="0.2">
      <c r="A123" s="28" t="s">
        <v>262</v>
      </c>
      <c r="B123" s="28"/>
      <c r="C123" s="28" t="s">
        <v>221</v>
      </c>
      <c r="D123" s="28" t="s">
        <v>222</v>
      </c>
      <c r="E123" s="29">
        <v>412735</v>
      </c>
      <c r="F123" s="29">
        <v>1574</v>
      </c>
      <c r="G123" s="29">
        <v>240</v>
      </c>
      <c r="H123" s="29">
        <v>0</v>
      </c>
      <c r="I123" s="30">
        <v>45863</v>
      </c>
      <c r="J123" s="28" t="s">
        <v>395</v>
      </c>
      <c r="K123" s="28" t="s">
        <v>583</v>
      </c>
      <c r="L123" s="31">
        <v>130.61000000000001</v>
      </c>
      <c r="M123" s="31">
        <v>9.67</v>
      </c>
      <c r="N123" s="31">
        <v>140.28</v>
      </c>
      <c r="O123" s="28"/>
      <c r="P123" s="32">
        <v>45867</v>
      </c>
      <c r="Q123" s="31">
        <v>140.28</v>
      </c>
      <c r="R123" s="28" t="s">
        <v>584</v>
      </c>
      <c r="S123" s="31">
        <v>0</v>
      </c>
      <c r="T123" s="28"/>
      <c r="U123" s="29"/>
      <c r="V123" s="28"/>
      <c r="W123" s="29"/>
      <c r="X123" s="29"/>
      <c r="Y123" s="29"/>
      <c r="Z123" s="31">
        <v>0</v>
      </c>
      <c r="AA123" s="31">
        <v>0</v>
      </c>
      <c r="AB123" s="31">
        <v>0</v>
      </c>
      <c r="AC123" s="28"/>
      <c r="AD123" s="28" t="s">
        <v>293</v>
      </c>
      <c r="AE123" s="28" t="s">
        <v>294</v>
      </c>
      <c r="AF123" s="28" t="s">
        <v>31</v>
      </c>
      <c r="AG123" s="28" t="s">
        <v>53</v>
      </c>
      <c r="AH123" s="28" t="s">
        <v>228</v>
      </c>
      <c r="AI123" s="28" t="s">
        <v>31</v>
      </c>
      <c r="AJ123" s="28"/>
      <c r="AK123" s="28" t="s">
        <v>239</v>
      </c>
      <c r="AL123" s="28" t="s">
        <v>240</v>
      </c>
      <c r="AM123" s="28" t="s">
        <v>231</v>
      </c>
      <c r="AN123" s="28" t="s">
        <v>232</v>
      </c>
      <c r="AO123" s="28" t="s">
        <v>231</v>
      </c>
      <c r="AP123" s="28" t="s">
        <v>232</v>
      </c>
      <c r="AQ123" s="28"/>
      <c r="AR123" s="28"/>
      <c r="AS123" s="28"/>
      <c r="AT123" s="28"/>
      <c r="AU123" s="28"/>
      <c r="AV123" s="28"/>
      <c r="AW123" s="29"/>
      <c r="AX123" s="33"/>
      <c r="AY123" s="31"/>
      <c r="AZ123" s="33"/>
      <c r="BA123" s="31"/>
      <c r="BB123" s="28"/>
      <c r="BC123" s="28"/>
      <c r="BD123" s="28"/>
      <c r="BE123" s="28"/>
      <c r="BF123" s="29"/>
      <c r="BG123" s="29"/>
      <c r="BH123" s="28" t="s">
        <v>585</v>
      </c>
      <c r="BI123" s="29">
        <v>1</v>
      </c>
      <c r="BJ123" s="29">
        <v>0</v>
      </c>
      <c r="BK123" s="30"/>
      <c r="BL123" s="30"/>
      <c r="BM123" s="28"/>
      <c r="BN123" s="30">
        <v>45867</v>
      </c>
      <c r="BO123" s="30">
        <v>45866</v>
      </c>
      <c r="BP123" s="31">
        <v>140.28</v>
      </c>
      <c r="BQ123" s="30">
        <v>45865</v>
      </c>
    </row>
    <row r="124" spans="1:69" ht="22.5" hidden="1" customHeight="1" x14ac:dyDescent="0.2">
      <c r="A124" s="28" t="s">
        <v>262</v>
      </c>
      <c r="B124" s="28"/>
      <c r="C124" s="28" t="s">
        <v>221</v>
      </c>
      <c r="D124" s="28" t="s">
        <v>222</v>
      </c>
      <c r="E124" s="29">
        <v>412747</v>
      </c>
      <c r="F124" s="29">
        <v>1587</v>
      </c>
      <c r="G124" s="29">
        <v>244</v>
      </c>
      <c r="H124" s="29">
        <v>0</v>
      </c>
      <c r="I124" s="30">
        <v>45866</v>
      </c>
      <c r="J124" s="28" t="s">
        <v>263</v>
      </c>
      <c r="K124" s="28" t="s">
        <v>586</v>
      </c>
      <c r="L124" s="31">
        <v>188.06</v>
      </c>
      <c r="M124" s="31">
        <v>10.34</v>
      </c>
      <c r="N124" s="31">
        <v>198.4</v>
      </c>
      <c r="O124" s="28"/>
      <c r="P124" s="32">
        <v>45867</v>
      </c>
      <c r="Q124" s="31">
        <v>198.4</v>
      </c>
      <c r="R124" s="28" t="s">
        <v>587</v>
      </c>
      <c r="S124" s="31">
        <v>0</v>
      </c>
      <c r="T124" s="28"/>
      <c r="U124" s="29"/>
      <c r="V124" s="28"/>
      <c r="W124" s="29"/>
      <c r="X124" s="29"/>
      <c r="Y124" s="29"/>
      <c r="Z124" s="31">
        <v>0</v>
      </c>
      <c r="AA124" s="31">
        <v>0</v>
      </c>
      <c r="AB124" s="31">
        <v>0</v>
      </c>
      <c r="AC124" s="28"/>
      <c r="AD124" s="28" t="s">
        <v>293</v>
      </c>
      <c r="AE124" s="28" t="s">
        <v>294</v>
      </c>
      <c r="AF124" s="28" t="s">
        <v>31</v>
      </c>
      <c r="AG124" s="28" t="s">
        <v>53</v>
      </c>
      <c r="AH124" s="28" t="s">
        <v>228</v>
      </c>
      <c r="AI124" s="28" t="s">
        <v>31</v>
      </c>
      <c r="AJ124" s="28"/>
      <c r="AK124" s="28" t="s">
        <v>239</v>
      </c>
      <c r="AL124" s="28" t="s">
        <v>240</v>
      </c>
      <c r="AM124" s="28" t="s">
        <v>231</v>
      </c>
      <c r="AN124" s="28" t="s">
        <v>232</v>
      </c>
      <c r="AO124" s="28" t="s">
        <v>231</v>
      </c>
      <c r="AP124" s="28" t="s">
        <v>232</v>
      </c>
      <c r="AQ124" s="28"/>
      <c r="AR124" s="28"/>
      <c r="AS124" s="28"/>
      <c r="AT124" s="28"/>
      <c r="AU124" s="28"/>
      <c r="AV124" s="28"/>
      <c r="AW124" s="29"/>
      <c r="AX124" s="33"/>
      <c r="AY124" s="31"/>
      <c r="AZ124" s="33"/>
      <c r="BA124" s="31"/>
      <c r="BB124" s="28"/>
      <c r="BC124" s="28"/>
      <c r="BD124" s="28"/>
      <c r="BE124" s="28"/>
      <c r="BF124" s="29"/>
      <c r="BG124" s="29"/>
      <c r="BH124" s="28" t="s">
        <v>588</v>
      </c>
      <c r="BI124" s="29">
        <v>1</v>
      </c>
      <c r="BJ124" s="29">
        <v>0</v>
      </c>
      <c r="BK124" s="30"/>
      <c r="BL124" s="30"/>
      <c r="BM124" s="28"/>
      <c r="BN124" s="30">
        <v>45867</v>
      </c>
      <c r="BO124" s="30">
        <v>45866</v>
      </c>
      <c r="BP124" s="31">
        <v>198.4</v>
      </c>
      <c r="BQ124" s="30">
        <v>45865</v>
      </c>
    </row>
    <row r="125" spans="1:69" ht="22.5" hidden="1" customHeight="1" x14ac:dyDescent="0.2">
      <c r="A125" s="28" t="s">
        <v>262</v>
      </c>
      <c r="B125" s="28"/>
      <c r="C125" s="28" t="s">
        <v>221</v>
      </c>
      <c r="D125" s="28" t="s">
        <v>222</v>
      </c>
      <c r="E125" s="29">
        <v>412809</v>
      </c>
      <c r="F125" s="29">
        <v>1621</v>
      </c>
      <c r="G125" s="29">
        <v>251</v>
      </c>
      <c r="H125" s="29">
        <v>0</v>
      </c>
      <c r="I125" s="30">
        <v>45869</v>
      </c>
      <c r="J125" s="28" t="s">
        <v>395</v>
      </c>
      <c r="K125" s="28" t="s">
        <v>589</v>
      </c>
      <c r="L125" s="31">
        <v>55.83</v>
      </c>
      <c r="M125" s="31">
        <v>3.41</v>
      </c>
      <c r="N125" s="31">
        <v>59.24</v>
      </c>
      <c r="O125" s="28"/>
      <c r="P125" s="32">
        <v>45874</v>
      </c>
      <c r="Q125" s="31">
        <v>59.24</v>
      </c>
      <c r="R125" s="28" t="s">
        <v>590</v>
      </c>
      <c r="S125" s="31">
        <v>0</v>
      </c>
      <c r="T125" s="28"/>
      <c r="U125" s="29"/>
      <c r="V125" s="28"/>
      <c r="W125" s="29"/>
      <c r="X125" s="29"/>
      <c r="Y125" s="29"/>
      <c r="Z125" s="31">
        <v>0</v>
      </c>
      <c r="AA125" s="31">
        <v>0</v>
      </c>
      <c r="AB125" s="31">
        <v>0</v>
      </c>
      <c r="AC125" s="28"/>
      <c r="AD125" s="28" t="s">
        <v>293</v>
      </c>
      <c r="AE125" s="28" t="s">
        <v>294</v>
      </c>
      <c r="AF125" s="28" t="s">
        <v>31</v>
      </c>
      <c r="AG125" s="28" t="s">
        <v>591</v>
      </c>
      <c r="AH125" s="28" t="s">
        <v>228</v>
      </c>
      <c r="AI125" s="28" t="s">
        <v>31</v>
      </c>
      <c r="AJ125" s="28"/>
      <c r="AK125" s="28" t="s">
        <v>235</v>
      </c>
      <c r="AL125" s="28" t="s">
        <v>31</v>
      </c>
      <c r="AM125" s="28" t="s">
        <v>231</v>
      </c>
      <c r="AN125" s="28" t="s">
        <v>232</v>
      </c>
      <c r="AO125" s="28" t="s">
        <v>231</v>
      </c>
      <c r="AP125" s="28" t="s">
        <v>232</v>
      </c>
      <c r="AQ125" s="28"/>
      <c r="AR125" s="28"/>
      <c r="AS125" s="28"/>
      <c r="AT125" s="28"/>
      <c r="AU125" s="28"/>
      <c r="AV125" s="28"/>
      <c r="AW125" s="29"/>
      <c r="AX125" s="33"/>
      <c r="AY125" s="31"/>
      <c r="AZ125" s="33"/>
      <c r="BA125" s="31"/>
      <c r="BB125" s="28"/>
      <c r="BC125" s="28"/>
      <c r="BD125" s="28"/>
      <c r="BE125" s="28"/>
      <c r="BF125" s="29"/>
      <c r="BG125" s="29"/>
      <c r="BH125" s="28" t="s">
        <v>592</v>
      </c>
      <c r="BI125" s="29">
        <v>1</v>
      </c>
      <c r="BJ125" s="29">
        <v>0</v>
      </c>
      <c r="BK125" s="30"/>
      <c r="BL125" s="30"/>
      <c r="BM125" s="28"/>
      <c r="BN125" s="30">
        <v>45874</v>
      </c>
      <c r="BO125" s="30">
        <v>45873</v>
      </c>
      <c r="BP125" s="31">
        <v>59.24</v>
      </c>
      <c r="BQ125" s="30">
        <v>45872</v>
      </c>
    </row>
    <row r="126" spans="1:69" ht="22.5" hidden="1" customHeight="1" x14ac:dyDescent="0.2">
      <c r="A126" s="28" t="s">
        <v>262</v>
      </c>
      <c r="B126" s="28"/>
      <c r="C126" s="28" t="s">
        <v>221</v>
      </c>
      <c r="D126" s="28" t="s">
        <v>222</v>
      </c>
      <c r="E126" s="29">
        <v>412814</v>
      </c>
      <c r="F126" s="29">
        <v>1620</v>
      </c>
      <c r="G126" s="29">
        <v>251</v>
      </c>
      <c r="H126" s="29">
        <v>0</v>
      </c>
      <c r="I126" s="30">
        <v>45869</v>
      </c>
      <c r="J126" s="28" t="s">
        <v>395</v>
      </c>
      <c r="K126" s="28" t="s">
        <v>593</v>
      </c>
      <c r="L126" s="31">
        <v>140.94999999999999</v>
      </c>
      <c r="M126" s="31">
        <v>7.75</v>
      </c>
      <c r="N126" s="31">
        <v>148.69999999999999</v>
      </c>
      <c r="O126" s="28"/>
      <c r="P126" s="32">
        <v>45874</v>
      </c>
      <c r="Q126" s="31">
        <v>148.69999999999999</v>
      </c>
      <c r="R126" s="28" t="s">
        <v>594</v>
      </c>
      <c r="S126" s="31">
        <v>0</v>
      </c>
      <c r="T126" s="28"/>
      <c r="U126" s="29"/>
      <c r="V126" s="28"/>
      <c r="W126" s="29"/>
      <c r="X126" s="29"/>
      <c r="Y126" s="29"/>
      <c r="Z126" s="31">
        <v>0</v>
      </c>
      <c r="AA126" s="31">
        <v>0</v>
      </c>
      <c r="AB126" s="31">
        <v>0</v>
      </c>
      <c r="AC126" s="28"/>
      <c r="AD126" s="28" t="s">
        <v>293</v>
      </c>
      <c r="AE126" s="28" t="s">
        <v>294</v>
      </c>
      <c r="AF126" s="28" t="s">
        <v>31</v>
      </c>
      <c r="AG126" s="28" t="s">
        <v>53</v>
      </c>
      <c r="AH126" s="28" t="s">
        <v>228</v>
      </c>
      <c r="AI126" s="28" t="s">
        <v>31</v>
      </c>
      <c r="AJ126" s="28"/>
      <c r="AK126" s="28" t="s">
        <v>239</v>
      </c>
      <c r="AL126" s="28" t="s">
        <v>240</v>
      </c>
      <c r="AM126" s="28" t="s">
        <v>231</v>
      </c>
      <c r="AN126" s="28" t="s">
        <v>232</v>
      </c>
      <c r="AO126" s="28" t="s">
        <v>231</v>
      </c>
      <c r="AP126" s="28" t="s">
        <v>232</v>
      </c>
      <c r="AQ126" s="28"/>
      <c r="AR126" s="28"/>
      <c r="AS126" s="28"/>
      <c r="AT126" s="28"/>
      <c r="AU126" s="28"/>
      <c r="AV126" s="28"/>
      <c r="AW126" s="29"/>
      <c r="AX126" s="33"/>
      <c r="AY126" s="31"/>
      <c r="AZ126" s="33"/>
      <c r="BA126" s="31"/>
      <c r="BB126" s="28"/>
      <c r="BC126" s="28"/>
      <c r="BD126" s="28"/>
      <c r="BE126" s="28"/>
      <c r="BF126" s="29"/>
      <c r="BG126" s="29"/>
      <c r="BH126" s="28" t="s">
        <v>595</v>
      </c>
      <c r="BI126" s="29">
        <v>1</v>
      </c>
      <c r="BJ126" s="29">
        <v>0</v>
      </c>
      <c r="BK126" s="30"/>
      <c r="BL126" s="30"/>
      <c r="BM126" s="28"/>
      <c r="BN126" s="30">
        <v>45874</v>
      </c>
      <c r="BO126" s="30">
        <v>45873</v>
      </c>
      <c r="BP126" s="31">
        <v>148.69999999999999</v>
      </c>
      <c r="BQ126" s="30">
        <v>45872</v>
      </c>
    </row>
    <row r="127" spans="1:69" ht="22.5" hidden="1" customHeight="1" x14ac:dyDescent="0.2">
      <c r="A127" s="28" t="s">
        <v>408</v>
      </c>
      <c r="B127" s="28"/>
      <c r="C127" s="28" t="s">
        <v>221</v>
      </c>
      <c r="D127" s="28" t="s">
        <v>222</v>
      </c>
      <c r="E127" s="29">
        <v>412849</v>
      </c>
      <c r="F127" s="29">
        <v>1618</v>
      </c>
      <c r="G127" s="29">
        <v>250</v>
      </c>
      <c r="H127" s="29">
        <v>1</v>
      </c>
      <c r="I127" s="30">
        <v>45869</v>
      </c>
      <c r="J127" s="28" t="s">
        <v>281</v>
      </c>
      <c r="K127" s="28" t="s">
        <v>596</v>
      </c>
      <c r="L127" s="31">
        <v>10.82</v>
      </c>
      <c r="M127" s="31">
        <v>2.16</v>
      </c>
      <c r="N127" s="31">
        <v>12.98</v>
      </c>
      <c r="O127" s="28"/>
      <c r="P127" s="32">
        <v>45874</v>
      </c>
      <c r="Q127" s="31">
        <v>12.98</v>
      </c>
      <c r="R127" s="28"/>
      <c r="S127" s="31">
        <v>0</v>
      </c>
      <c r="T127" s="28"/>
      <c r="U127" s="29"/>
      <c r="V127" s="28"/>
      <c r="W127" s="29"/>
      <c r="X127" s="29"/>
      <c r="Y127" s="29"/>
      <c r="Z127" s="31">
        <v>0</v>
      </c>
      <c r="AA127" s="31">
        <v>0</v>
      </c>
      <c r="AB127" s="31">
        <v>0</v>
      </c>
      <c r="AC127" s="28"/>
      <c r="AD127" s="28" t="s">
        <v>597</v>
      </c>
      <c r="AE127" s="28" t="s">
        <v>598</v>
      </c>
      <c r="AF127" s="28" t="s">
        <v>31</v>
      </c>
      <c r="AG127" s="28" t="s">
        <v>42</v>
      </c>
      <c r="AH127" s="28" t="s">
        <v>228</v>
      </c>
      <c r="AI127" s="28" t="s">
        <v>31</v>
      </c>
      <c r="AJ127" s="28"/>
      <c r="AK127" s="28" t="s">
        <v>235</v>
      </c>
      <c r="AL127" s="28" t="s">
        <v>236</v>
      </c>
      <c r="AM127" s="28" t="s">
        <v>231</v>
      </c>
      <c r="AN127" s="28" t="s">
        <v>232</v>
      </c>
      <c r="AO127" s="28" t="s">
        <v>231</v>
      </c>
      <c r="AP127" s="28" t="s">
        <v>232</v>
      </c>
      <c r="AQ127" s="28"/>
      <c r="AR127" s="28"/>
      <c r="AS127" s="28"/>
      <c r="AT127" s="28"/>
      <c r="AU127" s="28"/>
      <c r="AV127" s="28"/>
      <c r="AW127" s="29"/>
      <c r="AX127" s="33"/>
      <c r="AY127" s="31"/>
      <c r="AZ127" s="33"/>
      <c r="BA127" s="31"/>
      <c r="BB127" s="28"/>
      <c r="BC127" s="28"/>
      <c r="BD127" s="28"/>
      <c r="BE127" s="28"/>
      <c r="BF127" s="29"/>
      <c r="BG127" s="29"/>
      <c r="BH127" s="28"/>
      <c r="BI127" s="29">
        <v>1</v>
      </c>
      <c r="BJ127" s="29">
        <v>0</v>
      </c>
      <c r="BK127" s="30"/>
      <c r="BL127" s="30"/>
      <c r="BM127" s="28"/>
      <c r="BN127" s="30">
        <v>45874</v>
      </c>
      <c r="BO127" s="30">
        <v>45873</v>
      </c>
      <c r="BP127" s="31">
        <v>12.98</v>
      </c>
      <c r="BQ127" s="30">
        <v>45872</v>
      </c>
    </row>
    <row r="128" spans="1:69" ht="22.5" hidden="1" customHeight="1" x14ac:dyDescent="0.2">
      <c r="A128" s="28" t="s">
        <v>408</v>
      </c>
      <c r="B128" s="28"/>
      <c r="C128" s="28" t="s">
        <v>221</v>
      </c>
      <c r="D128" s="28" t="s">
        <v>222</v>
      </c>
      <c r="E128" s="29">
        <v>412851</v>
      </c>
      <c r="F128" s="29">
        <v>1618</v>
      </c>
      <c r="G128" s="29">
        <v>250</v>
      </c>
      <c r="H128" s="29">
        <v>1</v>
      </c>
      <c r="I128" s="30">
        <v>45869</v>
      </c>
      <c r="J128" s="28" t="s">
        <v>281</v>
      </c>
      <c r="K128" s="28" t="s">
        <v>599</v>
      </c>
      <c r="L128" s="31">
        <v>61.83</v>
      </c>
      <c r="M128" s="31">
        <v>12.36</v>
      </c>
      <c r="N128" s="31">
        <v>74.19</v>
      </c>
      <c r="O128" s="28"/>
      <c r="P128" s="32">
        <v>45874</v>
      </c>
      <c r="Q128" s="31">
        <v>74.19</v>
      </c>
      <c r="R128" s="28"/>
      <c r="S128" s="31">
        <v>0</v>
      </c>
      <c r="T128" s="28"/>
      <c r="U128" s="29"/>
      <c r="V128" s="28"/>
      <c r="W128" s="29"/>
      <c r="X128" s="29"/>
      <c r="Y128" s="29"/>
      <c r="Z128" s="31">
        <v>0</v>
      </c>
      <c r="AA128" s="31">
        <v>0</v>
      </c>
      <c r="AB128" s="31">
        <v>0</v>
      </c>
      <c r="AC128" s="28"/>
      <c r="AD128" s="28" t="s">
        <v>597</v>
      </c>
      <c r="AE128" s="28" t="s">
        <v>598</v>
      </c>
      <c r="AF128" s="28" t="s">
        <v>31</v>
      </c>
      <c r="AG128" s="28" t="s">
        <v>42</v>
      </c>
      <c r="AH128" s="28" t="s">
        <v>228</v>
      </c>
      <c r="AI128" s="28" t="s">
        <v>31</v>
      </c>
      <c r="AJ128" s="28"/>
      <c r="AK128" s="28" t="s">
        <v>235</v>
      </c>
      <c r="AL128" s="28" t="s">
        <v>331</v>
      </c>
      <c r="AM128" s="28" t="s">
        <v>231</v>
      </c>
      <c r="AN128" s="28" t="s">
        <v>232</v>
      </c>
      <c r="AO128" s="28" t="s">
        <v>231</v>
      </c>
      <c r="AP128" s="28" t="s">
        <v>232</v>
      </c>
      <c r="AQ128" s="28"/>
      <c r="AR128" s="28"/>
      <c r="AS128" s="28"/>
      <c r="AT128" s="28"/>
      <c r="AU128" s="28"/>
      <c r="AV128" s="28"/>
      <c r="AW128" s="29"/>
      <c r="AX128" s="33"/>
      <c r="AY128" s="31"/>
      <c r="AZ128" s="33"/>
      <c r="BA128" s="31"/>
      <c r="BB128" s="28"/>
      <c r="BC128" s="28"/>
      <c r="BD128" s="28"/>
      <c r="BE128" s="28"/>
      <c r="BF128" s="29"/>
      <c r="BG128" s="29"/>
      <c r="BH128" s="28"/>
      <c r="BI128" s="29">
        <v>1</v>
      </c>
      <c r="BJ128" s="29">
        <v>0</v>
      </c>
      <c r="BK128" s="30"/>
      <c r="BL128" s="30"/>
      <c r="BM128" s="28"/>
      <c r="BN128" s="30">
        <v>45874</v>
      </c>
      <c r="BO128" s="30">
        <v>45873</v>
      </c>
      <c r="BP128" s="31">
        <v>74.19</v>
      </c>
      <c r="BQ128" s="30">
        <v>45872</v>
      </c>
    </row>
    <row r="129" spans="1:69" ht="22.5" hidden="1" customHeight="1" x14ac:dyDescent="0.2">
      <c r="A129" s="22" t="s">
        <v>262</v>
      </c>
      <c r="B129" s="22"/>
      <c r="C129" s="22" t="s">
        <v>221</v>
      </c>
      <c r="D129" s="22" t="s">
        <v>222</v>
      </c>
      <c r="E129" s="23">
        <v>412852</v>
      </c>
      <c r="F129" s="23">
        <v>1629</v>
      </c>
      <c r="G129" s="23">
        <v>254</v>
      </c>
      <c r="H129" s="23">
        <v>0</v>
      </c>
      <c r="I129" s="24">
        <v>45874</v>
      </c>
      <c r="J129" s="22" t="s">
        <v>395</v>
      </c>
      <c r="K129" s="22" t="s">
        <v>600</v>
      </c>
      <c r="L129" s="25">
        <v>187.85</v>
      </c>
      <c r="M129" s="25">
        <v>11.6</v>
      </c>
      <c r="N129" s="25">
        <v>199.45</v>
      </c>
      <c r="O129" s="22"/>
      <c r="P129" s="26">
        <v>45888</v>
      </c>
      <c r="Q129" s="25">
        <v>199.45</v>
      </c>
      <c r="R129" s="22" t="s">
        <v>601</v>
      </c>
      <c r="S129" s="25">
        <v>0</v>
      </c>
      <c r="T129" s="22"/>
      <c r="U129" s="23"/>
      <c r="V129" s="22"/>
      <c r="W129" s="23"/>
      <c r="X129" s="23"/>
      <c r="Y129" s="23"/>
      <c r="Z129" s="25">
        <v>0</v>
      </c>
      <c r="AA129" s="25">
        <v>0</v>
      </c>
      <c r="AB129" s="25">
        <v>0</v>
      </c>
      <c r="AC129" s="22"/>
      <c r="AD129" s="22" t="s">
        <v>293</v>
      </c>
      <c r="AE129" s="22" t="s">
        <v>294</v>
      </c>
      <c r="AF129" s="22" t="s">
        <v>31</v>
      </c>
      <c r="AG129" s="22" t="s">
        <v>42</v>
      </c>
      <c r="AH129" s="22" t="s">
        <v>228</v>
      </c>
      <c r="AI129" s="22" t="s">
        <v>31</v>
      </c>
      <c r="AJ129" s="22"/>
      <c r="AK129" s="22" t="s">
        <v>235</v>
      </c>
      <c r="AL129" s="22" t="s">
        <v>236</v>
      </c>
      <c r="AM129" s="22" t="s">
        <v>231</v>
      </c>
      <c r="AN129" s="22" t="s">
        <v>232</v>
      </c>
      <c r="AO129" s="22" t="s">
        <v>231</v>
      </c>
      <c r="AP129" s="22" t="s">
        <v>232</v>
      </c>
      <c r="AQ129" s="22"/>
      <c r="AR129" s="22"/>
      <c r="AS129" s="22"/>
      <c r="AT129" s="22"/>
      <c r="AU129" s="22"/>
      <c r="AV129" s="22"/>
      <c r="AW129" s="23"/>
      <c r="AX129" s="27"/>
      <c r="AY129" s="25"/>
      <c r="AZ129" s="27"/>
      <c r="BA129" s="25"/>
      <c r="BB129" s="22"/>
      <c r="BC129" s="22"/>
      <c r="BD129" s="22"/>
      <c r="BE129" s="22"/>
      <c r="BF129" s="23"/>
      <c r="BG129" s="23"/>
      <c r="BH129" s="22" t="s">
        <v>602</v>
      </c>
      <c r="BI129" s="23">
        <v>1</v>
      </c>
      <c r="BJ129" s="23">
        <v>0</v>
      </c>
      <c r="BK129" s="24"/>
      <c r="BL129" s="24"/>
      <c r="BM129" s="22"/>
      <c r="BN129" s="24">
        <v>45888</v>
      </c>
      <c r="BO129" s="24">
        <v>45887</v>
      </c>
      <c r="BP129" s="25">
        <v>199.45</v>
      </c>
      <c r="BQ129" s="24">
        <v>45886</v>
      </c>
    </row>
    <row r="130" spans="1:69" ht="22.5" hidden="1" customHeight="1" x14ac:dyDescent="0.2">
      <c r="A130" s="28" t="s">
        <v>262</v>
      </c>
      <c r="B130" s="28"/>
      <c r="C130" s="28" t="s">
        <v>221</v>
      </c>
      <c r="D130" s="28" t="s">
        <v>222</v>
      </c>
      <c r="E130" s="29">
        <v>412853</v>
      </c>
      <c r="F130" s="29">
        <v>1630</v>
      </c>
      <c r="G130" s="29">
        <v>254</v>
      </c>
      <c r="H130" s="29">
        <v>0</v>
      </c>
      <c r="I130" s="30">
        <v>45874</v>
      </c>
      <c r="J130" s="28" t="s">
        <v>395</v>
      </c>
      <c r="K130" s="28" t="s">
        <v>603</v>
      </c>
      <c r="L130" s="31">
        <v>31.74</v>
      </c>
      <c r="M130" s="31">
        <v>2.02</v>
      </c>
      <c r="N130" s="31">
        <v>33.76</v>
      </c>
      <c r="O130" s="28"/>
      <c r="P130" s="32">
        <v>45888</v>
      </c>
      <c r="Q130" s="31">
        <v>33.76</v>
      </c>
      <c r="R130" s="28" t="s">
        <v>604</v>
      </c>
      <c r="S130" s="31">
        <v>0</v>
      </c>
      <c r="T130" s="28"/>
      <c r="U130" s="29"/>
      <c r="V130" s="28"/>
      <c r="W130" s="29"/>
      <c r="X130" s="29"/>
      <c r="Y130" s="29"/>
      <c r="Z130" s="31">
        <v>0</v>
      </c>
      <c r="AA130" s="31">
        <v>0</v>
      </c>
      <c r="AB130" s="31">
        <v>0</v>
      </c>
      <c r="AC130" s="28"/>
      <c r="AD130" s="28" t="s">
        <v>293</v>
      </c>
      <c r="AE130" s="28" t="s">
        <v>294</v>
      </c>
      <c r="AF130" s="28" t="s">
        <v>31</v>
      </c>
      <c r="AG130" s="28" t="s">
        <v>42</v>
      </c>
      <c r="AH130" s="28" t="s">
        <v>228</v>
      </c>
      <c r="AI130" s="28" t="s">
        <v>31</v>
      </c>
      <c r="AJ130" s="28"/>
      <c r="AK130" s="28" t="s">
        <v>235</v>
      </c>
      <c r="AL130" s="28" t="s">
        <v>236</v>
      </c>
      <c r="AM130" s="28" t="s">
        <v>231</v>
      </c>
      <c r="AN130" s="28" t="s">
        <v>232</v>
      </c>
      <c r="AO130" s="28" t="s">
        <v>231</v>
      </c>
      <c r="AP130" s="28" t="s">
        <v>232</v>
      </c>
      <c r="AQ130" s="28"/>
      <c r="AR130" s="28"/>
      <c r="AS130" s="28"/>
      <c r="AT130" s="28"/>
      <c r="AU130" s="28"/>
      <c r="AV130" s="28"/>
      <c r="AW130" s="29"/>
      <c r="AX130" s="33"/>
      <c r="AY130" s="31"/>
      <c r="AZ130" s="33"/>
      <c r="BA130" s="31"/>
      <c r="BB130" s="28"/>
      <c r="BC130" s="28"/>
      <c r="BD130" s="28"/>
      <c r="BE130" s="28"/>
      <c r="BF130" s="29"/>
      <c r="BG130" s="29"/>
      <c r="BH130" s="28" t="s">
        <v>605</v>
      </c>
      <c r="BI130" s="29">
        <v>1</v>
      </c>
      <c r="BJ130" s="29">
        <v>0</v>
      </c>
      <c r="BK130" s="30"/>
      <c r="BL130" s="30"/>
      <c r="BM130" s="28"/>
      <c r="BN130" s="30">
        <v>45888</v>
      </c>
      <c r="BO130" s="30">
        <v>45887</v>
      </c>
      <c r="BP130" s="31">
        <v>33.76</v>
      </c>
      <c r="BQ130" s="30">
        <v>45886</v>
      </c>
    </row>
    <row r="131" spans="1:69" ht="22.5" hidden="1" customHeight="1" x14ac:dyDescent="0.2">
      <c r="A131" s="22" t="s">
        <v>262</v>
      </c>
      <c r="B131" s="22"/>
      <c r="C131" s="22" t="s">
        <v>221</v>
      </c>
      <c r="D131" s="22" t="s">
        <v>222</v>
      </c>
      <c r="E131" s="23">
        <v>412854</v>
      </c>
      <c r="F131" s="23">
        <v>1631</v>
      </c>
      <c r="G131" s="23">
        <v>254</v>
      </c>
      <c r="H131" s="23">
        <v>0</v>
      </c>
      <c r="I131" s="24">
        <v>45874</v>
      </c>
      <c r="J131" s="22" t="s">
        <v>395</v>
      </c>
      <c r="K131" s="22" t="s">
        <v>606</v>
      </c>
      <c r="L131" s="25">
        <v>91.9</v>
      </c>
      <c r="M131" s="25">
        <v>5.05</v>
      </c>
      <c r="N131" s="25">
        <v>96.95</v>
      </c>
      <c r="O131" s="22"/>
      <c r="P131" s="26">
        <v>45888</v>
      </c>
      <c r="Q131" s="25">
        <v>96.95</v>
      </c>
      <c r="R131" s="22" t="s">
        <v>607</v>
      </c>
      <c r="S131" s="25">
        <v>0</v>
      </c>
      <c r="T131" s="22"/>
      <c r="U131" s="23"/>
      <c r="V131" s="22"/>
      <c r="W131" s="23"/>
      <c r="X131" s="23"/>
      <c r="Y131" s="23"/>
      <c r="Z131" s="25">
        <v>0</v>
      </c>
      <c r="AA131" s="25">
        <v>0</v>
      </c>
      <c r="AB131" s="25">
        <v>0</v>
      </c>
      <c r="AC131" s="22"/>
      <c r="AD131" s="22" t="s">
        <v>293</v>
      </c>
      <c r="AE131" s="22" t="s">
        <v>294</v>
      </c>
      <c r="AF131" s="22" t="s">
        <v>31</v>
      </c>
      <c r="AG131" s="22" t="s">
        <v>42</v>
      </c>
      <c r="AH131" s="22" t="s">
        <v>228</v>
      </c>
      <c r="AI131" s="22" t="s">
        <v>31</v>
      </c>
      <c r="AJ131" s="22"/>
      <c r="AK131" s="22" t="s">
        <v>235</v>
      </c>
      <c r="AL131" s="22" t="s">
        <v>236</v>
      </c>
      <c r="AM131" s="22" t="s">
        <v>231</v>
      </c>
      <c r="AN131" s="22" t="s">
        <v>232</v>
      </c>
      <c r="AO131" s="22" t="s">
        <v>231</v>
      </c>
      <c r="AP131" s="22" t="s">
        <v>232</v>
      </c>
      <c r="AQ131" s="22"/>
      <c r="AR131" s="22"/>
      <c r="AS131" s="22"/>
      <c r="AT131" s="22"/>
      <c r="AU131" s="22"/>
      <c r="AV131" s="22"/>
      <c r="AW131" s="23"/>
      <c r="AX131" s="27"/>
      <c r="AY131" s="25"/>
      <c r="AZ131" s="27"/>
      <c r="BA131" s="25"/>
      <c r="BB131" s="22"/>
      <c r="BC131" s="22"/>
      <c r="BD131" s="22"/>
      <c r="BE131" s="22"/>
      <c r="BF131" s="23"/>
      <c r="BG131" s="23"/>
      <c r="BH131" s="22" t="s">
        <v>608</v>
      </c>
      <c r="BI131" s="23">
        <v>1</v>
      </c>
      <c r="BJ131" s="23">
        <v>0</v>
      </c>
      <c r="BK131" s="24"/>
      <c r="BL131" s="24"/>
      <c r="BM131" s="22"/>
      <c r="BN131" s="24">
        <v>45888</v>
      </c>
      <c r="BO131" s="24">
        <v>45887</v>
      </c>
      <c r="BP131" s="25">
        <v>96.95</v>
      </c>
      <c r="BQ131" s="24">
        <v>45886</v>
      </c>
    </row>
    <row r="132" spans="1:69" ht="22.5" hidden="1" customHeight="1" x14ac:dyDescent="0.2">
      <c r="A132" s="28" t="s">
        <v>262</v>
      </c>
      <c r="B132" s="28"/>
      <c r="C132" s="28" t="s">
        <v>221</v>
      </c>
      <c r="D132" s="28" t="s">
        <v>222</v>
      </c>
      <c r="E132" s="29">
        <v>412855</v>
      </c>
      <c r="F132" s="29">
        <v>1635</v>
      </c>
      <c r="G132" s="29">
        <v>254</v>
      </c>
      <c r="H132" s="29">
        <v>0</v>
      </c>
      <c r="I132" s="30">
        <v>45874</v>
      </c>
      <c r="J132" s="28" t="s">
        <v>395</v>
      </c>
      <c r="K132" s="28" t="s">
        <v>609</v>
      </c>
      <c r="L132" s="31">
        <v>140.19</v>
      </c>
      <c r="M132" s="31">
        <v>9.69</v>
      </c>
      <c r="N132" s="31">
        <v>149.88</v>
      </c>
      <c r="O132" s="28"/>
      <c r="P132" s="32">
        <v>45888</v>
      </c>
      <c r="Q132" s="31">
        <v>149.88</v>
      </c>
      <c r="R132" s="28" t="s">
        <v>610</v>
      </c>
      <c r="S132" s="31">
        <v>0</v>
      </c>
      <c r="T132" s="28"/>
      <c r="U132" s="29"/>
      <c r="V132" s="28"/>
      <c r="W132" s="29"/>
      <c r="X132" s="29"/>
      <c r="Y132" s="29"/>
      <c r="Z132" s="31">
        <v>0</v>
      </c>
      <c r="AA132" s="31">
        <v>0</v>
      </c>
      <c r="AB132" s="31">
        <v>0</v>
      </c>
      <c r="AC132" s="28"/>
      <c r="AD132" s="28" t="s">
        <v>293</v>
      </c>
      <c r="AE132" s="28" t="s">
        <v>294</v>
      </c>
      <c r="AF132" s="28" t="s">
        <v>31</v>
      </c>
      <c r="AG132" s="28" t="s">
        <v>42</v>
      </c>
      <c r="AH132" s="28" t="s">
        <v>228</v>
      </c>
      <c r="AI132" s="28" t="s">
        <v>31</v>
      </c>
      <c r="AJ132" s="28"/>
      <c r="AK132" s="28" t="s">
        <v>235</v>
      </c>
      <c r="AL132" s="28" t="s">
        <v>236</v>
      </c>
      <c r="AM132" s="28" t="s">
        <v>231</v>
      </c>
      <c r="AN132" s="28" t="s">
        <v>232</v>
      </c>
      <c r="AO132" s="28" t="s">
        <v>231</v>
      </c>
      <c r="AP132" s="28" t="s">
        <v>232</v>
      </c>
      <c r="AQ132" s="28"/>
      <c r="AR132" s="28"/>
      <c r="AS132" s="28"/>
      <c r="AT132" s="28"/>
      <c r="AU132" s="28"/>
      <c r="AV132" s="28"/>
      <c r="AW132" s="29"/>
      <c r="AX132" s="33"/>
      <c r="AY132" s="31"/>
      <c r="AZ132" s="33"/>
      <c r="BA132" s="31"/>
      <c r="BB132" s="28"/>
      <c r="BC132" s="28"/>
      <c r="BD132" s="28"/>
      <c r="BE132" s="28"/>
      <c r="BF132" s="29"/>
      <c r="BG132" s="29"/>
      <c r="BH132" s="28" t="s">
        <v>611</v>
      </c>
      <c r="BI132" s="29">
        <v>1</v>
      </c>
      <c r="BJ132" s="29">
        <v>0</v>
      </c>
      <c r="BK132" s="30"/>
      <c r="BL132" s="30"/>
      <c r="BM132" s="28"/>
      <c r="BN132" s="30">
        <v>45888</v>
      </c>
      <c r="BO132" s="30">
        <v>45887</v>
      </c>
      <c r="BP132" s="31">
        <v>149.88</v>
      </c>
      <c r="BQ132" s="30">
        <v>45886</v>
      </c>
    </row>
    <row r="133" spans="1:69" ht="22.5" hidden="1" customHeight="1" x14ac:dyDescent="0.2">
      <c r="A133" s="22" t="s">
        <v>262</v>
      </c>
      <c r="B133" s="22"/>
      <c r="C133" s="22" t="s">
        <v>221</v>
      </c>
      <c r="D133" s="22" t="s">
        <v>222</v>
      </c>
      <c r="E133" s="23">
        <v>412856</v>
      </c>
      <c r="F133" s="23">
        <v>1634</v>
      </c>
      <c r="G133" s="23">
        <v>254</v>
      </c>
      <c r="H133" s="23">
        <v>0</v>
      </c>
      <c r="I133" s="24">
        <v>45874</v>
      </c>
      <c r="J133" s="22" t="s">
        <v>395</v>
      </c>
      <c r="K133" s="22" t="s">
        <v>612</v>
      </c>
      <c r="L133" s="25">
        <v>128.36000000000001</v>
      </c>
      <c r="M133" s="25">
        <v>8.26</v>
      </c>
      <c r="N133" s="25">
        <v>136.62</v>
      </c>
      <c r="O133" s="22"/>
      <c r="P133" s="26">
        <v>45888</v>
      </c>
      <c r="Q133" s="25">
        <v>136.62</v>
      </c>
      <c r="R133" s="22" t="s">
        <v>613</v>
      </c>
      <c r="S133" s="25">
        <v>0</v>
      </c>
      <c r="T133" s="22"/>
      <c r="U133" s="23"/>
      <c r="V133" s="22"/>
      <c r="W133" s="23"/>
      <c r="X133" s="23"/>
      <c r="Y133" s="23"/>
      <c r="Z133" s="25">
        <v>0</v>
      </c>
      <c r="AA133" s="25">
        <v>0</v>
      </c>
      <c r="AB133" s="25">
        <v>0</v>
      </c>
      <c r="AC133" s="22"/>
      <c r="AD133" s="22" t="s">
        <v>293</v>
      </c>
      <c r="AE133" s="22" t="s">
        <v>294</v>
      </c>
      <c r="AF133" s="22" t="s">
        <v>31</v>
      </c>
      <c r="AG133" s="22" t="s">
        <v>42</v>
      </c>
      <c r="AH133" s="22" t="s">
        <v>228</v>
      </c>
      <c r="AI133" s="22" t="s">
        <v>31</v>
      </c>
      <c r="AJ133" s="22"/>
      <c r="AK133" s="22" t="s">
        <v>235</v>
      </c>
      <c r="AL133" s="22" t="s">
        <v>236</v>
      </c>
      <c r="AM133" s="22" t="s">
        <v>231</v>
      </c>
      <c r="AN133" s="22" t="s">
        <v>232</v>
      </c>
      <c r="AO133" s="22" t="s">
        <v>231</v>
      </c>
      <c r="AP133" s="22" t="s">
        <v>232</v>
      </c>
      <c r="AQ133" s="22"/>
      <c r="AR133" s="22"/>
      <c r="AS133" s="22"/>
      <c r="AT133" s="22"/>
      <c r="AU133" s="22"/>
      <c r="AV133" s="22"/>
      <c r="AW133" s="23"/>
      <c r="AX133" s="27"/>
      <c r="AY133" s="25"/>
      <c r="AZ133" s="27"/>
      <c r="BA133" s="25"/>
      <c r="BB133" s="22"/>
      <c r="BC133" s="22"/>
      <c r="BD133" s="22"/>
      <c r="BE133" s="22"/>
      <c r="BF133" s="23"/>
      <c r="BG133" s="23"/>
      <c r="BH133" s="22" t="s">
        <v>614</v>
      </c>
      <c r="BI133" s="23">
        <v>1</v>
      </c>
      <c r="BJ133" s="23">
        <v>0</v>
      </c>
      <c r="BK133" s="24"/>
      <c r="BL133" s="24"/>
      <c r="BM133" s="22"/>
      <c r="BN133" s="24">
        <v>45888</v>
      </c>
      <c r="BO133" s="24">
        <v>45887</v>
      </c>
      <c r="BP133" s="25">
        <v>136.62</v>
      </c>
      <c r="BQ133" s="24">
        <v>45886</v>
      </c>
    </row>
    <row r="134" spans="1:69" ht="22.5" hidden="1" customHeight="1" x14ac:dyDescent="0.2">
      <c r="A134" s="28" t="s">
        <v>262</v>
      </c>
      <c r="B134" s="28"/>
      <c r="C134" s="28" t="s">
        <v>221</v>
      </c>
      <c r="D134" s="28" t="s">
        <v>222</v>
      </c>
      <c r="E134" s="29">
        <v>412857</v>
      </c>
      <c r="F134" s="29">
        <v>1632</v>
      </c>
      <c r="G134" s="29">
        <v>254</v>
      </c>
      <c r="H134" s="29">
        <v>0</v>
      </c>
      <c r="I134" s="30">
        <v>45874</v>
      </c>
      <c r="J134" s="28" t="s">
        <v>395</v>
      </c>
      <c r="K134" s="28" t="s">
        <v>615</v>
      </c>
      <c r="L134" s="31">
        <v>177.19</v>
      </c>
      <c r="M134" s="31">
        <v>10.58</v>
      </c>
      <c r="N134" s="31">
        <v>187.77</v>
      </c>
      <c r="O134" s="28"/>
      <c r="P134" s="32">
        <v>45888</v>
      </c>
      <c r="Q134" s="31">
        <v>187.77</v>
      </c>
      <c r="R134" s="28" t="s">
        <v>616</v>
      </c>
      <c r="S134" s="31">
        <v>0</v>
      </c>
      <c r="T134" s="28"/>
      <c r="U134" s="29"/>
      <c r="V134" s="28"/>
      <c r="W134" s="29"/>
      <c r="X134" s="29"/>
      <c r="Y134" s="29"/>
      <c r="Z134" s="31">
        <v>0</v>
      </c>
      <c r="AA134" s="31">
        <v>0</v>
      </c>
      <c r="AB134" s="31">
        <v>0</v>
      </c>
      <c r="AC134" s="28"/>
      <c r="AD134" s="28" t="s">
        <v>293</v>
      </c>
      <c r="AE134" s="28" t="s">
        <v>294</v>
      </c>
      <c r="AF134" s="28" t="s">
        <v>31</v>
      </c>
      <c r="AG134" s="28" t="s">
        <v>42</v>
      </c>
      <c r="AH134" s="28" t="s">
        <v>228</v>
      </c>
      <c r="AI134" s="28" t="s">
        <v>31</v>
      </c>
      <c r="AJ134" s="28"/>
      <c r="AK134" s="28" t="s">
        <v>235</v>
      </c>
      <c r="AL134" s="28" t="s">
        <v>236</v>
      </c>
      <c r="AM134" s="28" t="s">
        <v>231</v>
      </c>
      <c r="AN134" s="28" t="s">
        <v>232</v>
      </c>
      <c r="AO134" s="28" t="s">
        <v>231</v>
      </c>
      <c r="AP134" s="28" t="s">
        <v>232</v>
      </c>
      <c r="AQ134" s="28"/>
      <c r="AR134" s="28"/>
      <c r="AS134" s="28"/>
      <c r="AT134" s="28"/>
      <c r="AU134" s="28"/>
      <c r="AV134" s="28"/>
      <c r="AW134" s="29"/>
      <c r="AX134" s="33"/>
      <c r="AY134" s="31"/>
      <c r="AZ134" s="33"/>
      <c r="BA134" s="31"/>
      <c r="BB134" s="28"/>
      <c r="BC134" s="28"/>
      <c r="BD134" s="28"/>
      <c r="BE134" s="28"/>
      <c r="BF134" s="29"/>
      <c r="BG134" s="29"/>
      <c r="BH134" s="28" t="s">
        <v>617</v>
      </c>
      <c r="BI134" s="29">
        <v>1</v>
      </c>
      <c r="BJ134" s="29">
        <v>0</v>
      </c>
      <c r="BK134" s="30"/>
      <c r="BL134" s="30"/>
      <c r="BM134" s="28"/>
      <c r="BN134" s="30">
        <v>45888</v>
      </c>
      <c r="BO134" s="30">
        <v>45887</v>
      </c>
      <c r="BP134" s="31">
        <v>187.77</v>
      </c>
      <c r="BQ134" s="30">
        <v>45886</v>
      </c>
    </row>
    <row r="135" spans="1:69" ht="22.5" hidden="1" customHeight="1" x14ac:dyDescent="0.2">
      <c r="A135" s="28" t="s">
        <v>262</v>
      </c>
      <c r="B135" s="28"/>
      <c r="C135" s="28" t="s">
        <v>221</v>
      </c>
      <c r="D135" s="28" t="s">
        <v>222</v>
      </c>
      <c r="E135" s="29">
        <v>412859</v>
      </c>
      <c r="F135" s="29">
        <v>1633</v>
      </c>
      <c r="G135" s="29">
        <v>254</v>
      </c>
      <c r="H135" s="29">
        <v>0</v>
      </c>
      <c r="I135" s="30">
        <v>45874</v>
      </c>
      <c r="J135" s="28" t="s">
        <v>395</v>
      </c>
      <c r="K135" s="28" t="s">
        <v>618</v>
      </c>
      <c r="L135" s="31">
        <v>40.69</v>
      </c>
      <c r="M135" s="31">
        <v>2.98</v>
      </c>
      <c r="N135" s="31">
        <v>43.67</v>
      </c>
      <c r="O135" s="28"/>
      <c r="P135" s="32">
        <v>45888</v>
      </c>
      <c r="Q135" s="31">
        <v>43.67</v>
      </c>
      <c r="R135" s="28" t="s">
        <v>619</v>
      </c>
      <c r="S135" s="31">
        <v>0</v>
      </c>
      <c r="T135" s="28"/>
      <c r="U135" s="29"/>
      <c r="V135" s="28"/>
      <c r="W135" s="29"/>
      <c r="X135" s="29"/>
      <c r="Y135" s="29"/>
      <c r="Z135" s="31">
        <v>0</v>
      </c>
      <c r="AA135" s="31">
        <v>0</v>
      </c>
      <c r="AB135" s="31">
        <v>0</v>
      </c>
      <c r="AC135" s="28"/>
      <c r="AD135" s="28" t="s">
        <v>293</v>
      </c>
      <c r="AE135" s="28" t="s">
        <v>294</v>
      </c>
      <c r="AF135" s="28" t="s">
        <v>31</v>
      </c>
      <c r="AG135" s="28" t="s">
        <v>42</v>
      </c>
      <c r="AH135" s="28" t="s">
        <v>228</v>
      </c>
      <c r="AI135" s="28" t="s">
        <v>31</v>
      </c>
      <c r="AJ135" s="28"/>
      <c r="AK135" s="28" t="s">
        <v>235</v>
      </c>
      <c r="AL135" s="28" t="s">
        <v>236</v>
      </c>
      <c r="AM135" s="28" t="s">
        <v>231</v>
      </c>
      <c r="AN135" s="28" t="s">
        <v>232</v>
      </c>
      <c r="AO135" s="28" t="s">
        <v>231</v>
      </c>
      <c r="AP135" s="28" t="s">
        <v>232</v>
      </c>
      <c r="AQ135" s="28"/>
      <c r="AR135" s="28"/>
      <c r="AS135" s="28"/>
      <c r="AT135" s="28"/>
      <c r="AU135" s="28"/>
      <c r="AV135" s="28"/>
      <c r="AW135" s="29"/>
      <c r="AX135" s="33"/>
      <c r="AY135" s="31"/>
      <c r="AZ135" s="33"/>
      <c r="BA135" s="31"/>
      <c r="BB135" s="28"/>
      <c r="BC135" s="28"/>
      <c r="BD135" s="28"/>
      <c r="BE135" s="28"/>
      <c r="BF135" s="29"/>
      <c r="BG135" s="29"/>
      <c r="BH135" s="28" t="s">
        <v>620</v>
      </c>
      <c r="BI135" s="29">
        <v>1</v>
      </c>
      <c r="BJ135" s="29">
        <v>0</v>
      </c>
      <c r="BK135" s="30"/>
      <c r="BL135" s="30"/>
      <c r="BM135" s="28"/>
      <c r="BN135" s="30">
        <v>45888</v>
      </c>
      <c r="BO135" s="30">
        <v>45887</v>
      </c>
      <c r="BP135" s="31">
        <v>43.67</v>
      </c>
      <c r="BQ135" s="30">
        <v>45886</v>
      </c>
    </row>
    <row r="136" spans="1:69" ht="22.5" hidden="1" customHeight="1" x14ac:dyDescent="0.2">
      <c r="A136" s="28" t="s">
        <v>262</v>
      </c>
      <c r="B136" s="28"/>
      <c r="C136" s="28" t="s">
        <v>221</v>
      </c>
      <c r="D136" s="28" t="s">
        <v>222</v>
      </c>
      <c r="E136" s="29">
        <v>412861</v>
      </c>
      <c r="F136" s="29">
        <v>1638</v>
      </c>
      <c r="G136" s="29">
        <v>255</v>
      </c>
      <c r="H136" s="29">
        <v>0</v>
      </c>
      <c r="I136" s="30">
        <v>45875</v>
      </c>
      <c r="J136" s="28" t="s">
        <v>395</v>
      </c>
      <c r="K136" s="28" t="s">
        <v>621</v>
      </c>
      <c r="L136" s="31">
        <v>88.69</v>
      </c>
      <c r="M136" s="31">
        <v>4.88</v>
      </c>
      <c r="N136" s="31">
        <v>93.57</v>
      </c>
      <c r="O136" s="28"/>
      <c r="P136" s="32">
        <v>45888</v>
      </c>
      <c r="Q136" s="31">
        <v>93.57</v>
      </c>
      <c r="R136" s="28" t="s">
        <v>622</v>
      </c>
      <c r="S136" s="31">
        <v>0</v>
      </c>
      <c r="T136" s="28"/>
      <c r="U136" s="29"/>
      <c r="V136" s="28"/>
      <c r="W136" s="29"/>
      <c r="X136" s="29"/>
      <c r="Y136" s="29"/>
      <c r="Z136" s="31">
        <v>0</v>
      </c>
      <c r="AA136" s="31">
        <v>0</v>
      </c>
      <c r="AB136" s="31">
        <v>0</v>
      </c>
      <c r="AC136" s="28"/>
      <c r="AD136" s="28" t="s">
        <v>293</v>
      </c>
      <c r="AE136" s="28" t="s">
        <v>294</v>
      </c>
      <c r="AF136" s="28" t="s">
        <v>31</v>
      </c>
      <c r="AG136" s="28" t="s">
        <v>42</v>
      </c>
      <c r="AH136" s="28" t="s">
        <v>228</v>
      </c>
      <c r="AI136" s="28" t="s">
        <v>31</v>
      </c>
      <c r="AJ136" s="28"/>
      <c r="AK136" s="28" t="s">
        <v>235</v>
      </c>
      <c r="AL136" s="28" t="s">
        <v>236</v>
      </c>
      <c r="AM136" s="28" t="s">
        <v>231</v>
      </c>
      <c r="AN136" s="28" t="s">
        <v>232</v>
      </c>
      <c r="AO136" s="28" t="s">
        <v>231</v>
      </c>
      <c r="AP136" s="28" t="s">
        <v>232</v>
      </c>
      <c r="AQ136" s="28"/>
      <c r="AR136" s="28"/>
      <c r="AS136" s="28"/>
      <c r="AT136" s="28"/>
      <c r="AU136" s="28"/>
      <c r="AV136" s="28"/>
      <c r="AW136" s="29"/>
      <c r="AX136" s="33"/>
      <c r="AY136" s="31"/>
      <c r="AZ136" s="33"/>
      <c r="BA136" s="31"/>
      <c r="BB136" s="28"/>
      <c r="BC136" s="28"/>
      <c r="BD136" s="28"/>
      <c r="BE136" s="28"/>
      <c r="BF136" s="29"/>
      <c r="BG136" s="29"/>
      <c r="BH136" s="28" t="s">
        <v>623</v>
      </c>
      <c r="BI136" s="29">
        <v>1</v>
      </c>
      <c r="BJ136" s="29">
        <v>0</v>
      </c>
      <c r="BK136" s="30"/>
      <c r="BL136" s="30"/>
      <c r="BM136" s="28"/>
      <c r="BN136" s="30">
        <v>45888</v>
      </c>
      <c r="BO136" s="30">
        <v>45887</v>
      </c>
      <c r="BP136" s="31">
        <v>93.57</v>
      </c>
      <c r="BQ136" s="30">
        <v>45886</v>
      </c>
    </row>
    <row r="137" spans="1:69" ht="22.5" hidden="1" customHeight="1" x14ac:dyDescent="0.2">
      <c r="A137" s="22" t="s">
        <v>262</v>
      </c>
      <c r="B137" s="22"/>
      <c r="C137" s="22" t="s">
        <v>221</v>
      </c>
      <c r="D137" s="22" t="s">
        <v>222</v>
      </c>
      <c r="E137" s="23">
        <v>412866</v>
      </c>
      <c r="F137" s="23">
        <v>1640</v>
      </c>
      <c r="G137" s="23">
        <v>255</v>
      </c>
      <c r="H137" s="23">
        <v>0</v>
      </c>
      <c r="I137" s="24">
        <v>45875</v>
      </c>
      <c r="J137" s="22" t="s">
        <v>395</v>
      </c>
      <c r="K137" s="22" t="s">
        <v>624</v>
      </c>
      <c r="L137" s="25">
        <v>74.3</v>
      </c>
      <c r="M137" s="25">
        <v>5.52</v>
      </c>
      <c r="N137" s="25">
        <v>79.819999999999993</v>
      </c>
      <c r="O137" s="22"/>
      <c r="P137" s="26">
        <v>45888</v>
      </c>
      <c r="Q137" s="25">
        <v>79.819999999999993</v>
      </c>
      <c r="R137" s="22" t="s">
        <v>625</v>
      </c>
      <c r="S137" s="25">
        <v>0</v>
      </c>
      <c r="T137" s="22"/>
      <c r="U137" s="23"/>
      <c r="V137" s="22"/>
      <c r="W137" s="23"/>
      <c r="X137" s="23"/>
      <c r="Y137" s="23"/>
      <c r="Z137" s="25">
        <v>0</v>
      </c>
      <c r="AA137" s="25">
        <v>0</v>
      </c>
      <c r="AB137" s="25">
        <v>0</v>
      </c>
      <c r="AC137" s="22"/>
      <c r="AD137" s="22" t="s">
        <v>293</v>
      </c>
      <c r="AE137" s="22" t="s">
        <v>294</v>
      </c>
      <c r="AF137" s="22" t="s">
        <v>31</v>
      </c>
      <c r="AG137" s="22" t="s">
        <v>42</v>
      </c>
      <c r="AH137" s="22" t="s">
        <v>228</v>
      </c>
      <c r="AI137" s="22" t="s">
        <v>31</v>
      </c>
      <c r="AJ137" s="22"/>
      <c r="AK137" s="22" t="s">
        <v>235</v>
      </c>
      <c r="AL137" s="22" t="s">
        <v>236</v>
      </c>
      <c r="AM137" s="22" t="s">
        <v>231</v>
      </c>
      <c r="AN137" s="22" t="s">
        <v>232</v>
      </c>
      <c r="AO137" s="22" t="s">
        <v>231</v>
      </c>
      <c r="AP137" s="22" t="s">
        <v>232</v>
      </c>
      <c r="AQ137" s="22"/>
      <c r="AR137" s="22"/>
      <c r="AS137" s="22"/>
      <c r="AT137" s="22"/>
      <c r="AU137" s="22"/>
      <c r="AV137" s="22"/>
      <c r="AW137" s="23"/>
      <c r="AX137" s="27"/>
      <c r="AY137" s="25"/>
      <c r="AZ137" s="27"/>
      <c r="BA137" s="25"/>
      <c r="BB137" s="22"/>
      <c r="BC137" s="22"/>
      <c r="BD137" s="22"/>
      <c r="BE137" s="22"/>
      <c r="BF137" s="23"/>
      <c r="BG137" s="23"/>
      <c r="BH137" s="22" t="s">
        <v>626</v>
      </c>
      <c r="BI137" s="23">
        <v>1</v>
      </c>
      <c r="BJ137" s="23">
        <v>0</v>
      </c>
      <c r="BK137" s="24"/>
      <c r="BL137" s="24"/>
      <c r="BM137" s="22"/>
      <c r="BN137" s="24">
        <v>45888</v>
      </c>
      <c r="BO137" s="24">
        <v>45887</v>
      </c>
      <c r="BP137" s="25">
        <v>79.819999999999993</v>
      </c>
      <c r="BQ137" s="24">
        <v>45886</v>
      </c>
    </row>
    <row r="138" spans="1:69" ht="22.5" hidden="1" customHeight="1" x14ac:dyDescent="0.2">
      <c r="A138" s="22" t="s">
        <v>262</v>
      </c>
      <c r="B138" s="22"/>
      <c r="C138" s="22" t="s">
        <v>221</v>
      </c>
      <c r="D138" s="22" t="s">
        <v>222</v>
      </c>
      <c r="E138" s="23">
        <v>412868</v>
      </c>
      <c r="F138" s="23">
        <v>1639</v>
      </c>
      <c r="G138" s="23">
        <v>255</v>
      </c>
      <c r="H138" s="23">
        <v>0</v>
      </c>
      <c r="I138" s="24">
        <v>45875</v>
      </c>
      <c r="J138" s="22" t="s">
        <v>395</v>
      </c>
      <c r="K138" s="22" t="s">
        <v>627</v>
      </c>
      <c r="L138" s="25">
        <v>94.47</v>
      </c>
      <c r="M138" s="25">
        <v>5.2</v>
      </c>
      <c r="N138" s="25">
        <v>99.67</v>
      </c>
      <c r="O138" s="22"/>
      <c r="P138" s="26">
        <v>45888</v>
      </c>
      <c r="Q138" s="25">
        <v>99.67</v>
      </c>
      <c r="R138" s="22" t="s">
        <v>628</v>
      </c>
      <c r="S138" s="25">
        <v>0</v>
      </c>
      <c r="T138" s="22"/>
      <c r="U138" s="23"/>
      <c r="V138" s="22"/>
      <c r="W138" s="23"/>
      <c r="X138" s="23"/>
      <c r="Y138" s="23"/>
      <c r="Z138" s="25">
        <v>0</v>
      </c>
      <c r="AA138" s="25">
        <v>0</v>
      </c>
      <c r="AB138" s="25">
        <v>0</v>
      </c>
      <c r="AC138" s="22"/>
      <c r="AD138" s="22" t="s">
        <v>293</v>
      </c>
      <c r="AE138" s="22" t="s">
        <v>294</v>
      </c>
      <c r="AF138" s="22" t="s">
        <v>31</v>
      </c>
      <c r="AG138" s="22" t="s">
        <v>42</v>
      </c>
      <c r="AH138" s="22" t="s">
        <v>228</v>
      </c>
      <c r="AI138" s="22" t="s">
        <v>31</v>
      </c>
      <c r="AJ138" s="22"/>
      <c r="AK138" s="22" t="s">
        <v>235</v>
      </c>
      <c r="AL138" s="22" t="s">
        <v>236</v>
      </c>
      <c r="AM138" s="22" t="s">
        <v>231</v>
      </c>
      <c r="AN138" s="22" t="s">
        <v>232</v>
      </c>
      <c r="AO138" s="22" t="s">
        <v>231</v>
      </c>
      <c r="AP138" s="22" t="s">
        <v>232</v>
      </c>
      <c r="AQ138" s="22"/>
      <c r="AR138" s="22"/>
      <c r="AS138" s="22"/>
      <c r="AT138" s="22"/>
      <c r="AU138" s="22"/>
      <c r="AV138" s="22"/>
      <c r="AW138" s="23"/>
      <c r="AX138" s="27"/>
      <c r="AY138" s="25"/>
      <c r="AZ138" s="27"/>
      <c r="BA138" s="25"/>
      <c r="BB138" s="22"/>
      <c r="BC138" s="22"/>
      <c r="BD138" s="22"/>
      <c r="BE138" s="22"/>
      <c r="BF138" s="23"/>
      <c r="BG138" s="23"/>
      <c r="BH138" s="22" t="s">
        <v>629</v>
      </c>
      <c r="BI138" s="23">
        <v>1</v>
      </c>
      <c r="BJ138" s="23">
        <v>0</v>
      </c>
      <c r="BK138" s="24"/>
      <c r="BL138" s="24"/>
      <c r="BM138" s="22"/>
      <c r="BN138" s="24">
        <v>45888</v>
      </c>
      <c r="BO138" s="24">
        <v>45887</v>
      </c>
      <c r="BP138" s="25">
        <v>99.67</v>
      </c>
      <c r="BQ138" s="24">
        <v>45886</v>
      </c>
    </row>
    <row r="139" spans="1:69" ht="22.5" hidden="1" customHeight="1" x14ac:dyDescent="0.2">
      <c r="A139" s="28" t="s">
        <v>262</v>
      </c>
      <c r="B139" s="28"/>
      <c r="C139" s="28" t="s">
        <v>221</v>
      </c>
      <c r="D139" s="28" t="s">
        <v>222</v>
      </c>
      <c r="E139" s="29">
        <v>412883</v>
      </c>
      <c r="F139" s="29">
        <v>1648</v>
      </c>
      <c r="G139" s="29">
        <v>256</v>
      </c>
      <c r="H139" s="29">
        <v>0</v>
      </c>
      <c r="I139" s="30">
        <v>45875</v>
      </c>
      <c r="J139" s="28" t="s">
        <v>395</v>
      </c>
      <c r="K139" s="28" t="s">
        <v>630</v>
      </c>
      <c r="L139" s="31">
        <v>189.57</v>
      </c>
      <c r="M139" s="31">
        <v>10.43</v>
      </c>
      <c r="N139" s="31">
        <v>200</v>
      </c>
      <c r="O139" s="28"/>
      <c r="P139" s="32">
        <v>45888</v>
      </c>
      <c r="Q139" s="31">
        <v>200</v>
      </c>
      <c r="R139" s="28" t="s">
        <v>631</v>
      </c>
      <c r="S139" s="31">
        <v>0</v>
      </c>
      <c r="T139" s="28"/>
      <c r="U139" s="29"/>
      <c r="V139" s="28"/>
      <c r="W139" s="29"/>
      <c r="X139" s="29"/>
      <c r="Y139" s="29"/>
      <c r="Z139" s="31">
        <v>0</v>
      </c>
      <c r="AA139" s="31">
        <v>0</v>
      </c>
      <c r="AB139" s="31">
        <v>0</v>
      </c>
      <c r="AC139" s="28"/>
      <c r="AD139" s="28" t="s">
        <v>293</v>
      </c>
      <c r="AE139" s="28" t="s">
        <v>294</v>
      </c>
      <c r="AF139" s="28" t="s">
        <v>31</v>
      </c>
      <c r="AG139" s="28" t="s">
        <v>42</v>
      </c>
      <c r="AH139" s="28" t="s">
        <v>228</v>
      </c>
      <c r="AI139" s="28" t="s">
        <v>31</v>
      </c>
      <c r="AJ139" s="28"/>
      <c r="AK139" s="28" t="s">
        <v>235</v>
      </c>
      <c r="AL139" s="28" t="s">
        <v>236</v>
      </c>
      <c r="AM139" s="28" t="s">
        <v>231</v>
      </c>
      <c r="AN139" s="28" t="s">
        <v>232</v>
      </c>
      <c r="AO139" s="28" t="s">
        <v>231</v>
      </c>
      <c r="AP139" s="28" t="s">
        <v>232</v>
      </c>
      <c r="AQ139" s="28"/>
      <c r="AR139" s="28"/>
      <c r="AS139" s="28"/>
      <c r="AT139" s="28"/>
      <c r="AU139" s="28"/>
      <c r="AV139" s="28"/>
      <c r="AW139" s="29"/>
      <c r="AX139" s="33"/>
      <c r="AY139" s="31"/>
      <c r="AZ139" s="33"/>
      <c r="BA139" s="31"/>
      <c r="BB139" s="28"/>
      <c r="BC139" s="28"/>
      <c r="BD139" s="28"/>
      <c r="BE139" s="28"/>
      <c r="BF139" s="29"/>
      <c r="BG139" s="29"/>
      <c r="BH139" s="28" t="s">
        <v>632</v>
      </c>
      <c r="BI139" s="29">
        <v>1</v>
      </c>
      <c r="BJ139" s="29">
        <v>0</v>
      </c>
      <c r="BK139" s="30"/>
      <c r="BL139" s="30"/>
      <c r="BM139" s="28"/>
      <c r="BN139" s="30">
        <v>45888</v>
      </c>
      <c r="BO139" s="30">
        <v>45887</v>
      </c>
      <c r="BP139" s="31">
        <v>200</v>
      </c>
      <c r="BQ139" s="30">
        <v>45886</v>
      </c>
    </row>
    <row r="140" spans="1:69" ht="22.5" hidden="1" customHeight="1" x14ac:dyDescent="0.2">
      <c r="A140" s="28" t="s">
        <v>262</v>
      </c>
      <c r="B140" s="28"/>
      <c r="C140" s="28" t="s">
        <v>221</v>
      </c>
      <c r="D140" s="28" t="s">
        <v>222</v>
      </c>
      <c r="E140" s="29">
        <v>412887</v>
      </c>
      <c r="F140" s="29">
        <v>1658</v>
      </c>
      <c r="G140" s="29">
        <v>257</v>
      </c>
      <c r="H140" s="29">
        <v>0</v>
      </c>
      <c r="I140" s="30">
        <v>45876</v>
      </c>
      <c r="J140" s="28" t="s">
        <v>395</v>
      </c>
      <c r="K140" s="28" t="s">
        <v>633</v>
      </c>
      <c r="L140" s="31">
        <v>186.64</v>
      </c>
      <c r="M140" s="31">
        <v>11.96</v>
      </c>
      <c r="N140" s="31">
        <v>198.6</v>
      </c>
      <c r="O140" s="28"/>
      <c r="P140" s="32">
        <v>45888</v>
      </c>
      <c r="Q140" s="31">
        <v>198.6</v>
      </c>
      <c r="R140" s="28" t="s">
        <v>634</v>
      </c>
      <c r="S140" s="31">
        <v>0</v>
      </c>
      <c r="T140" s="28"/>
      <c r="U140" s="29"/>
      <c r="V140" s="28"/>
      <c r="W140" s="29"/>
      <c r="X140" s="29"/>
      <c r="Y140" s="29"/>
      <c r="Z140" s="31">
        <v>0</v>
      </c>
      <c r="AA140" s="31">
        <v>0</v>
      </c>
      <c r="AB140" s="31">
        <v>0</v>
      </c>
      <c r="AC140" s="28"/>
      <c r="AD140" s="28" t="s">
        <v>293</v>
      </c>
      <c r="AE140" s="28" t="s">
        <v>294</v>
      </c>
      <c r="AF140" s="28" t="s">
        <v>31</v>
      </c>
      <c r="AG140" s="28" t="s">
        <v>42</v>
      </c>
      <c r="AH140" s="28" t="s">
        <v>228</v>
      </c>
      <c r="AI140" s="28" t="s">
        <v>31</v>
      </c>
      <c r="AJ140" s="28"/>
      <c r="AK140" s="28" t="s">
        <v>235</v>
      </c>
      <c r="AL140" s="28" t="s">
        <v>236</v>
      </c>
      <c r="AM140" s="28" t="s">
        <v>231</v>
      </c>
      <c r="AN140" s="28" t="s">
        <v>232</v>
      </c>
      <c r="AO140" s="28" t="s">
        <v>231</v>
      </c>
      <c r="AP140" s="28" t="s">
        <v>232</v>
      </c>
      <c r="AQ140" s="28"/>
      <c r="AR140" s="28"/>
      <c r="AS140" s="28"/>
      <c r="AT140" s="28"/>
      <c r="AU140" s="28"/>
      <c r="AV140" s="28"/>
      <c r="AW140" s="29"/>
      <c r="AX140" s="33"/>
      <c r="AY140" s="31"/>
      <c r="AZ140" s="33"/>
      <c r="BA140" s="31"/>
      <c r="BB140" s="28"/>
      <c r="BC140" s="28"/>
      <c r="BD140" s="28"/>
      <c r="BE140" s="28"/>
      <c r="BF140" s="29"/>
      <c r="BG140" s="29"/>
      <c r="BH140" s="28" t="s">
        <v>635</v>
      </c>
      <c r="BI140" s="29">
        <v>1</v>
      </c>
      <c r="BJ140" s="29">
        <v>0</v>
      </c>
      <c r="BK140" s="30"/>
      <c r="BL140" s="30"/>
      <c r="BM140" s="28"/>
      <c r="BN140" s="30">
        <v>45888</v>
      </c>
      <c r="BO140" s="30">
        <v>45887</v>
      </c>
      <c r="BP140" s="31">
        <v>198.6</v>
      </c>
      <c r="BQ140" s="30">
        <v>45886</v>
      </c>
    </row>
    <row r="141" spans="1:69" ht="22.5" hidden="1" customHeight="1" x14ac:dyDescent="0.2">
      <c r="A141" s="28" t="s">
        <v>262</v>
      </c>
      <c r="B141" s="28"/>
      <c r="C141" s="28" t="s">
        <v>221</v>
      </c>
      <c r="D141" s="28" t="s">
        <v>222</v>
      </c>
      <c r="E141" s="29">
        <v>412907</v>
      </c>
      <c r="F141" s="29">
        <v>1674</v>
      </c>
      <c r="G141" s="29">
        <v>259</v>
      </c>
      <c r="H141" s="29">
        <v>0</v>
      </c>
      <c r="I141" s="30">
        <v>45877</v>
      </c>
      <c r="J141" s="28" t="s">
        <v>395</v>
      </c>
      <c r="K141" s="28" t="s">
        <v>636</v>
      </c>
      <c r="L141" s="31">
        <v>149.54</v>
      </c>
      <c r="M141" s="31">
        <v>10.3</v>
      </c>
      <c r="N141" s="31">
        <v>159.84</v>
      </c>
      <c r="O141" s="28"/>
      <c r="P141" s="32">
        <v>45888</v>
      </c>
      <c r="Q141" s="31">
        <v>159.84</v>
      </c>
      <c r="R141" s="28" t="s">
        <v>637</v>
      </c>
      <c r="S141" s="31">
        <v>0</v>
      </c>
      <c r="T141" s="28"/>
      <c r="U141" s="29"/>
      <c r="V141" s="28"/>
      <c r="W141" s="29"/>
      <c r="X141" s="29"/>
      <c r="Y141" s="29"/>
      <c r="Z141" s="31">
        <v>0</v>
      </c>
      <c r="AA141" s="31">
        <v>0</v>
      </c>
      <c r="AB141" s="31">
        <v>0</v>
      </c>
      <c r="AC141" s="28"/>
      <c r="AD141" s="28" t="s">
        <v>293</v>
      </c>
      <c r="AE141" s="28" t="s">
        <v>294</v>
      </c>
      <c r="AF141" s="28" t="s">
        <v>31</v>
      </c>
      <c r="AG141" s="28" t="s">
        <v>42</v>
      </c>
      <c r="AH141" s="28" t="s">
        <v>228</v>
      </c>
      <c r="AI141" s="28" t="s">
        <v>31</v>
      </c>
      <c r="AJ141" s="28"/>
      <c r="AK141" s="28" t="s">
        <v>235</v>
      </c>
      <c r="AL141" s="28" t="s">
        <v>236</v>
      </c>
      <c r="AM141" s="28" t="s">
        <v>231</v>
      </c>
      <c r="AN141" s="28" t="s">
        <v>232</v>
      </c>
      <c r="AO141" s="28" t="s">
        <v>231</v>
      </c>
      <c r="AP141" s="28" t="s">
        <v>232</v>
      </c>
      <c r="AQ141" s="28"/>
      <c r="AR141" s="28"/>
      <c r="AS141" s="28"/>
      <c r="AT141" s="28"/>
      <c r="AU141" s="28"/>
      <c r="AV141" s="28"/>
      <c r="AW141" s="29"/>
      <c r="AX141" s="33"/>
      <c r="AY141" s="31"/>
      <c r="AZ141" s="33"/>
      <c r="BA141" s="31"/>
      <c r="BB141" s="28"/>
      <c r="BC141" s="28"/>
      <c r="BD141" s="28"/>
      <c r="BE141" s="28"/>
      <c r="BF141" s="29"/>
      <c r="BG141" s="29"/>
      <c r="BH141" s="28" t="s">
        <v>638</v>
      </c>
      <c r="BI141" s="29">
        <v>1</v>
      </c>
      <c r="BJ141" s="29">
        <v>0</v>
      </c>
      <c r="BK141" s="30"/>
      <c r="BL141" s="30"/>
      <c r="BM141" s="28"/>
      <c r="BN141" s="30">
        <v>45888</v>
      </c>
      <c r="BO141" s="30">
        <v>45883</v>
      </c>
      <c r="BP141" s="31">
        <v>159.84</v>
      </c>
      <c r="BQ141" s="30">
        <v>45882</v>
      </c>
    </row>
    <row r="142" spans="1:69" ht="22.5" hidden="1" customHeight="1" x14ac:dyDescent="0.2">
      <c r="A142" s="22" t="s">
        <v>408</v>
      </c>
      <c r="B142" s="22"/>
      <c r="C142" s="22" t="s">
        <v>221</v>
      </c>
      <c r="D142" s="22" t="s">
        <v>222</v>
      </c>
      <c r="E142" s="23">
        <v>412933</v>
      </c>
      <c r="F142" s="23">
        <v>1765</v>
      </c>
      <c r="G142" s="23">
        <v>276</v>
      </c>
      <c r="H142" s="23">
        <v>2</v>
      </c>
      <c r="I142" s="24">
        <v>45882</v>
      </c>
      <c r="J142" s="22" t="s">
        <v>281</v>
      </c>
      <c r="K142" s="22" t="s">
        <v>639</v>
      </c>
      <c r="L142" s="25">
        <v>153.74</v>
      </c>
      <c r="M142" s="25">
        <v>30.75</v>
      </c>
      <c r="N142" s="25">
        <v>184.49</v>
      </c>
      <c r="O142" s="22"/>
      <c r="P142" s="26">
        <v>45890</v>
      </c>
      <c r="Q142" s="25">
        <v>184.49</v>
      </c>
      <c r="R142" s="22"/>
      <c r="S142" s="25">
        <v>0</v>
      </c>
      <c r="T142" s="22"/>
      <c r="U142" s="23"/>
      <c r="V142" s="22"/>
      <c r="W142" s="23"/>
      <c r="X142" s="23"/>
      <c r="Y142" s="23"/>
      <c r="Z142" s="25">
        <v>0</v>
      </c>
      <c r="AA142" s="25">
        <v>0</v>
      </c>
      <c r="AB142" s="25">
        <v>0</v>
      </c>
      <c r="AC142" s="22"/>
      <c r="AD142" s="22" t="s">
        <v>283</v>
      </c>
      <c r="AE142" s="22" t="s">
        <v>284</v>
      </c>
      <c r="AF142" s="22" t="s">
        <v>31</v>
      </c>
      <c r="AG142" s="22" t="s">
        <v>53</v>
      </c>
      <c r="AH142" s="22" t="s">
        <v>228</v>
      </c>
      <c r="AI142" s="22" t="s">
        <v>31</v>
      </c>
      <c r="AJ142" s="22"/>
      <c r="AK142" s="22" t="s">
        <v>239</v>
      </c>
      <c r="AL142" s="22" t="s">
        <v>243</v>
      </c>
      <c r="AM142" s="22" t="s">
        <v>231</v>
      </c>
      <c r="AN142" s="22" t="s">
        <v>232</v>
      </c>
      <c r="AO142" s="22" t="s">
        <v>231</v>
      </c>
      <c r="AP142" s="22" t="s">
        <v>232</v>
      </c>
      <c r="AQ142" s="22"/>
      <c r="AR142" s="22"/>
      <c r="AS142" s="22"/>
      <c r="AT142" s="22"/>
      <c r="AU142" s="22"/>
      <c r="AV142" s="22"/>
      <c r="AW142" s="23"/>
      <c r="AX142" s="27"/>
      <c r="AY142" s="25"/>
      <c r="AZ142" s="27"/>
      <c r="BA142" s="25"/>
      <c r="BB142" s="22"/>
      <c r="BC142" s="22"/>
      <c r="BD142" s="22"/>
      <c r="BE142" s="22"/>
      <c r="BF142" s="23"/>
      <c r="BG142" s="23"/>
      <c r="BH142" s="22"/>
      <c r="BI142" s="23">
        <v>1</v>
      </c>
      <c r="BJ142" s="23">
        <v>0</v>
      </c>
      <c r="BK142" s="24"/>
      <c r="BL142" s="24"/>
      <c r="BM142" s="22"/>
      <c r="BN142" s="24">
        <v>45890</v>
      </c>
      <c r="BO142" s="24">
        <v>45889</v>
      </c>
      <c r="BP142" s="25">
        <v>184.49</v>
      </c>
      <c r="BQ142" s="24">
        <v>45888</v>
      </c>
    </row>
    <row r="143" spans="1:69" ht="22.5" hidden="1" customHeight="1" x14ac:dyDescent="0.2">
      <c r="A143" s="22" t="s">
        <v>408</v>
      </c>
      <c r="B143" s="22"/>
      <c r="C143" s="22" t="s">
        <v>221</v>
      </c>
      <c r="D143" s="22" t="s">
        <v>222</v>
      </c>
      <c r="E143" s="23">
        <v>412935</v>
      </c>
      <c r="F143" s="23">
        <v>1765</v>
      </c>
      <c r="G143" s="23">
        <v>276</v>
      </c>
      <c r="H143" s="23">
        <v>1</v>
      </c>
      <c r="I143" s="24">
        <v>45882</v>
      </c>
      <c r="J143" s="22" t="s">
        <v>281</v>
      </c>
      <c r="K143" s="22" t="s">
        <v>640</v>
      </c>
      <c r="L143" s="25">
        <v>20.37</v>
      </c>
      <c r="M143" s="25">
        <v>4.07</v>
      </c>
      <c r="N143" s="25">
        <v>24.44</v>
      </c>
      <c r="O143" s="22"/>
      <c r="P143" s="26">
        <v>45890</v>
      </c>
      <c r="Q143" s="25">
        <v>24.44</v>
      </c>
      <c r="R143" s="22"/>
      <c r="S143" s="25">
        <v>0</v>
      </c>
      <c r="T143" s="22"/>
      <c r="U143" s="23"/>
      <c r="V143" s="22"/>
      <c r="W143" s="23"/>
      <c r="X143" s="23"/>
      <c r="Y143" s="23"/>
      <c r="Z143" s="25">
        <v>0</v>
      </c>
      <c r="AA143" s="25">
        <v>0</v>
      </c>
      <c r="AB143" s="25">
        <v>0</v>
      </c>
      <c r="AC143" s="22"/>
      <c r="AD143" s="22" t="s">
        <v>283</v>
      </c>
      <c r="AE143" s="22" t="s">
        <v>284</v>
      </c>
      <c r="AF143" s="22" t="s">
        <v>31</v>
      </c>
      <c r="AG143" s="22" t="s">
        <v>46</v>
      </c>
      <c r="AH143" s="22" t="s">
        <v>228</v>
      </c>
      <c r="AI143" s="22" t="s">
        <v>31</v>
      </c>
      <c r="AJ143" s="22"/>
      <c r="AK143" s="22" t="s">
        <v>285</v>
      </c>
      <c r="AL143" s="22" t="s">
        <v>286</v>
      </c>
      <c r="AM143" s="22" t="s">
        <v>231</v>
      </c>
      <c r="AN143" s="22" t="s">
        <v>232</v>
      </c>
      <c r="AO143" s="22" t="s">
        <v>231</v>
      </c>
      <c r="AP143" s="22" t="s">
        <v>232</v>
      </c>
      <c r="AQ143" s="22"/>
      <c r="AR143" s="22"/>
      <c r="AS143" s="22"/>
      <c r="AT143" s="22"/>
      <c r="AU143" s="22"/>
      <c r="AV143" s="22"/>
      <c r="AW143" s="23"/>
      <c r="AX143" s="27"/>
      <c r="AY143" s="25"/>
      <c r="AZ143" s="27"/>
      <c r="BA143" s="25"/>
      <c r="BB143" s="22"/>
      <c r="BC143" s="22"/>
      <c r="BD143" s="22"/>
      <c r="BE143" s="22"/>
      <c r="BF143" s="23"/>
      <c r="BG143" s="23"/>
      <c r="BH143" s="22"/>
      <c r="BI143" s="23">
        <v>1</v>
      </c>
      <c r="BJ143" s="23">
        <v>0</v>
      </c>
      <c r="BK143" s="24"/>
      <c r="BL143" s="24"/>
      <c r="BM143" s="22"/>
      <c r="BN143" s="24">
        <v>45890</v>
      </c>
      <c r="BO143" s="24">
        <v>45889</v>
      </c>
      <c r="BP143" s="25">
        <v>24.44</v>
      </c>
      <c r="BQ143" s="24">
        <v>45888</v>
      </c>
    </row>
    <row r="144" spans="1:69" ht="22.5" hidden="1" customHeight="1" x14ac:dyDescent="0.2">
      <c r="A144" s="28" t="s">
        <v>408</v>
      </c>
      <c r="B144" s="28"/>
      <c r="C144" s="28" t="s">
        <v>221</v>
      </c>
      <c r="D144" s="28" t="s">
        <v>222</v>
      </c>
      <c r="E144" s="29">
        <v>412936</v>
      </c>
      <c r="F144" s="29">
        <v>1765</v>
      </c>
      <c r="G144" s="29">
        <v>276</v>
      </c>
      <c r="H144" s="29">
        <v>1</v>
      </c>
      <c r="I144" s="30">
        <v>45882</v>
      </c>
      <c r="J144" s="28" t="s">
        <v>281</v>
      </c>
      <c r="K144" s="28" t="s">
        <v>641</v>
      </c>
      <c r="L144" s="31">
        <v>32.78</v>
      </c>
      <c r="M144" s="31">
        <v>6.55</v>
      </c>
      <c r="N144" s="31">
        <v>39.33</v>
      </c>
      <c r="O144" s="28"/>
      <c r="P144" s="32">
        <v>45890</v>
      </c>
      <c r="Q144" s="31">
        <v>39.33</v>
      </c>
      <c r="R144" s="28"/>
      <c r="S144" s="31">
        <v>0</v>
      </c>
      <c r="T144" s="28"/>
      <c r="U144" s="29"/>
      <c r="V144" s="28"/>
      <c r="W144" s="29"/>
      <c r="X144" s="29"/>
      <c r="Y144" s="29"/>
      <c r="Z144" s="31">
        <v>0</v>
      </c>
      <c r="AA144" s="31">
        <v>0</v>
      </c>
      <c r="AB144" s="31">
        <v>0</v>
      </c>
      <c r="AC144" s="28"/>
      <c r="AD144" s="28" t="s">
        <v>283</v>
      </c>
      <c r="AE144" s="28" t="s">
        <v>284</v>
      </c>
      <c r="AF144" s="28" t="s">
        <v>31</v>
      </c>
      <c r="AG144" s="28" t="s">
        <v>46</v>
      </c>
      <c r="AH144" s="28" t="s">
        <v>228</v>
      </c>
      <c r="AI144" s="28" t="s">
        <v>31</v>
      </c>
      <c r="AJ144" s="28"/>
      <c r="AK144" s="28" t="s">
        <v>285</v>
      </c>
      <c r="AL144" s="28" t="s">
        <v>286</v>
      </c>
      <c r="AM144" s="28" t="s">
        <v>231</v>
      </c>
      <c r="AN144" s="28" t="s">
        <v>232</v>
      </c>
      <c r="AO144" s="28" t="s">
        <v>231</v>
      </c>
      <c r="AP144" s="28" t="s">
        <v>232</v>
      </c>
      <c r="AQ144" s="28"/>
      <c r="AR144" s="28"/>
      <c r="AS144" s="28"/>
      <c r="AT144" s="28"/>
      <c r="AU144" s="28"/>
      <c r="AV144" s="28"/>
      <c r="AW144" s="29"/>
      <c r="AX144" s="33"/>
      <c r="AY144" s="31"/>
      <c r="AZ144" s="33"/>
      <c r="BA144" s="31"/>
      <c r="BB144" s="28"/>
      <c r="BC144" s="28"/>
      <c r="BD144" s="28"/>
      <c r="BE144" s="28"/>
      <c r="BF144" s="29"/>
      <c r="BG144" s="29"/>
      <c r="BH144" s="28"/>
      <c r="BI144" s="29">
        <v>1</v>
      </c>
      <c r="BJ144" s="29">
        <v>0</v>
      </c>
      <c r="BK144" s="30"/>
      <c r="BL144" s="30"/>
      <c r="BM144" s="28"/>
      <c r="BN144" s="30">
        <v>45890</v>
      </c>
      <c r="BO144" s="30">
        <v>45889</v>
      </c>
      <c r="BP144" s="31">
        <v>39.33</v>
      </c>
      <c r="BQ144" s="30">
        <v>45888</v>
      </c>
    </row>
    <row r="145" spans="1:69" ht="22.5" customHeight="1" x14ac:dyDescent="0.2">
      <c r="A145" s="28" t="s">
        <v>262</v>
      </c>
      <c r="B145" s="28"/>
      <c r="C145" s="28" t="s">
        <v>221</v>
      </c>
      <c r="D145" s="28" t="s">
        <v>222</v>
      </c>
      <c r="E145" s="29">
        <v>414169</v>
      </c>
      <c r="F145" s="29">
        <v>1788</v>
      </c>
      <c r="G145" s="29">
        <v>282</v>
      </c>
      <c r="H145" s="29">
        <v>0</v>
      </c>
      <c r="I145" s="30">
        <v>45889</v>
      </c>
      <c r="J145" s="28" t="s">
        <v>395</v>
      </c>
      <c r="K145" s="28" t="s">
        <v>642</v>
      </c>
      <c r="L145" s="31">
        <v>21.12</v>
      </c>
      <c r="M145" s="31">
        <v>1.06</v>
      </c>
      <c r="N145" s="31">
        <v>22.18</v>
      </c>
      <c r="O145" s="28"/>
      <c r="P145" s="32">
        <v>45903</v>
      </c>
      <c r="Q145" s="31">
        <v>22.18</v>
      </c>
      <c r="R145" s="28" t="s">
        <v>463</v>
      </c>
      <c r="S145" s="31">
        <v>0</v>
      </c>
      <c r="T145" s="28"/>
      <c r="U145" s="29"/>
      <c r="V145" s="28"/>
      <c r="W145" s="29"/>
      <c r="X145" s="29"/>
      <c r="Y145" s="29"/>
      <c r="Z145" s="31">
        <v>0</v>
      </c>
      <c r="AA145" s="31">
        <v>0</v>
      </c>
      <c r="AB145" s="31">
        <v>0</v>
      </c>
      <c r="AC145" s="28"/>
      <c r="AD145" s="28" t="s">
        <v>266</v>
      </c>
      <c r="AE145" s="28" t="s">
        <v>267</v>
      </c>
      <c r="AF145" s="28" t="s">
        <v>31</v>
      </c>
      <c r="AG145" s="28" t="s">
        <v>42</v>
      </c>
      <c r="AH145" s="28" t="s">
        <v>228</v>
      </c>
      <c r="AI145" s="28" t="s">
        <v>31</v>
      </c>
      <c r="AJ145" s="28"/>
      <c r="AK145" s="28" t="s">
        <v>34</v>
      </c>
      <c r="AL145" s="28" t="s">
        <v>250</v>
      </c>
      <c r="AM145" s="28" t="s">
        <v>231</v>
      </c>
      <c r="AN145" s="28" t="s">
        <v>232</v>
      </c>
      <c r="AO145" s="28" t="s">
        <v>231</v>
      </c>
      <c r="AP145" s="28" t="s">
        <v>232</v>
      </c>
      <c r="AQ145" s="28"/>
      <c r="AR145" s="28"/>
      <c r="AS145" s="28"/>
      <c r="AT145" s="28"/>
      <c r="AU145" s="28"/>
      <c r="AV145" s="28"/>
      <c r="AW145" s="29"/>
      <c r="AX145" s="33"/>
      <c r="AY145" s="31"/>
      <c r="AZ145" s="33"/>
      <c r="BA145" s="31"/>
      <c r="BB145" s="28"/>
      <c r="BC145" s="28"/>
      <c r="BD145" s="28"/>
      <c r="BE145" s="28"/>
      <c r="BF145" s="29"/>
      <c r="BG145" s="29"/>
      <c r="BH145" s="28" t="s">
        <v>643</v>
      </c>
      <c r="BI145" s="29">
        <v>1</v>
      </c>
      <c r="BJ145" s="29">
        <v>0</v>
      </c>
      <c r="BK145" s="30"/>
      <c r="BL145" s="30"/>
      <c r="BM145" s="28"/>
      <c r="BN145" s="30">
        <v>45902</v>
      </c>
      <c r="BO145" s="30">
        <v>45902</v>
      </c>
      <c r="BP145" s="31">
        <v>22.18</v>
      </c>
      <c r="BQ145" s="30">
        <v>45901</v>
      </c>
    </row>
    <row r="146" spans="1:69" ht="22.5" customHeight="1" x14ac:dyDescent="0.2">
      <c r="A146" s="22" t="s">
        <v>262</v>
      </c>
      <c r="B146" s="22"/>
      <c r="C146" s="22" t="s">
        <v>221</v>
      </c>
      <c r="D146" s="22" t="s">
        <v>222</v>
      </c>
      <c r="E146" s="23">
        <v>414170</v>
      </c>
      <c r="F146" s="23">
        <v>1789</v>
      </c>
      <c r="G146" s="23">
        <v>282</v>
      </c>
      <c r="H146" s="23">
        <v>0</v>
      </c>
      <c r="I146" s="24">
        <v>45889</v>
      </c>
      <c r="J146" s="22" t="s">
        <v>395</v>
      </c>
      <c r="K146" s="22" t="s">
        <v>644</v>
      </c>
      <c r="L146" s="25">
        <v>21.12</v>
      </c>
      <c r="M146" s="25">
        <v>1.1599999999999999</v>
      </c>
      <c r="N146" s="25">
        <v>22.28</v>
      </c>
      <c r="O146" s="22"/>
      <c r="P146" s="26">
        <v>45903</v>
      </c>
      <c r="Q146" s="25">
        <v>22.28</v>
      </c>
      <c r="R146" s="22" t="s">
        <v>466</v>
      </c>
      <c r="S146" s="25">
        <v>0</v>
      </c>
      <c r="T146" s="22"/>
      <c r="U146" s="23"/>
      <c r="V146" s="22"/>
      <c r="W146" s="23"/>
      <c r="X146" s="23"/>
      <c r="Y146" s="23"/>
      <c r="Z146" s="25">
        <v>0</v>
      </c>
      <c r="AA146" s="25">
        <v>0</v>
      </c>
      <c r="AB146" s="25">
        <v>0</v>
      </c>
      <c r="AC146" s="22"/>
      <c r="AD146" s="22" t="s">
        <v>266</v>
      </c>
      <c r="AE146" s="22" t="s">
        <v>267</v>
      </c>
      <c r="AF146" s="22" t="s">
        <v>31</v>
      </c>
      <c r="AG146" s="22" t="s">
        <v>42</v>
      </c>
      <c r="AH146" s="22" t="s">
        <v>228</v>
      </c>
      <c r="AI146" s="22" t="s">
        <v>31</v>
      </c>
      <c r="AJ146" s="22"/>
      <c r="AK146" s="22" t="s">
        <v>34</v>
      </c>
      <c r="AL146" s="22" t="s">
        <v>50</v>
      </c>
      <c r="AM146" s="22" t="s">
        <v>231</v>
      </c>
      <c r="AN146" s="22" t="s">
        <v>232</v>
      </c>
      <c r="AO146" s="22" t="s">
        <v>231</v>
      </c>
      <c r="AP146" s="22" t="s">
        <v>232</v>
      </c>
      <c r="AQ146" s="22"/>
      <c r="AR146" s="22"/>
      <c r="AS146" s="22"/>
      <c r="AT146" s="22"/>
      <c r="AU146" s="22"/>
      <c r="AV146" s="22"/>
      <c r="AW146" s="23"/>
      <c r="AX146" s="27"/>
      <c r="AY146" s="25"/>
      <c r="AZ146" s="27"/>
      <c r="BA146" s="25"/>
      <c r="BB146" s="22"/>
      <c r="BC146" s="22"/>
      <c r="BD146" s="22"/>
      <c r="BE146" s="22"/>
      <c r="BF146" s="23"/>
      <c r="BG146" s="23"/>
      <c r="BH146" s="22" t="s">
        <v>645</v>
      </c>
      <c r="BI146" s="23">
        <v>1</v>
      </c>
      <c r="BJ146" s="23">
        <v>0</v>
      </c>
      <c r="BK146" s="24"/>
      <c r="BL146" s="24"/>
      <c r="BM146" s="22"/>
      <c r="BN146" s="24">
        <v>45902</v>
      </c>
      <c r="BO146" s="24">
        <v>45902</v>
      </c>
      <c r="BP146" s="25">
        <v>22.28</v>
      </c>
      <c r="BQ146" s="24">
        <v>45901</v>
      </c>
    </row>
    <row r="147" spans="1:69" ht="22.5" customHeight="1" x14ac:dyDescent="0.2">
      <c r="A147" s="28" t="s">
        <v>262</v>
      </c>
      <c r="B147" s="28"/>
      <c r="C147" s="28" t="s">
        <v>221</v>
      </c>
      <c r="D147" s="28" t="s">
        <v>222</v>
      </c>
      <c r="E147" s="29">
        <v>414171</v>
      </c>
      <c r="F147" s="29">
        <v>1790</v>
      </c>
      <c r="G147" s="29">
        <v>282</v>
      </c>
      <c r="H147" s="29">
        <v>0</v>
      </c>
      <c r="I147" s="30">
        <v>45889</v>
      </c>
      <c r="J147" s="28" t="s">
        <v>395</v>
      </c>
      <c r="K147" s="28" t="s">
        <v>646</v>
      </c>
      <c r="L147" s="31">
        <v>26.4</v>
      </c>
      <c r="M147" s="31">
        <v>1.45</v>
      </c>
      <c r="N147" s="31">
        <v>27.85</v>
      </c>
      <c r="O147" s="28"/>
      <c r="P147" s="32">
        <v>45903</v>
      </c>
      <c r="Q147" s="31">
        <v>27.85</v>
      </c>
      <c r="R147" s="28" t="s">
        <v>469</v>
      </c>
      <c r="S147" s="31">
        <v>0</v>
      </c>
      <c r="T147" s="28"/>
      <c r="U147" s="29"/>
      <c r="V147" s="28"/>
      <c r="W147" s="29"/>
      <c r="X147" s="29"/>
      <c r="Y147" s="29"/>
      <c r="Z147" s="31">
        <v>0</v>
      </c>
      <c r="AA147" s="31">
        <v>0</v>
      </c>
      <c r="AB147" s="31">
        <v>0</v>
      </c>
      <c r="AC147" s="28"/>
      <c r="AD147" s="28" t="s">
        <v>266</v>
      </c>
      <c r="AE147" s="28" t="s">
        <v>267</v>
      </c>
      <c r="AF147" s="28" t="s">
        <v>31</v>
      </c>
      <c r="AG147" s="28" t="s">
        <v>42</v>
      </c>
      <c r="AH147" s="28" t="s">
        <v>228</v>
      </c>
      <c r="AI147" s="28" t="s">
        <v>31</v>
      </c>
      <c r="AJ147" s="28"/>
      <c r="AK147" s="28" t="s">
        <v>34</v>
      </c>
      <c r="AL147" s="28" t="s">
        <v>43</v>
      </c>
      <c r="AM147" s="28" t="s">
        <v>231</v>
      </c>
      <c r="AN147" s="28" t="s">
        <v>232</v>
      </c>
      <c r="AO147" s="28" t="s">
        <v>231</v>
      </c>
      <c r="AP147" s="28" t="s">
        <v>232</v>
      </c>
      <c r="AQ147" s="28"/>
      <c r="AR147" s="28"/>
      <c r="AS147" s="28"/>
      <c r="AT147" s="28"/>
      <c r="AU147" s="28"/>
      <c r="AV147" s="28"/>
      <c r="AW147" s="29"/>
      <c r="AX147" s="33"/>
      <c r="AY147" s="31"/>
      <c r="AZ147" s="33"/>
      <c r="BA147" s="31"/>
      <c r="BB147" s="28"/>
      <c r="BC147" s="28"/>
      <c r="BD147" s="28"/>
      <c r="BE147" s="28"/>
      <c r="BF147" s="29"/>
      <c r="BG147" s="29"/>
      <c r="BH147" s="28" t="s">
        <v>647</v>
      </c>
      <c r="BI147" s="29">
        <v>1</v>
      </c>
      <c r="BJ147" s="29">
        <v>0</v>
      </c>
      <c r="BK147" s="30"/>
      <c r="BL147" s="30"/>
      <c r="BM147" s="28"/>
      <c r="BN147" s="30">
        <v>45902</v>
      </c>
      <c r="BO147" s="30">
        <v>45902</v>
      </c>
      <c r="BP147" s="31">
        <v>27.85</v>
      </c>
      <c r="BQ147" s="30">
        <v>45901</v>
      </c>
    </row>
    <row r="148" spans="1:69" ht="22.5" customHeight="1" x14ac:dyDescent="0.2">
      <c r="A148" s="22" t="s">
        <v>262</v>
      </c>
      <c r="B148" s="22"/>
      <c r="C148" s="22" t="s">
        <v>221</v>
      </c>
      <c r="D148" s="22" t="s">
        <v>222</v>
      </c>
      <c r="E148" s="23">
        <v>414172</v>
      </c>
      <c r="F148" s="23">
        <v>1791</v>
      </c>
      <c r="G148" s="23">
        <v>282</v>
      </c>
      <c r="H148" s="23">
        <v>0</v>
      </c>
      <c r="I148" s="24">
        <v>45889</v>
      </c>
      <c r="J148" s="22" t="s">
        <v>395</v>
      </c>
      <c r="K148" s="22" t="s">
        <v>648</v>
      </c>
      <c r="L148" s="25">
        <v>911.68</v>
      </c>
      <c r="M148" s="25">
        <v>50.14</v>
      </c>
      <c r="N148" s="25">
        <v>961.82</v>
      </c>
      <c r="O148" s="22"/>
      <c r="P148" s="26">
        <v>45903</v>
      </c>
      <c r="Q148" s="25">
        <v>961.82</v>
      </c>
      <c r="R148" s="22" t="s">
        <v>460</v>
      </c>
      <c r="S148" s="25">
        <v>0</v>
      </c>
      <c r="T148" s="22"/>
      <c r="U148" s="23"/>
      <c r="V148" s="22"/>
      <c r="W148" s="23"/>
      <c r="X148" s="23"/>
      <c r="Y148" s="23"/>
      <c r="Z148" s="25">
        <v>0</v>
      </c>
      <c r="AA148" s="25">
        <v>0</v>
      </c>
      <c r="AB148" s="25">
        <v>0</v>
      </c>
      <c r="AC148" s="22"/>
      <c r="AD148" s="22" t="s">
        <v>266</v>
      </c>
      <c r="AE148" s="22" t="s">
        <v>267</v>
      </c>
      <c r="AF148" s="22" t="s">
        <v>31</v>
      </c>
      <c r="AG148" s="22" t="s">
        <v>32</v>
      </c>
      <c r="AH148" s="22" t="s">
        <v>228</v>
      </c>
      <c r="AI148" s="22" t="s">
        <v>31</v>
      </c>
      <c r="AJ148" s="22"/>
      <c r="AK148" s="22" t="s">
        <v>34</v>
      </c>
      <c r="AL148" s="22" t="s">
        <v>31</v>
      </c>
      <c r="AM148" s="22" t="s">
        <v>231</v>
      </c>
      <c r="AN148" s="22" t="s">
        <v>232</v>
      </c>
      <c r="AO148" s="22" t="s">
        <v>231</v>
      </c>
      <c r="AP148" s="22" t="s">
        <v>232</v>
      </c>
      <c r="AQ148" s="22"/>
      <c r="AR148" s="22"/>
      <c r="AS148" s="22"/>
      <c r="AT148" s="22"/>
      <c r="AU148" s="22"/>
      <c r="AV148" s="22"/>
      <c r="AW148" s="23"/>
      <c r="AX148" s="27"/>
      <c r="AY148" s="25"/>
      <c r="AZ148" s="27"/>
      <c r="BA148" s="25"/>
      <c r="BB148" s="22"/>
      <c r="BC148" s="22"/>
      <c r="BD148" s="22"/>
      <c r="BE148" s="22"/>
      <c r="BF148" s="23"/>
      <c r="BG148" s="23"/>
      <c r="BH148" s="22" t="s">
        <v>649</v>
      </c>
      <c r="BI148" s="23">
        <v>1</v>
      </c>
      <c r="BJ148" s="23">
        <v>0</v>
      </c>
      <c r="BK148" s="24"/>
      <c r="BL148" s="24"/>
      <c r="BM148" s="22"/>
      <c r="BN148" s="24">
        <v>45902</v>
      </c>
      <c r="BO148" s="24">
        <v>45902</v>
      </c>
      <c r="BP148" s="25">
        <v>961.82</v>
      </c>
      <c r="BQ148" s="24">
        <v>45901</v>
      </c>
    </row>
    <row r="149" spans="1:69" ht="22.5" customHeight="1" x14ac:dyDescent="0.2">
      <c r="A149" s="28" t="s">
        <v>262</v>
      </c>
      <c r="B149" s="28"/>
      <c r="C149" s="28" t="s">
        <v>221</v>
      </c>
      <c r="D149" s="28" t="s">
        <v>222</v>
      </c>
      <c r="E149" s="29">
        <v>414173</v>
      </c>
      <c r="F149" s="29">
        <v>1792</v>
      </c>
      <c r="G149" s="29">
        <v>282</v>
      </c>
      <c r="H149" s="29">
        <v>0</v>
      </c>
      <c r="I149" s="30">
        <v>45889</v>
      </c>
      <c r="J149" s="28" t="s">
        <v>395</v>
      </c>
      <c r="K149" s="28" t="s">
        <v>650</v>
      </c>
      <c r="L149" s="31">
        <v>42.24</v>
      </c>
      <c r="M149" s="31">
        <v>2.3199999999999998</v>
      </c>
      <c r="N149" s="31">
        <v>44.56</v>
      </c>
      <c r="O149" s="28"/>
      <c r="P149" s="32">
        <v>45903</v>
      </c>
      <c r="Q149" s="31">
        <v>44.56</v>
      </c>
      <c r="R149" s="28" t="s">
        <v>463</v>
      </c>
      <c r="S149" s="31">
        <v>0</v>
      </c>
      <c r="T149" s="28"/>
      <c r="U149" s="29"/>
      <c r="V149" s="28"/>
      <c r="W149" s="29"/>
      <c r="X149" s="29"/>
      <c r="Y149" s="29"/>
      <c r="Z149" s="31">
        <v>0</v>
      </c>
      <c r="AA149" s="31">
        <v>0</v>
      </c>
      <c r="AB149" s="31">
        <v>0</v>
      </c>
      <c r="AC149" s="28"/>
      <c r="AD149" s="28" t="s">
        <v>266</v>
      </c>
      <c r="AE149" s="28" t="s">
        <v>267</v>
      </c>
      <c r="AF149" s="28" t="s">
        <v>31</v>
      </c>
      <c r="AG149" s="28" t="s">
        <v>42</v>
      </c>
      <c r="AH149" s="28" t="s">
        <v>228</v>
      </c>
      <c r="AI149" s="28" t="s">
        <v>31</v>
      </c>
      <c r="AJ149" s="28"/>
      <c r="AK149" s="28" t="s">
        <v>34</v>
      </c>
      <c r="AL149" s="28" t="s">
        <v>250</v>
      </c>
      <c r="AM149" s="28" t="s">
        <v>231</v>
      </c>
      <c r="AN149" s="28" t="s">
        <v>232</v>
      </c>
      <c r="AO149" s="28" t="s">
        <v>231</v>
      </c>
      <c r="AP149" s="28" t="s">
        <v>232</v>
      </c>
      <c r="AQ149" s="28"/>
      <c r="AR149" s="28"/>
      <c r="AS149" s="28"/>
      <c r="AT149" s="28"/>
      <c r="AU149" s="28"/>
      <c r="AV149" s="28"/>
      <c r="AW149" s="29"/>
      <c r="AX149" s="33"/>
      <c r="AY149" s="31"/>
      <c r="AZ149" s="33"/>
      <c r="BA149" s="31"/>
      <c r="BB149" s="28"/>
      <c r="BC149" s="28"/>
      <c r="BD149" s="28"/>
      <c r="BE149" s="28"/>
      <c r="BF149" s="29"/>
      <c r="BG149" s="29"/>
      <c r="BH149" s="28" t="s">
        <v>651</v>
      </c>
      <c r="BI149" s="29">
        <v>1</v>
      </c>
      <c r="BJ149" s="29">
        <v>0</v>
      </c>
      <c r="BK149" s="30"/>
      <c r="BL149" s="30"/>
      <c r="BM149" s="28"/>
      <c r="BN149" s="30">
        <v>45902</v>
      </c>
      <c r="BO149" s="30">
        <v>45902</v>
      </c>
      <c r="BP149" s="31">
        <v>44.56</v>
      </c>
      <c r="BQ149" s="30">
        <v>45901</v>
      </c>
    </row>
    <row r="150" spans="1:69" ht="22.5" customHeight="1" x14ac:dyDescent="0.2">
      <c r="A150" s="22" t="s">
        <v>262</v>
      </c>
      <c r="B150" s="22"/>
      <c r="C150" s="22" t="s">
        <v>221</v>
      </c>
      <c r="D150" s="22" t="s">
        <v>222</v>
      </c>
      <c r="E150" s="23">
        <v>414174</v>
      </c>
      <c r="F150" s="23">
        <v>1793</v>
      </c>
      <c r="G150" s="23">
        <v>282</v>
      </c>
      <c r="H150" s="23">
        <v>0</v>
      </c>
      <c r="I150" s="24">
        <v>45889</v>
      </c>
      <c r="J150" s="22" t="s">
        <v>395</v>
      </c>
      <c r="K150" s="22" t="s">
        <v>652</v>
      </c>
      <c r="L150" s="25">
        <v>42.24</v>
      </c>
      <c r="M150" s="25">
        <v>2.3199999999999998</v>
      </c>
      <c r="N150" s="25">
        <v>44.56</v>
      </c>
      <c r="O150" s="22"/>
      <c r="P150" s="26">
        <v>45903</v>
      </c>
      <c r="Q150" s="25">
        <v>44.56</v>
      </c>
      <c r="R150" s="22" t="s">
        <v>466</v>
      </c>
      <c r="S150" s="25">
        <v>0</v>
      </c>
      <c r="T150" s="22"/>
      <c r="U150" s="23"/>
      <c r="V150" s="22"/>
      <c r="W150" s="23"/>
      <c r="X150" s="23"/>
      <c r="Y150" s="23"/>
      <c r="Z150" s="25">
        <v>0</v>
      </c>
      <c r="AA150" s="25">
        <v>0</v>
      </c>
      <c r="AB150" s="25">
        <v>0</v>
      </c>
      <c r="AC150" s="22"/>
      <c r="AD150" s="22" t="s">
        <v>266</v>
      </c>
      <c r="AE150" s="22" t="s">
        <v>267</v>
      </c>
      <c r="AF150" s="22" t="s">
        <v>31</v>
      </c>
      <c r="AG150" s="22" t="s">
        <v>42</v>
      </c>
      <c r="AH150" s="22" t="s">
        <v>228</v>
      </c>
      <c r="AI150" s="22" t="s">
        <v>31</v>
      </c>
      <c r="AJ150" s="22"/>
      <c r="AK150" s="22" t="s">
        <v>34</v>
      </c>
      <c r="AL150" s="22" t="s">
        <v>50</v>
      </c>
      <c r="AM150" s="22" t="s">
        <v>231</v>
      </c>
      <c r="AN150" s="22" t="s">
        <v>232</v>
      </c>
      <c r="AO150" s="22" t="s">
        <v>231</v>
      </c>
      <c r="AP150" s="22" t="s">
        <v>232</v>
      </c>
      <c r="AQ150" s="22"/>
      <c r="AR150" s="22"/>
      <c r="AS150" s="22"/>
      <c r="AT150" s="22"/>
      <c r="AU150" s="22"/>
      <c r="AV150" s="22"/>
      <c r="AW150" s="23"/>
      <c r="AX150" s="27"/>
      <c r="AY150" s="25"/>
      <c r="AZ150" s="27"/>
      <c r="BA150" s="25"/>
      <c r="BB150" s="22"/>
      <c r="BC150" s="22"/>
      <c r="BD150" s="22"/>
      <c r="BE150" s="22"/>
      <c r="BF150" s="23"/>
      <c r="BG150" s="23"/>
      <c r="BH150" s="22" t="s">
        <v>653</v>
      </c>
      <c r="BI150" s="23">
        <v>1</v>
      </c>
      <c r="BJ150" s="23">
        <v>0</v>
      </c>
      <c r="BK150" s="24"/>
      <c r="BL150" s="24"/>
      <c r="BM150" s="22"/>
      <c r="BN150" s="24">
        <v>45902</v>
      </c>
      <c r="BO150" s="24">
        <v>45902</v>
      </c>
      <c r="BP150" s="25">
        <v>44.56</v>
      </c>
      <c r="BQ150" s="24">
        <v>45901</v>
      </c>
    </row>
    <row r="151" spans="1:69" ht="22.5" customHeight="1" x14ac:dyDescent="0.2">
      <c r="A151" s="28" t="s">
        <v>262</v>
      </c>
      <c r="B151" s="28"/>
      <c r="C151" s="28" t="s">
        <v>221</v>
      </c>
      <c r="D151" s="28" t="s">
        <v>222</v>
      </c>
      <c r="E151" s="29">
        <v>414175</v>
      </c>
      <c r="F151" s="29">
        <v>1794</v>
      </c>
      <c r="G151" s="29">
        <v>282</v>
      </c>
      <c r="H151" s="29">
        <v>0</v>
      </c>
      <c r="I151" s="30">
        <v>45889</v>
      </c>
      <c r="J151" s="28" t="s">
        <v>395</v>
      </c>
      <c r="K151" s="28" t="s">
        <v>654</v>
      </c>
      <c r="L151" s="31">
        <v>24.64</v>
      </c>
      <c r="M151" s="31">
        <v>1.36</v>
      </c>
      <c r="N151" s="31">
        <v>26</v>
      </c>
      <c r="O151" s="28"/>
      <c r="P151" s="32">
        <v>45903</v>
      </c>
      <c r="Q151" s="31">
        <v>26</v>
      </c>
      <c r="R151" s="28" t="s">
        <v>472</v>
      </c>
      <c r="S151" s="31">
        <v>0</v>
      </c>
      <c r="T151" s="28"/>
      <c r="U151" s="29"/>
      <c r="V151" s="28"/>
      <c r="W151" s="29"/>
      <c r="X151" s="29"/>
      <c r="Y151" s="29"/>
      <c r="Z151" s="31">
        <v>0</v>
      </c>
      <c r="AA151" s="31">
        <v>0</v>
      </c>
      <c r="AB151" s="31">
        <v>0</v>
      </c>
      <c r="AC151" s="28"/>
      <c r="AD151" s="28" t="s">
        <v>266</v>
      </c>
      <c r="AE151" s="28" t="s">
        <v>267</v>
      </c>
      <c r="AF151" s="28" t="s">
        <v>31</v>
      </c>
      <c r="AG151" s="28" t="s">
        <v>46</v>
      </c>
      <c r="AH151" s="28" t="s">
        <v>228</v>
      </c>
      <c r="AI151" s="28" t="s">
        <v>31</v>
      </c>
      <c r="AJ151" s="28"/>
      <c r="AK151" s="28" t="s">
        <v>34</v>
      </c>
      <c r="AL151" s="28" t="s">
        <v>47</v>
      </c>
      <c r="AM151" s="28" t="s">
        <v>231</v>
      </c>
      <c r="AN151" s="28" t="s">
        <v>232</v>
      </c>
      <c r="AO151" s="28" t="s">
        <v>231</v>
      </c>
      <c r="AP151" s="28" t="s">
        <v>232</v>
      </c>
      <c r="AQ151" s="28"/>
      <c r="AR151" s="28"/>
      <c r="AS151" s="28"/>
      <c r="AT151" s="28"/>
      <c r="AU151" s="28"/>
      <c r="AV151" s="28"/>
      <c r="AW151" s="29"/>
      <c r="AX151" s="33"/>
      <c r="AY151" s="31"/>
      <c r="AZ151" s="33"/>
      <c r="BA151" s="31"/>
      <c r="BB151" s="28"/>
      <c r="BC151" s="28"/>
      <c r="BD151" s="28"/>
      <c r="BE151" s="28"/>
      <c r="BF151" s="29"/>
      <c r="BG151" s="29"/>
      <c r="BH151" s="28" t="s">
        <v>655</v>
      </c>
      <c r="BI151" s="29">
        <v>1</v>
      </c>
      <c r="BJ151" s="29">
        <v>0</v>
      </c>
      <c r="BK151" s="30"/>
      <c r="BL151" s="30"/>
      <c r="BM151" s="28"/>
      <c r="BN151" s="30">
        <v>45902</v>
      </c>
      <c r="BO151" s="30">
        <v>45902</v>
      </c>
      <c r="BP151" s="31">
        <v>26</v>
      </c>
      <c r="BQ151" s="30">
        <v>45901</v>
      </c>
    </row>
    <row r="152" spans="1:69" ht="22.5" hidden="1" customHeight="1" x14ac:dyDescent="0.2">
      <c r="A152" s="22" t="s">
        <v>262</v>
      </c>
      <c r="B152" s="22"/>
      <c r="C152" s="22" t="s">
        <v>221</v>
      </c>
      <c r="D152" s="22" t="s">
        <v>222</v>
      </c>
      <c r="E152" s="23">
        <v>414742</v>
      </c>
      <c r="F152" s="23">
        <v>1863</v>
      </c>
      <c r="G152" s="23">
        <v>302</v>
      </c>
      <c r="H152" s="23">
        <v>0</v>
      </c>
      <c r="I152" s="24">
        <v>45902</v>
      </c>
      <c r="J152" s="22" t="s">
        <v>656</v>
      </c>
      <c r="K152" s="22" t="s">
        <v>657</v>
      </c>
      <c r="L152" s="25">
        <v>25.89</v>
      </c>
      <c r="M152" s="25">
        <v>2.71</v>
      </c>
      <c r="N152" s="25">
        <v>28.6</v>
      </c>
      <c r="O152" s="22"/>
      <c r="P152" s="26">
        <v>45904</v>
      </c>
      <c r="Q152" s="25">
        <v>28.6</v>
      </c>
      <c r="R152" s="22" t="s">
        <v>658</v>
      </c>
      <c r="S152" s="25">
        <v>0</v>
      </c>
      <c r="T152" s="22"/>
      <c r="U152" s="23"/>
      <c r="V152" s="22"/>
      <c r="W152" s="23"/>
      <c r="X152" s="23"/>
      <c r="Y152" s="23"/>
      <c r="Z152" s="25">
        <v>0</v>
      </c>
      <c r="AA152" s="25">
        <v>0</v>
      </c>
      <c r="AB152" s="25">
        <v>0</v>
      </c>
      <c r="AC152" s="22"/>
      <c r="AD152" s="22" t="s">
        <v>293</v>
      </c>
      <c r="AE152" s="22" t="s">
        <v>294</v>
      </c>
      <c r="AF152" s="22" t="s">
        <v>31</v>
      </c>
      <c r="AG152" s="22" t="s">
        <v>42</v>
      </c>
      <c r="AH152" s="22" t="s">
        <v>228</v>
      </c>
      <c r="AI152" s="22" t="s">
        <v>31</v>
      </c>
      <c r="AJ152" s="22"/>
      <c r="AK152" s="22" t="s">
        <v>235</v>
      </c>
      <c r="AL152" s="22" t="s">
        <v>331</v>
      </c>
      <c r="AM152" s="22" t="s">
        <v>231</v>
      </c>
      <c r="AN152" s="22" t="s">
        <v>232</v>
      </c>
      <c r="AO152" s="22" t="s">
        <v>231</v>
      </c>
      <c r="AP152" s="22" t="s">
        <v>232</v>
      </c>
      <c r="AQ152" s="22"/>
      <c r="AR152" s="22"/>
      <c r="AS152" s="22"/>
      <c r="AT152" s="22"/>
      <c r="AU152" s="22"/>
      <c r="AV152" s="22"/>
      <c r="AW152" s="23"/>
      <c r="AX152" s="27"/>
      <c r="AY152" s="25"/>
      <c r="AZ152" s="27"/>
      <c r="BA152" s="25"/>
      <c r="BB152" s="22"/>
      <c r="BC152" s="22"/>
      <c r="BD152" s="22"/>
      <c r="BE152" s="22"/>
      <c r="BF152" s="23"/>
      <c r="BG152" s="23"/>
      <c r="BH152" s="22" t="s">
        <v>659</v>
      </c>
      <c r="BI152" s="23">
        <v>1</v>
      </c>
      <c r="BJ152" s="23">
        <v>0</v>
      </c>
      <c r="BK152" s="24"/>
      <c r="BL152" s="24"/>
      <c r="BM152" s="22"/>
      <c r="BN152" s="24">
        <v>45904</v>
      </c>
      <c r="BO152" s="24">
        <v>45904</v>
      </c>
      <c r="BP152" s="25">
        <v>28.6</v>
      </c>
      <c r="BQ152" s="24">
        <v>45903</v>
      </c>
    </row>
    <row r="153" spans="1:69" ht="22.5" hidden="1" customHeight="1" x14ac:dyDescent="0.2">
      <c r="A153" s="28" t="s">
        <v>262</v>
      </c>
      <c r="B153" s="28"/>
      <c r="C153" s="28" t="s">
        <v>221</v>
      </c>
      <c r="D153" s="28" t="s">
        <v>222</v>
      </c>
      <c r="E153" s="29">
        <v>414744</v>
      </c>
      <c r="F153" s="29">
        <v>1867</v>
      </c>
      <c r="G153" s="29">
        <v>302</v>
      </c>
      <c r="H153" s="29">
        <v>0</v>
      </c>
      <c r="I153" s="30">
        <v>45902</v>
      </c>
      <c r="J153" s="28" t="s">
        <v>656</v>
      </c>
      <c r="K153" s="28" t="s">
        <v>660</v>
      </c>
      <c r="L153" s="31">
        <v>186.09</v>
      </c>
      <c r="M153" s="31">
        <v>14.04</v>
      </c>
      <c r="N153" s="31">
        <v>200.13</v>
      </c>
      <c r="O153" s="28"/>
      <c r="P153" s="32">
        <v>45904</v>
      </c>
      <c r="Q153" s="31">
        <v>200.13</v>
      </c>
      <c r="R153" s="28" t="s">
        <v>661</v>
      </c>
      <c r="S153" s="31">
        <v>0</v>
      </c>
      <c r="T153" s="28"/>
      <c r="U153" s="29"/>
      <c r="V153" s="28"/>
      <c r="W153" s="29"/>
      <c r="X153" s="29"/>
      <c r="Y153" s="29"/>
      <c r="Z153" s="31">
        <v>0</v>
      </c>
      <c r="AA153" s="31">
        <v>0</v>
      </c>
      <c r="AB153" s="31">
        <v>0</v>
      </c>
      <c r="AC153" s="28"/>
      <c r="AD153" s="28" t="s">
        <v>365</v>
      </c>
      <c r="AE153" s="28" t="s">
        <v>366</v>
      </c>
      <c r="AF153" s="28" t="s">
        <v>31</v>
      </c>
      <c r="AG153" s="28" t="s">
        <v>42</v>
      </c>
      <c r="AH153" s="28" t="s">
        <v>228</v>
      </c>
      <c r="AI153" s="28" t="s">
        <v>31</v>
      </c>
      <c r="AJ153" s="28"/>
      <c r="AK153" s="28" t="s">
        <v>235</v>
      </c>
      <c r="AL153" s="28" t="s">
        <v>250</v>
      </c>
      <c r="AM153" s="28" t="s">
        <v>231</v>
      </c>
      <c r="AN153" s="28" t="s">
        <v>232</v>
      </c>
      <c r="AO153" s="28" t="s">
        <v>231</v>
      </c>
      <c r="AP153" s="28" t="s">
        <v>232</v>
      </c>
      <c r="AQ153" s="28"/>
      <c r="AR153" s="28"/>
      <c r="AS153" s="28"/>
      <c r="AT153" s="28"/>
      <c r="AU153" s="28"/>
      <c r="AV153" s="28"/>
      <c r="AW153" s="29"/>
      <c r="AX153" s="33"/>
      <c r="AY153" s="31"/>
      <c r="AZ153" s="33"/>
      <c r="BA153" s="31"/>
      <c r="BB153" s="28"/>
      <c r="BC153" s="28"/>
      <c r="BD153" s="28"/>
      <c r="BE153" s="28"/>
      <c r="BF153" s="29"/>
      <c r="BG153" s="29"/>
      <c r="BH153" s="28" t="s">
        <v>662</v>
      </c>
      <c r="BI153" s="29">
        <v>1</v>
      </c>
      <c r="BJ153" s="29">
        <v>0</v>
      </c>
      <c r="BK153" s="30"/>
      <c r="BL153" s="30"/>
      <c r="BM153" s="28"/>
      <c r="BN153" s="30">
        <v>45904</v>
      </c>
      <c r="BO153" s="30">
        <v>45904</v>
      </c>
      <c r="BP153" s="31">
        <v>200.13</v>
      </c>
      <c r="BQ153" s="30">
        <v>45903</v>
      </c>
    </row>
    <row r="154" spans="1:69" ht="22.5" hidden="1" customHeight="1" x14ac:dyDescent="0.2">
      <c r="A154" s="28" t="s">
        <v>262</v>
      </c>
      <c r="B154" s="28"/>
      <c r="C154" s="28" t="s">
        <v>221</v>
      </c>
      <c r="D154" s="28" t="s">
        <v>222</v>
      </c>
      <c r="E154" s="29">
        <v>414746</v>
      </c>
      <c r="F154" s="29">
        <v>1865</v>
      </c>
      <c r="G154" s="29">
        <v>302</v>
      </c>
      <c r="H154" s="29">
        <v>0</v>
      </c>
      <c r="I154" s="30">
        <v>45902</v>
      </c>
      <c r="J154" s="28" t="s">
        <v>656</v>
      </c>
      <c r="K154" s="28" t="s">
        <v>663</v>
      </c>
      <c r="L154" s="31">
        <v>26.47</v>
      </c>
      <c r="M154" s="31">
        <v>3.05</v>
      </c>
      <c r="N154" s="31">
        <v>29.52</v>
      </c>
      <c r="O154" s="28"/>
      <c r="P154" s="32">
        <v>45904</v>
      </c>
      <c r="Q154" s="31">
        <v>29.52</v>
      </c>
      <c r="R154" s="28" t="s">
        <v>664</v>
      </c>
      <c r="S154" s="31">
        <v>0</v>
      </c>
      <c r="T154" s="28"/>
      <c r="U154" s="29"/>
      <c r="V154" s="28"/>
      <c r="W154" s="29"/>
      <c r="X154" s="29"/>
      <c r="Y154" s="29"/>
      <c r="Z154" s="31">
        <v>0</v>
      </c>
      <c r="AA154" s="31">
        <v>0</v>
      </c>
      <c r="AB154" s="31">
        <v>0</v>
      </c>
      <c r="AC154" s="28"/>
      <c r="AD154" s="28" t="s">
        <v>293</v>
      </c>
      <c r="AE154" s="28" t="s">
        <v>294</v>
      </c>
      <c r="AF154" s="28" t="s">
        <v>31</v>
      </c>
      <c r="AG154" s="28" t="s">
        <v>42</v>
      </c>
      <c r="AH154" s="28" t="s">
        <v>228</v>
      </c>
      <c r="AI154" s="28" t="s">
        <v>31</v>
      </c>
      <c r="AJ154" s="28"/>
      <c r="AK154" s="28" t="s">
        <v>235</v>
      </c>
      <c r="AL154" s="28" t="s">
        <v>331</v>
      </c>
      <c r="AM154" s="28" t="s">
        <v>231</v>
      </c>
      <c r="AN154" s="28" t="s">
        <v>232</v>
      </c>
      <c r="AO154" s="28" t="s">
        <v>231</v>
      </c>
      <c r="AP154" s="28" t="s">
        <v>232</v>
      </c>
      <c r="AQ154" s="28"/>
      <c r="AR154" s="28"/>
      <c r="AS154" s="28"/>
      <c r="AT154" s="28"/>
      <c r="AU154" s="28"/>
      <c r="AV154" s="28"/>
      <c r="AW154" s="29"/>
      <c r="AX154" s="33"/>
      <c r="AY154" s="31"/>
      <c r="AZ154" s="33"/>
      <c r="BA154" s="31"/>
      <c r="BB154" s="28"/>
      <c r="BC154" s="28"/>
      <c r="BD154" s="28"/>
      <c r="BE154" s="28"/>
      <c r="BF154" s="29"/>
      <c r="BG154" s="29"/>
      <c r="BH154" s="28" t="s">
        <v>665</v>
      </c>
      <c r="BI154" s="29">
        <v>1</v>
      </c>
      <c r="BJ154" s="29">
        <v>0</v>
      </c>
      <c r="BK154" s="30"/>
      <c r="BL154" s="30"/>
      <c r="BM154" s="28"/>
      <c r="BN154" s="30">
        <v>45904</v>
      </c>
      <c r="BO154" s="30">
        <v>45904</v>
      </c>
      <c r="BP154" s="31">
        <v>29.52</v>
      </c>
      <c r="BQ154" s="30">
        <v>45903</v>
      </c>
    </row>
    <row r="155" spans="1:69" ht="22.5" hidden="1" customHeight="1" x14ac:dyDescent="0.2">
      <c r="A155" s="22" t="s">
        <v>262</v>
      </c>
      <c r="B155" s="22"/>
      <c r="C155" s="22" t="s">
        <v>221</v>
      </c>
      <c r="D155" s="22" t="s">
        <v>222</v>
      </c>
      <c r="E155" s="23">
        <v>414747</v>
      </c>
      <c r="F155" s="23">
        <v>1862</v>
      </c>
      <c r="G155" s="23">
        <v>302</v>
      </c>
      <c r="H155" s="23">
        <v>0</v>
      </c>
      <c r="I155" s="24">
        <v>45902</v>
      </c>
      <c r="J155" s="22" t="s">
        <v>656</v>
      </c>
      <c r="K155" s="22" t="s">
        <v>666</v>
      </c>
      <c r="L155" s="25">
        <v>140.22999999999999</v>
      </c>
      <c r="M155" s="25">
        <v>9.02</v>
      </c>
      <c r="N155" s="25">
        <v>149.25</v>
      </c>
      <c r="O155" s="22"/>
      <c r="P155" s="26">
        <v>45904</v>
      </c>
      <c r="Q155" s="25">
        <v>149.25</v>
      </c>
      <c r="R155" s="22" t="s">
        <v>667</v>
      </c>
      <c r="S155" s="25">
        <v>0</v>
      </c>
      <c r="T155" s="22"/>
      <c r="U155" s="23"/>
      <c r="V155" s="22"/>
      <c r="W155" s="23"/>
      <c r="X155" s="23"/>
      <c r="Y155" s="23"/>
      <c r="Z155" s="25">
        <v>0</v>
      </c>
      <c r="AA155" s="25">
        <v>0</v>
      </c>
      <c r="AB155" s="25">
        <v>0</v>
      </c>
      <c r="AC155" s="22"/>
      <c r="AD155" s="22" t="s">
        <v>293</v>
      </c>
      <c r="AE155" s="22" t="s">
        <v>294</v>
      </c>
      <c r="AF155" s="22" t="s">
        <v>31</v>
      </c>
      <c r="AG155" s="22" t="s">
        <v>42</v>
      </c>
      <c r="AH155" s="22" t="s">
        <v>228</v>
      </c>
      <c r="AI155" s="22" t="s">
        <v>31</v>
      </c>
      <c r="AJ155" s="22"/>
      <c r="AK155" s="22" t="s">
        <v>235</v>
      </c>
      <c r="AL155" s="22" t="s">
        <v>331</v>
      </c>
      <c r="AM155" s="22" t="s">
        <v>231</v>
      </c>
      <c r="AN155" s="22" t="s">
        <v>232</v>
      </c>
      <c r="AO155" s="22" t="s">
        <v>231</v>
      </c>
      <c r="AP155" s="22" t="s">
        <v>232</v>
      </c>
      <c r="AQ155" s="22"/>
      <c r="AR155" s="22"/>
      <c r="AS155" s="22"/>
      <c r="AT155" s="22"/>
      <c r="AU155" s="22"/>
      <c r="AV155" s="22"/>
      <c r="AW155" s="23"/>
      <c r="AX155" s="27"/>
      <c r="AY155" s="25"/>
      <c r="AZ155" s="27"/>
      <c r="BA155" s="25"/>
      <c r="BB155" s="22"/>
      <c r="BC155" s="22"/>
      <c r="BD155" s="22"/>
      <c r="BE155" s="22"/>
      <c r="BF155" s="23"/>
      <c r="BG155" s="23"/>
      <c r="BH155" s="22" t="s">
        <v>668</v>
      </c>
      <c r="BI155" s="23">
        <v>1</v>
      </c>
      <c r="BJ155" s="23">
        <v>0</v>
      </c>
      <c r="BK155" s="24"/>
      <c r="BL155" s="24"/>
      <c r="BM155" s="22"/>
      <c r="BN155" s="24">
        <v>45904</v>
      </c>
      <c r="BO155" s="24">
        <v>45904</v>
      </c>
      <c r="BP155" s="25">
        <v>149.25</v>
      </c>
      <c r="BQ155" s="24">
        <v>45903</v>
      </c>
    </row>
    <row r="156" spans="1:69" ht="22.5" hidden="1" customHeight="1" x14ac:dyDescent="0.2">
      <c r="A156" s="22" t="s">
        <v>262</v>
      </c>
      <c r="B156" s="22"/>
      <c r="C156" s="22" t="s">
        <v>221</v>
      </c>
      <c r="D156" s="22" t="s">
        <v>222</v>
      </c>
      <c r="E156" s="23">
        <v>414749</v>
      </c>
      <c r="F156" s="23">
        <v>1864</v>
      </c>
      <c r="G156" s="23">
        <v>302</v>
      </c>
      <c r="H156" s="23">
        <v>0</v>
      </c>
      <c r="I156" s="24">
        <v>45902</v>
      </c>
      <c r="J156" s="22" t="s">
        <v>656</v>
      </c>
      <c r="K156" s="22" t="s">
        <v>669</v>
      </c>
      <c r="L156" s="25">
        <v>26.59</v>
      </c>
      <c r="M156" s="25">
        <v>2.71</v>
      </c>
      <c r="N156" s="25">
        <v>29.3</v>
      </c>
      <c r="O156" s="22"/>
      <c r="P156" s="26">
        <v>45904</v>
      </c>
      <c r="Q156" s="25">
        <v>29.3</v>
      </c>
      <c r="R156" s="22" t="s">
        <v>670</v>
      </c>
      <c r="S156" s="25">
        <v>0</v>
      </c>
      <c r="T156" s="22"/>
      <c r="U156" s="23"/>
      <c r="V156" s="22"/>
      <c r="W156" s="23"/>
      <c r="X156" s="23"/>
      <c r="Y156" s="23"/>
      <c r="Z156" s="25">
        <v>0</v>
      </c>
      <c r="AA156" s="25">
        <v>0</v>
      </c>
      <c r="AB156" s="25">
        <v>0</v>
      </c>
      <c r="AC156" s="22"/>
      <c r="AD156" s="22" t="s">
        <v>293</v>
      </c>
      <c r="AE156" s="22" t="s">
        <v>294</v>
      </c>
      <c r="AF156" s="22" t="s">
        <v>31</v>
      </c>
      <c r="AG156" s="22" t="s">
        <v>42</v>
      </c>
      <c r="AH156" s="22" t="s">
        <v>228</v>
      </c>
      <c r="AI156" s="22" t="s">
        <v>31</v>
      </c>
      <c r="AJ156" s="22"/>
      <c r="AK156" s="22" t="s">
        <v>235</v>
      </c>
      <c r="AL156" s="22" t="s">
        <v>331</v>
      </c>
      <c r="AM156" s="22" t="s">
        <v>231</v>
      </c>
      <c r="AN156" s="22" t="s">
        <v>232</v>
      </c>
      <c r="AO156" s="22" t="s">
        <v>231</v>
      </c>
      <c r="AP156" s="22" t="s">
        <v>232</v>
      </c>
      <c r="AQ156" s="22"/>
      <c r="AR156" s="22"/>
      <c r="AS156" s="22"/>
      <c r="AT156" s="22"/>
      <c r="AU156" s="22"/>
      <c r="AV156" s="22"/>
      <c r="AW156" s="23"/>
      <c r="AX156" s="27"/>
      <c r="AY156" s="25"/>
      <c r="AZ156" s="27"/>
      <c r="BA156" s="25"/>
      <c r="BB156" s="22"/>
      <c r="BC156" s="22"/>
      <c r="BD156" s="22"/>
      <c r="BE156" s="22"/>
      <c r="BF156" s="23"/>
      <c r="BG156" s="23"/>
      <c r="BH156" s="22" t="s">
        <v>671</v>
      </c>
      <c r="BI156" s="23">
        <v>1</v>
      </c>
      <c r="BJ156" s="23">
        <v>0</v>
      </c>
      <c r="BK156" s="24"/>
      <c r="BL156" s="24"/>
      <c r="BM156" s="22"/>
      <c r="BN156" s="24">
        <v>45904</v>
      </c>
      <c r="BO156" s="24">
        <v>45904</v>
      </c>
      <c r="BP156" s="25">
        <v>29.3</v>
      </c>
      <c r="BQ156" s="24">
        <v>45903</v>
      </c>
    </row>
    <row r="157" spans="1:69" ht="22.5" hidden="1" customHeight="1" x14ac:dyDescent="0.2">
      <c r="A157" s="22" t="s">
        <v>262</v>
      </c>
      <c r="B157" s="22"/>
      <c r="C157" s="22" t="s">
        <v>221</v>
      </c>
      <c r="D157" s="22" t="s">
        <v>222</v>
      </c>
      <c r="E157" s="23">
        <v>414751</v>
      </c>
      <c r="F157" s="23">
        <v>1866</v>
      </c>
      <c r="G157" s="23">
        <v>302</v>
      </c>
      <c r="H157" s="23">
        <v>0</v>
      </c>
      <c r="I157" s="24">
        <v>45902</v>
      </c>
      <c r="J157" s="22" t="s">
        <v>656</v>
      </c>
      <c r="K157" s="22" t="s">
        <v>672</v>
      </c>
      <c r="L157" s="25">
        <v>81.33</v>
      </c>
      <c r="M157" s="25">
        <v>8.27</v>
      </c>
      <c r="N157" s="25">
        <v>89.6</v>
      </c>
      <c r="O157" s="22"/>
      <c r="P157" s="26">
        <v>45904</v>
      </c>
      <c r="Q157" s="25">
        <v>89.6</v>
      </c>
      <c r="R157" s="22" t="s">
        <v>673</v>
      </c>
      <c r="S157" s="25">
        <v>0</v>
      </c>
      <c r="T157" s="22"/>
      <c r="U157" s="23"/>
      <c r="V157" s="22"/>
      <c r="W157" s="23"/>
      <c r="X157" s="23"/>
      <c r="Y157" s="23"/>
      <c r="Z157" s="25">
        <v>0</v>
      </c>
      <c r="AA157" s="25">
        <v>0</v>
      </c>
      <c r="AB157" s="25">
        <v>0</v>
      </c>
      <c r="AC157" s="22"/>
      <c r="AD157" s="22" t="s">
        <v>293</v>
      </c>
      <c r="AE157" s="22" t="s">
        <v>294</v>
      </c>
      <c r="AF157" s="22" t="s">
        <v>31</v>
      </c>
      <c r="AG157" s="22" t="s">
        <v>42</v>
      </c>
      <c r="AH157" s="22" t="s">
        <v>228</v>
      </c>
      <c r="AI157" s="22" t="s">
        <v>31</v>
      </c>
      <c r="AJ157" s="22"/>
      <c r="AK157" s="22" t="s">
        <v>235</v>
      </c>
      <c r="AL157" s="22" t="s">
        <v>331</v>
      </c>
      <c r="AM157" s="22" t="s">
        <v>231</v>
      </c>
      <c r="AN157" s="22" t="s">
        <v>232</v>
      </c>
      <c r="AO157" s="22" t="s">
        <v>231</v>
      </c>
      <c r="AP157" s="22" t="s">
        <v>232</v>
      </c>
      <c r="AQ157" s="22"/>
      <c r="AR157" s="22"/>
      <c r="AS157" s="22"/>
      <c r="AT157" s="22"/>
      <c r="AU157" s="22"/>
      <c r="AV157" s="22"/>
      <c r="AW157" s="23"/>
      <c r="AX157" s="27"/>
      <c r="AY157" s="25"/>
      <c r="AZ157" s="27"/>
      <c r="BA157" s="25"/>
      <c r="BB157" s="22"/>
      <c r="BC157" s="22"/>
      <c r="BD157" s="22"/>
      <c r="BE157" s="22"/>
      <c r="BF157" s="23"/>
      <c r="BG157" s="23"/>
      <c r="BH157" s="22" t="s">
        <v>674</v>
      </c>
      <c r="BI157" s="23">
        <v>1</v>
      </c>
      <c r="BJ157" s="23">
        <v>0</v>
      </c>
      <c r="BK157" s="24"/>
      <c r="BL157" s="24"/>
      <c r="BM157" s="22"/>
      <c r="BN157" s="24">
        <v>45904</v>
      </c>
      <c r="BO157" s="24">
        <v>45904</v>
      </c>
      <c r="BP157" s="25">
        <v>89.6</v>
      </c>
      <c r="BQ157" s="24">
        <v>45903</v>
      </c>
    </row>
    <row r="158" spans="1:69" ht="22.5" hidden="1" customHeight="1" x14ac:dyDescent="0.2">
      <c r="A158" s="22" t="s">
        <v>262</v>
      </c>
      <c r="B158" s="22"/>
      <c r="C158" s="22" t="s">
        <v>221</v>
      </c>
      <c r="D158" s="22" t="s">
        <v>222</v>
      </c>
      <c r="E158" s="23">
        <v>414755</v>
      </c>
      <c r="F158" s="23">
        <v>1884</v>
      </c>
      <c r="G158" s="23">
        <v>303</v>
      </c>
      <c r="H158" s="23">
        <v>0</v>
      </c>
      <c r="I158" s="24">
        <v>45902</v>
      </c>
      <c r="J158" s="22" t="s">
        <v>263</v>
      </c>
      <c r="K158" s="22" t="s">
        <v>675</v>
      </c>
      <c r="L158" s="25">
        <v>92.28</v>
      </c>
      <c r="M158" s="25">
        <v>5.45</v>
      </c>
      <c r="N158" s="25">
        <v>97.73</v>
      </c>
      <c r="O158" s="22"/>
      <c r="P158" s="26">
        <v>45904</v>
      </c>
      <c r="Q158" s="25">
        <v>97.73</v>
      </c>
      <c r="R158" s="22" t="s">
        <v>676</v>
      </c>
      <c r="S158" s="25">
        <v>0</v>
      </c>
      <c r="T158" s="22"/>
      <c r="U158" s="23"/>
      <c r="V158" s="22"/>
      <c r="W158" s="23"/>
      <c r="X158" s="23"/>
      <c r="Y158" s="23"/>
      <c r="Z158" s="25">
        <v>0</v>
      </c>
      <c r="AA158" s="25">
        <v>0</v>
      </c>
      <c r="AB158" s="25">
        <v>0</v>
      </c>
      <c r="AC158" s="22"/>
      <c r="AD158" s="22" t="s">
        <v>293</v>
      </c>
      <c r="AE158" s="22" t="s">
        <v>294</v>
      </c>
      <c r="AF158" s="22" t="s">
        <v>31</v>
      </c>
      <c r="AG158" s="22" t="s">
        <v>42</v>
      </c>
      <c r="AH158" s="22" t="s">
        <v>228</v>
      </c>
      <c r="AI158" s="22" t="s">
        <v>31</v>
      </c>
      <c r="AJ158" s="22"/>
      <c r="AK158" s="22" t="s">
        <v>235</v>
      </c>
      <c r="AL158" s="22" t="s">
        <v>331</v>
      </c>
      <c r="AM158" s="22" t="s">
        <v>231</v>
      </c>
      <c r="AN158" s="22" t="s">
        <v>232</v>
      </c>
      <c r="AO158" s="22" t="s">
        <v>231</v>
      </c>
      <c r="AP158" s="22" t="s">
        <v>232</v>
      </c>
      <c r="AQ158" s="22"/>
      <c r="AR158" s="22"/>
      <c r="AS158" s="22"/>
      <c r="AT158" s="22"/>
      <c r="AU158" s="22"/>
      <c r="AV158" s="22"/>
      <c r="AW158" s="23"/>
      <c r="AX158" s="27"/>
      <c r="AY158" s="25"/>
      <c r="AZ158" s="27"/>
      <c r="BA158" s="25"/>
      <c r="BB158" s="22"/>
      <c r="BC158" s="22"/>
      <c r="BD158" s="22"/>
      <c r="BE158" s="22"/>
      <c r="BF158" s="23"/>
      <c r="BG158" s="23"/>
      <c r="BH158" s="22" t="s">
        <v>677</v>
      </c>
      <c r="BI158" s="23">
        <v>1</v>
      </c>
      <c r="BJ158" s="23">
        <v>0</v>
      </c>
      <c r="BK158" s="24"/>
      <c r="BL158" s="24"/>
      <c r="BM158" s="22"/>
      <c r="BN158" s="24">
        <v>45904</v>
      </c>
      <c r="BO158" s="24">
        <v>45904</v>
      </c>
      <c r="BP158" s="25">
        <v>97.73</v>
      </c>
      <c r="BQ158" s="24">
        <v>45903</v>
      </c>
    </row>
    <row r="159" spans="1:69" ht="22.5" hidden="1" customHeight="1" x14ac:dyDescent="0.2">
      <c r="A159" s="28" t="s">
        <v>262</v>
      </c>
      <c r="B159" s="28"/>
      <c r="C159" s="28" t="s">
        <v>221</v>
      </c>
      <c r="D159" s="28" t="s">
        <v>222</v>
      </c>
      <c r="E159" s="29">
        <v>414756</v>
      </c>
      <c r="F159" s="29">
        <v>1885</v>
      </c>
      <c r="G159" s="29">
        <v>303</v>
      </c>
      <c r="H159" s="29">
        <v>0</v>
      </c>
      <c r="I159" s="30">
        <v>45902</v>
      </c>
      <c r="J159" s="28" t="s">
        <v>263</v>
      </c>
      <c r="K159" s="28" t="s">
        <v>678</v>
      </c>
      <c r="L159" s="31">
        <v>25.98</v>
      </c>
      <c r="M159" s="31">
        <v>3.64</v>
      </c>
      <c r="N159" s="31">
        <v>29.62</v>
      </c>
      <c r="O159" s="28"/>
      <c r="P159" s="32">
        <v>45904</v>
      </c>
      <c r="Q159" s="31">
        <v>29.62</v>
      </c>
      <c r="R159" s="28" t="s">
        <v>679</v>
      </c>
      <c r="S159" s="31">
        <v>0</v>
      </c>
      <c r="T159" s="28"/>
      <c r="U159" s="29"/>
      <c r="V159" s="28"/>
      <c r="W159" s="29"/>
      <c r="X159" s="29"/>
      <c r="Y159" s="29"/>
      <c r="Z159" s="31">
        <v>0</v>
      </c>
      <c r="AA159" s="31">
        <v>0</v>
      </c>
      <c r="AB159" s="31">
        <v>0</v>
      </c>
      <c r="AC159" s="28"/>
      <c r="AD159" s="28" t="s">
        <v>293</v>
      </c>
      <c r="AE159" s="28" t="s">
        <v>294</v>
      </c>
      <c r="AF159" s="28" t="s">
        <v>31</v>
      </c>
      <c r="AG159" s="28" t="s">
        <v>42</v>
      </c>
      <c r="AH159" s="28" t="s">
        <v>228</v>
      </c>
      <c r="AI159" s="28" t="s">
        <v>31</v>
      </c>
      <c r="AJ159" s="28"/>
      <c r="AK159" s="28" t="s">
        <v>235</v>
      </c>
      <c r="AL159" s="28" t="s">
        <v>331</v>
      </c>
      <c r="AM159" s="28" t="s">
        <v>231</v>
      </c>
      <c r="AN159" s="28" t="s">
        <v>232</v>
      </c>
      <c r="AO159" s="28" t="s">
        <v>231</v>
      </c>
      <c r="AP159" s="28" t="s">
        <v>232</v>
      </c>
      <c r="AQ159" s="28"/>
      <c r="AR159" s="28"/>
      <c r="AS159" s="28"/>
      <c r="AT159" s="28"/>
      <c r="AU159" s="28"/>
      <c r="AV159" s="28"/>
      <c r="AW159" s="29"/>
      <c r="AX159" s="33"/>
      <c r="AY159" s="31"/>
      <c r="AZ159" s="33"/>
      <c r="BA159" s="31"/>
      <c r="BB159" s="28"/>
      <c r="BC159" s="28"/>
      <c r="BD159" s="28"/>
      <c r="BE159" s="28"/>
      <c r="BF159" s="29"/>
      <c r="BG159" s="29"/>
      <c r="BH159" s="28" t="s">
        <v>680</v>
      </c>
      <c r="BI159" s="29">
        <v>1</v>
      </c>
      <c r="BJ159" s="29">
        <v>0</v>
      </c>
      <c r="BK159" s="30"/>
      <c r="BL159" s="30"/>
      <c r="BM159" s="28"/>
      <c r="BN159" s="30">
        <v>45904</v>
      </c>
      <c r="BO159" s="30">
        <v>45904</v>
      </c>
      <c r="BP159" s="31">
        <v>29.62</v>
      </c>
      <c r="BQ159" s="30">
        <v>45903</v>
      </c>
    </row>
    <row r="160" spans="1:69" ht="22.5" hidden="1" customHeight="1" x14ac:dyDescent="0.2">
      <c r="A160" s="22" t="s">
        <v>262</v>
      </c>
      <c r="B160" s="22"/>
      <c r="C160" s="22" t="s">
        <v>221</v>
      </c>
      <c r="D160" s="22" t="s">
        <v>222</v>
      </c>
      <c r="E160" s="23">
        <v>414757</v>
      </c>
      <c r="F160" s="23">
        <v>1886</v>
      </c>
      <c r="G160" s="23">
        <v>303</v>
      </c>
      <c r="H160" s="23">
        <v>0</v>
      </c>
      <c r="I160" s="24">
        <v>45902</v>
      </c>
      <c r="J160" s="22" t="s">
        <v>263</v>
      </c>
      <c r="K160" s="22" t="s">
        <v>681</v>
      </c>
      <c r="L160" s="25">
        <v>19.62</v>
      </c>
      <c r="M160" s="25">
        <v>1.97</v>
      </c>
      <c r="N160" s="25">
        <v>21.59</v>
      </c>
      <c r="O160" s="22"/>
      <c r="P160" s="26">
        <v>45904</v>
      </c>
      <c r="Q160" s="25">
        <v>21.59</v>
      </c>
      <c r="R160" s="22" t="s">
        <v>682</v>
      </c>
      <c r="S160" s="25">
        <v>0</v>
      </c>
      <c r="T160" s="22"/>
      <c r="U160" s="23"/>
      <c r="V160" s="22"/>
      <c r="W160" s="23"/>
      <c r="X160" s="23"/>
      <c r="Y160" s="23"/>
      <c r="Z160" s="25">
        <v>0</v>
      </c>
      <c r="AA160" s="25">
        <v>0</v>
      </c>
      <c r="AB160" s="25">
        <v>0</v>
      </c>
      <c r="AC160" s="22"/>
      <c r="AD160" s="22" t="s">
        <v>293</v>
      </c>
      <c r="AE160" s="22" t="s">
        <v>294</v>
      </c>
      <c r="AF160" s="22" t="s">
        <v>31</v>
      </c>
      <c r="AG160" s="22" t="s">
        <v>42</v>
      </c>
      <c r="AH160" s="22" t="s">
        <v>228</v>
      </c>
      <c r="AI160" s="22" t="s">
        <v>31</v>
      </c>
      <c r="AJ160" s="22"/>
      <c r="AK160" s="22" t="s">
        <v>235</v>
      </c>
      <c r="AL160" s="22" t="s">
        <v>331</v>
      </c>
      <c r="AM160" s="22" t="s">
        <v>231</v>
      </c>
      <c r="AN160" s="22" t="s">
        <v>232</v>
      </c>
      <c r="AO160" s="22" t="s">
        <v>231</v>
      </c>
      <c r="AP160" s="22" t="s">
        <v>232</v>
      </c>
      <c r="AQ160" s="22"/>
      <c r="AR160" s="22"/>
      <c r="AS160" s="22"/>
      <c r="AT160" s="22"/>
      <c r="AU160" s="22"/>
      <c r="AV160" s="22"/>
      <c r="AW160" s="23"/>
      <c r="AX160" s="27"/>
      <c r="AY160" s="25"/>
      <c r="AZ160" s="27"/>
      <c r="BA160" s="25"/>
      <c r="BB160" s="22"/>
      <c r="BC160" s="22"/>
      <c r="BD160" s="22"/>
      <c r="BE160" s="22"/>
      <c r="BF160" s="23"/>
      <c r="BG160" s="23"/>
      <c r="BH160" s="22" t="s">
        <v>683</v>
      </c>
      <c r="BI160" s="23">
        <v>1</v>
      </c>
      <c r="BJ160" s="23">
        <v>0</v>
      </c>
      <c r="BK160" s="24"/>
      <c r="BL160" s="24"/>
      <c r="BM160" s="22"/>
      <c r="BN160" s="24">
        <v>45904</v>
      </c>
      <c r="BO160" s="24">
        <v>45904</v>
      </c>
      <c r="BP160" s="25">
        <v>21.59</v>
      </c>
      <c r="BQ160" s="24">
        <v>45903</v>
      </c>
    </row>
    <row r="161" spans="1:69" ht="22.5" hidden="1" customHeight="1" x14ac:dyDescent="0.2">
      <c r="A161" s="28" t="s">
        <v>262</v>
      </c>
      <c r="B161" s="28"/>
      <c r="C161" s="28" t="s">
        <v>221</v>
      </c>
      <c r="D161" s="28" t="s">
        <v>222</v>
      </c>
      <c r="E161" s="29">
        <v>414758</v>
      </c>
      <c r="F161" s="29">
        <v>1887</v>
      </c>
      <c r="G161" s="29">
        <v>303</v>
      </c>
      <c r="H161" s="29">
        <v>0</v>
      </c>
      <c r="I161" s="30">
        <v>45902</v>
      </c>
      <c r="J161" s="28" t="s">
        <v>263</v>
      </c>
      <c r="K161" s="28" t="s">
        <v>684</v>
      </c>
      <c r="L161" s="31">
        <v>26.65</v>
      </c>
      <c r="M161" s="31">
        <v>3.67</v>
      </c>
      <c r="N161" s="31">
        <v>30.32</v>
      </c>
      <c r="O161" s="28"/>
      <c r="P161" s="32">
        <v>45904</v>
      </c>
      <c r="Q161" s="31">
        <v>30.32</v>
      </c>
      <c r="R161" s="28" t="s">
        <v>685</v>
      </c>
      <c r="S161" s="31">
        <v>0</v>
      </c>
      <c r="T161" s="28"/>
      <c r="U161" s="29"/>
      <c r="V161" s="28"/>
      <c r="W161" s="29"/>
      <c r="X161" s="29"/>
      <c r="Y161" s="29"/>
      <c r="Z161" s="31">
        <v>0</v>
      </c>
      <c r="AA161" s="31">
        <v>0</v>
      </c>
      <c r="AB161" s="31">
        <v>0</v>
      </c>
      <c r="AC161" s="28"/>
      <c r="AD161" s="28" t="s">
        <v>293</v>
      </c>
      <c r="AE161" s="28" t="s">
        <v>294</v>
      </c>
      <c r="AF161" s="28" t="s">
        <v>31</v>
      </c>
      <c r="AG161" s="28" t="s">
        <v>42</v>
      </c>
      <c r="AH161" s="28" t="s">
        <v>228</v>
      </c>
      <c r="AI161" s="28" t="s">
        <v>31</v>
      </c>
      <c r="AJ161" s="28"/>
      <c r="AK161" s="28" t="s">
        <v>235</v>
      </c>
      <c r="AL161" s="28" t="s">
        <v>331</v>
      </c>
      <c r="AM161" s="28" t="s">
        <v>231</v>
      </c>
      <c r="AN161" s="28" t="s">
        <v>232</v>
      </c>
      <c r="AO161" s="28" t="s">
        <v>231</v>
      </c>
      <c r="AP161" s="28" t="s">
        <v>232</v>
      </c>
      <c r="AQ161" s="28"/>
      <c r="AR161" s="28"/>
      <c r="AS161" s="28"/>
      <c r="AT161" s="28"/>
      <c r="AU161" s="28"/>
      <c r="AV161" s="28"/>
      <c r="AW161" s="29"/>
      <c r="AX161" s="33"/>
      <c r="AY161" s="31"/>
      <c r="AZ161" s="33"/>
      <c r="BA161" s="31"/>
      <c r="BB161" s="28"/>
      <c r="BC161" s="28"/>
      <c r="BD161" s="28"/>
      <c r="BE161" s="28"/>
      <c r="BF161" s="29"/>
      <c r="BG161" s="29"/>
      <c r="BH161" s="28" t="s">
        <v>686</v>
      </c>
      <c r="BI161" s="29">
        <v>1</v>
      </c>
      <c r="BJ161" s="29">
        <v>0</v>
      </c>
      <c r="BK161" s="30"/>
      <c r="BL161" s="30"/>
      <c r="BM161" s="28"/>
      <c r="BN161" s="30">
        <v>45904</v>
      </c>
      <c r="BO161" s="30">
        <v>45904</v>
      </c>
      <c r="BP161" s="31">
        <v>30.32</v>
      </c>
      <c r="BQ161" s="30">
        <v>45903</v>
      </c>
    </row>
    <row r="162" spans="1:69" ht="22.5" hidden="1" customHeight="1" x14ac:dyDescent="0.2">
      <c r="A162" s="22" t="s">
        <v>262</v>
      </c>
      <c r="B162" s="22"/>
      <c r="C162" s="22" t="s">
        <v>221</v>
      </c>
      <c r="D162" s="22" t="s">
        <v>222</v>
      </c>
      <c r="E162" s="23">
        <v>414759</v>
      </c>
      <c r="F162" s="23">
        <v>1888</v>
      </c>
      <c r="G162" s="23">
        <v>303</v>
      </c>
      <c r="H162" s="23">
        <v>0</v>
      </c>
      <c r="I162" s="24">
        <v>45902</v>
      </c>
      <c r="J162" s="22" t="s">
        <v>263</v>
      </c>
      <c r="K162" s="22" t="s">
        <v>687</v>
      </c>
      <c r="L162" s="25">
        <v>25.92</v>
      </c>
      <c r="M162" s="25">
        <v>2.27</v>
      </c>
      <c r="N162" s="25">
        <v>28.19</v>
      </c>
      <c r="O162" s="22"/>
      <c r="P162" s="26">
        <v>45904</v>
      </c>
      <c r="Q162" s="25">
        <v>28.19</v>
      </c>
      <c r="R162" s="22" t="s">
        <v>688</v>
      </c>
      <c r="S162" s="25">
        <v>0</v>
      </c>
      <c r="T162" s="22"/>
      <c r="U162" s="23"/>
      <c r="V162" s="22"/>
      <c r="W162" s="23"/>
      <c r="X162" s="23"/>
      <c r="Y162" s="23"/>
      <c r="Z162" s="25">
        <v>0</v>
      </c>
      <c r="AA162" s="25">
        <v>0</v>
      </c>
      <c r="AB162" s="25">
        <v>0</v>
      </c>
      <c r="AC162" s="22"/>
      <c r="AD162" s="22" t="s">
        <v>293</v>
      </c>
      <c r="AE162" s="22" t="s">
        <v>294</v>
      </c>
      <c r="AF162" s="22" t="s">
        <v>31</v>
      </c>
      <c r="AG162" s="22" t="s">
        <v>42</v>
      </c>
      <c r="AH162" s="22" t="s">
        <v>228</v>
      </c>
      <c r="AI162" s="22" t="s">
        <v>31</v>
      </c>
      <c r="AJ162" s="22"/>
      <c r="AK162" s="22" t="s">
        <v>235</v>
      </c>
      <c r="AL162" s="22" t="s">
        <v>331</v>
      </c>
      <c r="AM162" s="22" t="s">
        <v>231</v>
      </c>
      <c r="AN162" s="22" t="s">
        <v>232</v>
      </c>
      <c r="AO162" s="22" t="s">
        <v>231</v>
      </c>
      <c r="AP162" s="22" t="s">
        <v>232</v>
      </c>
      <c r="AQ162" s="22"/>
      <c r="AR162" s="22"/>
      <c r="AS162" s="22"/>
      <c r="AT162" s="22"/>
      <c r="AU162" s="22"/>
      <c r="AV162" s="22"/>
      <c r="AW162" s="23"/>
      <c r="AX162" s="27"/>
      <c r="AY162" s="25"/>
      <c r="AZ162" s="27"/>
      <c r="BA162" s="25"/>
      <c r="BB162" s="22"/>
      <c r="BC162" s="22"/>
      <c r="BD162" s="22"/>
      <c r="BE162" s="22"/>
      <c r="BF162" s="23"/>
      <c r="BG162" s="23"/>
      <c r="BH162" s="22" t="s">
        <v>689</v>
      </c>
      <c r="BI162" s="23">
        <v>1</v>
      </c>
      <c r="BJ162" s="23">
        <v>0</v>
      </c>
      <c r="BK162" s="24"/>
      <c r="BL162" s="24"/>
      <c r="BM162" s="22"/>
      <c r="BN162" s="24">
        <v>45904</v>
      </c>
      <c r="BO162" s="24">
        <v>45904</v>
      </c>
      <c r="BP162" s="25">
        <v>28.19</v>
      </c>
      <c r="BQ162" s="24">
        <v>45903</v>
      </c>
    </row>
    <row r="163" spans="1:69" ht="22.5" hidden="1" customHeight="1" x14ac:dyDescent="0.2">
      <c r="A163" s="28" t="s">
        <v>262</v>
      </c>
      <c r="B163" s="28"/>
      <c r="C163" s="28" t="s">
        <v>221</v>
      </c>
      <c r="D163" s="28" t="s">
        <v>222</v>
      </c>
      <c r="E163" s="29">
        <v>414760</v>
      </c>
      <c r="F163" s="29">
        <v>1889</v>
      </c>
      <c r="G163" s="29">
        <v>303</v>
      </c>
      <c r="H163" s="29">
        <v>0</v>
      </c>
      <c r="I163" s="30">
        <v>45902</v>
      </c>
      <c r="J163" s="28" t="s">
        <v>263</v>
      </c>
      <c r="K163" s="28" t="s">
        <v>690</v>
      </c>
      <c r="L163" s="31">
        <v>28.04</v>
      </c>
      <c r="M163" s="31">
        <v>1.54</v>
      </c>
      <c r="N163" s="31">
        <v>29.58</v>
      </c>
      <c r="O163" s="28"/>
      <c r="P163" s="32">
        <v>45904</v>
      </c>
      <c r="Q163" s="31">
        <v>29.58</v>
      </c>
      <c r="R163" s="28" t="s">
        <v>691</v>
      </c>
      <c r="S163" s="31">
        <v>0</v>
      </c>
      <c r="T163" s="28"/>
      <c r="U163" s="29"/>
      <c r="V163" s="28"/>
      <c r="W163" s="29"/>
      <c r="X163" s="29"/>
      <c r="Y163" s="29"/>
      <c r="Z163" s="31">
        <v>0</v>
      </c>
      <c r="AA163" s="31">
        <v>0</v>
      </c>
      <c r="AB163" s="31">
        <v>0</v>
      </c>
      <c r="AC163" s="28"/>
      <c r="AD163" s="28" t="s">
        <v>293</v>
      </c>
      <c r="AE163" s="28" t="s">
        <v>294</v>
      </c>
      <c r="AF163" s="28" t="s">
        <v>31</v>
      </c>
      <c r="AG163" s="28" t="s">
        <v>42</v>
      </c>
      <c r="AH163" s="28" t="s">
        <v>228</v>
      </c>
      <c r="AI163" s="28" t="s">
        <v>31</v>
      </c>
      <c r="AJ163" s="28"/>
      <c r="AK163" s="28" t="s">
        <v>235</v>
      </c>
      <c r="AL163" s="28" t="s">
        <v>331</v>
      </c>
      <c r="AM163" s="28" t="s">
        <v>231</v>
      </c>
      <c r="AN163" s="28" t="s">
        <v>232</v>
      </c>
      <c r="AO163" s="28" t="s">
        <v>231</v>
      </c>
      <c r="AP163" s="28" t="s">
        <v>232</v>
      </c>
      <c r="AQ163" s="28"/>
      <c r="AR163" s="28"/>
      <c r="AS163" s="28"/>
      <c r="AT163" s="28"/>
      <c r="AU163" s="28"/>
      <c r="AV163" s="28"/>
      <c r="AW163" s="29"/>
      <c r="AX163" s="33"/>
      <c r="AY163" s="31"/>
      <c r="AZ163" s="33"/>
      <c r="BA163" s="31"/>
      <c r="BB163" s="28"/>
      <c r="BC163" s="28"/>
      <c r="BD163" s="28"/>
      <c r="BE163" s="28"/>
      <c r="BF163" s="29"/>
      <c r="BG163" s="29"/>
      <c r="BH163" s="28" t="s">
        <v>692</v>
      </c>
      <c r="BI163" s="29">
        <v>1</v>
      </c>
      <c r="BJ163" s="29">
        <v>0</v>
      </c>
      <c r="BK163" s="30"/>
      <c r="BL163" s="30"/>
      <c r="BM163" s="28"/>
      <c r="BN163" s="30">
        <v>45904</v>
      </c>
      <c r="BO163" s="30">
        <v>45904</v>
      </c>
      <c r="BP163" s="31">
        <v>29.58</v>
      </c>
      <c r="BQ163" s="30">
        <v>45903</v>
      </c>
    </row>
    <row r="164" spans="1:69" ht="22.5" hidden="1" customHeight="1" x14ac:dyDescent="0.2">
      <c r="A164" s="22" t="s">
        <v>262</v>
      </c>
      <c r="B164" s="22"/>
      <c r="C164" s="22" t="s">
        <v>221</v>
      </c>
      <c r="D164" s="22" t="s">
        <v>222</v>
      </c>
      <c r="E164" s="23">
        <v>414761</v>
      </c>
      <c r="F164" s="23">
        <v>1890</v>
      </c>
      <c r="G164" s="23">
        <v>303</v>
      </c>
      <c r="H164" s="23">
        <v>0</v>
      </c>
      <c r="I164" s="24">
        <v>45902</v>
      </c>
      <c r="J164" s="22" t="s">
        <v>263</v>
      </c>
      <c r="K164" s="22" t="s">
        <v>693</v>
      </c>
      <c r="L164" s="25">
        <v>27.72</v>
      </c>
      <c r="M164" s="25">
        <v>1.52</v>
      </c>
      <c r="N164" s="25">
        <v>29.24</v>
      </c>
      <c r="O164" s="22"/>
      <c r="P164" s="26">
        <v>45904</v>
      </c>
      <c r="Q164" s="25">
        <v>29.24</v>
      </c>
      <c r="R164" s="22" t="s">
        <v>694</v>
      </c>
      <c r="S164" s="25">
        <v>0</v>
      </c>
      <c r="T164" s="22"/>
      <c r="U164" s="23"/>
      <c r="V164" s="22"/>
      <c r="W164" s="23"/>
      <c r="X164" s="23"/>
      <c r="Y164" s="23"/>
      <c r="Z164" s="25">
        <v>0</v>
      </c>
      <c r="AA164" s="25">
        <v>0</v>
      </c>
      <c r="AB164" s="25">
        <v>0</v>
      </c>
      <c r="AC164" s="22"/>
      <c r="AD164" s="22" t="s">
        <v>293</v>
      </c>
      <c r="AE164" s="22" t="s">
        <v>294</v>
      </c>
      <c r="AF164" s="22" t="s">
        <v>31</v>
      </c>
      <c r="AG164" s="22" t="s">
        <v>42</v>
      </c>
      <c r="AH164" s="22" t="s">
        <v>228</v>
      </c>
      <c r="AI164" s="22" t="s">
        <v>31</v>
      </c>
      <c r="AJ164" s="22"/>
      <c r="AK164" s="22" t="s">
        <v>235</v>
      </c>
      <c r="AL164" s="22" t="s">
        <v>331</v>
      </c>
      <c r="AM164" s="22" t="s">
        <v>231</v>
      </c>
      <c r="AN164" s="22" t="s">
        <v>232</v>
      </c>
      <c r="AO164" s="22" t="s">
        <v>231</v>
      </c>
      <c r="AP164" s="22" t="s">
        <v>232</v>
      </c>
      <c r="AQ164" s="22"/>
      <c r="AR164" s="22"/>
      <c r="AS164" s="22"/>
      <c r="AT164" s="22"/>
      <c r="AU164" s="22"/>
      <c r="AV164" s="22"/>
      <c r="AW164" s="23"/>
      <c r="AX164" s="27"/>
      <c r="AY164" s="25"/>
      <c r="AZ164" s="27"/>
      <c r="BA164" s="25"/>
      <c r="BB164" s="22"/>
      <c r="BC164" s="22"/>
      <c r="BD164" s="22"/>
      <c r="BE164" s="22"/>
      <c r="BF164" s="23"/>
      <c r="BG164" s="23"/>
      <c r="BH164" s="22" t="s">
        <v>695</v>
      </c>
      <c r="BI164" s="23">
        <v>1</v>
      </c>
      <c r="BJ164" s="23">
        <v>0</v>
      </c>
      <c r="BK164" s="24"/>
      <c r="BL164" s="24"/>
      <c r="BM164" s="22"/>
      <c r="BN164" s="24">
        <v>45904</v>
      </c>
      <c r="BO164" s="24">
        <v>45904</v>
      </c>
      <c r="BP164" s="25">
        <v>29.24</v>
      </c>
      <c r="BQ164" s="24">
        <v>45903</v>
      </c>
    </row>
    <row r="165" spans="1:69" ht="22.5" hidden="1" customHeight="1" x14ac:dyDescent="0.2">
      <c r="A165" s="22" t="s">
        <v>262</v>
      </c>
      <c r="B165" s="22"/>
      <c r="C165" s="22" t="s">
        <v>221</v>
      </c>
      <c r="D165" s="22" t="s">
        <v>222</v>
      </c>
      <c r="E165" s="23">
        <v>414763</v>
      </c>
      <c r="F165" s="23">
        <v>1891</v>
      </c>
      <c r="G165" s="23">
        <v>303</v>
      </c>
      <c r="H165" s="23">
        <v>0</v>
      </c>
      <c r="I165" s="24">
        <v>45902</v>
      </c>
      <c r="J165" s="22" t="s">
        <v>263</v>
      </c>
      <c r="K165" s="22" t="s">
        <v>696</v>
      </c>
      <c r="L165" s="25">
        <v>26.61</v>
      </c>
      <c r="M165" s="25">
        <v>2.6</v>
      </c>
      <c r="N165" s="25">
        <v>29.21</v>
      </c>
      <c r="O165" s="22"/>
      <c r="P165" s="26">
        <v>45904</v>
      </c>
      <c r="Q165" s="25">
        <v>29.21</v>
      </c>
      <c r="R165" s="22" t="s">
        <v>697</v>
      </c>
      <c r="S165" s="25">
        <v>0</v>
      </c>
      <c r="T165" s="22"/>
      <c r="U165" s="23"/>
      <c r="V165" s="22"/>
      <c r="W165" s="23"/>
      <c r="X165" s="23"/>
      <c r="Y165" s="23"/>
      <c r="Z165" s="25">
        <v>0</v>
      </c>
      <c r="AA165" s="25">
        <v>0</v>
      </c>
      <c r="AB165" s="25">
        <v>0</v>
      </c>
      <c r="AC165" s="22"/>
      <c r="AD165" s="22" t="s">
        <v>293</v>
      </c>
      <c r="AE165" s="22" t="s">
        <v>294</v>
      </c>
      <c r="AF165" s="22" t="s">
        <v>31</v>
      </c>
      <c r="AG165" s="22" t="s">
        <v>42</v>
      </c>
      <c r="AH165" s="22" t="s">
        <v>228</v>
      </c>
      <c r="AI165" s="22" t="s">
        <v>31</v>
      </c>
      <c r="AJ165" s="22"/>
      <c r="AK165" s="22" t="s">
        <v>235</v>
      </c>
      <c r="AL165" s="22" t="s">
        <v>331</v>
      </c>
      <c r="AM165" s="22" t="s">
        <v>231</v>
      </c>
      <c r="AN165" s="22" t="s">
        <v>232</v>
      </c>
      <c r="AO165" s="22" t="s">
        <v>231</v>
      </c>
      <c r="AP165" s="22" t="s">
        <v>232</v>
      </c>
      <c r="AQ165" s="22"/>
      <c r="AR165" s="22"/>
      <c r="AS165" s="22"/>
      <c r="AT165" s="22"/>
      <c r="AU165" s="22"/>
      <c r="AV165" s="22"/>
      <c r="AW165" s="23"/>
      <c r="AX165" s="27"/>
      <c r="AY165" s="25"/>
      <c r="AZ165" s="27"/>
      <c r="BA165" s="25"/>
      <c r="BB165" s="22"/>
      <c r="BC165" s="22"/>
      <c r="BD165" s="22"/>
      <c r="BE165" s="22"/>
      <c r="BF165" s="23"/>
      <c r="BG165" s="23"/>
      <c r="BH165" s="22" t="s">
        <v>698</v>
      </c>
      <c r="BI165" s="23">
        <v>1</v>
      </c>
      <c r="BJ165" s="23">
        <v>0</v>
      </c>
      <c r="BK165" s="24"/>
      <c r="BL165" s="24"/>
      <c r="BM165" s="22"/>
      <c r="BN165" s="24">
        <v>45904</v>
      </c>
      <c r="BO165" s="24">
        <v>45904</v>
      </c>
      <c r="BP165" s="25">
        <v>29.21</v>
      </c>
      <c r="BQ165" s="24">
        <v>45903</v>
      </c>
    </row>
    <row r="166" spans="1:69" ht="22.5" hidden="1" customHeight="1" x14ac:dyDescent="0.2">
      <c r="A166" s="22" t="s">
        <v>262</v>
      </c>
      <c r="B166" s="22"/>
      <c r="C166" s="22" t="s">
        <v>221</v>
      </c>
      <c r="D166" s="22" t="s">
        <v>222</v>
      </c>
      <c r="E166" s="23">
        <v>414765</v>
      </c>
      <c r="F166" s="23">
        <v>1892</v>
      </c>
      <c r="G166" s="23">
        <v>303</v>
      </c>
      <c r="H166" s="23">
        <v>0</v>
      </c>
      <c r="I166" s="24">
        <v>45902</v>
      </c>
      <c r="J166" s="22" t="s">
        <v>263</v>
      </c>
      <c r="K166" s="22" t="s">
        <v>699</v>
      </c>
      <c r="L166" s="25">
        <v>110.99</v>
      </c>
      <c r="M166" s="25">
        <v>8.8699999999999992</v>
      </c>
      <c r="N166" s="25">
        <v>119.86</v>
      </c>
      <c r="O166" s="22"/>
      <c r="P166" s="26">
        <v>45904</v>
      </c>
      <c r="Q166" s="25">
        <v>119.86</v>
      </c>
      <c r="R166" s="22" t="s">
        <v>700</v>
      </c>
      <c r="S166" s="25">
        <v>0</v>
      </c>
      <c r="T166" s="22"/>
      <c r="U166" s="23"/>
      <c r="V166" s="22"/>
      <c r="W166" s="23"/>
      <c r="X166" s="23"/>
      <c r="Y166" s="23"/>
      <c r="Z166" s="25">
        <v>0</v>
      </c>
      <c r="AA166" s="25">
        <v>0</v>
      </c>
      <c r="AB166" s="25">
        <v>0</v>
      </c>
      <c r="AC166" s="22"/>
      <c r="AD166" s="22" t="s">
        <v>293</v>
      </c>
      <c r="AE166" s="22" t="s">
        <v>294</v>
      </c>
      <c r="AF166" s="22" t="s">
        <v>31</v>
      </c>
      <c r="AG166" s="22" t="s">
        <v>42</v>
      </c>
      <c r="AH166" s="22" t="s">
        <v>228</v>
      </c>
      <c r="AI166" s="22" t="s">
        <v>31</v>
      </c>
      <c r="AJ166" s="22"/>
      <c r="AK166" s="22" t="s">
        <v>235</v>
      </c>
      <c r="AL166" s="22" t="s">
        <v>331</v>
      </c>
      <c r="AM166" s="22" t="s">
        <v>231</v>
      </c>
      <c r="AN166" s="22" t="s">
        <v>232</v>
      </c>
      <c r="AO166" s="22" t="s">
        <v>231</v>
      </c>
      <c r="AP166" s="22" t="s">
        <v>232</v>
      </c>
      <c r="AQ166" s="22"/>
      <c r="AR166" s="22"/>
      <c r="AS166" s="22"/>
      <c r="AT166" s="22"/>
      <c r="AU166" s="22"/>
      <c r="AV166" s="22"/>
      <c r="AW166" s="23"/>
      <c r="AX166" s="27"/>
      <c r="AY166" s="25"/>
      <c r="AZ166" s="27"/>
      <c r="BA166" s="25"/>
      <c r="BB166" s="22"/>
      <c r="BC166" s="22"/>
      <c r="BD166" s="22"/>
      <c r="BE166" s="22"/>
      <c r="BF166" s="23"/>
      <c r="BG166" s="23"/>
      <c r="BH166" s="22" t="s">
        <v>701</v>
      </c>
      <c r="BI166" s="23">
        <v>1</v>
      </c>
      <c r="BJ166" s="23">
        <v>0</v>
      </c>
      <c r="BK166" s="24"/>
      <c r="BL166" s="24"/>
      <c r="BM166" s="22"/>
      <c r="BN166" s="24">
        <v>45904</v>
      </c>
      <c r="BO166" s="24">
        <v>45904</v>
      </c>
      <c r="BP166" s="25">
        <v>119.86</v>
      </c>
      <c r="BQ166" s="24">
        <v>45903</v>
      </c>
    </row>
    <row r="167" spans="1:69" ht="22.5" hidden="1" customHeight="1" x14ac:dyDescent="0.2">
      <c r="A167" s="28" t="s">
        <v>262</v>
      </c>
      <c r="B167" s="28"/>
      <c r="C167" s="28" t="s">
        <v>221</v>
      </c>
      <c r="D167" s="28" t="s">
        <v>222</v>
      </c>
      <c r="E167" s="29">
        <v>414766</v>
      </c>
      <c r="F167" s="29">
        <v>1893</v>
      </c>
      <c r="G167" s="29">
        <v>303</v>
      </c>
      <c r="H167" s="29">
        <v>0</v>
      </c>
      <c r="I167" s="30">
        <v>45902</v>
      </c>
      <c r="J167" s="28" t="s">
        <v>263</v>
      </c>
      <c r="K167" s="28" t="s">
        <v>702</v>
      </c>
      <c r="L167" s="31">
        <v>26.36</v>
      </c>
      <c r="M167" s="31">
        <v>2.36</v>
      </c>
      <c r="N167" s="31">
        <v>28.72</v>
      </c>
      <c r="O167" s="28"/>
      <c r="P167" s="32">
        <v>45904</v>
      </c>
      <c r="Q167" s="31">
        <v>28.72</v>
      </c>
      <c r="R167" s="28" t="s">
        <v>703</v>
      </c>
      <c r="S167" s="31">
        <v>0</v>
      </c>
      <c r="T167" s="28"/>
      <c r="U167" s="29"/>
      <c r="V167" s="28"/>
      <c r="W167" s="29"/>
      <c r="X167" s="29"/>
      <c r="Y167" s="29"/>
      <c r="Z167" s="31">
        <v>0</v>
      </c>
      <c r="AA167" s="31">
        <v>0</v>
      </c>
      <c r="AB167" s="31">
        <v>0</v>
      </c>
      <c r="AC167" s="28"/>
      <c r="AD167" s="28" t="s">
        <v>293</v>
      </c>
      <c r="AE167" s="28" t="s">
        <v>294</v>
      </c>
      <c r="AF167" s="28" t="s">
        <v>31</v>
      </c>
      <c r="AG167" s="28" t="s">
        <v>42</v>
      </c>
      <c r="AH167" s="28" t="s">
        <v>228</v>
      </c>
      <c r="AI167" s="28" t="s">
        <v>31</v>
      </c>
      <c r="AJ167" s="28"/>
      <c r="AK167" s="28" t="s">
        <v>235</v>
      </c>
      <c r="AL167" s="28" t="s">
        <v>331</v>
      </c>
      <c r="AM167" s="28" t="s">
        <v>231</v>
      </c>
      <c r="AN167" s="28" t="s">
        <v>232</v>
      </c>
      <c r="AO167" s="28" t="s">
        <v>231</v>
      </c>
      <c r="AP167" s="28" t="s">
        <v>232</v>
      </c>
      <c r="AQ167" s="28"/>
      <c r="AR167" s="28"/>
      <c r="AS167" s="28"/>
      <c r="AT167" s="28"/>
      <c r="AU167" s="28"/>
      <c r="AV167" s="28"/>
      <c r="AW167" s="29"/>
      <c r="AX167" s="33"/>
      <c r="AY167" s="31"/>
      <c r="AZ167" s="33"/>
      <c r="BA167" s="31"/>
      <c r="BB167" s="28"/>
      <c r="BC167" s="28"/>
      <c r="BD167" s="28"/>
      <c r="BE167" s="28"/>
      <c r="BF167" s="29"/>
      <c r="BG167" s="29"/>
      <c r="BH167" s="28" t="s">
        <v>704</v>
      </c>
      <c r="BI167" s="29">
        <v>1</v>
      </c>
      <c r="BJ167" s="29">
        <v>0</v>
      </c>
      <c r="BK167" s="30"/>
      <c r="BL167" s="30"/>
      <c r="BM167" s="28"/>
      <c r="BN167" s="30">
        <v>45904</v>
      </c>
      <c r="BO167" s="30">
        <v>45904</v>
      </c>
      <c r="BP167" s="31">
        <v>28.72</v>
      </c>
      <c r="BQ167" s="30">
        <v>45903</v>
      </c>
    </row>
    <row r="168" spans="1:69" ht="22.5" hidden="1" customHeight="1" x14ac:dyDescent="0.2">
      <c r="A168" s="22" t="s">
        <v>262</v>
      </c>
      <c r="B168" s="22"/>
      <c r="C168" s="22" t="s">
        <v>221</v>
      </c>
      <c r="D168" s="22" t="s">
        <v>222</v>
      </c>
      <c r="E168" s="23">
        <v>414767</v>
      </c>
      <c r="F168" s="23">
        <v>1895</v>
      </c>
      <c r="G168" s="23">
        <v>303</v>
      </c>
      <c r="H168" s="23">
        <v>0</v>
      </c>
      <c r="I168" s="24">
        <v>45902</v>
      </c>
      <c r="J168" s="22" t="s">
        <v>263</v>
      </c>
      <c r="K168" s="22" t="s">
        <v>705</v>
      </c>
      <c r="L168" s="25">
        <v>27.58</v>
      </c>
      <c r="M168" s="25">
        <v>1.52</v>
      </c>
      <c r="N168" s="25">
        <v>29.1</v>
      </c>
      <c r="O168" s="22"/>
      <c r="P168" s="26">
        <v>45904</v>
      </c>
      <c r="Q168" s="25">
        <v>29.1</v>
      </c>
      <c r="R168" s="22" t="s">
        <v>706</v>
      </c>
      <c r="S168" s="25">
        <v>0</v>
      </c>
      <c r="T168" s="22"/>
      <c r="U168" s="23"/>
      <c r="V168" s="22"/>
      <c r="W168" s="23"/>
      <c r="X168" s="23"/>
      <c r="Y168" s="23"/>
      <c r="Z168" s="25">
        <v>0</v>
      </c>
      <c r="AA168" s="25">
        <v>0</v>
      </c>
      <c r="AB168" s="25">
        <v>0</v>
      </c>
      <c r="AC168" s="22"/>
      <c r="AD168" s="22" t="s">
        <v>293</v>
      </c>
      <c r="AE168" s="22" t="s">
        <v>294</v>
      </c>
      <c r="AF168" s="22" t="s">
        <v>31</v>
      </c>
      <c r="AG168" s="22" t="s">
        <v>42</v>
      </c>
      <c r="AH168" s="22" t="s">
        <v>228</v>
      </c>
      <c r="AI168" s="22" t="s">
        <v>31</v>
      </c>
      <c r="AJ168" s="22"/>
      <c r="AK168" s="22" t="s">
        <v>235</v>
      </c>
      <c r="AL168" s="22" t="s">
        <v>331</v>
      </c>
      <c r="AM168" s="22" t="s">
        <v>231</v>
      </c>
      <c r="AN168" s="22" t="s">
        <v>232</v>
      </c>
      <c r="AO168" s="22" t="s">
        <v>231</v>
      </c>
      <c r="AP168" s="22" t="s">
        <v>232</v>
      </c>
      <c r="AQ168" s="22"/>
      <c r="AR168" s="22"/>
      <c r="AS168" s="22"/>
      <c r="AT168" s="22"/>
      <c r="AU168" s="22"/>
      <c r="AV168" s="22"/>
      <c r="AW168" s="23"/>
      <c r="AX168" s="27"/>
      <c r="AY168" s="25"/>
      <c r="AZ168" s="27"/>
      <c r="BA168" s="25"/>
      <c r="BB168" s="22"/>
      <c r="BC168" s="22"/>
      <c r="BD168" s="22"/>
      <c r="BE168" s="22"/>
      <c r="BF168" s="23"/>
      <c r="BG168" s="23"/>
      <c r="BH168" s="22" t="s">
        <v>707</v>
      </c>
      <c r="BI168" s="23">
        <v>1</v>
      </c>
      <c r="BJ168" s="23">
        <v>0</v>
      </c>
      <c r="BK168" s="24"/>
      <c r="BL168" s="24"/>
      <c r="BM168" s="22"/>
      <c r="BN168" s="24">
        <v>45904</v>
      </c>
      <c r="BO168" s="24">
        <v>45904</v>
      </c>
      <c r="BP168" s="25">
        <v>29.1</v>
      </c>
      <c r="BQ168" s="24">
        <v>45903</v>
      </c>
    </row>
    <row r="169" spans="1:69" ht="22.5" hidden="1" customHeight="1" x14ac:dyDescent="0.2">
      <c r="A169" s="28" t="s">
        <v>262</v>
      </c>
      <c r="B169" s="28"/>
      <c r="C169" s="28" t="s">
        <v>221</v>
      </c>
      <c r="D169" s="28" t="s">
        <v>222</v>
      </c>
      <c r="E169" s="29">
        <v>414768</v>
      </c>
      <c r="F169" s="29">
        <v>1896</v>
      </c>
      <c r="G169" s="29">
        <v>303</v>
      </c>
      <c r="H169" s="29">
        <v>0</v>
      </c>
      <c r="I169" s="30">
        <v>45902</v>
      </c>
      <c r="J169" s="28" t="s">
        <v>263</v>
      </c>
      <c r="K169" s="28" t="s">
        <v>708</v>
      </c>
      <c r="L169" s="31">
        <v>93.32</v>
      </c>
      <c r="M169" s="31">
        <v>5.98</v>
      </c>
      <c r="N169" s="31">
        <v>99.3</v>
      </c>
      <c r="O169" s="28"/>
      <c r="P169" s="32">
        <v>45904</v>
      </c>
      <c r="Q169" s="31">
        <v>99.3</v>
      </c>
      <c r="R169" s="28" t="s">
        <v>709</v>
      </c>
      <c r="S169" s="31">
        <v>0</v>
      </c>
      <c r="T169" s="28"/>
      <c r="U169" s="29"/>
      <c r="V169" s="28"/>
      <c r="W169" s="29"/>
      <c r="X169" s="29"/>
      <c r="Y169" s="29"/>
      <c r="Z169" s="31">
        <v>0</v>
      </c>
      <c r="AA169" s="31">
        <v>0</v>
      </c>
      <c r="AB169" s="31">
        <v>0</v>
      </c>
      <c r="AC169" s="28"/>
      <c r="AD169" s="28" t="s">
        <v>293</v>
      </c>
      <c r="AE169" s="28" t="s">
        <v>294</v>
      </c>
      <c r="AF169" s="28" t="s">
        <v>31</v>
      </c>
      <c r="AG169" s="28" t="s">
        <v>42</v>
      </c>
      <c r="AH169" s="28" t="s">
        <v>228</v>
      </c>
      <c r="AI169" s="28" t="s">
        <v>31</v>
      </c>
      <c r="AJ169" s="28"/>
      <c r="AK169" s="28" t="s">
        <v>235</v>
      </c>
      <c r="AL169" s="28" t="s">
        <v>331</v>
      </c>
      <c r="AM169" s="28" t="s">
        <v>231</v>
      </c>
      <c r="AN169" s="28" t="s">
        <v>232</v>
      </c>
      <c r="AO169" s="28" t="s">
        <v>231</v>
      </c>
      <c r="AP169" s="28" t="s">
        <v>232</v>
      </c>
      <c r="AQ169" s="28"/>
      <c r="AR169" s="28"/>
      <c r="AS169" s="28"/>
      <c r="AT169" s="28"/>
      <c r="AU169" s="28"/>
      <c r="AV169" s="28"/>
      <c r="AW169" s="29"/>
      <c r="AX169" s="33"/>
      <c r="AY169" s="31"/>
      <c r="AZ169" s="33"/>
      <c r="BA169" s="31"/>
      <c r="BB169" s="28"/>
      <c r="BC169" s="28"/>
      <c r="BD169" s="28"/>
      <c r="BE169" s="28"/>
      <c r="BF169" s="29"/>
      <c r="BG169" s="29"/>
      <c r="BH169" s="28" t="s">
        <v>710</v>
      </c>
      <c r="BI169" s="29">
        <v>1</v>
      </c>
      <c r="BJ169" s="29">
        <v>0</v>
      </c>
      <c r="BK169" s="30"/>
      <c r="BL169" s="30"/>
      <c r="BM169" s="28"/>
      <c r="BN169" s="30">
        <v>45904</v>
      </c>
      <c r="BO169" s="30">
        <v>45904</v>
      </c>
      <c r="BP169" s="31">
        <v>99.3</v>
      </c>
      <c r="BQ169" s="30">
        <v>45903</v>
      </c>
    </row>
    <row r="170" spans="1:69" ht="22.5" hidden="1" customHeight="1" x14ac:dyDescent="0.2">
      <c r="A170" s="22" t="s">
        <v>262</v>
      </c>
      <c r="B170" s="22"/>
      <c r="C170" s="22" t="s">
        <v>221</v>
      </c>
      <c r="D170" s="22" t="s">
        <v>222</v>
      </c>
      <c r="E170" s="23">
        <v>414769</v>
      </c>
      <c r="F170" s="23">
        <v>1894</v>
      </c>
      <c r="G170" s="23">
        <v>303</v>
      </c>
      <c r="H170" s="23">
        <v>0</v>
      </c>
      <c r="I170" s="24">
        <v>45902</v>
      </c>
      <c r="J170" s="22" t="s">
        <v>263</v>
      </c>
      <c r="K170" s="22" t="s">
        <v>711</v>
      </c>
      <c r="L170" s="25">
        <v>91.99</v>
      </c>
      <c r="M170" s="25">
        <v>7.47</v>
      </c>
      <c r="N170" s="25">
        <v>99.46</v>
      </c>
      <c r="O170" s="22"/>
      <c r="P170" s="26">
        <v>45904</v>
      </c>
      <c r="Q170" s="25">
        <v>99.46</v>
      </c>
      <c r="R170" s="22" t="s">
        <v>712</v>
      </c>
      <c r="S170" s="25">
        <v>0</v>
      </c>
      <c r="T170" s="22"/>
      <c r="U170" s="23"/>
      <c r="V170" s="22"/>
      <c r="W170" s="23"/>
      <c r="X170" s="23"/>
      <c r="Y170" s="23"/>
      <c r="Z170" s="25">
        <v>0</v>
      </c>
      <c r="AA170" s="25">
        <v>0</v>
      </c>
      <c r="AB170" s="25">
        <v>0</v>
      </c>
      <c r="AC170" s="22"/>
      <c r="AD170" s="22" t="s">
        <v>293</v>
      </c>
      <c r="AE170" s="22" t="s">
        <v>294</v>
      </c>
      <c r="AF170" s="22" t="s">
        <v>31</v>
      </c>
      <c r="AG170" s="22" t="s">
        <v>42</v>
      </c>
      <c r="AH170" s="22" t="s">
        <v>228</v>
      </c>
      <c r="AI170" s="22" t="s">
        <v>31</v>
      </c>
      <c r="AJ170" s="22"/>
      <c r="AK170" s="22" t="s">
        <v>235</v>
      </c>
      <c r="AL170" s="22" t="s">
        <v>331</v>
      </c>
      <c r="AM170" s="22" t="s">
        <v>231</v>
      </c>
      <c r="AN170" s="22" t="s">
        <v>232</v>
      </c>
      <c r="AO170" s="22" t="s">
        <v>231</v>
      </c>
      <c r="AP170" s="22" t="s">
        <v>232</v>
      </c>
      <c r="AQ170" s="22"/>
      <c r="AR170" s="22"/>
      <c r="AS170" s="22"/>
      <c r="AT170" s="22"/>
      <c r="AU170" s="22"/>
      <c r="AV170" s="22"/>
      <c r="AW170" s="23"/>
      <c r="AX170" s="27"/>
      <c r="AY170" s="25"/>
      <c r="AZ170" s="27"/>
      <c r="BA170" s="25"/>
      <c r="BB170" s="22"/>
      <c r="BC170" s="22"/>
      <c r="BD170" s="22"/>
      <c r="BE170" s="22"/>
      <c r="BF170" s="23"/>
      <c r="BG170" s="23"/>
      <c r="BH170" s="22" t="s">
        <v>713</v>
      </c>
      <c r="BI170" s="23">
        <v>1</v>
      </c>
      <c r="BJ170" s="23">
        <v>0</v>
      </c>
      <c r="BK170" s="24"/>
      <c r="BL170" s="24"/>
      <c r="BM170" s="22"/>
      <c r="BN170" s="24">
        <v>45904</v>
      </c>
      <c r="BO170" s="24">
        <v>45904</v>
      </c>
      <c r="BP170" s="25">
        <v>99.46</v>
      </c>
      <c r="BQ170" s="24">
        <v>45903</v>
      </c>
    </row>
    <row r="171" spans="1:69" ht="22.5" hidden="1" customHeight="1" x14ac:dyDescent="0.2">
      <c r="A171" s="28" t="s">
        <v>262</v>
      </c>
      <c r="B171" s="28"/>
      <c r="C171" s="28" t="s">
        <v>221</v>
      </c>
      <c r="D171" s="28" t="s">
        <v>222</v>
      </c>
      <c r="E171" s="29">
        <v>414774</v>
      </c>
      <c r="F171" s="29">
        <v>1897</v>
      </c>
      <c r="G171" s="29">
        <v>303</v>
      </c>
      <c r="H171" s="29">
        <v>0</v>
      </c>
      <c r="I171" s="30">
        <v>45902</v>
      </c>
      <c r="J171" s="28" t="s">
        <v>263</v>
      </c>
      <c r="K171" s="28" t="s">
        <v>714</v>
      </c>
      <c r="L171" s="31">
        <v>23.67</v>
      </c>
      <c r="M171" s="31">
        <v>1.3</v>
      </c>
      <c r="N171" s="31">
        <v>24.97</v>
      </c>
      <c r="O171" s="28"/>
      <c r="P171" s="32">
        <v>45904</v>
      </c>
      <c r="Q171" s="31">
        <v>24.97</v>
      </c>
      <c r="R171" s="28" t="s">
        <v>715</v>
      </c>
      <c r="S171" s="31">
        <v>0</v>
      </c>
      <c r="T171" s="28"/>
      <c r="U171" s="29"/>
      <c r="V171" s="28"/>
      <c r="W171" s="29"/>
      <c r="X171" s="29"/>
      <c r="Y171" s="29"/>
      <c r="Z171" s="31">
        <v>0</v>
      </c>
      <c r="AA171" s="31">
        <v>0</v>
      </c>
      <c r="AB171" s="31">
        <v>0</v>
      </c>
      <c r="AC171" s="28"/>
      <c r="AD171" s="28" t="s">
        <v>293</v>
      </c>
      <c r="AE171" s="28" t="s">
        <v>294</v>
      </c>
      <c r="AF171" s="28" t="s">
        <v>31</v>
      </c>
      <c r="AG171" s="28" t="s">
        <v>42</v>
      </c>
      <c r="AH171" s="28" t="s">
        <v>228</v>
      </c>
      <c r="AI171" s="28" t="s">
        <v>31</v>
      </c>
      <c r="AJ171" s="28"/>
      <c r="AK171" s="28" t="s">
        <v>235</v>
      </c>
      <c r="AL171" s="28" t="s">
        <v>331</v>
      </c>
      <c r="AM171" s="28" t="s">
        <v>231</v>
      </c>
      <c r="AN171" s="28" t="s">
        <v>232</v>
      </c>
      <c r="AO171" s="28" t="s">
        <v>231</v>
      </c>
      <c r="AP171" s="28" t="s">
        <v>232</v>
      </c>
      <c r="AQ171" s="28"/>
      <c r="AR171" s="28"/>
      <c r="AS171" s="28"/>
      <c r="AT171" s="28"/>
      <c r="AU171" s="28"/>
      <c r="AV171" s="28"/>
      <c r="AW171" s="29"/>
      <c r="AX171" s="33"/>
      <c r="AY171" s="31"/>
      <c r="AZ171" s="33"/>
      <c r="BA171" s="31"/>
      <c r="BB171" s="28"/>
      <c r="BC171" s="28"/>
      <c r="BD171" s="28"/>
      <c r="BE171" s="28"/>
      <c r="BF171" s="29"/>
      <c r="BG171" s="29"/>
      <c r="BH171" s="28" t="s">
        <v>716</v>
      </c>
      <c r="BI171" s="29">
        <v>1</v>
      </c>
      <c r="BJ171" s="29">
        <v>0</v>
      </c>
      <c r="BK171" s="30"/>
      <c r="BL171" s="30"/>
      <c r="BM171" s="28"/>
      <c r="BN171" s="30">
        <v>45904</v>
      </c>
      <c r="BO171" s="30">
        <v>45904</v>
      </c>
      <c r="BP171" s="31">
        <v>24.97</v>
      </c>
      <c r="BQ171" s="30">
        <v>45903</v>
      </c>
    </row>
    <row r="172" spans="1:69" ht="22.5" customHeight="1" x14ac:dyDescent="0.2">
      <c r="A172" s="22" t="s">
        <v>262</v>
      </c>
      <c r="B172" s="22"/>
      <c r="C172" s="22" t="s">
        <v>221</v>
      </c>
      <c r="D172" s="22" t="s">
        <v>222</v>
      </c>
      <c r="E172" s="23">
        <v>414781</v>
      </c>
      <c r="F172" s="23">
        <v>1911</v>
      </c>
      <c r="G172" s="23">
        <v>304</v>
      </c>
      <c r="H172" s="23">
        <v>0</v>
      </c>
      <c r="I172" s="24">
        <v>45902</v>
      </c>
      <c r="J172" s="22" t="s">
        <v>656</v>
      </c>
      <c r="K172" s="22" t="s">
        <v>717</v>
      </c>
      <c r="L172" s="25">
        <v>26.62</v>
      </c>
      <c r="M172" s="25">
        <v>1.46</v>
      </c>
      <c r="N172" s="25">
        <v>28.08</v>
      </c>
      <c r="O172" s="22"/>
      <c r="P172" s="26">
        <v>45904</v>
      </c>
      <c r="Q172" s="25">
        <v>28.08</v>
      </c>
      <c r="R172" s="22" t="s">
        <v>307</v>
      </c>
      <c r="S172" s="25">
        <v>0</v>
      </c>
      <c r="T172" s="22"/>
      <c r="U172" s="23"/>
      <c r="V172" s="22"/>
      <c r="W172" s="23"/>
      <c r="X172" s="23"/>
      <c r="Y172" s="23"/>
      <c r="Z172" s="25">
        <v>0</v>
      </c>
      <c r="AA172" s="25">
        <v>0</v>
      </c>
      <c r="AB172" s="25">
        <v>0</v>
      </c>
      <c r="AC172" s="22"/>
      <c r="AD172" s="22" t="s">
        <v>308</v>
      </c>
      <c r="AE172" s="22" t="s">
        <v>309</v>
      </c>
      <c r="AF172" s="22" t="s">
        <v>31</v>
      </c>
      <c r="AG172" s="22" t="s">
        <v>46</v>
      </c>
      <c r="AH172" s="22" t="s">
        <v>228</v>
      </c>
      <c r="AI172" s="22" t="s">
        <v>31</v>
      </c>
      <c r="AJ172" s="22"/>
      <c r="AK172" s="22" t="s">
        <v>34</v>
      </c>
      <c r="AL172" s="22" t="s">
        <v>47</v>
      </c>
      <c r="AM172" s="22" t="s">
        <v>231</v>
      </c>
      <c r="AN172" s="22" t="s">
        <v>232</v>
      </c>
      <c r="AO172" s="22" t="s">
        <v>231</v>
      </c>
      <c r="AP172" s="22" t="s">
        <v>232</v>
      </c>
      <c r="AQ172" s="22"/>
      <c r="AR172" s="22"/>
      <c r="AS172" s="22"/>
      <c r="AT172" s="22"/>
      <c r="AU172" s="22"/>
      <c r="AV172" s="22"/>
      <c r="AW172" s="23"/>
      <c r="AX172" s="27"/>
      <c r="AY172" s="25"/>
      <c r="AZ172" s="27"/>
      <c r="BA172" s="25"/>
      <c r="BB172" s="22"/>
      <c r="BC172" s="22"/>
      <c r="BD172" s="22"/>
      <c r="BE172" s="22"/>
      <c r="BF172" s="23"/>
      <c r="BG172" s="23"/>
      <c r="BH172" s="22" t="s">
        <v>718</v>
      </c>
      <c r="BI172" s="23">
        <v>1</v>
      </c>
      <c r="BJ172" s="23">
        <v>0</v>
      </c>
      <c r="BK172" s="24"/>
      <c r="BL172" s="24"/>
      <c r="BM172" s="22"/>
      <c r="BN172" s="24">
        <v>45904</v>
      </c>
      <c r="BO172" s="24">
        <v>45904</v>
      </c>
      <c r="BP172" s="25">
        <v>28.08</v>
      </c>
      <c r="BQ172" s="24">
        <v>45903</v>
      </c>
    </row>
    <row r="173" spans="1:69" ht="22.5" customHeight="1" x14ac:dyDescent="0.2">
      <c r="A173" s="28" t="s">
        <v>262</v>
      </c>
      <c r="B173" s="28"/>
      <c r="C173" s="28" t="s">
        <v>221</v>
      </c>
      <c r="D173" s="28" t="s">
        <v>222</v>
      </c>
      <c r="E173" s="29">
        <v>414782</v>
      </c>
      <c r="F173" s="29">
        <v>1912</v>
      </c>
      <c r="G173" s="29">
        <v>304</v>
      </c>
      <c r="H173" s="29">
        <v>0</v>
      </c>
      <c r="I173" s="30">
        <v>45902</v>
      </c>
      <c r="J173" s="28" t="s">
        <v>656</v>
      </c>
      <c r="K173" s="28" t="s">
        <v>719</v>
      </c>
      <c r="L173" s="31">
        <v>15.53</v>
      </c>
      <c r="M173" s="31">
        <v>0.85</v>
      </c>
      <c r="N173" s="31">
        <v>16.38</v>
      </c>
      <c r="O173" s="28"/>
      <c r="P173" s="32">
        <v>45904</v>
      </c>
      <c r="Q173" s="31">
        <v>16.38</v>
      </c>
      <c r="R173" s="28" t="s">
        <v>312</v>
      </c>
      <c r="S173" s="31">
        <v>0</v>
      </c>
      <c r="T173" s="28"/>
      <c r="U173" s="29"/>
      <c r="V173" s="28"/>
      <c r="W173" s="29"/>
      <c r="X173" s="29"/>
      <c r="Y173" s="29"/>
      <c r="Z173" s="31">
        <v>0</v>
      </c>
      <c r="AA173" s="31">
        <v>0</v>
      </c>
      <c r="AB173" s="31">
        <v>0</v>
      </c>
      <c r="AC173" s="28"/>
      <c r="AD173" s="28" t="s">
        <v>308</v>
      </c>
      <c r="AE173" s="28" t="s">
        <v>309</v>
      </c>
      <c r="AF173" s="28" t="s">
        <v>31</v>
      </c>
      <c r="AG173" s="28" t="s">
        <v>42</v>
      </c>
      <c r="AH173" s="28" t="s">
        <v>228</v>
      </c>
      <c r="AI173" s="28" t="s">
        <v>31</v>
      </c>
      <c r="AJ173" s="28"/>
      <c r="AK173" s="28" t="s">
        <v>34</v>
      </c>
      <c r="AL173" s="28" t="s">
        <v>43</v>
      </c>
      <c r="AM173" s="28" t="s">
        <v>231</v>
      </c>
      <c r="AN173" s="28" t="s">
        <v>232</v>
      </c>
      <c r="AO173" s="28" t="s">
        <v>231</v>
      </c>
      <c r="AP173" s="28" t="s">
        <v>232</v>
      </c>
      <c r="AQ173" s="28"/>
      <c r="AR173" s="28"/>
      <c r="AS173" s="28"/>
      <c r="AT173" s="28"/>
      <c r="AU173" s="28"/>
      <c r="AV173" s="28"/>
      <c r="AW173" s="29"/>
      <c r="AX173" s="33"/>
      <c r="AY173" s="31"/>
      <c r="AZ173" s="33"/>
      <c r="BA173" s="31"/>
      <c r="BB173" s="28"/>
      <c r="BC173" s="28"/>
      <c r="BD173" s="28"/>
      <c r="BE173" s="28"/>
      <c r="BF173" s="29"/>
      <c r="BG173" s="29"/>
      <c r="BH173" s="28" t="s">
        <v>720</v>
      </c>
      <c r="BI173" s="29">
        <v>1</v>
      </c>
      <c r="BJ173" s="29">
        <v>0</v>
      </c>
      <c r="BK173" s="30"/>
      <c r="BL173" s="30"/>
      <c r="BM173" s="28"/>
      <c r="BN173" s="30">
        <v>45904</v>
      </c>
      <c r="BO173" s="30">
        <v>45904</v>
      </c>
      <c r="BP173" s="31">
        <v>16.38</v>
      </c>
      <c r="BQ173" s="30">
        <v>45903</v>
      </c>
    </row>
    <row r="174" spans="1:69" ht="22.5" customHeight="1" x14ac:dyDescent="0.2">
      <c r="A174" s="22" t="s">
        <v>262</v>
      </c>
      <c r="B174" s="22"/>
      <c r="C174" s="22" t="s">
        <v>221</v>
      </c>
      <c r="D174" s="22" t="s">
        <v>222</v>
      </c>
      <c r="E174" s="23">
        <v>414783</v>
      </c>
      <c r="F174" s="23">
        <v>1913</v>
      </c>
      <c r="G174" s="23">
        <v>304</v>
      </c>
      <c r="H174" s="23">
        <v>0</v>
      </c>
      <c r="I174" s="24">
        <v>45902</v>
      </c>
      <c r="J174" s="22" t="s">
        <v>656</v>
      </c>
      <c r="K174" s="22" t="s">
        <v>721</v>
      </c>
      <c r="L174" s="25">
        <v>8.8699999999999992</v>
      </c>
      <c r="M174" s="25">
        <v>0.49</v>
      </c>
      <c r="N174" s="25">
        <v>9.36</v>
      </c>
      <c r="O174" s="22"/>
      <c r="P174" s="26">
        <v>45904</v>
      </c>
      <c r="Q174" s="25">
        <v>9.36</v>
      </c>
      <c r="R174" s="22" t="s">
        <v>318</v>
      </c>
      <c r="S174" s="25">
        <v>0</v>
      </c>
      <c r="T174" s="22"/>
      <c r="U174" s="23"/>
      <c r="V174" s="22"/>
      <c r="W174" s="23"/>
      <c r="X174" s="23"/>
      <c r="Y174" s="23"/>
      <c r="Z174" s="25">
        <v>0</v>
      </c>
      <c r="AA174" s="25">
        <v>0</v>
      </c>
      <c r="AB174" s="25">
        <v>0</v>
      </c>
      <c r="AC174" s="22"/>
      <c r="AD174" s="22" t="s">
        <v>308</v>
      </c>
      <c r="AE174" s="22" t="s">
        <v>309</v>
      </c>
      <c r="AF174" s="22" t="s">
        <v>31</v>
      </c>
      <c r="AG174" s="22" t="s">
        <v>42</v>
      </c>
      <c r="AH174" s="22" t="s">
        <v>228</v>
      </c>
      <c r="AI174" s="22" t="s">
        <v>31</v>
      </c>
      <c r="AJ174" s="22"/>
      <c r="AK174" s="22" t="s">
        <v>34</v>
      </c>
      <c r="AL174" s="22" t="s">
        <v>250</v>
      </c>
      <c r="AM174" s="22" t="s">
        <v>231</v>
      </c>
      <c r="AN174" s="22" t="s">
        <v>232</v>
      </c>
      <c r="AO174" s="22" t="s">
        <v>231</v>
      </c>
      <c r="AP174" s="22" t="s">
        <v>232</v>
      </c>
      <c r="AQ174" s="22"/>
      <c r="AR174" s="22"/>
      <c r="AS174" s="22"/>
      <c r="AT174" s="22"/>
      <c r="AU174" s="22"/>
      <c r="AV174" s="22"/>
      <c r="AW174" s="23"/>
      <c r="AX174" s="27"/>
      <c r="AY174" s="25"/>
      <c r="AZ174" s="27"/>
      <c r="BA174" s="25"/>
      <c r="BB174" s="22"/>
      <c r="BC174" s="22"/>
      <c r="BD174" s="22"/>
      <c r="BE174" s="22"/>
      <c r="BF174" s="23"/>
      <c r="BG174" s="23"/>
      <c r="BH174" s="22" t="s">
        <v>722</v>
      </c>
      <c r="BI174" s="23">
        <v>1</v>
      </c>
      <c r="BJ174" s="23">
        <v>0</v>
      </c>
      <c r="BK174" s="24"/>
      <c r="BL174" s="24"/>
      <c r="BM174" s="22"/>
      <c r="BN174" s="24">
        <v>45904</v>
      </c>
      <c r="BO174" s="24">
        <v>45904</v>
      </c>
      <c r="BP174" s="25">
        <v>9.36</v>
      </c>
      <c r="BQ174" s="24">
        <v>45903</v>
      </c>
    </row>
    <row r="175" spans="1:69" ht="22.5" hidden="1" customHeight="1" x14ac:dyDescent="0.2">
      <c r="A175" s="22" t="s">
        <v>262</v>
      </c>
      <c r="B175" s="22"/>
      <c r="C175" s="22" t="s">
        <v>221</v>
      </c>
      <c r="D175" s="22" t="s">
        <v>222</v>
      </c>
      <c r="E175" s="23">
        <v>414789</v>
      </c>
      <c r="F175" s="23">
        <v>1910</v>
      </c>
      <c r="G175" s="23">
        <v>304</v>
      </c>
      <c r="H175" s="23">
        <v>0</v>
      </c>
      <c r="I175" s="24">
        <v>45902</v>
      </c>
      <c r="J175" s="22" t="s">
        <v>656</v>
      </c>
      <c r="K175" s="22" t="s">
        <v>723</v>
      </c>
      <c r="L175" s="25">
        <v>94.75</v>
      </c>
      <c r="M175" s="25">
        <v>5.21</v>
      </c>
      <c r="N175" s="25">
        <v>99.96</v>
      </c>
      <c r="O175" s="22"/>
      <c r="P175" s="26">
        <v>45904</v>
      </c>
      <c r="Q175" s="25">
        <v>99.96</v>
      </c>
      <c r="R175" s="22" t="s">
        <v>724</v>
      </c>
      <c r="S175" s="25">
        <v>0</v>
      </c>
      <c r="T175" s="22"/>
      <c r="U175" s="23"/>
      <c r="V175" s="22"/>
      <c r="W175" s="23"/>
      <c r="X175" s="23"/>
      <c r="Y175" s="23"/>
      <c r="Z175" s="25">
        <v>0</v>
      </c>
      <c r="AA175" s="25">
        <v>0</v>
      </c>
      <c r="AB175" s="25">
        <v>0</v>
      </c>
      <c r="AC175" s="22"/>
      <c r="AD175" s="22" t="s">
        <v>293</v>
      </c>
      <c r="AE175" s="22" t="s">
        <v>294</v>
      </c>
      <c r="AF175" s="22" t="s">
        <v>31</v>
      </c>
      <c r="AG175" s="22" t="s">
        <v>42</v>
      </c>
      <c r="AH175" s="22" t="s">
        <v>228</v>
      </c>
      <c r="AI175" s="22" t="s">
        <v>31</v>
      </c>
      <c r="AJ175" s="22"/>
      <c r="AK175" s="22" t="s">
        <v>235</v>
      </c>
      <c r="AL175" s="22" t="s">
        <v>331</v>
      </c>
      <c r="AM175" s="22" t="s">
        <v>231</v>
      </c>
      <c r="AN175" s="22" t="s">
        <v>232</v>
      </c>
      <c r="AO175" s="22" t="s">
        <v>231</v>
      </c>
      <c r="AP175" s="22" t="s">
        <v>232</v>
      </c>
      <c r="AQ175" s="22"/>
      <c r="AR175" s="22"/>
      <c r="AS175" s="22"/>
      <c r="AT175" s="22"/>
      <c r="AU175" s="22"/>
      <c r="AV175" s="22"/>
      <c r="AW175" s="23"/>
      <c r="AX175" s="27"/>
      <c r="AY175" s="25"/>
      <c r="AZ175" s="27"/>
      <c r="BA175" s="25"/>
      <c r="BB175" s="22"/>
      <c r="BC175" s="22"/>
      <c r="BD175" s="22"/>
      <c r="BE175" s="22"/>
      <c r="BF175" s="23"/>
      <c r="BG175" s="23"/>
      <c r="BH175" s="22" t="s">
        <v>725</v>
      </c>
      <c r="BI175" s="23">
        <v>1</v>
      </c>
      <c r="BJ175" s="23">
        <v>0</v>
      </c>
      <c r="BK175" s="24"/>
      <c r="BL175" s="24"/>
      <c r="BM175" s="22"/>
      <c r="BN175" s="24">
        <v>45904</v>
      </c>
      <c r="BO175" s="24">
        <v>45904</v>
      </c>
      <c r="BP175" s="25">
        <v>99.96</v>
      </c>
      <c r="BQ175" s="24">
        <v>45903</v>
      </c>
    </row>
    <row r="176" spans="1:69" ht="22.5" customHeight="1" x14ac:dyDescent="0.2">
      <c r="A176" s="22" t="s">
        <v>262</v>
      </c>
      <c r="B176" s="22"/>
      <c r="C176" s="22" t="s">
        <v>221</v>
      </c>
      <c r="D176" s="22" t="s">
        <v>222</v>
      </c>
      <c r="E176" s="23">
        <v>414797</v>
      </c>
      <c r="F176" s="23">
        <v>1924</v>
      </c>
      <c r="G176" s="23">
        <v>306</v>
      </c>
      <c r="H176" s="23">
        <v>0</v>
      </c>
      <c r="I176" s="24">
        <v>45902</v>
      </c>
      <c r="J176" s="22" t="s">
        <v>263</v>
      </c>
      <c r="K176" s="22" t="s">
        <v>726</v>
      </c>
      <c r="L176" s="25">
        <v>8.8699999999999992</v>
      </c>
      <c r="M176" s="25">
        <v>0.49</v>
      </c>
      <c r="N176" s="25">
        <v>9.36</v>
      </c>
      <c r="O176" s="22"/>
      <c r="P176" s="26">
        <v>45904</v>
      </c>
      <c r="Q176" s="25">
        <v>9.36</v>
      </c>
      <c r="R176" s="22" t="s">
        <v>315</v>
      </c>
      <c r="S176" s="25">
        <v>0</v>
      </c>
      <c r="T176" s="22"/>
      <c r="U176" s="23"/>
      <c r="V176" s="22"/>
      <c r="W176" s="23"/>
      <c r="X176" s="23"/>
      <c r="Y176" s="23"/>
      <c r="Z176" s="25">
        <v>0</v>
      </c>
      <c r="AA176" s="25">
        <v>0</v>
      </c>
      <c r="AB176" s="25">
        <v>0</v>
      </c>
      <c r="AC176" s="22"/>
      <c r="AD176" s="22" t="s">
        <v>308</v>
      </c>
      <c r="AE176" s="22" t="s">
        <v>309</v>
      </c>
      <c r="AF176" s="22" t="s">
        <v>31</v>
      </c>
      <c r="AG176" s="22" t="s">
        <v>42</v>
      </c>
      <c r="AH176" s="22" t="s">
        <v>228</v>
      </c>
      <c r="AI176" s="22" t="s">
        <v>31</v>
      </c>
      <c r="AJ176" s="22"/>
      <c r="AK176" s="22" t="s">
        <v>34</v>
      </c>
      <c r="AL176" s="22" t="s">
        <v>50</v>
      </c>
      <c r="AM176" s="22" t="s">
        <v>231</v>
      </c>
      <c r="AN176" s="22" t="s">
        <v>232</v>
      </c>
      <c r="AO176" s="22" t="s">
        <v>231</v>
      </c>
      <c r="AP176" s="22" t="s">
        <v>232</v>
      </c>
      <c r="AQ176" s="22"/>
      <c r="AR176" s="22"/>
      <c r="AS176" s="22"/>
      <c r="AT176" s="22"/>
      <c r="AU176" s="22"/>
      <c r="AV176" s="22"/>
      <c r="AW176" s="23"/>
      <c r="AX176" s="27"/>
      <c r="AY176" s="25"/>
      <c r="AZ176" s="27"/>
      <c r="BA176" s="25"/>
      <c r="BB176" s="22"/>
      <c r="BC176" s="22"/>
      <c r="BD176" s="22"/>
      <c r="BE176" s="22"/>
      <c r="BF176" s="23"/>
      <c r="BG176" s="23"/>
      <c r="BH176" s="22" t="s">
        <v>727</v>
      </c>
      <c r="BI176" s="23">
        <v>1</v>
      </c>
      <c r="BJ176" s="23">
        <v>0</v>
      </c>
      <c r="BK176" s="24"/>
      <c r="BL176" s="24"/>
      <c r="BM176" s="22"/>
      <c r="BN176" s="24">
        <v>45904</v>
      </c>
      <c r="BO176" s="24">
        <v>45904</v>
      </c>
      <c r="BP176" s="25">
        <v>9.36</v>
      </c>
      <c r="BQ176" s="24">
        <v>45903</v>
      </c>
    </row>
    <row r="177" spans="1:69" ht="22.5" customHeight="1" x14ac:dyDescent="0.2">
      <c r="A177" s="28" t="s">
        <v>262</v>
      </c>
      <c r="B177" s="28"/>
      <c r="C177" s="28" t="s">
        <v>221</v>
      </c>
      <c r="D177" s="28" t="s">
        <v>222</v>
      </c>
      <c r="E177" s="29">
        <v>414798</v>
      </c>
      <c r="F177" s="29">
        <v>1925</v>
      </c>
      <c r="G177" s="29">
        <v>306</v>
      </c>
      <c r="H177" s="29">
        <v>0</v>
      </c>
      <c r="I177" s="30">
        <v>45902</v>
      </c>
      <c r="J177" s="28" t="s">
        <v>263</v>
      </c>
      <c r="K177" s="28" t="s">
        <v>728</v>
      </c>
      <c r="L177" s="31">
        <v>238.44</v>
      </c>
      <c r="M177" s="31">
        <v>13.11</v>
      </c>
      <c r="N177" s="31">
        <v>251.55</v>
      </c>
      <c r="O177" s="28"/>
      <c r="P177" s="32">
        <v>45904</v>
      </c>
      <c r="Q177" s="31">
        <v>251.55</v>
      </c>
      <c r="R177" s="28" t="s">
        <v>321</v>
      </c>
      <c r="S177" s="31">
        <v>0</v>
      </c>
      <c r="T177" s="28"/>
      <c r="U177" s="29"/>
      <c r="V177" s="28"/>
      <c r="W177" s="29"/>
      <c r="X177" s="29"/>
      <c r="Y177" s="29"/>
      <c r="Z177" s="31">
        <v>0</v>
      </c>
      <c r="AA177" s="31">
        <v>0</v>
      </c>
      <c r="AB177" s="31">
        <v>0</v>
      </c>
      <c r="AC177" s="28"/>
      <c r="AD177" s="28" t="s">
        <v>308</v>
      </c>
      <c r="AE177" s="28" t="s">
        <v>309</v>
      </c>
      <c r="AF177" s="28" t="s">
        <v>31</v>
      </c>
      <c r="AG177" s="28" t="s">
        <v>32</v>
      </c>
      <c r="AH177" s="28" t="s">
        <v>228</v>
      </c>
      <c r="AI177" s="28" t="s">
        <v>31</v>
      </c>
      <c r="AJ177" s="28"/>
      <c r="AK177" s="28" t="s">
        <v>34</v>
      </c>
      <c r="AL177" s="28" t="s">
        <v>31</v>
      </c>
      <c r="AM177" s="28" t="s">
        <v>231</v>
      </c>
      <c r="AN177" s="28" t="s">
        <v>232</v>
      </c>
      <c r="AO177" s="28" t="s">
        <v>231</v>
      </c>
      <c r="AP177" s="28" t="s">
        <v>232</v>
      </c>
      <c r="AQ177" s="28"/>
      <c r="AR177" s="28"/>
      <c r="AS177" s="28"/>
      <c r="AT177" s="28"/>
      <c r="AU177" s="28"/>
      <c r="AV177" s="28"/>
      <c r="AW177" s="29"/>
      <c r="AX177" s="33"/>
      <c r="AY177" s="31"/>
      <c r="AZ177" s="33"/>
      <c r="BA177" s="31"/>
      <c r="BB177" s="28"/>
      <c r="BC177" s="28"/>
      <c r="BD177" s="28"/>
      <c r="BE177" s="28"/>
      <c r="BF177" s="29"/>
      <c r="BG177" s="29"/>
      <c r="BH177" s="28" t="s">
        <v>729</v>
      </c>
      <c r="BI177" s="29">
        <v>1</v>
      </c>
      <c r="BJ177" s="29">
        <v>0</v>
      </c>
      <c r="BK177" s="30"/>
      <c r="BL177" s="30"/>
      <c r="BM177" s="28"/>
      <c r="BN177" s="30">
        <v>45904</v>
      </c>
      <c r="BO177" s="30">
        <v>45904</v>
      </c>
      <c r="BP177" s="31">
        <v>251.55</v>
      </c>
      <c r="BQ177" s="30">
        <v>45903</v>
      </c>
    </row>
    <row r="178" spans="1:69" ht="22.5" customHeight="1" x14ac:dyDescent="0.2">
      <c r="A178" s="22" t="s">
        <v>262</v>
      </c>
      <c r="B178" s="22"/>
      <c r="C178" s="22" t="s">
        <v>221</v>
      </c>
      <c r="D178" s="22" t="s">
        <v>222</v>
      </c>
      <c r="E178" s="23">
        <v>414799</v>
      </c>
      <c r="F178" s="23">
        <v>1926</v>
      </c>
      <c r="G178" s="23">
        <v>306</v>
      </c>
      <c r="H178" s="23">
        <v>0</v>
      </c>
      <c r="I178" s="24">
        <v>45902</v>
      </c>
      <c r="J178" s="22" t="s">
        <v>263</v>
      </c>
      <c r="K178" s="22" t="s">
        <v>730</v>
      </c>
      <c r="L178" s="25">
        <v>39.92</v>
      </c>
      <c r="M178" s="25">
        <v>2.2000000000000002</v>
      </c>
      <c r="N178" s="25">
        <v>42.12</v>
      </c>
      <c r="O178" s="22"/>
      <c r="P178" s="26">
        <v>45904</v>
      </c>
      <c r="Q178" s="25">
        <v>42.12</v>
      </c>
      <c r="R178" s="22" t="s">
        <v>315</v>
      </c>
      <c r="S178" s="25">
        <v>0</v>
      </c>
      <c r="T178" s="22"/>
      <c r="U178" s="23"/>
      <c r="V178" s="22"/>
      <c r="W178" s="23"/>
      <c r="X178" s="23"/>
      <c r="Y178" s="23"/>
      <c r="Z178" s="25">
        <v>0</v>
      </c>
      <c r="AA178" s="25">
        <v>0</v>
      </c>
      <c r="AB178" s="25">
        <v>0</v>
      </c>
      <c r="AC178" s="22"/>
      <c r="AD178" s="22" t="s">
        <v>308</v>
      </c>
      <c r="AE178" s="22" t="s">
        <v>309</v>
      </c>
      <c r="AF178" s="22" t="s">
        <v>31</v>
      </c>
      <c r="AG178" s="22" t="s">
        <v>42</v>
      </c>
      <c r="AH178" s="22" t="s">
        <v>228</v>
      </c>
      <c r="AI178" s="22" t="s">
        <v>31</v>
      </c>
      <c r="AJ178" s="22"/>
      <c r="AK178" s="22" t="s">
        <v>34</v>
      </c>
      <c r="AL178" s="22" t="s">
        <v>50</v>
      </c>
      <c r="AM178" s="22" t="s">
        <v>231</v>
      </c>
      <c r="AN178" s="22" t="s">
        <v>232</v>
      </c>
      <c r="AO178" s="22" t="s">
        <v>231</v>
      </c>
      <c r="AP178" s="22" t="s">
        <v>232</v>
      </c>
      <c r="AQ178" s="22"/>
      <c r="AR178" s="22"/>
      <c r="AS178" s="22"/>
      <c r="AT178" s="22"/>
      <c r="AU178" s="22"/>
      <c r="AV178" s="22"/>
      <c r="AW178" s="23"/>
      <c r="AX178" s="27"/>
      <c r="AY178" s="25"/>
      <c r="AZ178" s="27"/>
      <c r="BA178" s="25"/>
      <c r="BB178" s="22"/>
      <c r="BC178" s="22"/>
      <c r="BD178" s="22"/>
      <c r="BE178" s="22"/>
      <c r="BF178" s="23"/>
      <c r="BG178" s="23"/>
      <c r="BH178" s="22" t="s">
        <v>731</v>
      </c>
      <c r="BI178" s="23">
        <v>1</v>
      </c>
      <c r="BJ178" s="23">
        <v>0</v>
      </c>
      <c r="BK178" s="24"/>
      <c r="BL178" s="24"/>
      <c r="BM178" s="22"/>
      <c r="BN178" s="24">
        <v>45904</v>
      </c>
      <c r="BO178" s="24">
        <v>45904</v>
      </c>
      <c r="BP178" s="25">
        <v>42.12</v>
      </c>
      <c r="BQ178" s="24">
        <v>45903</v>
      </c>
    </row>
    <row r="179" spans="1:69" ht="22.5" hidden="1" customHeight="1" x14ac:dyDescent="0.2">
      <c r="A179" s="22" t="s">
        <v>262</v>
      </c>
      <c r="B179" s="22"/>
      <c r="C179" s="22" t="s">
        <v>221</v>
      </c>
      <c r="D179" s="22" t="s">
        <v>222</v>
      </c>
      <c r="E179" s="23">
        <v>414856</v>
      </c>
      <c r="F179" s="23">
        <v>1957</v>
      </c>
      <c r="G179" s="23">
        <v>313</v>
      </c>
      <c r="H179" s="23">
        <v>0</v>
      </c>
      <c r="I179" s="24">
        <v>45908</v>
      </c>
      <c r="J179" s="22" t="s">
        <v>263</v>
      </c>
      <c r="K179" s="22" t="s">
        <v>732</v>
      </c>
      <c r="L179" s="25">
        <v>141.34</v>
      </c>
      <c r="M179" s="25">
        <v>8.33</v>
      </c>
      <c r="N179" s="25">
        <v>149.66999999999999</v>
      </c>
      <c r="O179" s="22"/>
      <c r="P179" s="26">
        <v>45912</v>
      </c>
      <c r="Q179" s="25">
        <v>149.66999999999999</v>
      </c>
      <c r="R179" s="22" t="s">
        <v>733</v>
      </c>
      <c r="S179" s="25">
        <v>0</v>
      </c>
      <c r="T179" s="22"/>
      <c r="U179" s="23"/>
      <c r="V179" s="22"/>
      <c r="W179" s="23"/>
      <c r="X179" s="23"/>
      <c r="Y179" s="23"/>
      <c r="Z179" s="25">
        <v>0</v>
      </c>
      <c r="AA179" s="25">
        <v>0</v>
      </c>
      <c r="AB179" s="25">
        <v>0</v>
      </c>
      <c r="AC179" s="22"/>
      <c r="AD179" s="22" t="s">
        <v>293</v>
      </c>
      <c r="AE179" s="22" t="s">
        <v>294</v>
      </c>
      <c r="AF179" s="22" t="s">
        <v>31</v>
      </c>
      <c r="AG179" s="22" t="s">
        <v>53</v>
      </c>
      <c r="AH179" s="22" t="s">
        <v>228</v>
      </c>
      <c r="AI179" s="22" t="s">
        <v>31</v>
      </c>
      <c r="AJ179" s="22"/>
      <c r="AK179" s="22" t="s">
        <v>239</v>
      </c>
      <c r="AL179" s="22" t="s">
        <v>240</v>
      </c>
      <c r="AM179" s="22" t="s">
        <v>231</v>
      </c>
      <c r="AN179" s="22" t="s">
        <v>232</v>
      </c>
      <c r="AO179" s="22" t="s">
        <v>231</v>
      </c>
      <c r="AP179" s="22" t="s">
        <v>232</v>
      </c>
      <c r="AQ179" s="22"/>
      <c r="AR179" s="22"/>
      <c r="AS179" s="22"/>
      <c r="AT179" s="22"/>
      <c r="AU179" s="22"/>
      <c r="AV179" s="22"/>
      <c r="AW179" s="23"/>
      <c r="AX179" s="27"/>
      <c r="AY179" s="25"/>
      <c r="AZ179" s="27"/>
      <c r="BA179" s="25"/>
      <c r="BB179" s="22"/>
      <c r="BC179" s="22"/>
      <c r="BD179" s="22"/>
      <c r="BE179" s="22"/>
      <c r="BF179" s="23"/>
      <c r="BG179" s="23"/>
      <c r="BH179" s="22" t="s">
        <v>734</v>
      </c>
      <c r="BI179" s="23">
        <v>1</v>
      </c>
      <c r="BJ179" s="23">
        <v>0</v>
      </c>
      <c r="BK179" s="24"/>
      <c r="BL179" s="24"/>
      <c r="BM179" s="22"/>
      <c r="BN179" s="24">
        <v>45912</v>
      </c>
      <c r="BO179" s="24">
        <v>45912</v>
      </c>
      <c r="BP179" s="25">
        <v>149.66999999999999</v>
      </c>
      <c r="BQ179" s="24">
        <v>45911</v>
      </c>
    </row>
    <row r="180" spans="1:69" ht="22.5" hidden="1" customHeight="1" x14ac:dyDescent="0.2">
      <c r="A180" s="22" t="s">
        <v>262</v>
      </c>
      <c r="B180" s="22"/>
      <c r="C180" s="22" t="s">
        <v>221</v>
      </c>
      <c r="D180" s="22" t="s">
        <v>222</v>
      </c>
      <c r="E180" s="23">
        <v>414865</v>
      </c>
      <c r="F180" s="23">
        <v>1958</v>
      </c>
      <c r="G180" s="23">
        <v>313</v>
      </c>
      <c r="H180" s="23">
        <v>0</v>
      </c>
      <c r="I180" s="24">
        <v>45908</v>
      </c>
      <c r="J180" s="22" t="s">
        <v>263</v>
      </c>
      <c r="K180" s="22" t="s">
        <v>735</v>
      </c>
      <c r="L180" s="25">
        <v>46.45</v>
      </c>
      <c r="M180" s="25">
        <v>3.03</v>
      </c>
      <c r="N180" s="25">
        <v>49.48</v>
      </c>
      <c r="O180" s="22"/>
      <c r="P180" s="26">
        <v>45912</v>
      </c>
      <c r="Q180" s="25">
        <v>49.48</v>
      </c>
      <c r="R180" s="22" t="s">
        <v>736</v>
      </c>
      <c r="S180" s="25">
        <v>0</v>
      </c>
      <c r="T180" s="22"/>
      <c r="U180" s="23"/>
      <c r="V180" s="22"/>
      <c r="W180" s="23"/>
      <c r="X180" s="23"/>
      <c r="Y180" s="23"/>
      <c r="Z180" s="25">
        <v>0</v>
      </c>
      <c r="AA180" s="25">
        <v>0</v>
      </c>
      <c r="AB180" s="25">
        <v>0</v>
      </c>
      <c r="AC180" s="22"/>
      <c r="AD180" s="22" t="s">
        <v>293</v>
      </c>
      <c r="AE180" s="22" t="s">
        <v>294</v>
      </c>
      <c r="AF180" s="22" t="s">
        <v>31</v>
      </c>
      <c r="AG180" s="22" t="s">
        <v>53</v>
      </c>
      <c r="AH180" s="22" t="s">
        <v>228</v>
      </c>
      <c r="AI180" s="22" t="s">
        <v>31</v>
      </c>
      <c r="AJ180" s="22"/>
      <c r="AK180" s="22" t="s">
        <v>239</v>
      </c>
      <c r="AL180" s="22" t="s">
        <v>240</v>
      </c>
      <c r="AM180" s="22" t="s">
        <v>231</v>
      </c>
      <c r="AN180" s="22" t="s">
        <v>232</v>
      </c>
      <c r="AO180" s="22" t="s">
        <v>231</v>
      </c>
      <c r="AP180" s="22" t="s">
        <v>232</v>
      </c>
      <c r="AQ180" s="22"/>
      <c r="AR180" s="22"/>
      <c r="AS180" s="22"/>
      <c r="AT180" s="22"/>
      <c r="AU180" s="22"/>
      <c r="AV180" s="22"/>
      <c r="AW180" s="23"/>
      <c r="AX180" s="27"/>
      <c r="AY180" s="25"/>
      <c r="AZ180" s="27"/>
      <c r="BA180" s="25"/>
      <c r="BB180" s="22"/>
      <c r="BC180" s="22"/>
      <c r="BD180" s="22"/>
      <c r="BE180" s="22"/>
      <c r="BF180" s="23"/>
      <c r="BG180" s="23"/>
      <c r="BH180" s="22" t="s">
        <v>737</v>
      </c>
      <c r="BI180" s="23">
        <v>1</v>
      </c>
      <c r="BJ180" s="23">
        <v>0</v>
      </c>
      <c r="BK180" s="24"/>
      <c r="BL180" s="24"/>
      <c r="BM180" s="22"/>
      <c r="BN180" s="24">
        <v>45912</v>
      </c>
      <c r="BO180" s="24">
        <v>45912</v>
      </c>
      <c r="BP180" s="25">
        <v>49.48</v>
      </c>
      <c r="BQ180" s="24">
        <v>45911</v>
      </c>
    </row>
    <row r="181" spans="1:69" ht="22.5" hidden="1" customHeight="1" x14ac:dyDescent="0.2">
      <c r="A181" s="28" t="s">
        <v>262</v>
      </c>
      <c r="B181" s="28"/>
      <c r="C181" s="28" t="s">
        <v>221</v>
      </c>
      <c r="D181" s="28" t="s">
        <v>222</v>
      </c>
      <c r="E181" s="29">
        <v>414866</v>
      </c>
      <c r="F181" s="29">
        <v>1959</v>
      </c>
      <c r="G181" s="29">
        <v>313</v>
      </c>
      <c r="H181" s="29">
        <v>0</v>
      </c>
      <c r="I181" s="30">
        <v>45908</v>
      </c>
      <c r="J181" s="28" t="s">
        <v>263</v>
      </c>
      <c r="K181" s="28" t="s">
        <v>738</v>
      </c>
      <c r="L181" s="31">
        <v>142.18</v>
      </c>
      <c r="M181" s="31">
        <v>7.82</v>
      </c>
      <c r="N181" s="31">
        <v>150</v>
      </c>
      <c r="O181" s="28"/>
      <c r="P181" s="32">
        <v>45912</v>
      </c>
      <c r="Q181" s="31">
        <v>150</v>
      </c>
      <c r="R181" s="28" t="s">
        <v>739</v>
      </c>
      <c r="S181" s="31">
        <v>0</v>
      </c>
      <c r="T181" s="28"/>
      <c r="U181" s="29"/>
      <c r="V181" s="28"/>
      <c r="W181" s="29"/>
      <c r="X181" s="29"/>
      <c r="Y181" s="29"/>
      <c r="Z181" s="31">
        <v>0</v>
      </c>
      <c r="AA181" s="31">
        <v>0</v>
      </c>
      <c r="AB181" s="31">
        <v>0</v>
      </c>
      <c r="AC181" s="28"/>
      <c r="AD181" s="28" t="s">
        <v>293</v>
      </c>
      <c r="AE181" s="28" t="s">
        <v>294</v>
      </c>
      <c r="AF181" s="28" t="s">
        <v>31</v>
      </c>
      <c r="AG181" s="28" t="s">
        <v>53</v>
      </c>
      <c r="AH181" s="28" t="s">
        <v>228</v>
      </c>
      <c r="AI181" s="28" t="s">
        <v>31</v>
      </c>
      <c r="AJ181" s="28"/>
      <c r="AK181" s="28" t="s">
        <v>239</v>
      </c>
      <c r="AL181" s="28" t="s">
        <v>240</v>
      </c>
      <c r="AM181" s="28" t="s">
        <v>231</v>
      </c>
      <c r="AN181" s="28" t="s">
        <v>232</v>
      </c>
      <c r="AO181" s="28" t="s">
        <v>231</v>
      </c>
      <c r="AP181" s="28" t="s">
        <v>232</v>
      </c>
      <c r="AQ181" s="28"/>
      <c r="AR181" s="28"/>
      <c r="AS181" s="28"/>
      <c r="AT181" s="28"/>
      <c r="AU181" s="28"/>
      <c r="AV181" s="28"/>
      <c r="AW181" s="29"/>
      <c r="AX181" s="33"/>
      <c r="AY181" s="31"/>
      <c r="AZ181" s="33"/>
      <c r="BA181" s="31"/>
      <c r="BB181" s="28"/>
      <c r="BC181" s="28"/>
      <c r="BD181" s="28"/>
      <c r="BE181" s="28"/>
      <c r="BF181" s="29"/>
      <c r="BG181" s="29"/>
      <c r="BH181" s="28" t="s">
        <v>740</v>
      </c>
      <c r="BI181" s="29">
        <v>1</v>
      </c>
      <c r="BJ181" s="29">
        <v>0</v>
      </c>
      <c r="BK181" s="30"/>
      <c r="BL181" s="30"/>
      <c r="BM181" s="28"/>
      <c r="BN181" s="30">
        <v>45912</v>
      </c>
      <c r="BO181" s="30">
        <v>45912</v>
      </c>
      <c r="BP181" s="31">
        <v>150</v>
      </c>
      <c r="BQ181" s="30">
        <v>45911</v>
      </c>
    </row>
    <row r="182" spans="1:69" ht="22.5" hidden="1" customHeight="1" x14ac:dyDescent="0.2">
      <c r="A182" s="22" t="s">
        <v>262</v>
      </c>
      <c r="B182" s="22"/>
      <c r="C182" s="22" t="s">
        <v>221</v>
      </c>
      <c r="D182" s="22" t="s">
        <v>222</v>
      </c>
      <c r="E182" s="23">
        <v>414867</v>
      </c>
      <c r="F182" s="23">
        <v>1960</v>
      </c>
      <c r="G182" s="23">
        <v>313</v>
      </c>
      <c r="H182" s="23">
        <v>0</v>
      </c>
      <c r="I182" s="24">
        <v>45908</v>
      </c>
      <c r="J182" s="22" t="s">
        <v>263</v>
      </c>
      <c r="K182" s="22" t="s">
        <v>741</v>
      </c>
      <c r="L182" s="25">
        <v>93.68</v>
      </c>
      <c r="M182" s="25">
        <v>5.15</v>
      </c>
      <c r="N182" s="25">
        <v>98.83</v>
      </c>
      <c r="O182" s="22"/>
      <c r="P182" s="26">
        <v>45912</v>
      </c>
      <c r="Q182" s="25">
        <v>98.83</v>
      </c>
      <c r="R182" s="22" t="s">
        <v>742</v>
      </c>
      <c r="S182" s="25">
        <v>0</v>
      </c>
      <c r="T182" s="22"/>
      <c r="U182" s="23"/>
      <c r="V182" s="22"/>
      <c r="W182" s="23"/>
      <c r="X182" s="23"/>
      <c r="Y182" s="23"/>
      <c r="Z182" s="25">
        <v>0</v>
      </c>
      <c r="AA182" s="25">
        <v>0</v>
      </c>
      <c r="AB182" s="25">
        <v>0</v>
      </c>
      <c r="AC182" s="22"/>
      <c r="AD182" s="22" t="s">
        <v>293</v>
      </c>
      <c r="AE182" s="22" t="s">
        <v>294</v>
      </c>
      <c r="AF182" s="22" t="s">
        <v>31</v>
      </c>
      <c r="AG182" s="22" t="s">
        <v>53</v>
      </c>
      <c r="AH182" s="22" t="s">
        <v>228</v>
      </c>
      <c r="AI182" s="22" t="s">
        <v>31</v>
      </c>
      <c r="AJ182" s="22"/>
      <c r="AK182" s="22" t="s">
        <v>239</v>
      </c>
      <c r="AL182" s="22" t="s">
        <v>240</v>
      </c>
      <c r="AM182" s="22" t="s">
        <v>231</v>
      </c>
      <c r="AN182" s="22" t="s">
        <v>232</v>
      </c>
      <c r="AO182" s="22" t="s">
        <v>231</v>
      </c>
      <c r="AP182" s="22" t="s">
        <v>232</v>
      </c>
      <c r="AQ182" s="22"/>
      <c r="AR182" s="22"/>
      <c r="AS182" s="22"/>
      <c r="AT182" s="22"/>
      <c r="AU182" s="22"/>
      <c r="AV182" s="22"/>
      <c r="AW182" s="23"/>
      <c r="AX182" s="27"/>
      <c r="AY182" s="25"/>
      <c r="AZ182" s="27"/>
      <c r="BA182" s="25"/>
      <c r="BB182" s="22"/>
      <c r="BC182" s="22"/>
      <c r="BD182" s="22"/>
      <c r="BE182" s="22"/>
      <c r="BF182" s="23"/>
      <c r="BG182" s="23"/>
      <c r="BH182" s="22" t="s">
        <v>743</v>
      </c>
      <c r="BI182" s="23">
        <v>1</v>
      </c>
      <c r="BJ182" s="23">
        <v>0</v>
      </c>
      <c r="BK182" s="24"/>
      <c r="BL182" s="24"/>
      <c r="BM182" s="22"/>
      <c r="BN182" s="24">
        <v>45912</v>
      </c>
      <c r="BO182" s="24">
        <v>45912</v>
      </c>
      <c r="BP182" s="25">
        <v>98.83</v>
      </c>
      <c r="BQ182" s="24">
        <v>45911</v>
      </c>
    </row>
    <row r="183" spans="1:69" ht="22.5" hidden="1" customHeight="1" x14ac:dyDescent="0.2">
      <c r="A183" s="28" t="s">
        <v>262</v>
      </c>
      <c r="B183" s="28"/>
      <c r="C183" s="28" t="s">
        <v>221</v>
      </c>
      <c r="D183" s="28" t="s">
        <v>222</v>
      </c>
      <c r="E183" s="29">
        <v>414870</v>
      </c>
      <c r="F183" s="29">
        <v>1967</v>
      </c>
      <c r="G183" s="29">
        <v>314</v>
      </c>
      <c r="H183" s="29">
        <v>0</v>
      </c>
      <c r="I183" s="30">
        <v>45908</v>
      </c>
      <c r="J183" s="28" t="s">
        <v>656</v>
      </c>
      <c r="K183" s="28" t="s">
        <v>744</v>
      </c>
      <c r="L183" s="31">
        <v>45.24</v>
      </c>
      <c r="M183" s="31">
        <v>3.2</v>
      </c>
      <c r="N183" s="31">
        <v>48.44</v>
      </c>
      <c r="O183" s="28"/>
      <c r="P183" s="32">
        <v>45912</v>
      </c>
      <c r="Q183" s="31">
        <v>48.44</v>
      </c>
      <c r="R183" s="28" t="s">
        <v>745</v>
      </c>
      <c r="S183" s="31">
        <v>0</v>
      </c>
      <c r="T183" s="28"/>
      <c r="U183" s="29"/>
      <c r="V183" s="28"/>
      <c r="W183" s="29"/>
      <c r="X183" s="29"/>
      <c r="Y183" s="29"/>
      <c r="Z183" s="31">
        <v>0</v>
      </c>
      <c r="AA183" s="31">
        <v>0</v>
      </c>
      <c r="AB183" s="31">
        <v>0</v>
      </c>
      <c r="AC183" s="28"/>
      <c r="AD183" s="28" t="s">
        <v>293</v>
      </c>
      <c r="AE183" s="28" t="s">
        <v>294</v>
      </c>
      <c r="AF183" s="28" t="s">
        <v>31</v>
      </c>
      <c r="AG183" s="28" t="s">
        <v>53</v>
      </c>
      <c r="AH183" s="28" t="s">
        <v>228</v>
      </c>
      <c r="AI183" s="28" t="s">
        <v>31</v>
      </c>
      <c r="AJ183" s="28"/>
      <c r="AK183" s="28" t="s">
        <v>239</v>
      </c>
      <c r="AL183" s="28" t="s">
        <v>240</v>
      </c>
      <c r="AM183" s="28" t="s">
        <v>231</v>
      </c>
      <c r="AN183" s="28" t="s">
        <v>232</v>
      </c>
      <c r="AO183" s="28" t="s">
        <v>231</v>
      </c>
      <c r="AP183" s="28" t="s">
        <v>232</v>
      </c>
      <c r="AQ183" s="28"/>
      <c r="AR183" s="28"/>
      <c r="AS183" s="28"/>
      <c r="AT183" s="28"/>
      <c r="AU183" s="28"/>
      <c r="AV183" s="28"/>
      <c r="AW183" s="29"/>
      <c r="AX183" s="33"/>
      <c r="AY183" s="31"/>
      <c r="AZ183" s="33"/>
      <c r="BA183" s="31"/>
      <c r="BB183" s="28"/>
      <c r="BC183" s="28"/>
      <c r="BD183" s="28"/>
      <c r="BE183" s="28"/>
      <c r="BF183" s="29"/>
      <c r="BG183" s="29"/>
      <c r="BH183" s="28" t="s">
        <v>746</v>
      </c>
      <c r="BI183" s="29">
        <v>1</v>
      </c>
      <c r="BJ183" s="29">
        <v>0</v>
      </c>
      <c r="BK183" s="30"/>
      <c r="BL183" s="30"/>
      <c r="BM183" s="28"/>
      <c r="BN183" s="30">
        <v>45912</v>
      </c>
      <c r="BO183" s="30">
        <v>45912</v>
      </c>
      <c r="BP183" s="31">
        <v>48.44</v>
      </c>
      <c r="BQ183" s="30">
        <v>45911</v>
      </c>
    </row>
    <row r="184" spans="1:69" ht="22.5" hidden="1" customHeight="1" x14ac:dyDescent="0.2">
      <c r="A184" s="28" t="s">
        <v>262</v>
      </c>
      <c r="B184" s="28"/>
      <c r="C184" s="28" t="s">
        <v>221</v>
      </c>
      <c r="D184" s="28" t="s">
        <v>222</v>
      </c>
      <c r="E184" s="29">
        <v>414884</v>
      </c>
      <c r="F184" s="29">
        <v>1969</v>
      </c>
      <c r="G184" s="29">
        <v>315</v>
      </c>
      <c r="H184" s="29">
        <v>0</v>
      </c>
      <c r="I184" s="30">
        <v>45910</v>
      </c>
      <c r="J184" s="28" t="s">
        <v>656</v>
      </c>
      <c r="K184" s="28" t="s">
        <v>747</v>
      </c>
      <c r="L184" s="31">
        <v>140.57</v>
      </c>
      <c r="M184" s="31">
        <v>9.43</v>
      </c>
      <c r="N184" s="31">
        <v>150</v>
      </c>
      <c r="O184" s="28"/>
      <c r="P184" s="32">
        <v>45912</v>
      </c>
      <c r="Q184" s="31">
        <v>150</v>
      </c>
      <c r="R184" s="28" t="s">
        <v>748</v>
      </c>
      <c r="S184" s="31">
        <v>0</v>
      </c>
      <c r="T184" s="28"/>
      <c r="U184" s="29"/>
      <c r="V184" s="28"/>
      <c r="W184" s="29"/>
      <c r="X184" s="29"/>
      <c r="Y184" s="29"/>
      <c r="Z184" s="31">
        <v>0</v>
      </c>
      <c r="AA184" s="31">
        <v>0</v>
      </c>
      <c r="AB184" s="31">
        <v>0</v>
      </c>
      <c r="AC184" s="28"/>
      <c r="AD184" s="28" t="s">
        <v>293</v>
      </c>
      <c r="AE184" s="28" t="s">
        <v>294</v>
      </c>
      <c r="AF184" s="28" t="s">
        <v>31</v>
      </c>
      <c r="AG184" s="28" t="s">
        <v>53</v>
      </c>
      <c r="AH184" s="28" t="s">
        <v>228</v>
      </c>
      <c r="AI184" s="28" t="s">
        <v>31</v>
      </c>
      <c r="AJ184" s="28"/>
      <c r="AK184" s="28" t="s">
        <v>239</v>
      </c>
      <c r="AL184" s="28" t="s">
        <v>240</v>
      </c>
      <c r="AM184" s="28" t="s">
        <v>231</v>
      </c>
      <c r="AN184" s="28" t="s">
        <v>232</v>
      </c>
      <c r="AO184" s="28" t="s">
        <v>231</v>
      </c>
      <c r="AP184" s="28" t="s">
        <v>232</v>
      </c>
      <c r="AQ184" s="28"/>
      <c r="AR184" s="28"/>
      <c r="AS184" s="28"/>
      <c r="AT184" s="28"/>
      <c r="AU184" s="28"/>
      <c r="AV184" s="28"/>
      <c r="AW184" s="29"/>
      <c r="AX184" s="33"/>
      <c r="AY184" s="31"/>
      <c r="AZ184" s="33"/>
      <c r="BA184" s="31"/>
      <c r="BB184" s="28"/>
      <c r="BC184" s="28"/>
      <c r="BD184" s="28"/>
      <c r="BE184" s="28"/>
      <c r="BF184" s="29"/>
      <c r="BG184" s="29"/>
      <c r="BH184" s="28" t="s">
        <v>749</v>
      </c>
      <c r="BI184" s="29">
        <v>1</v>
      </c>
      <c r="BJ184" s="29">
        <v>0</v>
      </c>
      <c r="BK184" s="30"/>
      <c r="BL184" s="30"/>
      <c r="BM184" s="28"/>
      <c r="BN184" s="30">
        <v>45912</v>
      </c>
      <c r="BO184" s="30">
        <v>45912</v>
      </c>
      <c r="BP184" s="31">
        <v>150</v>
      </c>
      <c r="BQ184" s="30">
        <v>45911</v>
      </c>
    </row>
    <row r="185" spans="1:69" ht="22.5" hidden="1" customHeight="1" x14ac:dyDescent="0.2">
      <c r="A185" s="22" t="s">
        <v>262</v>
      </c>
      <c r="B185" s="22"/>
      <c r="C185" s="22" t="s">
        <v>221</v>
      </c>
      <c r="D185" s="22" t="s">
        <v>222</v>
      </c>
      <c r="E185" s="23">
        <v>414885</v>
      </c>
      <c r="F185" s="23">
        <v>1973</v>
      </c>
      <c r="G185" s="23">
        <v>315</v>
      </c>
      <c r="H185" s="23">
        <v>0</v>
      </c>
      <c r="I185" s="24">
        <v>45910</v>
      </c>
      <c r="J185" s="22" t="s">
        <v>656</v>
      </c>
      <c r="K185" s="22" t="s">
        <v>750</v>
      </c>
      <c r="L185" s="25">
        <v>27.73</v>
      </c>
      <c r="M185" s="25">
        <v>2.86</v>
      </c>
      <c r="N185" s="25">
        <v>30.59</v>
      </c>
      <c r="O185" s="22"/>
      <c r="P185" s="26">
        <v>45912</v>
      </c>
      <c r="Q185" s="25">
        <v>30.59</v>
      </c>
      <c r="R185" s="22" t="s">
        <v>751</v>
      </c>
      <c r="S185" s="25">
        <v>0</v>
      </c>
      <c r="T185" s="22"/>
      <c r="U185" s="23"/>
      <c r="V185" s="22"/>
      <c r="W185" s="23"/>
      <c r="X185" s="23"/>
      <c r="Y185" s="23"/>
      <c r="Z185" s="25">
        <v>0</v>
      </c>
      <c r="AA185" s="25">
        <v>0</v>
      </c>
      <c r="AB185" s="25">
        <v>0</v>
      </c>
      <c r="AC185" s="22"/>
      <c r="AD185" s="22" t="s">
        <v>365</v>
      </c>
      <c r="AE185" s="22" t="s">
        <v>366</v>
      </c>
      <c r="AF185" s="22" t="s">
        <v>31</v>
      </c>
      <c r="AG185" s="22" t="s">
        <v>53</v>
      </c>
      <c r="AH185" s="22" t="s">
        <v>228</v>
      </c>
      <c r="AI185" s="22" t="s">
        <v>31</v>
      </c>
      <c r="AJ185" s="22"/>
      <c r="AK185" s="22" t="s">
        <v>239</v>
      </c>
      <c r="AL185" s="22" t="s">
        <v>240</v>
      </c>
      <c r="AM185" s="22" t="s">
        <v>231</v>
      </c>
      <c r="AN185" s="22" t="s">
        <v>232</v>
      </c>
      <c r="AO185" s="22" t="s">
        <v>231</v>
      </c>
      <c r="AP185" s="22" t="s">
        <v>232</v>
      </c>
      <c r="AQ185" s="22"/>
      <c r="AR185" s="22"/>
      <c r="AS185" s="22"/>
      <c r="AT185" s="22"/>
      <c r="AU185" s="22"/>
      <c r="AV185" s="22"/>
      <c r="AW185" s="23"/>
      <c r="AX185" s="27"/>
      <c r="AY185" s="25"/>
      <c r="AZ185" s="27"/>
      <c r="BA185" s="25"/>
      <c r="BB185" s="22"/>
      <c r="BC185" s="22"/>
      <c r="BD185" s="22"/>
      <c r="BE185" s="22"/>
      <c r="BF185" s="23"/>
      <c r="BG185" s="23"/>
      <c r="BH185" s="22" t="s">
        <v>752</v>
      </c>
      <c r="BI185" s="23">
        <v>1</v>
      </c>
      <c r="BJ185" s="23">
        <v>0</v>
      </c>
      <c r="BK185" s="24"/>
      <c r="BL185" s="24"/>
      <c r="BM185" s="22"/>
      <c r="BN185" s="24">
        <v>45912</v>
      </c>
      <c r="BO185" s="24">
        <v>45912</v>
      </c>
      <c r="BP185" s="25">
        <v>30.59</v>
      </c>
      <c r="BQ185" s="24">
        <v>45911</v>
      </c>
    </row>
    <row r="186" spans="1:69" ht="22.5" hidden="1" customHeight="1" x14ac:dyDescent="0.2">
      <c r="A186" s="28" t="s">
        <v>262</v>
      </c>
      <c r="B186" s="28"/>
      <c r="C186" s="28" t="s">
        <v>221</v>
      </c>
      <c r="D186" s="28" t="s">
        <v>222</v>
      </c>
      <c r="E186" s="29">
        <v>414886</v>
      </c>
      <c r="F186" s="29">
        <v>1971</v>
      </c>
      <c r="G186" s="29">
        <v>315</v>
      </c>
      <c r="H186" s="29">
        <v>0</v>
      </c>
      <c r="I186" s="30">
        <v>45910</v>
      </c>
      <c r="J186" s="28" t="s">
        <v>656</v>
      </c>
      <c r="K186" s="28" t="s">
        <v>753</v>
      </c>
      <c r="L186" s="31">
        <v>74.400000000000006</v>
      </c>
      <c r="M186" s="31">
        <v>4.09</v>
      </c>
      <c r="N186" s="31">
        <v>78.489999999999995</v>
      </c>
      <c r="O186" s="28"/>
      <c r="P186" s="32">
        <v>45912</v>
      </c>
      <c r="Q186" s="31">
        <v>78.489999999999995</v>
      </c>
      <c r="R186" s="28" t="s">
        <v>754</v>
      </c>
      <c r="S186" s="31">
        <v>0</v>
      </c>
      <c r="T186" s="28"/>
      <c r="U186" s="29"/>
      <c r="V186" s="28"/>
      <c r="W186" s="29"/>
      <c r="X186" s="29"/>
      <c r="Y186" s="29"/>
      <c r="Z186" s="31">
        <v>0</v>
      </c>
      <c r="AA186" s="31">
        <v>0</v>
      </c>
      <c r="AB186" s="31">
        <v>0</v>
      </c>
      <c r="AC186" s="28"/>
      <c r="AD186" s="28" t="s">
        <v>293</v>
      </c>
      <c r="AE186" s="28" t="s">
        <v>294</v>
      </c>
      <c r="AF186" s="28" t="s">
        <v>31</v>
      </c>
      <c r="AG186" s="28" t="s">
        <v>53</v>
      </c>
      <c r="AH186" s="28" t="s">
        <v>228</v>
      </c>
      <c r="AI186" s="28" t="s">
        <v>31</v>
      </c>
      <c r="AJ186" s="28"/>
      <c r="AK186" s="28" t="s">
        <v>239</v>
      </c>
      <c r="AL186" s="28" t="s">
        <v>240</v>
      </c>
      <c r="AM186" s="28" t="s">
        <v>231</v>
      </c>
      <c r="AN186" s="28" t="s">
        <v>232</v>
      </c>
      <c r="AO186" s="28" t="s">
        <v>231</v>
      </c>
      <c r="AP186" s="28" t="s">
        <v>232</v>
      </c>
      <c r="AQ186" s="28"/>
      <c r="AR186" s="28"/>
      <c r="AS186" s="28"/>
      <c r="AT186" s="28"/>
      <c r="AU186" s="28"/>
      <c r="AV186" s="28"/>
      <c r="AW186" s="29"/>
      <c r="AX186" s="33"/>
      <c r="AY186" s="31"/>
      <c r="AZ186" s="33"/>
      <c r="BA186" s="31"/>
      <c r="BB186" s="28"/>
      <c r="BC186" s="28"/>
      <c r="BD186" s="28"/>
      <c r="BE186" s="28"/>
      <c r="BF186" s="29"/>
      <c r="BG186" s="29"/>
      <c r="BH186" s="28" t="s">
        <v>755</v>
      </c>
      <c r="BI186" s="29">
        <v>1</v>
      </c>
      <c r="BJ186" s="29">
        <v>0</v>
      </c>
      <c r="BK186" s="30"/>
      <c r="BL186" s="30"/>
      <c r="BM186" s="28"/>
      <c r="BN186" s="30">
        <v>45912</v>
      </c>
      <c r="BO186" s="30">
        <v>45912</v>
      </c>
      <c r="BP186" s="31">
        <v>78.489999999999995</v>
      </c>
      <c r="BQ186" s="30">
        <v>45911</v>
      </c>
    </row>
    <row r="187" spans="1:69" ht="22.5" hidden="1" customHeight="1" x14ac:dyDescent="0.2">
      <c r="A187" s="22" t="s">
        <v>262</v>
      </c>
      <c r="B187" s="22"/>
      <c r="C187" s="22" t="s">
        <v>221</v>
      </c>
      <c r="D187" s="22" t="s">
        <v>222</v>
      </c>
      <c r="E187" s="23">
        <v>414887</v>
      </c>
      <c r="F187" s="23">
        <v>1972</v>
      </c>
      <c r="G187" s="23">
        <v>315</v>
      </c>
      <c r="H187" s="23">
        <v>0</v>
      </c>
      <c r="I187" s="24">
        <v>45910</v>
      </c>
      <c r="J187" s="22" t="s">
        <v>656</v>
      </c>
      <c r="K187" s="22" t="s">
        <v>756</v>
      </c>
      <c r="L187" s="25">
        <v>87.42</v>
      </c>
      <c r="M187" s="25">
        <v>5.34</v>
      </c>
      <c r="N187" s="25">
        <v>92.76</v>
      </c>
      <c r="O187" s="22"/>
      <c r="P187" s="26">
        <v>45912</v>
      </c>
      <c r="Q187" s="25">
        <v>92.76</v>
      </c>
      <c r="R187" s="22" t="s">
        <v>757</v>
      </c>
      <c r="S187" s="25">
        <v>0</v>
      </c>
      <c r="T187" s="22"/>
      <c r="U187" s="23"/>
      <c r="V187" s="22"/>
      <c r="W187" s="23"/>
      <c r="X187" s="23"/>
      <c r="Y187" s="23"/>
      <c r="Z187" s="25">
        <v>0</v>
      </c>
      <c r="AA187" s="25">
        <v>0</v>
      </c>
      <c r="AB187" s="25">
        <v>0</v>
      </c>
      <c r="AC187" s="22"/>
      <c r="AD187" s="22" t="s">
        <v>293</v>
      </c>
      <c r="AE187" s="22" t="s">
        <v>294</v>
      </c>
      <c r="AF187" s="22" t="s">
        <v>31</v>
      </c>
      <c r="AG187" s="22" t="s">
        <v>42</v>
      </c>
      <c r="AH187" s="22" t="s">
        <v>228</v>
      </c>
      <c r="AI187" s="22" t="s">
        <v>31</v>
      </c>
      <c r="AJ187" s="22"/>
      <c r="AK187" s="22" t="s">
        <v>235</v>
      </c>
      <c r="AL187" s="22" t="s">
        <v>331</v>
      </c>
      <c r="AM187" s="22" t="s">
        <v>231</v>
      </c>
      <c r="AN187" s="22" t="s">
        <v>232</v>
      </c>
      <c r="AO187" s="22" t="s">
        <v>231</v>
      </c>
      <c r="AP187" s="22" t="s">
        <v>232</v>
      </c>
      <c r="AQ187" s="22"/>
      <c r="AR187" s="22"/>
      <c r="AS187" s="22"/>
      <c r="AT187" s="22"/>
      <c r="AU187" s="22"/>
      <c r="AV187" s="22"/>
      <c r="AW187" s="23"/>
      <c r="AX187" s="27"/>
      <c r="AY187" s="25"/>
      <c r="AZ187" s="27"/>
      <c r="BA187" s="25"/>
      <c r="BB187" s="22"/>
      <c r="BC187" s="22"/>
      <c r="BD187" s="22"/>
      <c r="BE187" s="22"/>
      <c r="BF187" s="23"/>
      <c r="BG187" s="23"/>
      <c r="BH187" s="22" t="s">
        <v>758</v>
      </c>
      <c r="BI187" s="23">
        <v>1</v>
      </c>
      <c r="BJ187" s="23">
        <v>0</v>
      </c>
      <c r="BK187" s="24"/>
      <c r="BL187" s="24"/>
      <c r="BM187" s="22"/>
      <c r="BN187" s="24">
        <v>45912</v>
      </c>
      <c r="BO187" s="24">
        <v>45912</v>
      </c>
      <c r="BP187" s="25">
        <v>92.76</v>
      </c>
      <c r="BQ187" s="24">
        <v>45911</v>
      </c>
    </row>
    <row r="188" spans="1:69" ht="22.5" hidden="1" customHeight="1" x14ac:dyDescent="0.2">
      <c r="A188" s="28" t="s">
        <v>262</v>
      </c>
      <c r="B188" s="28"/>
      <c r="C188" s="28" t="s">
        <v>221</v>
      </c>
      <c r="D188" s="28" t="s">
        <v>222</v>
      </c>
      <c r="E188" s="29">
        <v>414897</v>
      </c>
      <c r="F188" s="29">
        <v>1974</v>
      </c>
      <c r="G188" s="29">
        <v>315</v>
      </c>
      <c r="H188" s="29">
        <v>0</v>
      </c>
      <c r="I188" s="30">
        <v>45910</v>
      </c>
      <c r="J188" s="28" t="s">
        <v>656</v>
      </c>
      <c r="K188" s="28" t="s">
        <v>759</v>
      </c>
      <c r="L188" s="31">
        <v>27.68</v>
      </c>
      <c r="M188" s="31">
        <v>2.2799999999999998</v>
      </c>
      <c r="N188" s="31">
        <v>29.96</v>
      </c>
      <c r="O188" s="28"/>
      <c r="P188" s="32">
        <v>45912</v>
      </c>
      <c r="Q188" s="31">
        <v>29.96</v>
      </c>
      <c r="R188" s="28" t="s">
        <v>760</v>
      </c>
      <c r="S188" s="31">
        <v>0</v>
      </c>
      <c r="T188" s="28"/>
      <c r="U188" s="29"/>
      <c r="V188" s="28"/>
      <c r="W188" s="29"/>
      <c r="X188" s="29"/>
      <c r="Y188" s="29"/>
      <c r="Z188" s="31">
        <v>0</v>
      </c>
      <c r="AA188" s="31">
        <v>0</v>
      </c>
      <c r="AB188" s="31">
        <v>0</v>
      </c>
      <c r="AC188" s="28"/>
      <c r="AD188" s="28" t="s">
        <v>365</v>
      </c>
      <c r="AE188" s="28" t="s">
        <v>366</v>
      </c>
      <c r="AF188" s="28" t="s">
        <v>31</v>
      </c>
      <c r="AG188" s="28" t="s">
        <v>53</v>
      </c>
      <c r="AH188" s="28" t="s">
        <v>228</v>
      </c>
      <c r="AI188" s="28" t="s">
        <v>31</v>
      </c>
      <c r="AJ188" s="28"/>
      <c r="AK188" s="28" t="s">
        <v>239</v>
      </c>
      <c r="AL188" s="28" t="s">
        <v>240</v>
      </c>
      <c r="AM188" s="28" t="s">
        <v>231</v>
      </c>
      <c r="AN188" s="28" t="s">
        <v>232</v>
      </c>
      <c r="AO188" s="28" t="s">
        <v>231</v>
      </c>
      <c r="AP188" s="28" t="s">
        <v>232</v>
      </c>
      <c r="AQ188" s="28"/>
      <c r="AR188" s="28"/>
      <c r="AS188" s="28"/>
      <c r="AT188" s="28"/>
      <c r="AU188" s="28"/>
      <c r="AV188" s="28"/>
      <c r="AW188" s="29"/>
      <c r="AX188" s="33"/>
      <c r="AY188" s="31"/>
      <c r="AZ188" s="33"/>
      <c r="BA188" s="31"/>
      <c r="BB188" s="28"/>
      <c r="BC188" s="28"/>
      <c r="BD188" s="28"/>
      <c r="BE188" s="28"/>
      <c r="BF188" s="29"/>
      <c r="BG188" s="29"/>
      <c r="BH188" s="28" t="s">
        <v>761</v>
      </c>
      <c r="BI188" s="29">
        <v>1</v>
      </c>
      <c r="BJ188" s="29">
        <v>0</v>
      </c>
      <c r="BK188" s="30"/>
      <c r="BL188" s="30"/>
      <c r="BM188" s="28"/>
      <c r="BN188" s="30">
        <v>45912</v>
      </c>
      <c r="BO188" s="30">
        <v>45912</v>
      </c>
      <c r="BP188" s="31">
        <v>29.96</v>
      </c>
      <c r="BQ188" s="30">
        <v>45911</v>
      </c>
    </row>
    <row r="189" spans="1:69" ht="22.5" hidden="1" customHeight="1" x14ac:dyDescent="0.2">
      <c r="A189" s="28" t="s">
        <v>262</v>
      </c>
      <c r="B189" s="28"/>
      <c r="C189" s="28" t="s">
        <v>221</v>
      </c>
      <c r="D189" s="28" t="s">
        <v>222</v>
      </c>
      <c r="E189" s="29">
        <v>414899</v>
      </c>
      <c r="F189" s="29">
        <v>1970</v>
      </c>
      <c r="G189" s="29">
        <v>315</v>
      </c>
      <c r="H189" s="29">
        <v>0</v>
      </c>
      <c r="I189" s="30">
        <v>45910</v>
      </c>
      <c r="J189" s="28" t="s">
        <v>656</v>
      </c>
      <c r="K189" s="28" t="s">
        <v>762</v>
      </c>
      <c r="L189" s="31">
        <v>42.89</v>
      </c>
      <c r="M189" s="31">
        <v>2.36</v>
      </c>
      <c r="N189" s="31">
        <v>45.25</v>
      </c>
      <c r="O189" s="28"/>
      <c r="P189" s="32">
        <v>45912</v>
      </c>
      <c r="Q189" s="31">
        <v>45.25</v>
      </c>
      <c r="R189" s="28" t="s">
        <v>763</v>
      </c>
      <c r="S189" s="31">
        <v>0</v>
      </c>
      <c r="T189" s="28"/>
      <c r="U189" s="29"/>
      <c r="V189" s="28"/>
      <c r="W189" s="29"/>
      <c r="X189" s="29"/>
      <c r="Y189" s="29"/>
      <c r="Z189" s="31">
        <v>0</v>
      </c>
      <c r="AA189" s="31">
        <v>0</v>
      </c>
      <c r="AB189" s="31">
        <v>0</v>
      </c>
      <c r="AC189" s="28"/>
      <c r="AD189" s="28" t="s">
        <v>293</v>
      </c>
      <c r="AE189" s="28" t="s">
        <v>294</v>
      </c>
      <c r="AF189" s="28" t="s">
        <v>31</v>
      </c>
      <c r="AG189" s="28" t="s">
        <v>53</v>
      </c>
      <c r="AH189" s="28" t="s">
        <v>228</v>
      </c>
      <c r="AI189" s="28" t="s">
        <v>31</v>
      </c>
      <c r="AJ189" s="28"/>
      <c r="AK189" s="28" t="s">
        <v>239</v>
      </c>
      <c r="AL189" s="28" t="s">
        <v>240</v>
      </c>
      <c r="AM189" s="28" t="s">
        <v>231</v>
      </c>
      <c r="AN189" s="28" t="s">
        <v>232</v>
      </c>
      <c r="AO189" s="28" t="s">
        <v>231</v>
      </c>
      <c r="AP189" s="28" t="s">
        <v>232</v>
      </c>
      <c r="AQ189" s="28"/>
      <c r="AR189" s="28"/>
      <c r="AS189" s="28"/>
      <c r="AT189" s="28"/>
      <c r="AU189" s="28"/>
      <c r="AV189" s="28"/>
      <c r="AW189" s="29"/>
      <c r="AX189" s="33"/>
      <c r="AY189" s="31"/>
      <c r="AZ189" s="33"/>
      <c r="BA189" s="31"/>
      <c r="BB189" s="28"/>
      <c r="BC189" s="28"/>
      <c r="BD189" s="28"/>
      <c r="BE189" s="28"/>
      <c r="BF189" s="29"/>
      <c r="BG189" s="29"/>
      <c r="BH189" s="28" t="s">
        <v>764</v>
      </c>
      <c r="BI189" s="29">
        <v>1</v>
      </c>
      <c r="BJ189" s="29">
        <v>0</v>
      </c>
      <c r="BK189" s="30"/>
      <c r="BL189" s="30"/>
      <c r="BM189" s="28"/>
      <c r="BN189" s="30">
        <v>45912</v>
      </c>
      <c r="BO189" s="30">
        <v>45912</v>
      </c>
      <c r="BP189" s="31">
        <v>45.25</v>
      </c>
      <c r="BQ189" s="30">
        <v>45911</v>
      </c>
    </row>
    <row r="190" spans="1:69" ht="22.5" hidden="1" customHeight="1" x14ac:dyDescent="0.2">
      <c r="A190" s="22" t="s">
        <v>262</v>
      </c>
      <c r="B190" s="22"/>
      <c r="C190" s="22" t="s">
        <v>221</v>
      </c>
      <c r="D190" s="22" t="s">
        <v>222</v>
      </c>
      <c r="E190" s="23">
        <v>415706</v>
      </c>
      <c r="F190" s="23">
        <v>2008</v>
      </c>
      <c r="G190" s="23">
        <v>319</v>
      </c>
      <c r="H190" s="23">
        <v>0</v>
      </c>
      <c r="I190" s="24">
        <v>45916</v>
      </c>
      <c r="J190" s="22" t="s">
        <v>263</v>
      </c>
      <c r="K190" s="22" t="s">
        <v>765</v>
      </c>
      <c r="L190" s="25">
        <v>68.78</v>
      </c>
      <c r="M190" s="25">
        <v>7.27</v>
      </c>
      <c r="N190" s="25">
        <v>76.05</v>
      </c>
      <c r="O190" s="22"/>
      <c r="P190" s="26">
        <v>45945</v>
      </c>
      <c r="Q190" s="25">
        <v>76.05</v>
      </c>
      <c r="R190" s="22" t="s">
        <v>766</v>
      </c>
      <c r="S190" s="25">
        <v>0</v>
      </c>
      <c r="T190" s="22"/>
      <c r="U190" s="23"/>
      <c r="V190" s="22"/>
      <c r="W190" s="23"/>
      <c r="X190" s="23"/>
      <c r="Y190" s="23"/>
      <c r="Z190" s="25">
        <v>0</v>
      </c>
      <c r="AA190" s="25">
        <v>0</v>
      </c>
      <c r="AB190" s="25">
        <v>0</v>
      </c>
      <c r="AC190" s="22"/>
      <c r="AD190" s="22" t="s">
        <v>293</v>
      </c>
      <c r="AE190" s="22" t="s">
        <v>294</v>
      </c>
      <c r="AF190" s="22" t="s">
        <v>31</v>
      </c>
      <c r="AG190" s="22" t="s">
        <v>53</v>
      </c>
      <c r="AH190" s="22" t="s">
        <v>228</v>
      </c>
      <c r="AI190" s="22" t="s">
        <v>31</v>
      </c>
      <c r="AJ190" s="22"/>
      <c r="AK190" s="22" t="s">
        <v>239</v>
      </c>
      <c r="AL190" s="22" t="s">
        <v>243</v>
      </c>
      <c r="AM190" s="22" t="s">
        <v>231</v>
      </c>
      <c r="AN190" s="22" t="s">
        <v>232</v>
      </c>
      <c r="AO190" s="22" t="s">
        <v>231</v>
      </c>
      <c r="AP190" s="22" t="s">
        <v>232</v>
      </c>
      <c r="AQ190" s="22"/>
      <c r="AR190" s="22"/>
      <c r="AS190" s="22"/>
      <c r="AT190" s="22"/>
      <c r="AU190" s="22"/>
      <c r="AV190" s="22"/>
      <c r="AW190" s="23"/>
      <c r="AX190" s="27"/>
      <c r="AY190" s="25"/>
      <c r="AZ190" s="27"/>
      <c r="BA190" s="25"/>
      <c r="BB190" s="22"/>
      <c r="BC190" s="22"/>
      <c r="BD190" s="22"/>
      <c r="BE190" s="22"/>
      <c r="BF190" s="23"/>
      <c r="BG190" s="23"/>
      <c r="BH190" s="22" t="s">
        <v>767</v>
      </c>
      <c r="BI190" s="23">
        <v>1</v>
      </c>
      <c r="BJ190" s="23">
        <v>0</v>
      </c>
      <c r="BK190" s="24"/>
      <c r="BL190" s="24"/>
      <c r="BM190" s="22"/>
      <c r="BN190" s="24">
        <v>45945</v>
      </c>
      <c r="BO190" s="24">
        <v>45945</v>
      </c>
      <c r="BP190" s="25">
        <v>76.05</v>
      </c>
      <c r="BQ190" s="24">
        <v>45944</v>
      </c>
    </row>
    <row r="191" spans="1:69" ht="22.5" hidden="1" customHeight="1" x14ac:dyDescent="0.2">
      <c r="A191" s="28" t="s">
        <v>262</v>
      </c>
      <c r="B191" s="28"/>
      <c r="C191" s="28" t="s">
        <v>221</v>
      </c>
      <c r="D191" s="28" t="s">
        <v>222</v>
      </c>
      <c r="E191" s="29">
        <v>415707</v>
      </c>
      <c r="F191" s="29">
        <v>2009</v>
      </c>
      <c r="G191" s="29">
        <v>319</v>
      </c>
      <c r="H191" s="29">
        <v>0</v>
      </c>
      <c r="I191" s="30">
        <v>45916</v>
      </c>
      <c r="J191" s="28" t="s">
        <v>263</v>
      </c>
      <c r="K191" s="28" t="s">
        <v>768</v>
      </c>
      <c r="L191" s="31">
        <v>131.15</v>
      </c>
      <c r="M191" s="31">
        <v>11.7</v>
      </c>
      <c r="N191" s="31">
        <v>142.85</v>
      </c>
      <c r="O191" s="28"/>
      <c r="P191" s="32">
        <v>45945</v>
      </c>
      <c r="Q191" s="31">
        <v>142.85</v>
      </c>
      <c r="R191" s="28" t="s">
        <v>769</v>
      </c>
      <c r="S191" s="31">
        <v>0</v>
      </c>
      <c r="T191" s="28"/>
      <c r="U191" s="29"/>
      <c r="V191" s="28"/>
      <c r="W191" s="29"/>
      <c r="X191" s="29"/>
      <c r="Y191" s="29"/>
      <c r="Z191" s="31">
        <v>0</v>
      </c>
      <c r="AA191" s="31">
        <v>0</v>
      </c>
      <c r="AB191" s="31">
        <v>0</v>
      </c>
      <c r="AC191" s="28"/>
      <c r="AD191" s="28" t="s">
        <v>293</v>
      </c>
      <c r="AE191" s="28" t="s">
        <v>294</v>
      </c>
      <c r="AF191" s="28" t="s">
        <v>31</v>
      </c>
      <c r="AG191" s="28" t="s">
        <v>53</v>
      </c>
      <c r="AH191" s="28" t="s">
        <v>228</v>
      </c>
      <c r="AI191" s="28" t="s">
        <v>31</v>
      </c>
      <c r="AJ191" s="28"/>
      <c r="AK191" s="28" t="s">
        <v>239</v>
      </c>
      <c r="AL191" s="28" t="s">
        <v>243</v>
      </c>
      <c r="AM191" s="28" t="s">
        <v>231</v>
      </c>
      <c r="AN191" s="28" t="s">
        <v>232</v>
      </c>
      <c r="AO191" s="28" t="s">
        <v>231</v>
      </c>
      <c r="AP191" s="28" t="s">
        <v>232</v>
      </c>
      <c r="AQ191" s="28"/>
      <c r="AR191" s="28"/>
      <c r="AS191" s="28"/>
      <c r="AT191" s="28"/>
      <c r="AU191" s="28"/>
      <c r="AV191" s="28"/>
      <c r="AW191" s="29"/>
      <c r="AX191" s="33"/>
      <c r="AY191" s="31"/>
      <c r="AZ191" s="33"/>
      <c r="BA191" s="31"/>
      <c r="BB191" s="28"/>
      <c r="BC191" s="28"/>
      <c r="BD191" s="28"/>
      <c r="BE191" s="28"/>
      <c r="BF191" s="29"/>
      <c r="BG191" s="29"/>
      <c r="BH191" s="28" t="s">
        <v>770</v>
      </c>
      <c r="BI191" s="29">
        <v>1</v>
      </c>
      <c r="BJ191" s="29">
        <v>0</v>
      </c>
      <c r="BK191" s="30"/>
      <c r="BL191" s="30"/>
      <c r="BM191" s="28"/>
      <c r="BN191" s="30">
        <v>45945</v>
      </c>
      <c r="BO191" s="30">
        <v>45945</v>
      </c>
      <c r="BP191" s="31">
        <v>142.85</v>
      </c>
      <c r="BQ191" s="30">
        <v>45944</v>
      </c>
    </row>
    <row r="192" spans="1:69" ht="22.5" hidden="1" customHeight="1" x14ac:dyDescent="0.2">
      <c r="A192" s="22" t="s">
        <v>262</v>
      </c>
      <c r="B192" s="22"/>
      <c r="C192" s="22" t="s">
        <v>221</v>
      </c>
      <c r="D192" s="22" t="s">
        <v>222</v>
      </c>
      <c r="E192" s="23">
        <v>415708</v>
      </c>
      <c r="F192" s="23">
        <v>2010</v>
      </c>
      <c r="G192" s="23">
        <v>319</v>
      </c>
      <c r="H192" s="23">
        <v>0</v>
      </c>
      <c r="I192" s="24">
        <v>45916</v>
      </c>
      <c r="J192" s="22" t="s">
        <v>263</v>
      </c>
      <c r="K192" s="22" t="s">
        <v>771</v>
      </c>
      <c r="L192" s="25">
        <v>117.07</v>
      </c>
      <c r="M192" s="25">
        <v>13.26</v>
      </c>
      <c r="N192" s="25">
        <v>130.33000000000001</v>
      </c>
      <c r="O192" s="22"/>
      <c r="P192" s="26">
        <v>45945</v>
      </c>
      <c r="Q192" s="25">
        <v>130.33000000000001</v>
      </c>
      <c r="R192" s="22" t="s">
        <v>772</v>
      </c>
      <c r="S192" s="25">
        <v>0</v>
      </c>
      <c r="T192" s="22"/>
      <c r="U192" s="23"/>
      <c r="V192" s="22"/>
      <c r="W192" s="23"/>
      <c r="X192" s="23"/>
      <c r="Y192" s="23"/>
      <c r="Z192" s="25">
        <v>0</v>
      </c>
      <c r="AA192" s="25">
        <v>0</v>
      </c>
      <c r="AB192" s="25">
        <v>0</v>
      </c>
      <c r="AC192" s="22"/>
      <c r="AD192" s="22" t="s">
        <v>293</v>
      </c>
      <c r="AE192" s="22" t="s">
        <v>294</v>
      </c>
      <c r="AF192" s="22" t="s">
        <v>31</v>
      </c>
      <c r="AG192" s="22" t="s">
        <v>53</v>
      </c>
      <c r="AH192" s="22" t="s">
        <v>228</v>
      </c>
      <c r="AI192" s="22" t="s">
        <v>31</v>
      </c>
      <c r="AJ192" s="22"/>
      <c r="AK192" s="22" t="s">
        <v>239</v>
      </c>
      <c r="AL192" s="22" t="s">
        <v>243</v>
      </c>
      <c r="AM192" s="22" t="s">
        <v>231</v>
      </c>
      <c r="AN192" s="22" t="s">
        <v>232</v>
      </c>
      <c r="AO192" s="22" t="s">
        <v>231</v>
      </c>
      <c r="AP192" s="22" t="s">
        <v>232</v>
      </c>
      <c r="AQ192" s="22"/>
      <c r="AR192" s="22"/>
      <c r="AS192" s="22"/>
      <c r="AT192" s="22"/>
      <c r="AU192" s="22"/>
      <c r="AV192" s="22"/>
      <c r="AW192" s="23"/>
      <c r="AX192" s="27"/>
      <c r="AY192" s="25"/>
      <c r="AZ192" s="27"/>
      <c r="BA192" s="25"/>
      <c r="BB192" s="22"/>
      <c r="BC192" s="22"/>
      <c r="BD192" s="22"/>
      <c r="BE192" s="22"/>
      <c r="BF192" s="23"/>
      <c r="BG192" s="23"/>
      <c r="BH192" s="22" t="s">
        <v>773</v>
      </c>
      <c r="BI192" s="23">
        <v>1</v>
      </c>
      <c r="BJ192" s="23">
        <v>0</v>
      </c>
      <c r="BK192" s="24"/>
      <c r="BL192" s="24"/>
      <c r="BM192" s="22"/>
      <c r="BN192" s="24">
        <v>45945</v>
      </c>
      <c r="BO192" s="24">
        <v>45945</v>
      </c>
      <c r="BP192" s="25">
        <v>130.33000000000001</v>
      </c>
      <c r="BQ192" s="24">
        <v>45944</v>
      </c>
    </row>
    <row r="193" spans="1:69" ht="22.5" hidden="1" customHeight="1" x14ac:dyDescent="0.2">
      <c r="A193" s="22" t="s">
        <v>262</v>
      </c>
      <c r="B193" s="22"/>
      <c r="C193" s="22" t="s">
        <v>221</v>
      </c>
      <c r="D193" s="22" t="s">
        <v>222</v>
      </c>
      <c r="E193" s="23">
        <v>415713</v>
      </c>
      <c r="F193" s="23">
        <v>2042</v>
      </c>
      <c r="G193" s="23">
        <v>322</v>
      </c>
      <c r="H193" s="23">
        <v>0</v>
      </c>
      <c r="I193" s="24">
        <v>45919</v>
      </c>
      <c r="J193" s="22" t="s">
        <v>656</v>
      </c>
      <c r="K193" s="22" t="s">
        <v>774</v>
      </c>
      <c r="L193" s="25">
        <v>174</v>
      </c>
      <c r="M193" s="25">
        <v>16.57</v>
      </c>
      <c r="N193" s="25">
        <v>190.57</v>
      </c>
      <c r="O193" s="22"/>
      <c r="P193" s="26">
        <v>45945</v>
      </c>
      <c r="Q193" s="25">
        <v>190.57</v>
      </c>
      <c r="R193" s="22" t="s">
        <v>775</v>
      </c>
      <c r="S193" s="25">
        <v>0</v>
      </c>
      <c r="T193" s="22"/>
      <c r="U193" s="23"/>
      <c r="V193" s="22"/>
      <c r="W193" s="23"/>
      <c r="X193" s="23"/>
      <c r="Y193" s="23"/>
      <c r="Z193" s="25">
        <v>0</v>
      </c>
      <c r="AA193" s="25">
        <v>0</v>
      </c>
      <c r="AB193" s="25">
        <v>0</v>
      </c>
      <c r="AC193" s="22"/>
      <c r="AD193" s="22" t="s">
        <v>293</v>
      </c>
      <c r="AE193" s="22" t="s">
        <v>294</v>
      </c>
      <c r="AF193" s="22" t="s">
        <v>31</v>
      </c>
      <c r="AG193" s="22" t="s">
        <v>53</v>
      </c>
      <c r="AH193" s="22" t="s">
        <v>228</v>
      </c>
      <c r="AI193" s="22" t="s">
        <v>31</v>
      </c>
      <c r="AJ193" s="22"/>
      <c r="AK193" s="22" t="s">
        <v>239</v>
      </c>
      <c r="AL193" s="22" t="s">
        <v>243</v>
      </c>
      <c r="AM193" s="22" t="s">
        <v>231</v>
      </c>
      <c r="AN193" s="22" t="s">
        <v>232</v>
      </c>
      <c r="AO193" s="22" t="s">
        <v>231</v>
      </c>
      <c r="AP193" s="22" t="s">
        <v>232</v>
      </c>
      <c r="AQ193" s="22"/>
      <c r="AR193" s="22"/>
      <c r="AS193" s="22"/>
      <c r="AT193" s="22"/>
      <c r="AU193" s="22"/>
      <c r="AV193" s="22"/>
      <c r="AW193" s="23"/>
      <c r="AX193" s="27"/>
      <c r="AY193" s="25"/>
      <c r="AZ193" s="27"/>
      <c r="BA193" s="25"/>
      <c r="BB193" s="22"/>
      <c r="BC193" s="22"/>
      <c r="BD193" s="22"/>
      <c r="BE193" s="22"/>
      <c r="BF193" s="23"/>
      <c r="BG193" s="23"/>
      <c r="BH193" s="22" t="s">
        <v>776</v>
      </c>
      <c r="BI193" s="23">
        <v>1</v>
      </c>
      <c r="BJ193" s="23">
        <v>0</v>
      </c>
      <c r="BK193" s="24"/>
      <c r="BL193" s="24"/>
      <c r="BM193" s="22"/>
      <c r="BN193" s="24">
        <v>45945</v>
      </c>
      <c r="BO193" s="24">
        <v>45945</v>
      </c>
      <c r="BP193" s="25">
        <v>190.57</v>
      </c>
      <c r="BQ193" s="24">
        <v>45944</v>
      </c>
    </row>
    <row r="194" spans="1:69" ht="22.5" hidden="1" customHeight="1" x14ac:dyDescent="0.2">
      <c r="A194" s="28" t="s">
        <v>262</v>
      </c>
      <c r="B194" s="28"/>
      <c r="C194" s="28" t="s">
        <v>221</v>
      </c>
      <c r="D194" s="28" t="s">
        <v>222</v>
      </c>
      <c r="E194" s="29">
        <v>415737</v>
      </c>
      <c r="F194" s="29">
        <v>2059</v>
      </c>
      <c r="G194" s="29">
        <v>324</v>
      </c>
      <c r="H194" s="29">
        <v>0</v>
      </c>
      <c r="I194" s="30">
        <v>45919</v>
      </c>
      <c r="J194" s="28" t="s">
        <v>263</v>
      </c>
      <c r="K194" s="28" t="s">
        <v>777</v>
      </c>
      <c r="L194" s="31">
        <v>125.36</v>
      </c>
      <c r="M194" s="31">
        <v>10.23</v>
      </c>
      <c r="N194" s="31">
        <v>135.59</v>
      </c>
      <c r="O194" s="28"/>
      <c r="P194" s="32">
        <v>45932</v>
      </c>
      <c r="Q194" s="31">
        <v>135.59</v>
      </c>
      <c r="R194" s="28" t="s">
        <v>778</v>
      </c>
      <c r="S194" s="31">
        <v>0</v>
      </c>
      <c r="T194" s="28"/>
      <c r="U194" s="29"/>
      <c r="V194" s="28"/>
      <c r="W194" s="29"/>
      <c r="X194" s="29"/>
      <c r="Y194" s="29"/>
      <c r="Z194" s="31">
        <v>0</v>
      </c>
      <c r="AA194" s="31">
        <v>0</v>
      </c>
      <c r="AB194" s="31">
        <v>0</v>
      </c>
      <c r="AC194" s="28"/>
      <c r="AD194" s="28" t="s">
        <v>293</v>
      </c>
      <c r="AE194" s="28" t="s">
        <v>294</v>
      </c>
      <c r="AF194" s="28" t="s">
        <v>31</v>
      </c>
      <c r="AG194" s="28" t="s">
        <v>42</v>
      </c>
      <c r="AH194" s="28" t="s">
        <v>228</v>
      </c>
      <c r="AI194" s="28" t="s">
        <v>31</v>
      </c>
      <c r="AJ194" s="28"/>
      <c r="AK194" s="28" t="s">
        <v>235</v>
      </c>
      <c r="AL194" s="28" t="s">
        <v>236</v>
      </c>
      <c r="AM194" s="28" t="s">
        <v>231</v>
      </c>
      <c r="AN194" s="28" t="s">
        <v>232</v>
      </c>
      <c r="AO194" s="28" t="s">
        <v>231</v>
      </c>
      <c r="AP194" s="28" t="s">
        <v>232</v>
      </c>
      <c r="AQ194" s="28"/>
      <c r="AR194" s="28"/>
      <c r="AS194" s="28"/>
      <c r="AT194" s="28"/>
      <c r="AU194" s="28"/>
      <c r="AV194" s="28"/>
      <c r="AW194" s="29"/>
      <c r="AX194" s="33"/>
      <c r="AY194" s="31"/>
      <c r="AZ194" s="33"/>
      <c r="BA194" s="31"/>
      <c r="BB194" s="28"/>
      <c r="BC194" s="28"/>
      <c r="BD194" s="28"/>
      <c r="BE194" s="28"/>
      <c r="BF194" s="29"/>
      <c r="BG194" s="29"/>
      <c r="BH194" s="28" t="s">
        <v>779</v>
      </c>
      <c r="BI194" s="29">
        <v>1</v>
      </c>
      <c r="BJ194" s="29">
        <v>0</v>
      </c>
      <c r="BK194" s="30"/>
      <c r="BL194" s="30"/>
      <c r="BM194" s="28"/>
      <c r="BN194" s="30">
        <v>45932</v>
      </c>
      <c r="BO194" s="30">
        <v>45932</v>
      </c>
      <c r="BP194" s="31">
        <v>135.59</v>
      </c>
      <c r="BQ194" s="30">
        <v>45931</v>
      </c>
    </row>
    <row r="195" spans="1:69" ht="22.5" customHeight="1" x14ac:dyDescent="0.2">
      <c r="A195" s="22" t="s">
        <v>262</v>
      </c>
      <c r="B195" s="22"/>
      <c r="C195" s="22" t="s">
        <v>221</v>
      </c>
      <c r="D195" s="22" t="s">
        <v>222</v>
      </c>
      <c r="E195" s="23">
        <v>415766</v>
      </c>
      <c r="F195" s="23">
        <v>2081</v>
      </c>
      <c r="G195" s="23">
        <v>325</v>
      </c>
      <c r="H195" s="23">
        <v>0</v>
      </c>
      <c r="I195" s="24">
        <v>45923</v>
      </c>
      <c r="J195" s="22" t="s">
        <v>263</v>
      </c>
      <c r="K195" s="22" t="s">
        <v>780</v>
      </c>
      <c r="L195" s="25">
        <v>56.87</v>
      </c>
      <c r="M195" s="25">
        <v>3.13</v>
      </c>
      <c r="N195" s="25">
        <v>60</v>
      </c>
      <c r="O195" s="22"/>
      <c r="P195" s="26">
        <v>45945</v>
      </c>
      <c r="Q195" s="25">
        <v>60</v>
      </c>
      <c r="R195" s="22" t="s">
        <v>781</v>
      </c>
      <c r="S195" s="25">
        <v>0</v>
      </c>
      <c r="T195" s="22"/>
      <c r="U195" s="23"/>
      <c r="V195" s="22"/>
      <c r="W195" s="23"/>
      <c r="X195" s="23"/>
      <c r="Y195" s="23"/>
      <c r="Z195" s="25">
        <v>0</v>
      </c>
      <c r="AA195" s="25">
        <v>0</v>
      </c>
      <c r="AB195" s="25">
        <v>0</v>
      </c>
      <c r="AC195" s="22"/>
      <c r="AD195" s="22" t="s">
        <v>308</v>
      </c>
      <c r="AE195" s="22" t="s">
        <v>309</v>
      </c>
      <c r="AF195" s="22" t="s">
        <v>31</v>
      </c>
      <c r="AG195" s="22" t="s">
        <v>32</v>
      </c>
      <c r="AH195" s="22" t="s">
        <v>228</v>
      </c>
      <c r="AI195" s="22" t="s">
        <v>31</v>
      </c>
      <c r="AJ195" s="22"/>
      <c r="AK195" s="22" t="s">
        <v>34</v>
      </c>
      <c r="AL195" s="22" t="s">
        <v>31</v>
      </c>
      <c r="AM195" s="22" t="s">
        <v>231</v>
      </c>
      <c r="AN195" s="22" t="s">
        <v>232</v>
      </c>
      <c r="AO195" s="22" t="s">
        <v>231</v>
      </c>
      <c r="AP195" s="22" t="s">
        <v>232</v>
      </c>
      <c r="AQ195" s="22"/>
      <c r="AR195" s="22"/>
      <c r="AS195" s="22"/>
      <c r="AT195" s="22"/>
      <c r="AU195" s="22"/>
      <c r="AV195" s="22"/>
      <c r="AW195" s="23"/>
      <c r="AX195" s="27"/>
      <c r="AY195" s="25"/>
      <c r="AZ195" s="27"/>
      <c r="BA195" s="25"/>
      <c r="BB195" s="22"/>
      <c r="BC195" s="22"/>
      <c r="BD195" s="22"/>
      <c r="BE195" s="22"/>
      <c r="BF195" s="23"/>
      <c r="BG195" s="23"/>
      <c r="BH195" s="22" t="s">
        <v>782</v>
      </c>
      <c r="BI195" s="23">
        <v>1</v>
      </c>
      <c r="BJ195" s="23">
        <v>0</v>
      </c>
      <c r="BK195" s="24"/>
      <c r="BL195" s="24"/>
      <c r="BM195" s="22"/>
      <c r="BN195" s="24">
        <v>45945</v>
      </c>
      <c r="BO195" s="24">
        <v>45945</v>
      </c>
      <c r="BP195" s="25">
        <v>60</v>
      </c>
      <c r="BQ195" s="24">
        <v>45944</v>
      </c>
    </row>
    <row r="196" spans="1:69" ht="22.5" hidden="1" customHeight="1" x14ac:dyDescent="0.2">
      <c r="A196" s="22" t="s">
        <v>262</v>
      </c>
      <c r="B196" s="22"/>
      <c r="C196" s="22" t="s">
        <v>221</v>
      </c>
      <c r="D196" s="22" t="s">
        <v>222</v>
      </c>
      <c r="E196" s="23">
        <v>415774</v>
      </c>
      <c r="F196" s="23">
        <v>2079</v>
      </c>
      <c r="G196" s="23">
        <v>325</v>
      </c>
      <c r="H196" s="23">
        <v>0</v>
      </c>
      <c r="I196" s="24">
        <v>45923</v>
      </c>
      <c r="J196" s="22" t="s">
        <v>263</v>
      </c>
      <c r="K196" s="22" t="s">
        <v>783</v>
      </c>
      <c r="L196" s="25">
        <v>98.14</v>
      </c>
      <c r="M196" s="25">
        <v>5.4</v>
      </c>
      <c r="N196" s="25">
        <v>103.54</v>
      </c>
      <c r="O196" s="22"/>
      <c r="P196" s="26">
        <v>45945</v>
      </c>
      <c r="Q196" s="25">
        <v>103.54</v>
      </c>
      <c r="R196" s="22" t="s">
        <v>784</v>
      </c>
      <c r="S196" s="25">
        <v>0</v>
      </c>
      <c r="T196" s="22"/>
      <c r="U196" s="23"/>
      <c r="V196" s="22"/>
      <c r="W196" s="23"/>
      <c r="X196" s="23"/>
      <c r="Y196" s="23"/>
      <c r="Z196" s="25">
        <v>0</v>
      </c>
      <c r="AA196" s="25">
        <v>0</v>
      </c>
      <c r="AB196" s="25">
        <v>0</v>
      </c>
      <c r="AC196" s="22"/>
      <c r="AD196" s="22" t="s">
        <v>293</v>
      </c>
      <c r="AE196" s="22" t="s">
        <v>294</v>
      </c>
      <c r="AF196" s="22" t="s">
        <v>31</v>
      </c>
      <c r="AG196" s="22" t="s">
        <v>42</v>
      </c>
      <c r="AH196" s="22" t="s">
        <v>228</v>
      </c>
      <c r="AI196" s="22" t="s">
        <v>31</v>
      </c>
      <c r="AJ196" s="22"/>
      <c r="AK196" s="22" t="s">
        <v>235</v>
      </c>
      <c r="AL196" s="22" t="s">
        <v>236</v>
      </c>
      <c r="AM196" s="22" t="s">
        <v>231</v>
      </c>
      <c r="AN196" s="22" t="s">
        <v>232</v>
      </c>
      <c r="AO196" s="22" t="s">
        <v>231</v>
      </c>
      <c r="AP196" s="22" t="s">
        <v>232</v>
      </c>
      <c r="AQ196" s="22"/>
      <c r="AR196" s="22"/>
      <c r="AS196" s="22"/>
      <c r="AT196" s="22"/>
      <c r="AU196" s="22"/>
      <c r="AV196" s="22"/>
      <c r="AW196" s="23"/>
      <c r="AX196" s="27"/>
      <c r="AY196" s="25"/>
      <c r="AZ196" s="27"/>
      <c r="BA196" s="25"/>
      <c r="BB196" s="22"/>
      <c r="BC196" s="22"/>
      <c r="BD196" s="22"/>
      <c r="BE196" s="22"/>
      <c r="BF196" s="23"/>
      <c r="BG196" s="23"/>
      <c r="BH196" s="22" t="s">
        <v>785</v>
      </c>
      <c r="BI196" s="23">
        <v>1</v>
      </c>
      <c r="BJ196" s="23">
        <v>0</v>
      </c>
      <c r="BK196" s="24"/>
      <c r="BL196" s="24"/>
      <c r="BM196" s="22"/>
      <c r="BN196" s="24">
        <v>45945</v>
      </c>
      <c r="BO196" s="24">
        <v>45945</v>
      </c>
      <c r="BP196" s="25">
        <v>103.54</v>
      </c>
      <c r="BQ196" s="24">
        <v>45944</v>
      </c>
    </row>
    <row r="197" spans="1:69" ht="22.5" hidden="1" customHeight="1" x14ac:dyDescent="0.2">
      <c r="A197" s="28" t="s">
        <v>262</v>
      </c>
      <c r="B197" s="28"/>
      <c r="C197" s="28" t="s">
        <v>221</v>
      </c>
      <c r="D197" s="28" t="s">
        <v>222</v>
      </c>
      <c r="E197" s="29">
        <v>415775</v>
      </c>
      <c r="F197" s="29">
        <v>2080</v>
      </c>
      <c r="G197" s="29">
        <v>325</v>
      </c>
      <c r="H197" s="29">
        <v>0</v>
      </c>
      <c r="I197" s="30">
        <v>45923</v>
      </c>
      <c r="J197" s="28" t="s">
        <v>263</v>
      </c>
      <c r="K197" s="28" t="s">
        <v>786</v>
      </c>
      <c r="L197" s="31">
        <v>140.91</v>
      </c>
      <c r="M197" s="31">
        <v>8.0500000000000007</v>
      </c>
      <c r="N197" s="31">
        <v>148.96</v>
      </c>
      <c r="O197" s="28"/>
      <c r="P197" s="32">
        <v>45945</v>
      </c>
      <c r="Q197" s="31">
        <v>148.96</v>
      </c>
      <c r="R197" s="28" t="s">
        <v>787</v>
      </c>
      <c r="S197" s="31">
        <v>0</v>
      </c>
      <c r="T197" s="28"/>
      <c r="U197" s="29"/>
      <c r="V197" s="28"/>
      <c r="W197" s="29"/>
      <c r="X197" s="29"/>
      <c r="Y197" s="29"/>
      <c r="Z197" s="31">
        <v>0</v>
      </c>
      <c r="AA197" s="31">
        <v>0</v>
      </c>
      <c r="AB197" s="31">
        <v>0</v>
      </c>
      <c r="AC197" s="28"/>
      <c r="AD197" s="28" t="s">
        <v>293</v>
      </c>
      <c r="AE197" s="28" t="s">
        <v>294</v>
      </c>
      <c r="AF197" s="28" t="s">
        <v>31</v>
      </c>
      <c r="AG197" s="28" t="s">
        <v>42</v>
      </c>
      <c r="AH197" s="28" t="s">
        <v>228</v>
      </c>
      <c r="AI197" s="28" t="s">
        <v>31</v>
      </c>
      <c r="AJ197" s="28"/>
      <c r="AK197" s="28" t="s">
        <v>235</v>
      </c>
      <c r="AL197" s="28" t="s">
        <v>236</v>
      </c>
      <c r="AM197" s="28" t="s">
        <v>231</v>
      </c>
      <c r="AN197" s="28" t="s">
        <v>232</v>
      </c>
      <c r="AO197" s="28" t="s">
        <v>231</v>
      </c>
      <c r="AP197" s="28" t="s">
        <v>232</v>
      </c>
      <c r="AQ197" s="28"/>
      <c r="AR197" s="28"/>
      <c r="AS197" s="28"/>
      <c r="AT197" s="28"/>
      <c r="AU197" s="28"/>
      <c r="AV197" s="28"/>
      <c r="AW197" s="29"/>
      <c r="AX197" s="33"/>
      <c r="AY197" s="31"/>
      <c r="AZ197" s="33"/>
      <c r="BA197" s="31"/>
      <c r="BB197" s="28"/>
      <c r="BC197" s="28"/>
      <c r="BD197" s="28"/>
      <c r="BE197" s="28"/>
      <c r="BF197" s="29"/>
      <c r="BG197" s="29"/>
      <c r="BH197" s="28" t="s">
        <v>788</v>
      </c>
      <c r="BI197" s="29">
        <v>1</v>
      </c>
      <c r="BJ197" s="29">
        <v>0</v>
      </c>
      <c r="BK197" s="30"/>
      <c r="BL197" s="30"/>
      <c r="BM197" s="28"/>
      <c r="BN197" s="30">
        <v>45945</v>
      </c>
      <c r="BO197" s="30">
        <v>45945</v>
      </c>
      <c r="BP197" s="31">
        <v>148.96</v>
      </c>
      <c r="BQ197" s="30">
        <v>45944</v>
      </c>
    </row>
    <row r="198" spans="1:69" ht="22.5" hidden="1" customHeight="1" x14ac:dyDescent="0.2">
      <c r="A198" s="22" t="s">
        <v>408</v>
      </c>
      <c r="B198" s="22"/>
      <c r="C198" s="22" t="s">
        <v>221</v>
      </c>
      <c r="D198" s="22" t="s">
        <v>222</v>
      </c>
      <c r="E198" s="23">
        <v>415789</v>
      </c>
      <c r="F198" s="23">
        <v>2100</v>
      </c>
      <c r="G198" s="23">
        <v>326</v>
      </c>
      <c r="H198" s="23">
        <v>0</v>
      </c>
      <c r="I198" s="24">
        <v>45925</v>
      </c>
      <c r="J198" s="22" t="s">
        <v>395</v>
      </c>
      <c r="K198" s="22" t="s">
        <v>789</v>
      </c>
      <c r="L198" s="25">
        <v>56.92</v>
      </c>
      <c r="M198" s="25">
        <v>11.38</v>
      </c>
      <c r="N198" s="25">
        <v>68.3</v>
      </c>
      <c r="O198" s="22"/>
      <c r="P198" s="26">
        <v>45945</v>
      </c>
      <c r="Q198" s="25">
        <v>68.3</v>
      </c>
      <c r="R198" s="22"/>
      <c r="S198" s="25">
        <v>0</v>
      </c>
      <c r="T198" s="22"/>
      <c r="U198" s="23"/>
      <c r="V198" s="22"/>
      <c r="W198" s="23"/>
      <c r="X198" s="23"/>
      <c r="Y198" s="23"/>
      <c r="Z198" s="25">
        <v>0</v>
      </c>
      <c r="AA198" s="25">
        <v>0</v>
      </c>
      <c r="AB198" s="25">
        <v>0</v>
      </c>
      <c r="AC198" s="22"/>
      <c r="AD198" s="22" t="s">
        <v>410</v>
      </c>
      <c r="AE198" s="22" t="s">
        <v>411</v>
      </c>
      <c r="AF198" s="22" t="s">
        <v>31</v>
      </c>
      <c r="AG198" s="22" t="s">
        <v>46</v>
      </c>
      <c r="AH198" s="22" t="s">
        <v>228</v>
      </c>
      <c r="AI198" s="22" t="s">
        <v>31</v>
      </c>
      <c r="AJ198" s="22"/>
      <c r="AK198" s="22" t="s">
        <v>239</v>
      </c>
      <c r="AL198" s="22" t="s">
        <v>790</v>
      </c>
      <c r="AM198" s="22" t="s">
        <v>231</v>
      </c>
      <c r="AN198" s="22" t="s">
        <v>232</v>
      </c>
      <c r="AO198" s="22" t="s">
        <v>231</v>
      </c>
      <c r="AP198" s="22" t="s">
        <v>232</v>
      </c>
      <c r="AQ198" s="22"/>
      <c r="AR198" s="22"/>
      <c r="AS198" s="22"/>
      <c r="AT198" s="22"/>
      <c r="AU198" s="22"/>
      <c r="AV198" s="22"/>
      <c r="AW198" s="23"/>
      <c r="AX198" s="27"/>
      <c r="AY198" s="25"/>
      <c r="AZ198" s="27"/>
      <c r="BA198" s="25"/>
      <c r="BB198" s="22"/>
      <c r="BC198" s="22"/>
      <c r="BD198" s="22"/>
      <c r="BE198" s="22"/>
      <c r="BF198" s="23"/>
      <c r="BG198" s="23"/>
      <c r="BH198" s="22"/>
      <c r="BI198" s="23">
        <v>1</v>
      </c>
      <c r="BJ198" s="23">
        <v>0</v>
      </c>
      <c r="BK198" s="24"/>
      <c r="BL198" s="24"/>
      <c r="BM198" s="22"/>
      <c r="BN198" s="24">
        <v>45945</v>
      </c>
      <c r="BO198" s="24">
        <v>45945</v>
      </c>
      <c r="BP198" s="25">
        <v>68.3</v>
      </c>
      <c r="BQ198" s="24">
        <v>45944</v>
      </c>
    </row>
    <row r="199" spans="1:69" ht="22.5" hidden="1" customHeight="1" x14ac:dyDescent="0.2">
      <c r="A199" s="28" t="s">
        <v>408</v>
      </c>
      <c r="B199" s="28"/>
      <c r="C199" s="28" t="s">
        <v>221</v>
      </c>
      <c r="D199" s="28" t="s">
        <v>222</v>
      </c>
      <c r="E199" s="29">
        <v>415790</v>
      </c>
      <c r="F199" s="29">
        <v>2101</v>
      </c>
      <c r="G199" s="29">
        <v>326</v>
      </c>
      <c r="H199" s="29">
        <v>0</v>
      </c>
      <c r="I199" s="30">
        <v>45925</v>
      </c>
      <c r="J199" s="28" t="s">
        <v>395</v>
      </c>
      <c r="K199" s="28" t="s">
        <v>791</v>
      </c>
      <c r="L199" s="31">
        <v>75.83</v>
      </c>
      <c r="M199" s="31">
        <v>15.16</v>
      </c>
      <c r="N199" s="31">
        <v>90.99</v>
      </c>
      <c r="O199" s="28"/>
      <c r="P199" s="32">
        <v>45945</v>
      </c>
      <c r="Q199" s="31">
        <v>90.99</v>
      </c>
      <c r="R199" s="28"/>
      <c r="S199" s="31">
        <v>0</v>
      </c>
      <c r="T199" s="28"/>
      <c r="U199" s="29"/>
      <c r="V199" s="28"/>
      <c r="W199" s="29"/>
      <c r="X199" s="29"/>
      <c r="Y199" s="29"/>
      <c r="Z199" s="31">
        <v>0</v>
      </c>
      <c r="AA199" s="31">
        <v>0</v>
      </c>
      <c r="AB199" s="31">
        <v>0</v>
      </c>
      <c r="AC199" s="28"/>
      <c r="AD199" s="28" t="s">
        <v>410</v>
      </c>
      <c r="AE199" s="28" t="s">
        <v>411</v>
      </c>
      <c r="AF199" s="28" t="s">
        <v>31</v>
      </c>
      <c r="AG199" s="28" t="s">
        <v>46</v>
      </c>
      <c r="AH199" s="28" t="s">
        <v>228</v>
      </c>
      <c r="AI199" s="28" t="s">
        <v>31</v>
      </c>
      <c r="AJ199" s="28"/>
      <c r="AK199" s="28" t="s">
        <v>239</v>
      </c>
      <c r="AL199" s="28" t="s">
        <v>790</v>
      </c>
      <c r="AM199" s="28" t="s">
        <v>231</v>
      </c>
      <c r="AN199" s="28" t="s">
        <v>232</v>
      </c>
      <c r="AO199" s="28" t="s">
        <v>231</v>
      </c>
      <c r="AP199" s="28" t="s">
        <v>232</v>
      </c>
      <c r="AQ199" s="28"/>
      <c r="AR199" s="28"/>
      <c r="AS199" s="28"/>
      <c r="AT199" s="28"/>
      <c r="AU199" s="28"/>
      <c r="AV199" s="28"/>
      <c r="AW199" s="29"/>
      <c r="AX199" s="33"/>
      <c r="AY199" s="31"/>
      <c r="AZ199" s="33"/>
      <c r="BA199" s="31"/>
      <c r="BB199" s="28"/>
      <c r="BC199" s="28"/>
      <c r="BD199" s="28"/>
      <c r="BE199" s="28"/>
      <c r="BF199" s="29"/>
      <c r="BG199" s="29"/>
      <c r="BH199" s="28"/>
      <c r="BI199" s="29">
        <v>1</v>
      </c>
      <c r="BJ199" s="29">
        <v>0</v>
      </c>
      <c r="BK199" s="30"/>
      <c r="BL199" s="30"/>
      <c r="BM199" s="28"/>
      <c r="BN199" s="30">
        <v>45945</v>
      </c>
      <c r="BO199" s="30">
        <v>45945</v>
      </c>
      <c r="BP199" s="31">
        <v>90.99</v>
      </c>
      <c r="BQ199" s="30">
        <v>45944</v>
      </c>
    </row>
    <row r="200" spans="1:69" ht="22.5" hidden="1" customHeight="1" x14ac:dyDescent="0.2">
      <c r="A200" s="22" t="s">
        <v>408</v>
      </c>
      <c r="B200" s="22"/>
      <c r="C200" s="22" t="s">
        <v>221</v>
      </c>
      <c r="D200" s="22" t="s">
        <v>222</v>
      </c>
      <c r="E200" s="23">
        <v>415795</v>
      </c>
      <c r="F200" s="23">
        <v>2102</v>
      </c>
      <c r="G200" s="23">
        <v>326</v>
      </c>
      <c r="H200" s="23">
        <v>0</v>
      </c>
      <c r="I200" s="24">
        <v>45925</v>
      </c>
      <c r="J200" s="22" t="s">
        <v>395</v>
      </c>
      <c r="K200" s="22" t="s">
        <v>792</v>
      </c>
      <c r="L200" s="25">
        <v>22.48</v>
      </c>
      <c r="M200" s="25">
        <v>4.5</v>
      </c>
      <c r="N200" s="25">
        <v>26.98</v>
      </c>
      <c r="O200" s="22"/>
      <c r="P200" s="26">
        <v>45945</v>
      </c>
      <c r="Q200" s="25">
        <v>26.98</v>
      </c>
      <c r="R200" s="22"/>
      <c r="S200" s="25">
        <v>0</v>
      </c>
      <c r="T200" s="22"/>
      <c r="U200" s="23"/>
      <c r="V200" s="22"/>
      <c r="W200" s="23"/>
      <c r="X200" s="23"/>
      <c r="Y200" s="23"/>
      <c r="Z200" s="25">
        <v>0</v>
      </c>
      <c r="AA200" s="25">
        <v>0</v>
      </c>
      <c r="AB200" s="25">
        <v>0</v>
      </c>
      <c r="AC200" s="22"/>
      <c r="AD200" s="22" t="s">
        <v>410</v>
      </c>
      <c r="AE200" s="22" t="s">
        <v>411</v>
      </c>
      <c r="AF200" s="22" t="s">
        <v>31</v>
      </c>
      <c r="AG200" s="22" t="s">
        <v>46</v>
      </c>
      <c r="AH200" s="22" t="s">
        <v>228</v>
      </c>
      <c r="AI200" s="22" t="s">
        <v>31</v>
      </c>
      <c r="AJ200" s="22"/>
      <c r="AK200" s="22" t="s">
        <v>239</v>
      </c>
      <c r="AL200" s="22" t="s">
        <v>790</v>
      </c>
      <c r="AM200" s="22" t="s">
        <v>231</v>
      </c>
      <c r="AN200" s="22" t="s">
        <v>232</v>
      </c>
      <c r="AO200" s="22" t="s">
        <v>231</v>
      </c>
      <c r="AP200" s="22" t="s">
        <v>232</v>
      </c>
      <c r="AQ200" s="22"/>
      <c r="AR200" s="22"/>
      <c r="AS200" s="22"/>
      <c r="AT200" s="22"/>
      <c r="AU200" s="22"/>
      <c r="AV200" s="22"/>
      <c r="AW200" s="23"/>
      <c r="AX200" s="27"/>
      <c r="AY200" s="25"/>
      <c r="AZ200" s="27"/>
      <c r="BA200" s="25"/>
      <c r="BB200" s="22"/>
      <c r="BC200" s="22"/>
      <c r="BD200" s="22"/>
      <c r="BE200" s="22"/>
      <c r="BF200" s="23"/>
      <c r="BG200" s="23"/>
      <c r="BH200" s="22"/>
      <c r="BI200" s="23">
        <v>1</v>
      </c>
      <c r="BJ200" s="23">
        <v>0</v>
      </c>
      <c r="BK200" s="24"/>
      <c r="BL200" s="24"/>
      <c r="BM200" s="22"/>
      <c r="BN200" s="24">
        <v>45945</v>
      </c>
      <c r="BO200" s="24">
        <v>45945</v>
      </c>
      <c r="BP200" s="25">
        <v>26.98</v>
      </c>
      <c r="BQ200" s="24">
        <v>45944</v>
      </c>
    </row>
    <row r="201" spans="1:69" ht="22.5" hidden="1" customHeight="1" x14ac:dyDescent="0.2">
      <c r="A201" s="28" t="s">
        <v>408</v>
      </c>
      <c r="B201" s="28"/>
      <c r="C201" s="28" t="s">
        <v>221</v>
      </c>
      <c r="D201" s="28" t="s">
        <v>222</v>
      </c>
      <c r="E201" s="29">
        <v>415800</v>
      </c>
      <c r="F201" s="29">
        <v>2103</v>
      </c>
      <c r="G201" s="29">
        <v>326</v>
      </c>
      <c r="H201" s="29">
        <v>0</v>
      </c>
      <c r="I201" s="30">
        <v>45925</v>
      </c>
      <c r="J201" s="28" t="s">
        <v>395</v>
      </c>
      <c r="K201" s="28" t="s">
        <v>793</v>
      </c>
      <c r="L201" s="31">
        <v>28.79</v>
      </c>
      <c r="M201" s="31">
        <v>5.76</v>
      </c>
      <c r="N201" s="31">
        <v>34.549999999999997</v>
      </c>
      <c r="O201" s="28"/>
      <c r="P201" s="32">
        <v>45945</v>
      </c>
      <c r="Q201" s="31">
        <v>34.549999999999997</v>
      </c>
      <c r="R201" s="28"/>
      <c r="S201" s="31">
        <v>0</v>
      </c>
      <c r="T201" s="28"/>
      <c r="U201" s="29"/>
      <c r="V201" s="28"/>
      <c r="W201" s="29"/>
      <c r="X201" s="29"/>
      <c r="Y201" s="29"/>
      <c r="Z201" s="31">
        <v>0</v>
      </c>
      <c r="AA201" s="31">
        <v>0</v>
      </c>
      <c r="AB201" s="31">
        <v>0</v>
      </c>
      <c r="AC201" s="28"/>
      <c r="AD201" s="28" t="s">
        <v>410</v>
      </c>
      <c r="AE201" s="28" t="s">
        <v>411</v>
      </c>
      <c r="AF201" s="28" t="s">
        <v>31</v>
      </c>
      <c r="AG201" s="28" t="s">
        <v>46</v>
      </c>
      <c r="AH201" s="28" t="s">
        <v>228</v>
      </c>
      <c r="AI201" s="28" t="s">
        <v>31</v>
      </c>
      <c r="AJ201" s="28"/>
      <c r="AK201" s="28" t="s">
        <v>239</v>
      </c>
      <c r="AL201" s="28" t="s">
        <v>790</v>
      </c>
      <c r="AM201" s="28" t="s">
        <v>231</v>
      </c>
      <c r="AN201" s="28" t="s">
        <v>232</v>
      </c>
      <c r="AO201" s="28" t="s">
        <v>231</v>
      </c>
      <c r="AP201" s="28" t="s">
        <v>232</v>
      </c>
      <c r="AQ201" s="28"/>
      <c r="AR201" s="28"/>
      <c r="AS201" s="28"/>
      <c r="AT201" s="28"/>
      <c r="AU201" s="28"/>
      <c r="AV201" s="28"/>
      <c r="AW201" s="29"/>
      <c r="AX201" s="33"/>
      <c r="AY201" s="31"/>
      <c r="AZ201" s="33"/>
      <c r="BA201" s="31"/>
      <c r="BB201" s="28"/>
      <c r="BC201" s="28"/>
      <c r="BD201" s="28"/>
      <c r="BE201" s="28"/>
      <c r="BF201" s="29"/>
      <c r="BG201" s="29"/>
      <c r="BH201" s="28"/>
      <c r="BI201" s="29">
        <v>1</v>
      </c>
      <c r="BJ201" s="29">
        <v>0</v>
      </c>
      <c r="BK201" s="30"/>
      <c r="BL201" s="30"/>
      <c r="BM201" s="28"/>
      <c r="BN201" s="30">
        <v>45945</v>
      </c>
      <c r="BO201" s="30">
        <v>45945</v>
      </c>
      <c r="BP201" s="31">
        <v>34.549999999999997</v>
      </c>
      <c r="BQ201" s="30">
        <v>45944</v>
      </c>
    </row>
    <row r="202" spans="1:69" ht="22.5" hidden="1" customHeight="1" x14ac:dyDescent="0.2">
      <c r="A202" s="28" t="s">
        <v>408</v>
      </c>
      <c r="B202" s="28"/>
      <c r="C202" s="28" t="s">
        <v>221</v>
      </c>
      <c r="D202" s="28" t="s">
        <v>222</v>
      </c>
      <c r="E202" s="29">
        <v>415802</v>
      </c>
      <c r="F202" s="29">
        <v>2105</v>
      </c>
      <c r="G202" s="29">
        <v>326</v>
      </c>
      <c r="H202" s="29">
        <v>0</v>
      </c>
      <c r="I202" s="30">
        <v>45925</v>
      </c>
      <c r="J202" s="28" t="s">
        <v>395</v>
      </c>
      <c r="K202" s="28" t="s">
        <v>794</v>
      </c>
      <c r="L202" s="31">
        <v>3.38</v>
      </c>
      <c r="M202" s="31">
        <v>0.67</v>
      </c>
      <c r="N202" s="31">
        <v>4.05</v>
      </c>
      <c r="O202" s="28"/>
      <c r="P202" s="32">
        <v>45945</v>
      </c>
      <c r="Q202" s="31">
        <v>4.05</v>
      </c>
      <c r="R202" s="28"/>
      <c r="S202" s="31">
        <v>0</v>
      </c>
      <c r="T202" s="28"/>
      <c r="U202" s="29"/>
      <c r="V202" s="28"/>
      <c r="W202" s="29"/>
      <c r="X202" s="29"/>
      <c r="Y202" s="29"/>
      <c r="Z202" s="31">
        <v>0</v>
      </c>
      <c r="AA202" s="31">
        <v>0</v>
      </c>
      <c r="AB202" s="31">
        <v>0</v>
      </c>
      <c r="AC202" s="28"/>
      <c r="AD202" s="28" t="s">
        <v>410</v>
      </c>
      <c r="AE202" s="28" t="s">
        <v>411</v>
      </c>
      <c r="AF202" s="28" t="s">
        <v>31</v>
      </c>
      <c r="AG202" s="28" t="s">
        <v>53</v>
      </c>
      <c r="AH202" s="28" t="s">
        <v>228</v>
      </c>
      <c r="AI202" s="28" t="s">
        <v>31</v>
      </c>
      <c r="AJ202" s="28"/>
      <c r="AK202" s="28" t="s">
        <v>239</v>
      </c>
      <c r="AL202" s="28" t="s">
        <v>240</v>
      </c>
      <c r="AM202" s="28" t="s">
        <v>231</v>
      </c>
      <c r="AN202" s="28" t="s">
        <v>232</v>
      </c>
      <c r="AO202" s="28" t="s">
        <v>231</v>
      </c>
      <c r="AP202" s="28" t="s">
        <v>232</v>
      </c>
      <c r="AQ202" s="28"/>
      <c r="AR202" s="28"/>
      <c r="AS202" s="28"/>
      <c r="AT202" s="28"/>
      <c r="AU202" s="28"/>
      <c r="AV202" s="28"/>
      <c r="AW202" s="29"/>
      <c r="AX202" s="33"/>
      <c r="AY202" s="31"/>
      <c r="AZ202" s="33"/>
      <c r="BA202" s="31"/>
      <c r="BB202" s="28"/>
      <c r="BC202" s="28"/>
      <c r="BD202" s="28"/>
      <c r="BE202" s="28"/>
      <c r="BF202" s="29"/>
      <c r="BG202" s="29"/>
      <c r="BH202" s="28"/>
      <c r="BI202" s="29">
        <v>1</v>
      </c>
      <c r="BJ202" s="29">
        <v>0</v>
      </c>
      <c r="BK202" s="30"/>
      <c r="BL202" s="30"/>
      <c r="BM202" s="28"/>
      <c r="BN202" s="30">
        <v>45945</v>
      </c>
      <c r="BO202" s="30">
        <v>45945</v>
      </c>
      <c r="BP202" s="31">
        <v>4.05</v>
      </c>
      <c r="BQ202" s="30">
        <v>45944</v>
      </c>
    </row>
    <row r="203" spans="1:69" ht="22.5" hidden="1" customHeight="1" x14ac:dyDescent="0.2">
      <c r="A203" s="22" t="s">
        <v>408</v>
      </c>
      <c r="B203" s="22"/>
      <c r="C203" s="22" t="s">
        <v>221</v>
      </c>
      <c r="D203" s="22" t="s">
        <v>222</v>
      </c>
      <c r="E203" s="23">
        <v>415805</v>
      </c>
      <c r="F203" s="23">
        <v>2104</v>
      </c>
      <c r="G203" s="23">
        <v>326</v>
      </c>
      <c r="H203" s="23">
        <v>0</v>
      </c>
      <c r="I203" s="24">
        <v>45925</v>
      </c>
      <c r="J203" s="22" t="s">
        <v>395</v>
      </c>
      <c r="K203" s="22" t="s">
        <v>795</v>
      </c>
      <c r="L203" s="25">
        <v>19</v>
      </c>
      <c r="M203" s="25">
        <v>3.8</v>
      </c>
      <c r="N203" s="25">
        <v>22.8</v>
      </c>
      <c r="O203" s="22"/>
      <c r="P203" s="26">
        <v>45945</v>
      </c>
      <c r="Q203" s="25">
        <v>22.8</v>
      </c>
      <c r="R203" s="22"/>
      <c r="S203" s="25">
        <v>0</v>
      </c>
      <c r="T203" s="22"/>
      <c r="U203" s="23"/>
      <c r="V203" s="22"/>
      <c r="W203" s="23"/>
      <c r="X203" s="23"/>
      <c r="Y203" s="23"/>
      <c r="Z203" s="25">
        <v>0</v>
      </c>
      <c r="AA203" s="25">
        <v>0</v>
      </c>
      <c r="AB203" s="25">
        <v>0</v>
      </c>
      <c r="AC203" s="22"/>
      <c r="AD203" s="22" t="s">
        <v>410</v>
      </c>
      <c r="AE203" s="22" t="s">
        <v>411</v>
      </c>
      <c r="AF203" s="22" t="s">
        <v>31</v>
      </c>
      <c r="AG203" s="22" t="s">
        <v>46</v>
      </c>
      <c r="AH203" s="22" t="s">
        <v>228</v>
      </c>
      <c r="AI203" s="22" t="s">
        <v>31</v>
      </c>
      <c r="AJ203" s="22"/>
      <c r="AK203" s="22" t="s">
        <v>239</v>
      </c>
      <c r="AL203" s="22" t="s">
        <v>790</v>
      </c>
      <c r="AM203" s="22" t="s">
        <v>231</v>
      </c>
      <c r="AN203" s="22" t="s">
        <v>232</v>
      </c>
      <c r="AO203" s="22" t="s">
        <v>231</v>
      </c>
      <c r="AP203" s="22" t="s">
        <v>232</v>
      </c>
      <c r="AQ203" s="22"/>
      <c r="AR203" s="22"/>
      <c r="AS203" s="22"/>
      <c r="AT203" s="22"/>
      <c r="AU203" s="22"/>
      <c r="AV203" s="22"/>
      <c r="AW203" s="23"/>
      <c r="AX203" s="27"/>
      <c r="AY203" s="25"/>
      <c r="AZ203" s="27"/>
      <c r="BA203" s="25"/>
      <c r="BB203" s="22"/>
      <c r="BC203" s="22"/>
      <c r="BD203" s="22"/>
      <c r="BE203" s="22"/>
      <c r="BF203" s="23"/>
      <c r="BG203" s="23"/>
      <c r="BH203" s="22"/>
      <c r="BI203" s="23">
        <v>1</v>
      </c>
      <c r="BJ203" s="23">
        <v>0</v>
      </c>
      <c r="BK203" s="24"/>
      <c r="BL203" s="24"/>
      <c r="BM203" s="22"/>
      <c r="BN203" s="24">
        <v>45945</v>
      </c>
      <c r="BO203" s="24">
        <v>45945</v>
      </c>
      <c r="BP203" s="25">
        <v>22.8</v>
      </c>
      <c r="BQ203" s="24">
        <v>45944</v>
      </c>
    </row>
    <row r="204" spans="1:69" ht="22.5" customHeight="1" x14ac:dyDescent="0.2">
      <c r="A204" s="28" t="s">
        <v>408</v>
      </c>
      <c r="B204" s="28"/>
      <c r="C204" s="28" t="s">
        <v>221</v>
      </c>
      <c r="D204" s="28" t="s">
        <v>222</v>
      </c>
      <c r="E204" s="29">
        <v>415807</v>
      </c>
      <c r="F204" s="29">
        <v>2119</v>
      </c>
      <c r="G204" s="29">
        <v>327</v>
      </c>
      <c r="H204" s="29">
        <v>0</v>
      </c>
      <c r="I204" s="30">
        <v>45925</v>
      </c>
      <c r="J204" s="28" t="s">
        <v>796</v>
      </c>
      <c r="K204" s="28" t="s">
        <v>797</v>
      </c>
      <c r="L204" s="31">
        <v>37.18</v>
      </c>
      <c r="M204" s="31">
        <v>3.22</v>
      </c>
      <c r="N204" s="31">
        <v>40.4</v>
      </c>
      <c r="O204" s="28"/>
      <c r="P204" s="32">
        <v>45945</v>
      </c>
      <c r="Q204" s="31">
        <v>40.4</v>
      </c>
      <c r="R204" s="28"/>
      <c r="S204" s="31">
        <v>0</v>
      </c>
      <c r="T204" s="28"/>
      <c r="U204" s="29"/>
      <c r="V204" s="28"/>
      <c r="W204" s="29"/>
      <c r="X204" s="29"/>
      <c r="Y204" s="29"/>
      <c r="Z204" s="31">
        <v>0</v>
      </c>
      <c r="AA204" s="31">
        <v>0</v>
      </c>
      <c r="AB204" s="31">
        <v>0</v>
      </c>
      <c r="AC204" s="28"/>
      <c r="AD204" s="28" t="s">
        <v>283</v>
      </c>
      <c r="AE204" s="28" t="s">
        <v>284</v>
      </c>
      <c r="AF204" s="28" t="s">
        <v>31</v>
      </c>
      <c r="AG204" s="28" t="s">
        <v>32</v>
      </c>
      <c r="AH204" s="28" t="s">
        <v>228</v>
      </c>
      <c r="AI204" s="28" t="s">
        <v>31</v>
      </c>
      <c r="AJ204" s="28"/>
      <c r="AK204" s="28" t="s">
        <v>34</v>
      </c>
      <c r="AL204" s="28" t="s">
        <v>31</v>
      </c>
      <c r="AM204" s="28" t="s">
        <v>231</v>
      </c>
      <c r="AN204" s="28" t="s">
        <v>232</v>
      </c>
      <c r="AO204" s="28" t="s">
        <v>231</v>
      </c>
      <c r="AP204" s="28" t="s">
        <v>232</v>
      </c>
      <c r="AQ204" s="28"/>
      <c r="AR204" s="28"/>
      <c r="AS204" s="28"/>
      <c r="AT204" s="28"/>
      <c r="AU204" s="28"/>
      <c r="AV204" s="28"/>
      <c r="AW204" s="29"/>
      <c r="AX204" s="33"/>
      <c r="AY204" s="31"/>
      <c r="AZ204" s="33"/>
      <c r="BA204" s="31"/>
      <c r="BB204" s="28"/>
      <c r="BC204" s="28"/>
      <c r="BD204" s="28"/>
      <c r="BE204" s="28"/>
      <c r="BF204" s="29"/>
      <c r="BG204" s="29"/>
      <c r="BH204" s="28"/>
      <c r="BI204" s="29">
        <v>1</v>
      </c>
      <c r="BJ204" s="29">
        <v>0</v>
      </c>
      <c r="BK204" s="30"/>
      <c r="BL204" s="30"/>
      <c r="BM204" s="28"/>
      <c r="BN204" s="30">
        <v>45945</v>
      </c>
      <c r="BO204" s="30">
        <v>45945</v>
      </c>
      <c r="BP204" s="31">
        <v>40.4</v>
      </c>
      <c r="BQ204" s="30">
        <v>45944</v>
      </c>
    </row>
    <row r="205" spans="1:69" ht="22.5" hidden="1" customHeight="1" x14ac:dyDescent="0.2">
      <c r="A205" s="22" t="s">
        <v>408</v>
      </c>
      <c r="B205" s="22"/>
      <c r="C205" s="22" t="s">
        <v>221</v>
      </c>
      <c r="D205" s="22" t="s">
        <v>222</v>
      </c>
      <c r="E205" s="23">
        <v>415814</v>
      </c>
      <c r="F205" s="23">
        <v>2117</v>
      </c>
      <c r="G205" s="23">
        <v>327</v>
      </c>
      <c r="H205" s="23">
        <v>0</v>
      </c>
      <c r="I205" s="24">
        <v>45925</v>
      </c>
      <c r="J205" s="22" t="s">
        <v>796</v>
      </c>
      <c r="K205" s="22" t="s">
        <v>798</v>
      </c>
      <c r="L205" s="25">
        <v>140</v>
      </c>
      <c r="M205" s="25">
        <v>14</v>
      </c>
      <c r="N205" s="25">
        <v>154</v>
      </c>
      <c r="O205" s="22"/>
      <c r="P205" s="26">
        <v>45945</v>
      </c>
      <c r="Q205" s="25">
        <v>154</v>
      </c>
      <c r="R205" s="22"/>
      <c r="S205" s="25">
        <v>0</v>
      </c>
      <c r="T205" s="22"/>
      <c r="U205" s="23"/>
      <c r="V205" s="22"/>
      <c r="W205" s="23"/>
      <c r="X205" s="23"/>
      <c r="Y205" s="23"/>
      <c r="Z205" s="25">
        <v>0</v>
      </c>
      <c r="AA205" s="25">
        <v>0</v>
      </c>
      <c r="AB205" s="25">
        <v>0</v>
      </c>
      <c r="AC205" s="22"/>
      <c r="AD205" s="22" t="s">
        <v>283</v>
      </c>
      <c r="AE205" s="22" t="s">
        <v>284</v>
      </c>
      <c r="AF205" s="22" t="s">
        <v>31</v>
      </c>
      <c r="AG205" s="22" t="s">
        <v>46</v>
      </c>
      <c r="AH205" s="22" t="s">
        <v>228</v>
      </c>
      <c r="AI205" s="22" t="s">
        <v>31</v>
      </c>
      <c r="AJ205" s="22"/>
      <c r="AK205" s="22" t="s">
        <v>799</v>
      </c>
      <c r="AL205" s="22" t="s">
        <v>223</v>
      </c>
      <c r="AM205" s="22" t="s">
        <v>231</v>
      </c>
      <c r="AN205" s="22" t="s">
        <v>232</v>
      </c>
      <c r="AO205" s="22" t="s">
        <v>231</v>
      </c>
      <c r="AP205" s="22" t="s">
        <v>232</v>
      </c>
      <c r="AQ205" s="22"/>
      <c r="AR205" s="22"/>
      <c r="AS205" s="22"/>
      <c r="AT205" s="22"/>
      <c r="AU205" s="22"/>
      <c r="AV205" s="22"/>
      <c r="AW205" s="23"/>
      <c r="AX205" s="27"/>
      <c r="AY205" s="25"/>
      <c r="AZ205" s="27"/>
      <c r="BA205" s="25"/>
      <c r="BB205" s="22"/>
      <c r="BC205" s="22"/>
      <c r="BD205" s="22"/>
      <c r="BE205" s="22"/>
      <c r="BF205" s="23"/>
      <c r="BG205" s="23"/>
      <c r="BH205" s="22"/>
      <c r="BI205" s="23">
        <v>1</v>
      </c>
      <c r="BJ205" s="23">
        <v>0</v>
      </c>
      <c r="BK205" s="24"/>
      <c r="BL205" s="24"/>
      <c r="BM205" s="22"/>
      <c r="BN205" s="24">
        <v>45945</v>
      </c>
      <c r="BO205" s="24">
        <v>45945</v>
      </c>
      <c r="BP205" s="25">
        <v>154</v>
      </c>
      <c r="BQ205" s="24">
        <v>45944</v>
      </c>
    </row>
    <row r="206" spans="1:69" ht="22.5" hidden="1" customHeight="1" x14ac:dyDescent="0.2">
      <c r="A206" s="22" t="s">
        <v>408</v>
      </c>
      <c r="B206" s="22"/>
      <c r="C206" s="22" t="s">
        <v>221</v>
      </c>
      <c r="D206" s="22" t="s">
        <v>222</v>
      </c>
      <c r="E206" s="23">
        <v>415816</v>
      </c>
      <c r="F206" s="23">
        <v>2118</v>
      </c>
      <c r="G206" s="23">
        <v>327</v>
      </c>
      <c r="H206" s="23">
        <v>0</v>
      </c>
      <c r="I206" s="24">
        <v>45925</v>
      </c>
      <c r="J206" s="22" t="s">
        <v>796</v>
      </c>
      <c r="K206" s="22" t="s">
        <v>800</v>
      </c>
      <c r="L206" s="25">
        <v>14.83</v>
      </c>
      <c r="M206" s="25">
        <v>0.82</v>
      </c>
      <c r="N206" s="25">
        <v>15.65</v>
      </c>
      <c r="O206" s="22"/>
      <c r="P206" s="26">
        <v>45945</v>
      </c>
      <c r="Q206" s="25">
        <v>15.65</v>
      </c>
      <c r="R206" s="22"/>
      <c r="S206" s="25">
        <v>0</v>
      </c>
      <c r="T206" s="22"/>
      <c r="U206" s="23"/>
      <c r="V206" s="22"/>
      <c r="W206" s="23"/>
      <c r="X206" s="23"/>
      <c r="Y206" s="23"/>
      <c r="Z206" s="25">
        <v>0</v>
      </c>
      <c r="AA206" s="25">
        <v>0</v>
      </c>
      <c r="AB206" s="25">
        <v>0</v>
      </c>
      <c r="AC206" s="22"/>
      <c r="AD206" s="22" t="s">
        <v>283</v>
      </c>
      <c r="AE206" s="22" t="s">
        <v>284</v>
      </c>
      <c r="AF206" s="22" t="s">
        <v>31</v>
      </c>
      <c r="AG206" s="22" t="s">
        <v>46</v>
      </c>
      <c r="AH206" s="22" t="s">
        <v>228</v>
      </c>
      <c r="AI206" s="22" t="s">
        <v>31</v>
      </c>
      <c r="AJ206" s="22"/>
      <c r="AK206" s="22" t="s">
        <v>285</v>
      </c>
      <c r="AL206" s="22" t="s">
        <v>286</v>
      </c>
      <c r="AM206" s="22" t="s">
        <v>231</v>
      </c>
      <c r="AN206" s="22" t="s">
        <v>232</v>
      </c>
      <c r="AO206" s="22" t="s">
        <v>231</v>
      </c>
      <c r="AP206" s="22" t="s">
        <v>232</v>
      </c>
      <c r="AQ206" s="22"/>
      <c r="AR206" s="22"/>
      <c r="AS206" s="22"/>
      <c r="AT206" s="22"/>
      <c r="AU206" s="22"/>
      <c r="AV206" s="22"/>
      <c r="AW206" s="23"/>
      <c r="AX206" s="27"/>
      <c r="AY206" s="25"/>
      <c r="AZ206" s="27"/>
      <c r="BA206" s="25"/>
      <c r="BB206" s="22"/>
      <c r="BC206" s="22"/>
      <c r="BD206" s="22"/>
      <c r="BE206" s="22"/>
      <c r="BF206" s="23"/>
      <c r="BG206" s="23"/>
      <c r="BH206" s="22"/>
      <c r="BI206" s="23">
        <v>1</v>
      </c>
      <c r="BJ206" s="23">
        <v>0</v>
      </c>
      <c r="BK206" s="24"/>
      <c r="BL206" s="24"/>
      <c r="BM206" s="22"/>
      <c r="BN206" s="24">
        <v>45945</v>
      </c>
      <c r="BO206" s="24">
        <v>45945</v>
      </c>
      <c r="BP206" s="25">
        <v>15.65</v>
      </c>
      <c r="BQ206" s="24">
        <v>45944</v>
      </c>
    </row>
    <row r="207" spans="1:69" ht="22.5" hidden="1" customHeight="1" x14ac:dyDescent="0.2">
      <c r="A207" s="22" t="s">
        <v>262</v>
      </c>
      <c r="B207" s="22"/>
      <c r="C207" s="22" t="s">
        <v>221</v>
      </c>
      <c r="D207" s="22" t="s">
        <v>222</v>
      </c>
      <c r="E207" s="23">
        <v>415829</v>
      </c>
      <c r="F207" s="23">
        <v>2137</v>
      </c>
      <c r="G207" s="23">
        <v>330</v>
      </c>
      <c r="H207" s="23">
        <v>0</v>
      </c>
      <c r="I207" s="24">
        <v>45930</v>
      </c>
      <c r="J207" s="22" t="s">
        <v>656</v>
      </c>
      <c r="K207" s="22" t="s">
        <v>801</v>
      </c>
      <c r="L207" s="25">
        <v>564.12</v>
      </c>
      <c r="M207" s="25">
        <v>35.65</v>
      </c>
      <c r="N207" s="25">
        <v>599.77</v>
      </c>
      <c r="O207" s="22"/>
      <c r="P207" s="26">
        <v>45945</v>
      </c>
      <c r="Q207" s="25">
        <v>599.77</v>
      </c>
      <c r="R207" s="22" t="s">
        <v>802</v>
      </c>
      <c r="S207" s="25">
        <v>0</v>
      </c>
      <c r="T207" s="22"/>
      <c r="U207" s="23"/>
      <c r="V207" s="22"/>
      <c r="W207" s="23"/>
      <c r="X207" s="23"/>
      <c r="Y207" s="23"/>
      <c r="Z207" s="25">
        <v>0</v>
      </c>
      <c r="AA207" s="25">
        <v>0</v>
      </c>
      <c r="AB207" s="25">
        <v>0</v>
      </c>
      <c r="AC207" s="22"/>
      <c r="AD207" s="22" t="s">
        <v>293</v>
      </c>
      <c r="AE207" s="22" t="s">
        <v>294</v>
      </c>
      <c r="AF207" s="22" t="s">
        <v>31</v>
      </c>
      <c r="AG207" s="22" t="s">
        <v>46</v>
      </c>
      <c r="AH207" s="22" t="s">
        <v>228</v>
      </c>
      <c r="AI207" s="22" t="s">
        <v>31</v>
      </c>
      <c r="AJ207" s="22"/>
      <c r="AK207" s="22" t="s">
        <v>239</v>
      </c>
      <c r="AL207" s="22" t="s">
        <v>790</v>
      </c>
      <c r="AM207" s="22" t="s">
        <v>231</v>
      </c>
      <c r="AN207" s="22" t="s">
        <v>232</v>
      </c>
      <c r="AO207" s="22" t="s">
        <v>231</v>
      </c>
      <c r="AP207" s="22" t="s">
        <v>232</v>
      </c>
      <c r="AQ207" s="22"/>
      <c r="AR207" s="22"/>
      <c r="AS207" s="22"/>
      <c r="AT207" s="22"/>
      <c r="AU207" s="22"/>
      <c r="AV207" s="22"/>
      <c r="AW207" s="23"/>
      <c r="AX207" s="27"/>
      <c r="AY207" s="25"/>
      <c r="AZ207" s="27"/>
      <c r="BA207" s="25"/>
      <c r="BB207" s="22"/>
      <c r="BC207" s="22"/>
      <c r="BD207" s="22"/>
      <c r="BE207" s="22"/>
      <c r="BF207" s="23"/>
      <c r="BG207" s="23"/>
      <c r="BH207" s="22" t="s">
        <v>803</v>
      </c>
      <c r="BI207" s="23">
        <v>1</v>
      </c>
      <c r="BJ207" s="23">
        <v>0</v>
      </c>
      <c r="BK207" s="24"/>
      <c r="BL207" s="24"/>
      <c r="BM207" s="22"/>
      <c r="BN207" s="24">
        <v>45945</v>
      </c>
      <c r="BO207" s="24">
        <v>45946</v>
      </c>
      <c r="BP207" s="25">
        <v>599.77</v>
      </c>
      <c r="BQ207" s="24">
        <v>45945</v>
      </c>
    </row>
    <row r="208" spans="1:69" ht="22.5" hidden="1" customHeight="1" x14ac:dyDescent="0.2">
      <c r="A208" s="28" t="s">
        <v>262</v>
      </c>
      <c r="B208" s="28"/>
      <c r="C208" s="28" t="s">
        <v>221</v>
      </c>
      <c r="D208" s="28" t="s">
        <v>222</v>
      </c>
      <c r="E208" s="29">
        <v>415830</v>
      </c>
      <c r="F208" s="29">
        <v>2138</v>
      </c>
      <c r="G208" s="29">
        <v>330</v>
      </c>
      <c r="H208" s="29">
        <v>0</v>
      </c>
      <c r="I208" s="30">
        <v>45930</v>
      </c>
      <c r="J208" s="28" t="s">
        <v>656</v>
      </c>
      <c r="K208" s="28" t="s">
        <v>804</v>
      </c>
      <c r="L208" s="31">
        <v>137.08000000000001</v>
      </c>
      <c r="M208" s="31">
        <v>9.2200000000000006</v>
      </c>
      <c r="N208" s="31">
        <v>146.30000000000001</v>
      </c>
      <c r="O208" s="28"/>
      <c r="P208" s="32">
        <v>45945</v>
      </c>
      <c r="Q208" s="31">
        <v>146.30000000000001</v>
      </c>
      <c r="R208" s="28" t="s">
        <v>805</v>
      </c>
      <c r="S208" s="31">
        <v>0</v>
      </c>
      <c r="T208" s="28"/>
      <c r="U208" s="29"/>
      <c r="V208" s="28"/>
      <c r="W208" s="29"/>
      <c r="X208" s="29"/>
      <c r="Y208" s="29"/>
      <c r="Z208" s="31">
        <v>0</v>
      </c>
      <c r="AA208" s="31">
        <v>0</v>
      </c>
      <c r="AB208" s="31">
        <v>0</v>
      </c>
      <c r="AC208" s="28"/>
      <c r="AD208" s="28" t="s">
        <v>293</v>
      </c>
      <c r="AE208" s="28" t="s">
        <v>294</v>
      </c>
      <c r="AF208" s="28" t="s">
        <v>31</v>
      </c>
      <c r="AG208" s="28" t="s">
        <v>53</v>
      </c>
      <c r="AH208" s="28" t="s">
        <v>228</v>
      </c>
      <c r="AI208" s="28" t="s">
        <v>31</v>
      </c>
      <c r="AJ208" s="28"/>
      <c r="AK208" s="28" t="s">
        <v>239</v>
      </c>
      <c r="AL208" s="28" t="s">
        <v>457</v>
      </c>
      <c r="AM208" s="28" t="s">
        <v>231</v>
      </c>
      <c r="AN208" s="28" t="s">
        <v>232</v>
      </c>
      <c r="AO208" s="28" t="s">
        <v>231</v>
      </c>
      <c r="AP208" s="28" t="s">
        <v>232</v>
      </c>
      <c r="AQ208" s="28"/>
      <c r="AR208" s="28"/>
      <c r="AS208" s="28"/>
      <c r="AT208" s="28"/>
      <c r="AU208" s="28"/>
      <c r="AV208" s="28"/>
      <c r="AW208" s="29"/>
      <c r="AX208" s="33"/>
      <c r="AY208" s="31"/>
      <c r="AZ208" s="33"/>
      <c r="BA208" s="31"/>
      <c r="BB208" s="28"/>
      <c r="BC208" s="28"/>
      <c r="BD208" s="28"/>
      <c r="BE208" s="28"/>
      <c r="BF208" s="29"/>
      <c r="BG208" s="29"/>
      <c r="BH208" s="28" t="s">
        <v>806</v>
      </c>
      <c r="BI208" s="29">
        <v>1</v>
      </c>
      <c r="BJ208" s="29">
        <v>0</v>
      </c>
      <c r="BK208" s="30"/>
      <c r="BL208" s="30"/>
      <c r="BM208" s="28"/>
      <c r="BN208" s="30">
        <v>45945</v>
      </c>
      <c r="BO208" s="30">
        <v>45946</v>
      </c>
      <c r="BP208" s="31">
        <v>146.30000000000001</v>
      </c>
      <c r="BQ208" s="30">
        <v>45945</v>
      </c>
    </row>
    <row r="209" spans="1:69" ht="22.5" hidden="1" customHeight="1" x14ac:dyDescent="0.2">
      <c r="A209" s="28" t="s">
        <v>262</v>
      </c>
      <c r="B209" s="28"/>
      <c r="C209" s="28" t="s">
        <v>221</v>
      </c>
      <c r="D209" s="28" t="s">
        <v>222</v>
      </c>
      <c r="E209" s="29">
        <v>415832</v>
      </c>
      <c r="F209" s="29">
        <v>2139</v>
      </c>
      <c r="G209" s="29">
        <v>330</v>
      </c>
      <c r="H209" s="29">
        <v>0</v>
      </c>
      <c r="I209" s="30">
        <v>45930</v>
      </c>
      <c r="J209" s="28" t="s">
        <v>656</v>
      </c>
      <c r="K209" s="28" t="s">
        <v>807</v>
      </c>
      <c r="L209" s="31">
        <v>26.57</v>
      </c>
      <c r="M209" s="31">
        <v>2</v>
      </c>
      <c r="N209" s="31">
        <v>28.57</v>
      </c>
      <c r="O209" s="28"/>
      <c r="P209" s="32">
        <v>45945</v>
      </c>
      <c r="Q209" s="31">
        <v>28.57</v>
      </c>
      <c r="R209" s="28" t="s">
        <v>808</v>
      </c>
      <c r="S209" s="31">
        <v>0</v>
      </c>
      <c r="T209" s="28"/>
      <c r="U209" s="29"/>
      <c r="V209" s="28"/>
      <c r="W209" s="29"/>
      <c r="X209" s="29"/>
      <c r="Y209" s="29"/>
      <c r="Z209" s="31">
        <v>0</v>
      </c>
      <c r="AA209" s="31">
        <v>0</v>
      </c>
      <c r="AB209" s="31">
        <v>0</v>
      </c>
      <c r="AC209" s="28"/>
      <c r="AD209" s="28" t="s">
        <v>293</v>
      </c>
      <c r="AE209" s="28" t="s">
        <v>294</v>
      </c>
      <c r="AF209" s="28" t="s">
        <v>31</v>
      </c>
      <c r="AG209" s="28" t="s">
        <v>591</v>
      </c>
      <c r="AH209" s="28" t="s">
        <v>228</v>
      </c>
      <c r="AI209" s="28" t="s">
        <v>31</v>
      </c>
      <c r="AJ209" s="28"/>
      <c r="AK209" s="28" t="s">
        <v>235</v>
      </c>
      <c r="AL209" s="28" t="s">
        <v>31</v>
      </c>
      <c r="AM209" s="28" t="s">
        <v>231</v>
      </c>
      <c r="AN209" s="28" t="s">
        <v>232</v>
      </c>
      <c r="AO209" s="28" t="s">
        <v>231</v>
      </c>
      <c r="AP209" s="28" t="s">
        <v>232</v>
      </c>
      <c r="AQ209" s="28"/>
      <c r="AR209" s="28"/>
      <c r="AS209" s="28"/>
      <c r="AT209" s="28"/>
      <c r="AU209" s="28"/>
      <c r="AV209" s="28"/>
      <c r="AW209" s="29"/>
      <c r="AX209" s="33"/>
      <c r="AY209" s="31"/>
      <c r="AZ209" s="33"/>
      <c r="BA209" s="31"/>
      <c r="BB209" s="28"/>
      <c r="BC209" s="28"/>
      <c r="BD209" s="28"/>
      <c r="BE209" s="28"/>
      <c r="BF209" s="29"/>
      <c r="BG209" s="29"/>
      <c r="BH209" s="28" t="s">
        <v>809</v>
      </c>
      <c r="BI209" s="29">
        <v>1</v>
      </c>
      <c r="BJ209" s="29">
        <v>0</v>
      </c>
      <c r="BK209" s="30"/>
      <c r="BL209" s="30"/>
      <c r="BM209" s="28"/>
      <c r="BN209" s="30">
        <v>45945</v>
      </c>
      <c r="BO209" s="30">
        <v>45946</v>
      </c>
      <c r="BP209" s="31">
        <v>28.57</v>
      </c>
      <c r="BQ209" s="30">
        <v>45945</v>
      </c>
    </row>
    <row r="210" spans="1:69" ht="22.5" hidden="1" customHeight="1" x14ac:dyDescent="0.2">
      <c r="A210" s="22" t="s">
        <v>262</v>
      </c>
      <c r="B210" s="22"/>
      <c r="C210" s="22" t="s">
        <v>221</v>
      </c>
      <c r="D210" s="22" t="s">
        <v>222</v>
      </c>
      <c r="E210" s="23">
        <v>415833</v>
      </c>
      <c r="F210" s="23">
        <v>2140</v>
      </c>
      <c r="G210" s="23">
        <v>330</v>
      </c>
      <c r="H210" s="23">
        <v>0</v>
      </c>
      <c r="I210" s="24">
        <v>45930</v>
      </c>
      <c r="J210" s="22" t="s">
        <v>656</v>
      </c>
      <c r="K210" s="22" t="s">
        <v>810</v>
      </c>
      <c r="L210" s="25">
        <v>26.88</v>
      </c>
      <c r="M210" s="25">
        <v>1.74</v>
      </c>
      <c r="N210" s="25">
        <v>28.62</v>
      </c>
      <c r="O210" s="22"/>
      <c r="P210" s="26">
        <v>45945</v>
      </c>
      <c r="Q210" s="25">
        <v>28.62</v>
      </c>
      <c r="R210" s="22" t="s">
        <v>811</v>
      </c>
      <c r="S210" s="25">
        <v>0</v>
      </c>
      <c r="T210" s="22"/>
      <c r="U210" s="23"/>
      <c r="V210" s="22"/>
      <c r="W210" s="23"/>
      <c r="X210" s="23"/>
      <c r="Y210" s="23"/>
      <c r="Z210" s="25">
        <v>0</v>
      </c>
      <c r="AA210" s="25">
        <v>0</v>
      </c>
      <c r="AB210" s="25">
        <v>0</v>
      </c>
      <c r="AC210" s="22"/>
      <c r="AD210" s="22" t="s">
        <v>293</v>
      </c>
      <c r="AE210" s="22" t="s">
        <v>294</v>
      </c>
      <c r="AF210" s="22" t="s">
        <v>31</v>
      </c>
      <c r="AG210" s="22" t="s">
        <v>591</v>
      </c>
      <c r="AH210" s="22" t="s">
        <v>228</v>
      </c>
      <c r="AI210" s="22" t="s">
        <v>31</v>
      </c>
      <c r="AJ210" s="22"/>
      <c r="AK210" s="22" t="s">
        <v>235</v>
      </c>
      <c r="AL210" s="22" t="s">
        <v>31</v>
      </c>
      <c r="AM210" s="22" t="s">
        <v>231</v>
      </c>
      <c r="AN210" s="22" t="s">
        <v>232</v>
      </c>
      <c r="AO210" s="22" t="s">
        <v>231</v>
      </c>
      <c r="AP210" s="22" t="s">
        <v>232</v>
      </c>
      <c r="AQ210" s="22"/>
      <c r="AR210" s="22"/>
      <c r="AS210" s="22"/>
      <c r="AT210" s="22"/>
      <c r="AU210" s="22"/>
      <c r="AV210" s="22"/>
      <c r="AW210" s="23"/>
      <c r="AX210" s="27"/>
      <c r="AY210" s="25"/>
      <c r="AZ210" s="27"/>
      <c r="BA210" s="25"/>
      <c r="BB210" s="22"/>
      <c r="BC210" s="22"/>
      <c r="BD210" s="22"/>
      <c r="BE210" s="22"/>
      <c r="BF210" s="23"/>
      <c r="BG210" s="23"/>
      <c r="BH210" s="22" t="s">
        <v>812</v>
      </c>
      <c r="BI210" s="23">
        <v>1</v>
      </c>
      <c r="BJ210" s="23">
        <v>0</v>
      </c>
      <c r="BK210" s="24"/>
      <c r="BL210" s="24"/>
      <c r="BM210" s="22"/>
      <c r="BN210" s="24">
        <v>45945</v>
      </c>
      <c r="BO210" s="24">
        <v>45946</v>
      </c>
      <c r="BP210" s="25">
        <v>28.62</v>
      </c>
      <c r="BQ210" s="24">
        <v>45945</v>
      </c>
    </row>
    <row r="211" spans="1:69" ht="22.5" hidden="1" customHeight="1" x14ac:dyDescent="0.2">
      <c r="A211" s="28" t="s">
        <v>262</v>
      </c>
      <c r="B211" s="28"/>
      <c r="C211" s="28" t="s">
        <v>221</v>
      </c>
      <c r="D211" s="28" t="s">
        <v>222</v>
      </c>
      <c r="E211" s="29">
        <v>415834</v>
      </c>
      <c r="F211" s="29">
        <v>2141</v>
      </c>
      <c r="G211" s="29">
        <v>330</v>
      </c>
      <c r="H211" s="29">
        <v>0</v>
      </c>
      <c r="I211" s="30">
        <v>45930</v>
      </c>
      <c r="J211" s="28" t="s">
        <v>656</v>
      </c>
      <c r="K211" s="28" t="s">
        <v>813</v>
      </c>
      <c r="L211" s="31">
        <v>27.39</v>
      </c>
      <c r="M211" s="31">
        <v>2.59</v>
      </c>
      <c r="N211" s="31">
        <v>29.98</v>
      </c>
      <c r="O211" s="28"/>
      <c r="P211" s="32">
        <v>45945</v>
      </c>
      <c r="Q211" s="31">
        <v>29.98</v>
      </c>
      <c r="R211" s="28" t="s">
        <v>814</v>
      </c>
      <c r="S211" s="31">
        <v>0</v>
      </c>
      <c r="T211" s="28"/>
      <c r="U211" s="29"/>
      <c r="V211" s="28"/>
      <c r="W211" s="29"/>
      <c r="X211" s="29"/>
      <c r="Y211" s="29"/>
      <c r="Z211" s="31">
        <v>0</v>
      </c>
      <c r="AA211" s="31">
        <v>0</v>
      </c>
      <c r="AB211" s="31">
        <v>0</v>
      </c>
      <c r="AC211" s="28"/>
      <c r="AD211" s="28" t="s">
        <v>293</v>
      </c>
      <c r="AE211" s="28" t="s">
        <v>294</v>
      </c>
      <c r="AF211" s="28" t="s">
        <v>31</v>
      </c>
      <c r="AG211" s="28" t="s">
        <v>591</v>
      </c>
      <c r="AH211" s="28" t="s">
        <v>228</v>
      </c>
      <c r="AI211" s="28" t="s">
        <v>31</v>
      </c>
      <c r="AJ211" s="28"/>
      <c r="AK211" s="28" t="s">
        <v>235</v>
      </c>
      <c r="AL211" s="28" t="s">
        <v>31</v>
      </c>
      <c r="AM211" s="28" t="s">
        <v>231</v>
      </c>
      <c r="AN211" s="28" t="s">
        <v>232</v>
      </c>
      <c r="AO211" s="28" t="s">
        <v>231</v>
      </c>
      <c r="AP211" s="28" t="s">
        <v>232</v>
      </c>
      <c r="AQ211" s="28"/>
      <c r="AR211" s="28"/>
      <c r="AS211" s="28"/>
      <c r="AT211" s="28"/>
      <c r="AU211" s="28"/>
      <c r="AV211" s="28"/>
      <c r="AW211" s="29"/>
      <c r="AX211" s="33"/>
      <c r="AY211" s="31"/>
      <c r="AZ211" s="33"/>
      <c r="BA211" s="31"/>
      <c r="BB211" s="28"/>
      <c r="BC211" s="28"/>
      <c r="BD211" s="28"/>
      <c r="BE211" s="28"/>
      <c r="BF211" s="29"/>
      <c r="BG211" s="29"/>
      <c r="BH211" s="28" t="s">
        <v>815</v>
      </c>
      <c r="BI211" s="29">
        <v>1</v>
      </c>
      <c r="BJ211" s="29">
        <v>0</v>
      </c>
      <c r="BK211" s="30"/>
      <c r="BL211" s="30"/>
      <c r="BM211" s="28"/>
      <c r="BN211" s="30">
        <v>45945</v>
      </c>
      <c r="BO211" s="30">
        <v>45946</v>
      </c>
      <c r="BP211" s="31">
        <v>29.98</v>
      </c>
      <c r="BQ211" s="30">
        <v>45945</v>
      </c>
    </row>
    <row r="212" spans="1:69" ht="22.5" hidden="1" customHeight="1" x14ac:dyDescent="0.2">
      <c r="A212" s="22" t="s">
        <v>262</v>
      </c>
      <c r="B212" s="22"/>
      <c r="C212" s="22" t="s">
        <v>221</v>
      </c>
      <c r="D212" s="22" t="s">
        <v>222</v>
      </c>
      <c r="E212" s="23">
        <v>415897</v>
      </c>
      <c r="F212" s="23">
        <v>2201</v>
      </c>
      <c r="G212" s="23">
        <v>335</v>
      </c>
      <c r="H212" s="23">
        <v>0</v>
      </c>
      <c r="I212" s="24">
        <v>45936</v>
      </c>
      <c r="J212" s="22" t="s">
        <v>656</v>
      </c>
      <c r="K212" s="22" t="s">
        <v>816</v>
      </c>
      <c r="L212" s="25">
        <v>139.18</v>
      </c>
      <c r="M212" s="25">
        <v>8.5500000000000007</v>
      </c>
      <c r="N212" s="25">
        <v>147.72999999999999</v>
      </c>
      <c r="O212" s="22"/>
      <c r="P212" s="26">
        <v>45959</v>
      </c>
      <c r="Q212" s="25">
        <v>147.72999999999999</v>
      </c>
      <c r="R212" s="22" t="s">
        <v>817</v>
      </c>
      <c r="S212" s="25">
        <v>0</v>
      </c>
      <c r="T212" s="22"/>
      <c r="U212" s="23"/>
      <c r="V212" s="22"/>
      <c r="W212" s="23"/>
      <c r="X212" s="23"/>
      <c r="Y212" s="23"/>
      <c r="Z212" s="25">
        <v>0</v>
      </c>
      <c r="AA212" s="25">
        <v>0</v>
      </c>
      <c r="AB212" s="25">
        <v>0</v>
      </c>
      <c r="AC212" s="22"/>
      <c r="AD212" s="22" t="s">
        <v>365</v>
      </c>
      <c r="AE212" s="22" t="s">
        <v>366</v>
      </c>
      <c r="AF212" s="22" t="s">
        <v>31</v>
      </c>
      <c r="AG212" s="22" t="s">
        <v>42</v>
      </c>
      <c r="AH212" s="22" t="s">
        <v>228</v>
      </c>
      <c r="AI212" s="22" t="s">
        <v>31</v>
      </c>
      <c r="AJ212" s="22"/>
      <c r="AK212" s="22" t="s">
        <v>235</v>
      </c>
      <c r="AL212" s="22" t="s">
        <v>250</v>
      </c>
      <c r="AM212" s="22" t="s">
        <v>231</v>
      </c>
      <c r="AN212" s="22" t="s">
        <v>232</v>
      </c>
      <c r="AO212" s="22" t="s">
        <v>231</v>
      </c>
      <c r="AP212" s="22" t="s">
        <v>232</v>
      </c>
      <c r="AQ212" s="22"/>
      <c r="AR212" s="22"/>
      <c r="AS212" s="22"/>
      <c r="AT212" s="22"/>
      <c r="AU212" s="22"/>
      <c r="AV212" s="22"/>
      <c r="AW212" s="23"/>
      <c r="AX212" s="27"/>
      <c r="AY212" s="25"/>
      <c r="AZ212" s="27"/>
      <c r="BA212" s="25"/>
      <c r="BB212" s="22"/>
      <c r="BC212" s="22"/>
      <c r="BD212" s="22"/>
      <c r="BE212" s="22"/>
      <c r="BF212" s="23"/>
      <c r="BG212" s="23"/>
      <c r="BH212" s="22" t="s">
        <v>818</v>
      </c>
      <c r="BI212" s="23">
        <v>1</v>
      </c>
      <c r="BJ212" s="23">
        <v>0</v>
      </c>
      <c r="BK212" s="24"/>
      <c r="BL212" s="24"/>
      <c r="BM212" s="22"/>
      <c r="BN212" s="24">
        <v>45959</v>
      </c>
      <c r="BO212" s="24">
        <v>45959</v>
      </c>
      <c r="BP212" s="25">
        <v>147.72999999999999</v>
      </c>
      <c r="BQ212" s="24">
        <v>45958</v>
      </c>
    </row>
    <row r="213" spans="1:69" ht="22.5" hidden="1" customHeight="1" x14ac:dyDescent="0.2">
      <c r="A213" s="28" t="s">
        <v>262</v>
      </c>
      <c r="B213" s="28"/>
      <c r="C213" s="28" t="s">
        <v>221</v>
      </c>
      <c r="D213" s="28" t="s">
        <v>222</v>
      </c>
      <c r="E213" s="29">
        <v>415898</v>
      </c>
      <c r="F213" s="29">
        <v>2202</v>
      </c>
      <c r="G213" s="29">
        <v>335</v>
      </c>
      <c r="H213" s="29">
        <v>0</v>
      </c>
      <c r="I213" s="30">
        <v>45936</v>
      </c>
      <c r="J213" s="28" t="s">
        <v>656</v>
      </c>
      <c r="K213" s="28" t="s">
        <v>819</v>
      </c>
      <c r="L213" s="31">
        <v>27.01</v>
      </c>
      <c r="M213" s="31">
        <v>1.49</v>
      </c>
      <c r="N213" s="31">
        <v>28.5</v>
      </c>
      <c r="O213" s="28"/>
      <c r="P213" s="32">
        <v>45959</v>
      </c>
      <c r="Q213" s="31">
        <v>28.5</v>
      </c>
      <c r="R213" s="28" t="s">
        <v>820</v>
      </c>
      <c r="S213" s="31">
        <v>0</v>
      </c>
      <c r="T213" s="28"/>
      <c r="U213" s="29"/>
      <c r="V213" s="28"/>
      <c r="W213" s="29"/>
      <c r="X213" s="29"/>
      <c r="Y213" s="29"/>
      <c r="Z213" s="31">
        <v>0</v>
      </c>
      <c r="AA213" s="31">
        <v>0</v>
      </c>
      <c r="AB213" s="31">
        <v>0</v>
      </c>
      <c r="AC213" s="28"/>
      <c r="AD213" s="28" t="s">
        <v>365</v>
      </c>
      <c r="AE213" s="28" t="s">
        <v>366</v>
      </c>
      <c r="AF213" s="28" t="s">
        <v>31</v>
      </c>
      <c r="AG213" s="28" t="s">
        <v>53</v>
      </c>
      <c r="AH213" s="28" t="s">
        <v>228</v>
      </c>
      <c r="AI213" s="28" t="s">
        <v>31</v>
      </c>
      <c r="AJ213" s="28"/>
      <c r="AK213" s="28" t="s">
        <v>239</v>
      </c>
      <c r="AL213" s="28" t="s">
        <v>240</v>
      </c>
      <c r="AM213" s="28" t="s">
        <v>231</v>
      </c>
      <c r="AN213" s="28" t="s">
        <v>232</v>
      </c>
      <c r="AO213" s="28" t="s">
        <v>231</v>
      </c>
      <c r="AP213" s="28" t="s">
        <v>232</v>
      </c>
      <c r="AQ213" s="28"/>
      <c r="AR213" s="28"/>
      <c r="AS213" s="28"/>
      <c r="AT213" s="28"/>
      <c r="AU213" s="28"/>
      <c r="AV213" s="28"/>
      <c r="AW213" s="29"/>
      <c r="AX213" s="33"/>
      <c r="AY213" s="31"/>
      <c r="AZ213" s="33"/>
      <c r="BA213" s="31"/>
      <c r="BB213" s="28"/>
      <c r="BC213" s="28"/>
      <c r="BD213" s="28"/>
      <c r="BE213" s="28"/>
      <c r="BF213" s="29"/>
      <c r="BG213" s="29"/>
      <c r="BH213" s="28" t="s">
        <v>821</v>
      </c>
      <c r="BI213" s="29">
        <v>1</v>
      </c>
      <c r="BJ213" s="29">
        <v>0</v>
      </c>
      <c r="BK213" s="30"/>
      <c r="BL213" s="30"/>
      <c r="BM213" s="28"/>
      <c r="BN213" s="30">
        <v>45959</v>
      </c>
      <c r="BO213" s="30">
        <v>45959</v>
      </c>
      <c r="BP213" s="31">
        <v>28.5</v>
      </c>
      <c r="BQ213" s="30">
        <v>45958</v>
      </c>
    </row>
    <row r="214" spans="1:69" ht="22.5" hidden="1" customHeight="1" x14ac:dyDescent="0.2">
      <c r="A214" s="22" t="s">
        <v>262</v>
      </c>
      <c r="B214" s="22"/>
      <c r="C214" s="22" t="s">
        <v>221</v>
      </c>
      <c r="D214" s="22" t="s">
        <v>222</v>
      </c>
      <c r="E214" s="23">
        <v>415899</v>
      </c>
      <c r="F214" s="23">
        <v>2193</v>
      </c>
      <c r="G214" s="23">
        <v>335</v>
      </c>
      <c r="H214" s="23">
        <v>0</v>
      </c>
      <c r="I214" s="24">
        <v>45936</v>
      </c>
      <c r="J214" s="22" t="s">
        <v>656</v>
      </c>
      <c r="K214" s="22" t="s">
        <v>822</v>
      </c>
      <c r="L214" s="25">
        <v>46.74</v>
      </c>
      <c r="M214" s="25">
        <v>3.04</v>
      </c>
      <c r="N214" s="25">
        <v>49.78</v>
      </c>
      <c r="O214" s="22"/>
      <c r="P214" s="26">
        <v>45959</v>
      </c>
      <c r="Q214" s="25">
        <v>49.78</v>
      </c>
      <c r="R214" s="22" t="s">
        <v>823</v>
      </c>
      <c r="S214" s="25">
        <v>0</v>
      </c>
      <c r="T214" s="22"/>
      <c r="U214" s="23"/>
      <c r="V214" s="22"/>
      <c r="W214" s="23"/>
      <c r="X214" s="23"/>
      <c r="Y214" s="23"/>
      <c r="Z214" s="25">
        <v>0</v>
      </c>
      <c r="AA214" s="25">
        <v>0</v>
      </c>
      <c r="AB214" s="25">
        <v>0</v>
      </c>
      <c r="AC214" s="22"/>
      <c r="AD214" s="22" t="s">
        <v>293</v>
      </c>
      <c r="AE214" s="22" t="s">
        <v>294</v>
      </c>
      <c r="AF214" s="22" t="s">
        <v>31</v>
      </c>
      <c r="AG214" s="22" t="s">
        <v>53</v>
      </c>
      <c r="AH214" s="22" t="s">
        <v>228</v>
      </c>
      <c r="AI214" s="22" t="s">
        <v>31</v>
      </c>
      <c r="AJ214" s="22"/>
      <c r="AK214" s="22" t="s">
        <v>239</v>
      </c>
      <c r="AL214" s="22" t="s">
        <v>240</v>
      </c>
      <c r="AM214" s="22" t="s">
        <v>231</v>
      </c>
      <c r="AN214" s="22" t="s">
        <v>232</v>
      </c>
      <c r="AO214" s="22" t="s">
        <v>231</v>
      </c>
      <c r="AP214" s="22" t="s">
        <v>232</v>
      </c>
      <c r="AQ214" s="22"/>
      <c r="AR214" s="22"/>
      <c r="AS214" s="22"/>
      <c r="AT214" s="22"/>
      <c r="AU214" s="22"/>
      <c r="AV214" s="22"/>
      <c r="AW214" s="23"/>
      <c r="AX214" s="27"/>
      <c r="AY214" s="25"/>
      <c r="AZ214" s="27"/>
      <c r="BA214" s="25"/>
      <c r="BB214" s="22"/>
      <c r="BC214" s="22"/>
      <c r="BD214" s="22"/>
      <c r="BE214" s="22"/>
      <c r="BF214" s="23"/>
      <c r="BG214" s="23"/>
      <c r="BH214" s="22" t="s">
        <v>824</v>
      </c>
      <c r="BI214" s="23">
        <v>1</v>
      </c>
      <c r="BJ214" s="23">
        <v>0</v>
      </c>
      <c r="BK214" s="24"/>
      <c r="BL214" s="24"/>
      <c r="BM214" s="22"/>
      <c r="BN214" s="24">
        <v>45959</v>
      </c>
      <c r="BO214" s="24">
        <v>45959</v>
      </c>
      <c r="BP214" s="25">
        <v>49.78</v>
      </c>
      <c r="BQ214" s="24">
        <v>45958</v>
      </c>
    </row>
    <row r="215" spans="1:69" ht="22.5" hidden="1" customHeight="1" x14ac:dyDescent="0.2">
      <c r="A215" s="28" t="s">
        <v>262</v>
      </c>
      <c r="B215" s="28"/>
      <c r="C215" s="28" t="s">
        <v>221</v>
      </c>
      <c r="D215" s="28" t="s">
        <v>222</v>
      </c>
      <c r="E215" s="29">
        <v>415900</v>
      </c>
      <c r="F215" s="29">
        <v>2194</v>
      </c>
      <c r="G215" s="29">
        <v>335</v>
      </c>
      <c r="H215" s="29">
        <v>0</v>
      </c>
      <c r="I215" s="30">
        <v>45936</v>
      </c>
      <c r="J215" s="28" t="s">
        <v>656</v>
      </c>
      <c r="K215" s="28" t="s">
        <v>825</v>
      </c>
      <c r="L215" s="31">
        <v>47.28</v>
      </c>
      <c r="M215" s="31">
        <v>2.6</v>
      </c>
      <c r="N215" s="31">
        <v>49.88</v>
      </c>
      <c r="O215" s="28"/>
      <c r="P215" s="32">
        <v>45959</v>
      </c>
      <c r="Q215" s="31">
        <v>49.88</v>
      </c>
      <c r="R215" s="28" t="s">
        <v>826</v>
      </c>
      <c r="S215" s="31">
        <v>0</v>
      </c>
      <c r="T215" s="28"/>
      <c r="U215" s="29"/>
      <c r="V215" s="28"/>
      <c r="W215" s="29"/>
      <c r="X215" s="29"/>
      <c r="Y215" s="29"/>
      <c r="Z215" s="31">
        <v>0</v>
      </c>
      <c r="AA215" s="31">
        <v>0</v>
      </c>
      <c r="AB215" s="31">
        <v>0</v>
      </c>
      <c r="AC215" s="28"/>
      <c r="AD215" s="28" t="s">
        <v>293</v>
      </c>
      <c r="AE215" s="28" t="s">
        <v>294</v>
      </c>
      <c r="AF215" s="28" t="s">
        <v>31</v>
      </c>
      <c r="AG215" s="28" t="s">
        <v>53</v>
      </c>
      <c r="AH215" s="28" t="s">
        <v>228</v>
      </c>
      <c r="AI215" s="28" t="s">
        <v>31</v>
      </c>
      <c r="AJ215" s="28"/>
      <c r="AK215" s="28" t="s">
        <v>239</v>
      </c>
      <c r="AL215" s="28" t="s">
        <v>240</v>
      </c>
      <c r="AM215" s="28" t="s">
        <v>231</v>
      </c>
      <c r="AN215" s="28" t="s">
        <v>232</v>
      </c>
      <c r="AO215" s="28" t="s">
        <v>231</v>
      </c>
      <c r="AP215" s="28" t="s">
        <v>232</v>
      </c>
      <c r="AQ215" s="28"/>
      <c r="AR215" s="28"/>
      <c r="AS215" s="28"/>
      <c r="AT215" s="28"/>
      <c r="AU215" s="28"/>
      <c r="AV215" s="28"/>
      <c r="AW215" s="29"/>
      <c r="AX215" s="33"/>
      <c r="AY215" s="31"/>
      <c r="AZ215" s="33"/>
      <c r="BA215" s="31"/>
      <c r="BB215" s="28"/>
      <c r="BC215" s="28"/>
      <c r="BD215" s="28"/>
      <c r="BE215" s="28"/>
      <c r="BF215" s="29"/>
      <c r="BG215" s="29"/>
      <c r="BH215" s="28" t="s">
        <v>827</v>
      </c>
      <c r="BI215" s="29">
        <v>1</v>
      </c>
      <c r="BJ215" s="29">
        <v>0</v>
      </c>
      <c r="BK215" s="30"/>
      <c r="BL215" s="30"/>
      <c r="BM215" s="28"/>
      <c r="BN215" s="30">
        <v>45959</v>
      </c>
      <c r="BO215" s="30">
        <v>45959</v>
      </c>
      <c r="BP215" s="31">
        <v>49.88</v>
      </c>
      <c r="BQ215" s="30">
        <v>45958</v>
      </c>
    </row>
    <row r="216" spans="1:69" ht="22.5" hidden="1" customHeight="1" x14ac:dyDescent="0.2">
      <c r="A216" s="22" t="s">
        <v>262</v>
      </c>
      <c r="B216" s="22"/>
      <c r="C216" s="22" t="s">
        <v>221</v>
      </c>
      <c r="D216" s="22" t="s">
        <v>222</v>
      </c>
      <c r="E216" s="23">
        <v>415901</v>
      </c>
      <c r="F216" s="23">
        <v>2195</v>
      </c>
      <c r="G216" s="23">
        <v>335</v>
      </c>
      <c r="H216" s="23">
        <v>0</v>
      </c>
      <c r="I216" s="24">
        <v>45936</v>
      </c>
      <c r="J216" s="22" t="s">
        <v>656</v>
      </c>
      <c r="K216" s="22" t="s">
        <v>828</v>
      </c>
      <c r="L216" s="25">
        <v>75.239999999999995</v>
      </c>
      <c r="M216" s="25">
        <v>4.1399999999999997</v>
      </c>
      <c r="N216" s="25">
        <v>79.38</v>
      </c>
      <c r="O216" s="22"/>
      <c r="P216" s="26">
        <v>45959</v>
      </c>
      <c r="Q216" s="25">
        <v>79.38</v>
      </c>
      <c r="R216" s="22" t="s">
        <v>829</v>
      </c>
      <c r="S216" s="25">
        <v>0</v>
      </c>
      <c r="T216" s="22"/>
      <c r="U216" s="23"/>
      <c r="V216" s="22"/>
      <c r="W216" s="23"/>
      <c r="X216" s="23"/>
      <c r="Y216" s="23"/>
      <c r="Z216" s="25">
        <v>0</v>
      </c>
      <c r="AA216" s="25">
        <v>0</v>
      </c>
      <c r="AB216" s="25">
        <v>0</v>
      </c>
      <c r="AC216" s="22"/>
      <c r="AD216" s="22" t="s">
        <v>293</v>
      </c>
      <c r="AE216" s="22" t="s">
        <v>294</v>
      </c>
      <c r="AF216" s="22" t="s">
        <v>31</v>
      </c>
      <c r="AG216" s="22" t="s">
        <v>53</v>
      </c>
      <c r="AH216" s="22" t="s">
        <v>228</v>
      </c>
      <c r="AI216" s="22" t="s">
        <v>31</v>
      </c>
      <c r="AJ216" s="22"/>
      <c r="AK216" s="22" t="s">
        <v>239</v>
      </c>
      <c r="AL216" s="22" t="s">
        <v>240</v>
      </c>
      <c r="AM216" s="22" t="s">
        <v>231</v>
      </c>
      <c r="AN216" s="22" t="s">
        <v>232</v>
      </c>
      <c r="AO216" s="22" t="s">
        <v>231</v>
      </c>
      <c r="AP216" s="22" t="s">
        <v>232</v>
      </c>
      <c r="AQ216" s="22"/>
      <c r="AR216" s="22"/>
      <c r="AS216" s="22"/>
      <c r="AT216" s="22"/>
      <c r="AU216" s="22"/>
      <c r="AV216" s="22"/>
      <c r="AW216" s="23"/>
      <c r="AX216" s="27"/>
      <c r="AY216" s="25"/>
      <c r="AZ216" s="27"/>
      <c r="BA216" s="25"/>
      <c r="BB216" s="22"/>
      <c r="BC216" s="22"/>
      <c r="BD216" s="22"/>
      <c r="BE216" s="22"/>
      <c r="BF216" s="23"/>
      <c r="BG216" s="23"/>
      <c r="BH216" s="22" t="s">
        <v>830</v>
      </c>
      <c r="BI216" s="23">
        <v>1</v>
      </c>
      <c r="BJ216" s="23">
        <v>0</v>
      </c>
      <c r="BK216" s="24"/>
      <c r="BL216" s="24"/>
      <c r="BM216" s="22"/>
      <c r="BN216" s="24">
        <v>45959</v>
      </c>
      <c r="BO216" s="24">
        <v>45959</v>
      </c>
      <c r="BP216" s="25">
        <v>79.38</v>
      </c>
      <c r="BQ216" s="24">
        <v>45958</v>
      </c>
    </row>
    <row r="217" spans="1:69" ht="22.5" hidden="1" customHeight="1" x14ac:dyDescent="0.2">
      <c r="A217" s="28" t="s">
        <v>262</v>
      </c>
      <c r="B217" s="28"/>
      <c r="C217" s="28" t="s">
        <v>221</v>
      </c>
      <c r="D217" s="28" t="s">
        <v>222</v>
      </c>
      <c r="E217" s="29">
        <v>415902</v>
      </c>
      <c r="F217" s="29">
        <v>2196</v>
      </c>
      <c r="G217" s="29">
        <v>335</v>
      </c>
      <c r="H217" s="29">
        <v>0</v>
      </c>
      <c r="I217" s="30">
        <v>45936</v>
      </c>
      <c r="J217" s="28" t="s">
        <v>656</v>
      </c>
      <c r="K217" s="28" t="s">
        <v>831</v>
      </c>
      <c r="L217" s="31">
        <v>46.03</v>
      </c>
      <c r="M217" s="31">
        <v>3</v>
      </c>
      <c r="N217" s="31">
        <v>49.03</v>
      </c>
      <c r="O217" s="28"/>
      <c r="P217" s="32">
        <v>45959</v>
      </c>
      <c r="Q217" s="31">
        <v>49.03</v>
      </c>
      <c r="R217" s="28" t="s">
        <v>832</v>
      </c>
      <c r="S217" s="31">
        <v>0</v>
      </c>
      <c r="T217" s="28"/>
      <c r="U217" s="29"/>
      <c r="V217" s="28"/>
      <c r="W217" s="29"/>
      <c r="X217" s="29"/>
      <c r="Y217" s="29"/>
      <c r="Z217" s="31">
        <v>0</v>
      </c>
      <c r="AA217" s="31">
        <v>0</v>
      </c>
      <c r="AB217" s="31">
        <v>0</v>
      </c>
      <c r="AC217" s="28"/>
      <c r="AD217" s="28" t="s">
        <v>293</v>
      </c>
      <c r="AE217" s="28" t="s">
        <v>294</v>
      </c>
      <c r="AF217" s="28" t="s">
        <v>31</v>
      </c>
      <c r="AG217" s="28" t="s">
        <v>53</v>
      </c>
      <c r="AH217" s="28" t="s">
        <v>228</v>
      </c>
      <c r="AI217" s="28" t="s">
        <v>31</v>
      </c>
      <c r="AJ217" s="28"/>
      <c r="AK217" s="28" t="s">
        <v>239</v>
      </c>
      <c r="AL217" s="28" t="s">
        <v>240</v>
      </c>
      <c r="AM217" s="28" t="s">
        <v>231</v>
      </c>
      <c r="AN217" s="28" t="s">
        <v>232</v>
      </c>
      <c r="AO217" s="28" t="s">
        <v>231</v>
      </c>
      <c r="AP217" s="28" t="s">
        <v>232</v>
      </c>
      <c r="AQ217" s="28"/>
      <c r="AR217" s="28"/>
      <c r="AS217" s="28"/>
      <c r="AT217" s="28"/>
      <c r="AU217" s="28"/>
      <c r="AV217" s="28"/>
      <c r="AW217" s="29"/>
      <c r="AX217" s="33"/>
      <c r="AY217" s="31"/>
      <c r="AZ217" s="33"/>
      <c r="BA217" s="31"/>
      <c r="BB217" s="28"/>
      <c r="BC217" s="28"/>
      <c r="BD217" s="28"/>
      <c r="BE217" s="28"/>
      <c r="BF217" s="29"/>
      <c r="BG217" s="29"/>
      <c r="BH217" s="28" t="s">
        <v>833</v>
      </c>
      <c r="BI217" s="29">
        <v>1</v>
      </c>
      <c r="BJ217" s="29">
        <v>0</v>
      </c>
      <c r="BK217" s="30"/>
      <c r="BL217" s="30"/>
      <c r="BM217" s="28"/>
      <c r="BN217" s="30">
        <v>45959</v>
      </c>
      <c r="BO217" s="30">
        <v>45959</v>
      </c>
      <c r="BP217" s="31">
        <v>49.03</v>
      </c>
      <c r="BQ217" s="30">
        <v>45958</v>
      </c>
    </row>
    <row r="218" spans="1:69" ht="22.5" hidden="1" customHeight="1" x14ac:dyDescent="0.2">
      <c r="A218" s="22" t="s">
        <v>262</v>
      </c>
      <c r="B218" s="22"/>
      <c r="C218" s="22" t="s">
        <v>221</v>
      </c>
      <c r="D218" s="22" t="s">
        <v>222</v>
      </c>
      <c r="E218" s="23">
        <v>415903</v>
      </c>
      <c r="F218" s="23">
        <v>2197</v>
      </c>
      <c r="G218" s="23">
        <v>335</v>
      </c>
      <c r="H218" s="23">
        <v>0</v>
      </c>
      <c r="I218" s="24">
        <v>45936</v>
      </c>
      <c r="J218" s="22" t="s">
        <v>656</v>
      </c>
      <c r="K218" s="22" t="s">
        <v>834</v>
      </c>
      <c r="L218" s="25">
        <v>46.69</v>
      </c>
      <c r="M218" s="25">
        <v>3.13</v>
      </c>
      <c r="N218" s="25">
        <v>49.82</v>
      </c>
      <c r="O218" s="22"/>
      <c r="P218" s="26">
        <v>45959</v>
      </c>
      <c r="Q218" s="25">
        <v>49.82</v>
      </c>
      <c r="R218" s="22" t="s">
        <v>835</v>
      </c>
      <c r="S218" s="25">
        <v>0</v>
      </c>
      <c r="T218" s="22"/>
      <c r="U218" s="23"/>
      <c r="V218" s="22"/>
      <c r="W218" s="23"/>
      <c r="X218" s="23"/>
      <c r="Y218" s="23"/>
      <c r="Z218" s="25">
        <v>0</v>
      </c>
      <c r="AA218" s="25">
        <v>0</v>
      </c>
      <c r="AB218" s="25">
        <v>0</v>
      </c>
      <c r="AC218" s="22"/>
      <c r="AD218" s="22" t="s">
        <v>293</v>
      </c>
      <c r="AE218" s="22" t="s">
        <v>294</v>
      </c>
      <c r="AF218" s="22" t="s">
        <v>31</v>
      </c>
      <c r="AG218" s="22" t="s">
        <v>53</v>
      </c>
      <c r="AH218" s="22" t="s">
        <v>228</v>
      </c>
      <c r="AI218" s="22" t="s">
        <v>31</v>
      </c>
      <c r="AJ218" s="22"/>
      <c r="AK218" s="22" t="s">
        <v>239</v>
      </c>
      <c r="AL218" s="22" t="s">
        <v>240</v>
      </c>
      <c r="AM218" s="22" t="s">
        <v>231</v>
      </c>
      <c r="AN218" s="22" t="s">
        <v>232</v>
      </c>
      <c r="AO218" s="22" t="s">
        <v>231</v>
      </c>
      <c r="AP218" s="22" t="s">
        <v>232</v>
      </c>
      <c r="AQ218" s="22"/>
      <c r="AR218" s="22"/>
      <c r="AS218" s="22"/>
      <c r="AT218" s="22"/>
      <c r="AU218" s="22"/>
      <c r="AV218" s="22"/>
      <c r="AW218" s="23"/>
      <c r="AX218" s="27"/>
      <c r="AY218" s="25"/>
      <c r="AZ218" s="27"/>
      <c r="BA218" s="25"/>
      <c r="BB218" s="22"/>
      <c r="BC218" s="22"/>
      <c r="BD218" s="22"/>
      <c r="BE218" s="22"/>
      <c r="BF218" s="23"/>
      <c r="BG218" s="23"/>
      <c r="BH218" s="22" t="s">
        <v>836</v>
      </c>
      <c r="BI218" s="23">
        <v>1</v>
      </c>
      <c r="BJ218" s="23">
        <v>0</v>
      </c>
      <c r="BK218" s="24"/>
      <c r="BL218" s="24"/>
      <c r="BM218" s="22"/>
      <c r="BN218" s="24">
        <v>45959</v>
      </c>
      <c r="BO218" s="24">
        <v>45959</v>
      </c>
      <c r="BP218" s="25">
        <v>49.82</v>
      </c>
      <c r="BQ218" s="24">
        <v>45958</v>
      </c>
    </row>
    <row r="219" spans="1:69" ht="22.5" hidden="1" customHeight="1" x14ac:dyDescent="0.2">
      <c r="A219" s="28" t="s">
        <v>262</v>
      </c>
      <c r="B219" s="28"/>
      <c r="C219" s="28" t="s">
        <v>221</v>
      </c>
      <c r="D219" s="28" t="s">
        <v>222</v>
      </c>
      <c r="E219" s="29">
        <v>415904</v>
      </c>
      <c r="F219" s="29">
        <v>2198</v>
      </c>
      <c r="G219" s="29">
        <v>335</v>
      </c>
      <c r="H219" s="29">
        <v>0</v>
      </c>
      <c r="I219" s="30">
        <v>45936</v>
      </c>
      <c r="J219" s="28" t="s">
        <v>656</v>
      </c>
      <c r="K219" s="28" t="s">
        <v>837</v>
      </c>
      <c r="L219" s="31">
        <v>140.28</v>
      </c>
      <c r="M219" s="31">
        <v>8.8699999999999992</v>
      </c>
      <c r="N219" s="31">
        <v>149.15</v>
      </c>
      <c r="O219" s="28"/>
      <c r="P219" s="32">
        <v>45959</v>
      </c>
      <c r="Q219" s="31">
        <v>149.15</v>
      </c>
      <c r="R219" s="28" t="s">
        <v>838</v>
      </c>
      <c r="S219" s="31">
        <v>0</v>
      </c>
      <c r="T219" s="28"/>
      <c r="U219" s="29"/>
      <c r="V219" s="28"/>
      <c r="W219" s="29"/>
      <c r="X219" s="29"/>
      <c r="Y219" s="29"/>
      <c r="Z219" s="31">
        <v>0</v>
      </c>
      <c r="AA219" s="31">
        <v>0</v>
      </c>
      <c r="AB219" s="31">
        <v>0</v>
      </c>
      <c r="AC219" s="28"/>
      <c r="AD219" s="28" t="s">
        <v>293</v>
      </c>
      <c r="AE219" s="28" t="s">
        <v>294</v>
      </c>
      <c r="AF219" s="28" t="s">
        <v>31</v>
      </c>
      <c r="AG219" s="28" t="s">
        <v>53</v>
      </c>
      <c r="AH219" s="28" t="s">
        <v>228</v>
      </c>
      <c r="AI219" s="28" t="s">
        <v>31</v>
      </c>
      <c r="AJ219" s="28"/>
      <c r="AK219" s="28" t="s">
        <v>239</v>
      </c>
      <c r="AL219" s="28" t="s">
        <v>240</v>
      </c>
      <c r="AM219" s="28" t="s">
        <v>231</v>
      </c>
      <c r="AN219" s="28" t="s">
        <v>232</v>
      </c>
      <c r="AO219" s="28" t="s">
        <v>231</v>
      </c>
      <c r="AP219" s="28" t="s">
        <v>232</v>
      </c>
      <c r="AQ219" s="28"/>
      <c r="AR219" s="28"/>
      <c r="AS219" s="28"/>
      <c r="AT219" s="28"/>
      <c r="AU219" s="28"/>
      <c r="AV219" s="28"/>
      <c r="AW219" s="29"/>
      <c r="AX219" s="33"/>
      <c r="AY219" s="31"/>
      <c r="AZ219" s="33"/>
      <c r="BA219" s="31"/>
      <c r="BB219" s="28"/>
      <c r="BC219" s="28"/>
      <c r="BD219" s="28"/>
      <c r="BE219" s="28"/>
      <c r="BF219" s="29"/>
      <c r="BG219" s="29"/>
      <c r="BH219" s="28" t="s">
        <v>839</v>
      </c>
      <c r="BI219" s="29">
        <v>1</v>
      </c>
      <c r="BJ219" s="29">
        <v>0</v>
      </c>
      <c r="BK219" s="30"/>
      <c r="BL219" s="30"/>
      <c r="BM219" s="28"/>
      <c r="BN219" s="30">
        <v>45959</v>
      </c>
      <c r="BO219" s="30">
        <v>45959</v>
      </c>
      <c r="BP219" s="31">
        <v>149.15</v>
      </c>
      <c r="BQ219" s="30">
        <v>45958</v>
      </c>
    </row>
    <row r="220" spans="1:69" ht="22.5" hidden="1" customHeight="1" x14ac:dyDescent="0.2">
      <c r="A220" s="22" t="s">
        <v>262</v>
      </c>
      <c r="B220" s="22"/>
      <c r="C220" s="22" t="s">
        <v>221</v>
      </c>
      <c r="D220" s="22" t="s">
        <v>222</v>
      </c>
      <c r="E220" s="23">
        <v>415905</v>
      </c>
      <c r="F220" s="23">
        <v>2200</v>
      </c>
      <c r="G220" s="23">
        <v>335</v>
      </c>
      <c r="H220" s="23">
        <v>0</v>
      </c>
      <c r="I220" s="24">
        <v>45936</v>
      </c>
      <c r="J220" s="22" t="s">
        <v>656</v>
      </c>
      <c r="K220" s="22" t="s">
        <v>840</v>
      </c>
      <c r="L220" s="25">
        <v>74.75</v>
      </c>
      <c r="M220" s="25">
        <v>4.1100000000000003</v>
      </c>
      <c r="N220" s="25">
        <v>78.86</v>
      </c>
      <c r="O220" s="22"/>
      <c r="P220" s="26">
        <v>45959</v>
      </c>
      <c r="Q220" s="25">
        <v>78.86</v>
      </c>
      <c r="R220" s="22" t="s">
        <v>841</v>
      </c>
      <c r="S220" s="25">
        <v>0</v>
      </c>
      <c r="T220" s="22"/>
      <c r="U220" s="23"/>
      <c r="V220" s="22"/>
      <c r="W220" s="23"/>
      <c r="X220" s="23"/>
      <c r="Y220" s="23"/>
      <c r="Z220" s="25">
        <v>0</v>
      </c>
      <c r="AA220" s="25">
        <v>0</v>
      </c>
      <c r="AB220" s="25">
        <v>0</v>
      </c>
      <c r="AC220" s="22"/>
      <c r="AD220" s="22" t="s">
        <v>293</v>
      </c>
      <c r="AE220" s="22" t="s">
        <v>294</v>
      </c>
      <c r="AF220" s="22" t="s">
        <v>31</v>
      </c>
      <c r="AG220" s="22" t="s">
        <v>53</v>
      </c>
      <c r="AH220" s="22" t="s">
        <v>228</v>
      </c>
      <c r="AI220" s="22" t="s">
        <v>31</v>
      </c>
      <c r="AJ220" s="22"/>
      <c r="AK220" s="22" t="s">
        <v>239</v>
      </c>
      <c r="AL220" s="22" t="s">
        <v>240</v>
      </c>
      <c r="AM220" s="22" t="s">
        <v>231</v>
      </c>
      <c r="AN220" s="22" t="s">
        <v>232</v>
      </c>
      <c r="AO220" s="22" t="s">
        <v>231</v>
      </c>
      <c r="AP220" s="22" t="s">
        <v>232</v>
      </c>
      <c r="AQ220" s="22"/>
      <c r="AR220" s="22"/>
      <c r="AS220" s="22"/>
      <c r="AT220" s="22"/>
      <c r="AU220" s="22"/>
      <c r="AV220" s="22"/>
      <c r="AW220" s="23"/>
      <c r="AX220" s="27"/>
      <c r="AY220" s="25"/>
      <c r="AZ220" s="27"/>
      <c r="BA220" s="25"/>
      <c r="BB220" s="22"/>
      <c r="BC220" s="22"/>
      <c r="BD220" s="22"/>
      <c r="BE220" s="22"/>
      <c r="BF220" s="23"/>
      <c r="BG220" s="23"/>
      <c r="BH220" s="22" t="s">
        <v>842</v>
      </c>
      <c r="BI220" s="23">
        <v>1</v>
      </c>
      <c r="BJ220" s="23">
        <v>0</v>
      </c>
      <c r="BK220" s="24"/>
      <c r="BL220" s="24"/>
      <c r="BM220" s="22"/>
      <c r="BN220" s="24">
        <v>45959</v>
      </c>
      <c r="BO220" s="24">
        <v>45959</v>
      </c>
      <c r="BP220" s="25">
        <v>78.86</v>
      </c>
      <c r="BQ220" s="24">
        <v>45958</v>
      </c>
    </row>
    <row r="221" spans="1:69" ht="22.5" hidden="1" customHeight="1" x14ac:dyDescent="0.2">
      <c r="A221" s="28" t="s">
        <v>262</v>
      </c>
      <c r="B221" s="28"/>
      <c r="C221" s="28" t="s">
        <v>221</v>
      </c>
      <c r="D221" s="28" t="s">
        <v>222</v>
      </c>
      <c r="E221" s="29">
        <v>415912</v>
      </c>
      <c r="F221" s="29">
        <v>2199</v>
      </c>
      <c r="G221" s="29">
        <v>335</v>
      </c>
      <c r="H221" s="29">
        <v>0</v>
      </c>
      <c r="I221" s="30">
        <v>45936</v>
      </c>
      <c r="J221" s="28" t="s">
        <v>656</v>
      </c>
      <c r="K221" s="28" t="s">
        <v>843</v>
      </c>
      <c r="L221" s="31">
        <v>142.13</v>
      </c>
      <c r="M221" s="31">
        <v>7.87</v>
      </c>
      <c r="N221" s="31">
        <v>150</v>
      </c>
      <c r="O221" s="28"/>
      <c r="P221" s="32">
        <v>45959</v>
      </c>
      <c r="Q221" s="31">
        <v>150</v>
      </c>
      <c r="R221" s="28" t="s">
        <v>844</v>
      </c>
      <c r="S221" s="31">
        <v>0</v>
      </c>
      <c r="T221" s="28"/>
      <c r="U221" s="29"/>
      <c r="V221" s="28"/>
      <c r="W221" s="29"/>
      <c r="X221" s="29"/>
      <c r="Y221" s="29"/>
      <c r="Z221" s="31">
        <v>0</v>
      </c>
      <c r="AA221" s="31">
        <v>0</v>
      </c>
      <c r="AB221" s="31">
        <v>0</v>
      </c>
      <c r="AC221" s="28"/>
      <c r="AD221" s="28" t="s">
        <v>293</v>
      </c>
      <c r="AE221" s="28" t="s">
        <v>294</v>
      </c>
      <c r="AF221" s="28" t="s">
        <v>31</v>
      </c>
      <c r="AG221" s="28" t="s">
        <v>53</v>
      </c>
      <c r="AH221" s="28" t="s">
        <v>228</v>
      </c>
      <c r="AI221" s="28" t="s">
        <v>31</v>
      </c>
      <c r="AJ221" s="28"/>
      <c r="AK221" s="28" t="s">
        <v>239</v>
      </c>
      <c r="AL221" s="28" t="s">
        <v>240</v>
      </c>
      <c r="AM221" s="28" t="s">
        <v>231</v>
      </c>
      <c r="AN221" s="28" t="s">
        <v>232</v>
      </c>
      <c r="AO221" s="28" t="s">
        <v>231</v>
      </c>
      <c r="AP221" s="28" t="s">
        <v>232</v>
      </c>
      <c r="AQ221" s="28"/>
      <c r="AR221" s="28"/>
      <c r="AS221" s="28"/>
      <c r="AT221" s="28"/>
      <c r="AU221" s="28"/>
      <c r="AV221" s="28"/>
      <c r="AW221" s="29"/>
      <c r="AX221" s="33"/>
      <c r="AY221" s="31"/>
      <c r="AZ221" s="33"/>
      <c r="BA221" s="31"/>
      <c r="BB221" s="28"/>
      <c r="BC221" s="28"/>
      <c r="BD221" s="28"/>
      <c r="BE221" s="28"/>
      <c r="BF221" s="29"/>
      <c r="BG221" s="29"/>
      <c r="BH221" s="28" t="s">
        <v>845</v>
      </c>
      <c r="BI221" s="29">
        <v>1</v>
      </c>
      <c r="BJ221" s="29">
        <v>0</v>
      </c>
      <c r="BK221" s="30"/>
      <c r="BL221" s="30"/>
      <c r="BM221" s="28"/>
      <c r="BN221" s="30">
        <v>45959</v>
      </c>
      <c r="BO221" s="30">
        <v>45959</v>
      </c>
      <c r="BP221" s="31">
        <v>150</v>
      </c>
      <c r="BQ221" s="30">
        <v>45958</v>
      </c>
    </row>
    <row r="222" spans="1:69" ht="22.5" hidden="1" customHeight="1" x14ac:dyDescent="0.2">
      <c r="A222" s="28" t="s">
        <v>262</v>
      </c>
      <c r="B222" s="28"/>
      <c r="C222" s="28" t="s">
        <v>221</v>
      </c>
      <c r="D222" s="28" t="s">
        <v>222</v>
      </c>
      <c r="E222" s="29">
        <v>415939</v>
      </c>
      <c r="F222" s="29">
        <v>2226</v>
      </c>
      <c r="G222" s="29">
        <v>336</v>
      </c>
      <c r="H222" s="29">
        <v>0</v>
      </c>
      <c r="I222" s="30">
        <v>45937</v>
      </c>
      <c r="J222" s="28" t="s">
        <v>656</v>
      </c>
      <c r="K222" s="28" t="s">
        <v>846</v>
      </c>
      <c r="L222" s="31">
        <v>68.709999999999994</v>
      </c>
      <c r="M222" s="31">
        <v>6</v>
      </c>
      <c r="N222" s="31">
        <v>74.709999999999994</v>
      </c>
      <c r="O222" s="28"/>
      <c r="P222" s="32">
        <v>45959</v>
      </c>
      <c r="Q222" s="31">
        <v>74.709999999999994</v>
      </c>
      <c r="R222" s="28" t="s">
        <v>397</v>
      </c>
      <c r="S222" s="31">
        <v>0</v>
      </c>
      <c r="T222" s="28"/>
      <c r="U222" s="29"/>
      <c r="V222" s="28"/>
      <c r="W222" s="29"/>
      <c r="X222" s="29"/>
      <c r="Y222" s="29"/>
      <c r="Z222" s="31">
        <v>0</v>
      </c>
      <c r="AA222" s="31">
        <v>0</v>
      </c>
      <c r="AB222" s="31">
        <v>0</v>
      </c>
      <c r="AC222" s="28"/>
      <c r="AD222" s="28" t="s">
        <v>365</v>
      </c>
      <c r="AE222" s="28" t="s">
        <v>366</v>
      </c>
      <c r="AF222" s="28" t="s">
        <v>31</v>
      </c>
      <c r="AG222" s="28" t="s">
        <v>46</v>
      </c>
      <c r="AH222" s="28" t="s">
        <v>228</v>
      </c>
      <c r="AI222" s="28" t="s">
        <v>31</v>
      </c>
      <c r="AJ222" s="28"/>
      <c r="AK222" s="28" t="s">
        <v>289</v>
      </c>
      <c r="AL222" s="28" t="s">
        <v>31</v>
      </c>
      <c r="AM222" s="28" t="s">
        <v>231</v>
      </c>
      <c r="AN222" s="28" t="s">
        <v>232</v>
      </c>
      <c r="AO222" s="28" t="s">
        <v>231</v>
      </c>
      <c r="AP222" s="28" t="s">
        <v>232</v>
      </c>
      <c r="AQ222" s="28"/>
      <c r="AR222" s="28"/>
      <c r="AS222" s="28"/>
      <c r="AT222" s="28"/>
      <c r="AU222" s="28"/>
      <c r="AV222" s="28"/>
      <c r="AW222" s="29"/>
      <c r="AX222" s="33"/>
      <c r="AY222" s="31"/>
      <c r="AZ222" s="33"/>
      <c r="BA222" s="31"/>
      <c r="BB222" s="28"/>
      <c r="BC222" s="28"/>
      <c r="BD222" s="28"/>
      <c r="BE222" s="28"/>
      <c r="BF222" s="29"/>
      <c r="BG222" s="29"/>
      <c r="BH222" s="28" t="s">
        <v>847</v>
      </c>
      <c r="BI222" s="29">
        <v>1</v>
      </c>
      <c r="BJ222" s="29">
        <v>0</v>
      </c>
      <c r="BK222" s="30"/>
      <c r="BL222" s="30"/>
      <c r="BM222" s="28"/>
      <c r="BN222" s="30">
        <v>45959</v>
      </c>
      <c r="BO222" s="30">
        <v>45959</v>
      </c>
      <c r="BP222" s="31">
        <v>74.709999999999994</v>
      </c>
      <c r="BQ222" s="30">
        <v>45958</v>
      </c>
    </row>
    <row r="223" spans="1:69" ht="22.5" hidden="1" customHeight="1" x14ac:dyDescent="0.2">
      <c r="A223" s="22" t="s">
        <v>262</v>
      </c>
      <c r="B223" s="22"/>
      <c r="C223" s="22" t="s">
        <v>221</v>
      </c>
      <c r="D223" s="22" t="s">
        <v>222</v>
      </c>
      <c r="E223" s="23">
        <v>415940</v>
      </c>
      <c r="F223" s="23">
        <v>2223</v>
      </c>
      <c r="G223" s="23">
        <v>336</v>
      </c>
      <c r="H223" s="23">
        <v>0</v>
      </c>
      <c r="I223" s="24">
        <v>45937</v>
      </c>
      <c r="J223" s="22" t="s">
        <v>656</v>
      </c>
      <c r="K223" s="22" t="s">
        <v>848</v>
      </c>
      <c r="L223" s="25">
        <v>39.35</v>
      </c>
      <c r="M223" s="25">
        <v>10.65</v>
      </c>
      <c r="N223" s="25">
        <v>50</v>
      </c>
      <c r="O223" s="22"/>
      <c r="P223" s="26">
        <v>45959</v>
      </c>
      <c r="Q223" s="25">
        <v>50</v>
      </c>
      <c r="R223" s="22" t="s">
        <v>849</v>
      </c>
      <c r="S223" s="25">
        <v>0</v>
      </c>
      <c r="T223" s="22"/>
      <c r="U223" s="23"/>
      <c r="V223" s="22"/>
      <c r="W223" s="23"/>
      <c r="X223" s="23"/>
      <c r="Y223" s="23"/>
      <c r="Z223" s="25">
        <v>0</v>
      </c>
      <c r="AA223" s="25">
        <v>0</v>
      </c>
      <c r="AB223" s="25">
        <v>0</v>
      </c>
      <c r="AC223" s="22"/>
      <c r="AD223" s="22" t="s">
        <v>293</v>
      </c>
      <c r="AE223" s="22" t="s">
        <v>294</v>
      </c>
      <c r="AF223" s="22" t="s">
        <v>31</v>
      </c>
      <c r="AG223" s="22" t="s">
        <v>53</v>
      </c>
      <c r="AH223" s="22" t="s">
        <v>228</v>
      </c>
      <c r="AI223" s="22" t="s">
        <v>31</v>
      </c>
      <c r="AJ223" s="22"/>
      <c r="AK223" s="22" t="s">
        <v>239</v>
      </c>
      <c r="AL223" s="22" t="s">
        <v>240</v>
      </c>
      <c r="AM223" s="22" t="s">
        <v>231</v>
      </c>
      <c r="AN223" s="22" t="s">
        <v>232</v>
      </c>
      <c r="AO223" s="22" t="s">
        <v>231</v>
      </c>
      <c r="AP223" s="22" t="s">
        <v>232</v>
      </c>
      <c r="AQ223" s="22"/>
      <c r="AR223" s="22"/>
      <c r="AS223" s="22"/>
      <c r="AT223" s="22"/>
      <c r="AU223" s="22"/>
      <c r="AV223" s="22"/>
      <c r="AW223" s="23"/>
      <c r="AX223" s="27"/>
      <c r="AY223" s="25"/>
      <c r="AZ223" s="27"/>
      <c r="BA223" s="25"/>
      <c r="BB223" s="22"/>
      <c r="BC223" s="22"/>
      <c r="BD223" s="22"/>
      <c r="BE223" s="22"/>
      <c r="BF223" s="23"/>
      <c r="BG223" s="23"/>
      <c r="BH223" s="22" t="s">
        <v>850</v>
      </c>
      <c r="BI223" s="23">
        <v>1</v>
      </c>
      <c r="BJ223" s="23">
        <v>0</v>
      </c>
      <c r="BK223" s="24"/>
      <c r="BL223" s="24"/>
      <c r="BM223" s="22"/>
      <c r="BN223" s="24">
        <v>45959</v>
      </c>
      <c r="BO223" s="24">
        <v>45959</v>
      </c>
      <c r="BP223" s="25">
        <v>50</v>
      </c>
      <c r="BQ223" s="24">
        <v>45958</v>
      </c>
    </row>
    <row r="224" spans="1:69" ht="22.5" hidden="1" customHeight="1" x14ac:dyDescent="0.2">
      <c r="A224" s="28" t="s">
        <v>262</v>
      </c>
      <c r="B224" s="28"/>
      <c r="C224" s="28" t="s">
        <v>221</v>
      </c>
      <c r="D224" s="28" t="s">
        <v>222</v>
      </c>
      <c r="E224" s="29">
        <v>415942</v>
      </c>
      <c r="F224" s="29">
        <v>2224</v>
      </c>
      <c r="G224" s="29">
        <v>336</v>
      </c>
      <c r="H224" s="29">
        <v>0</v>
      </c>
      <c r="I224" s="30">
        <v>45937</v>
      </c>
      <c r="J224" s="28" t="s">
        <v>656</v>
      </c>
      <c r="K224" s="28" t="s">
        <v>851</v>
      </c>
      <c r="L224" s="31">
        <v>136.68</v>
      </c>
      <c r="M224" s="31">
        <v>10.65</v>
      </c>
      <c r="N224" s="31">
        <v>147.33000000000001</v>
      </c>
      <c r="O224" s="28"/>
      <c r="P224" s="32">
        <v>45959</v>
      </c>
      <c r="Q224" s="31">
        <v>147.33000000000001</v>
      </c>
      <c r="R224" s="28" t="s">
        <v>852</v>
      </c>
      <c r="S224" s="31">
        <v>0</v>
      </c>
      <c r="T224" s="28"/>
      <c r="U224" s="29"/>
      <c r="V224" s="28"/>
      <c r="W224" s="29"/>
      <c r="X224" s="29"/>
      <c r="Y224" s="29"/>
      <c r="Z224" s="31">
        <v>0</v>
      </c>
      <c r="AA224" s="31">
        <v>0</v>
      </c>
      <c r="AB224" s="31">
        <v>0</v>
      </c>
      <c r="AC224" s="28"/>
      <c r="AD224" s="28" t="s">
        <v>293</v>
      </c>
      <c r="AE224" s="28" t="s">
        <v>294</v>
      </c>
      <c r="AF224" s="28" t="s">
        <v>31</v>
      </c>
      <c r="AG224" s="28" t="s">
        <v>53</v>
      </c>
      <c r="AH224" s="28" t="s">
        <v>228</v>
      </c>
      <c r="AI224" s="28" t="s">
        <v>31</v>
      </c>
      <c r="AJ224" s="28"/>
      <c r="AK224" s="28" t="s">
        <v>239</v>
      </c>
      <c r="AL224" s="28" t="s">
        <v>240</v>
      </c>
      <c r="AM224" s="28" t="s">
        <v>231</v>
      </c>
      <c r="AN224" s="28" t="s">
        <v>232</v>
      </c>
      <c r="AO224" s="28" t="s">
        <v>231</v>
      </c>
      <c r="AP224" s="28" t="s">
        <v>232</v>
      </c>
      <c r="AQ224" s="28"/>
      <c r="AR224" s="28"/>
      <c r="AS224" s="28"/>
      <c r="AT224" s="28"/>
      <c r="AU224" s="28"/>
      <c r="AV224" s="28"/>
      <c r="AW224" s="29"/>
      <c r="AX224" s="33"/>
      <c r="AY224" s="31"/>
      <c r="AZ224" s="33"/>
      <c r="BA224" s="31"/>
      <c r="BB224" s="28"/>
      <c r="BC224" s="28"/>
      <c r="BD224" s="28"/>
      <c r="BE224" s="28"/>
      <c r="BF224" s="29"/>
      <c r="BG224" s="29"/>
      <c r="BH224" s="28" t="s">
        <v>850</v>
      </c>
      <c r="BI224" s="29">
        <v>1</v>
      </c>
      <c r="BJ224" s="29">
        <v>0</v>
      </c>
      <c r="BK224" s="30"/>
      <c r="BL224" s="30"/>
      <c r="BM224" s="28"/>
      <c r="BN224" s="30">
        <v>45959</v>
      </c>
      <c r="BO224" s="30">
        <v>45959</v>
      </c>
      <c r="BP224" s="31">
        <v>147.33000000000001</v>
      </c>
      <c r="BQ224" s="30">
        <v>45958</v>
      </c>
    </row>
    <row r="225" spans="1:69" ht="22.5" hidden="1" customHeight="1" x14ac:dyDescent="0.2">
      <c r="A225" s="22" t="s">
        <v>262</v>
      </c>
      <c r="B225" s="22"/>
      <c r="C225" s="22" t="s">
        <v>221</v>
      </c>
      <c r="D225" s="22" t="s">
        <v>222</v>
      </c>
      <c r="E225" s="23">
        <v>415943</v>
      </c>
      <c r="F225" s="23">
        <v>2225</v>
      </c>
      <c r="G225" s="23">
        <v>336</v>
      </c>
      <c r="H225" s="23">
        <v>0</v>
      </c>
      <c r="I225" s="24">
        <v>45937</v>
      </c>
      <c r="J225" s="22" t="s">
        <v>656</v>
      </c>
      <c r="K225" s="22" t="s">
        <v>853</v>
      </c>
      <c r="L225" s="25">
        <v>46.43</v>
      </c>
      <c r="M225" s="25">
        <v>3.43</v>
      </c>
      <c r="N225" s="25">
        <v>49.86</v>
      </c>
      <c r="O225" s="22"/>
      <c r="P225" s="26">
        <v>45959</v>
      </c>
      <c r="Q225" s="25">
        <v>49.86</v>
      </c>
      <c r="R225" s="22" t="s">
        <v>854</v>
      </c>
      <c r="S225" s="25">
        <v>0</v>
      </c>
      <c r="T225" s="22"/>
      <c r="U225" s="23"/>
      <c r="V225" s="22"/>
      <c r="W225" s="23"/>
      <c r="X225" s="23"/>
      <c r="Y225" s="23"/>
      <c r="Z225" s="25">
        <v>0</v>
      </c>
      <c r="AA225" s="25">
        <v>0</v>
      </c>
      <c r="AB225" s="25">
        <v>0</v>
      </c>
      <c r="AC225" s="22"/>
      <c r="AD225" s="22" t="s">
        <v>293</v>
      </c>
      <c r="AE225" s="22" t="s">
        <v>294</v>
      </c>
      <c r="AF225" s="22" t="s">
        <v>31</v>
      </c>
      <c r="AG225" s="22" t="s">
        <v>53</v>
      </c>
      <c r="AH225" s="22" t="s">
        <v>228</v>
      </c>
      <c r="AI225" s="22" t="s">
        <v>31</v>
      </c>
      <c r="AJ225" s="22"/>
      <c r="AK225" s="22" t="s">
        <v>239</v>
      </c>
      <c r="AL225" s="22" t="s">
        <v>240</v>
      </c>
      <c r="AM225" s="22" t="s">
        <v>231</v>
      </c>
      <c r="AN225" s="22" t="s">
        <v>232</v>
      </c>
      <c r="AO225" s="22" t="s">
        <v>231</v>
      </c>
      <c r="AP225" s="22" t="s">
        <v>232</v>
      </c>
      <c r="AQ225" s="22"/>
      <c r="AR225" s="22"/>
      <c r="AS225" s="22"/>
      <c r="AT225" s="22"/>
      <c r="AU225" s="22"/>
      <c r="AV225" s="22"/>
      <c r="AW225" s="23"/>
      <c r="AX225" s="27"/>
      <c r="AY225" s="25"/>
      <c r="AZ225" s="27"/>
      <c r="BA225" s="25"/>
      <c r="BB225" s="22"/>
      <c r="BC225" s="22"/>
      <c r="BD225" s="22"/>
      <c r="BE225" s="22"/>
      <c r="BF225" s="23"/>
      <c r="BG225" s="23"/>
      <c r="BH225" s="22" t="s">
        <v>855</v>
      </c>
      <c r="BI225" s="23">
        <v>1</v>
      </c>
      <c r="BJ225" s="23">
        <v>0</v>
      </c>
      <c r="BK225" s="24"/>
      <c r="BL225" s="24"/>
      <c r="BM225" s="22"/>
      <c r="BN225" s="24">
        <v>45959</v>
      </c>
      <c r="BO225" s="24">
        <v>45959</v>
      </c>
      <c r="BP225" s="25">
        <v>49.86</v>
      </c>
      <c r="BQ225" s="24">
        <v>45958</v>
      </c>
    </row>
    <row r="226" spans="1:69" ht="22.5" hidden="1" customHeight="1" x14ac:dyDescent="0.2">
      <c r="A226" s="28" t="s">
        <v>262</v>
      </c>
      <c r="B226" s="28"/>
      <c r="C226" s="28" t="s">
        <v>221</v>
      </c>
      <c r="D226" s="28" t="s">
        <v>222</v>
      </c>
      <c r="E226" s="29">
        <v>415995</v>
      </c>
      <c r="F226" s="29">
        <v>2232</v>
      </c>
      <c r="G226" s="29">
        <v>337</v>
      </c>
      <c r="H226" s="29">
        <v>0</v>
      </c>
      <c r="I226" s="30">
        <v>45943</v>
      </c>
      <c r="J226" s="28" t="s">
        <v>656</v>
      </c>
      <c r="K226" s="28" t="s">
        <v>856</v>
      </c>
      <c r="L226" s="31">
        <v>180.91</v>
      </c>
      <c r="M226" s="31">
        <v>18.16</v>
      </c>
      <c r="N226" s="31">
        <v>199.07</v>
      </c>
      <c r="O226" s="28"/>
      <c r="P226" s="32">
        <v>45978</v>
      </c>
      <c r="Q226" s="31">
        <v>199.07</v>
      </c>
      <c r="R226" s="28" t="s">
        <v>857</v>
      </c>
      <c r="S226" s="31">
        <v>0</v>
      </c>
      <c r="T226" s="28"/>
      <c r="U226" s="29"/>
      <c r="V226" s="28"/>
      <c r="W226" s="29"/>
      <c r="X226" s="29"/>
      <c r="Y226" s="29"/>
      <c r="Z226" s="31">
        <v>0</v>
      </c>
      <c r="AA226" s="31">
        <v>0</v>
      </c>
      <c r="AB226" s="31">
        <v>0</v>
      </c>
      <c r="AC226" s="28"/>
      <c r="AD226" s="28" t="s">
        <v>293</v>
      </c>
      <c r="AE226" s="28" t="s">
        <v>294</v>
      </c>
      <c r="AF226" s="28" t="s">
        <v>31</v>
      </c>
      <c r="AG226" s="28" t="s">
        <v>53</v>
      </c>
      <c r="AH226" s="28" t="s">
        <v>228</v>
      </c>
      <c r="AI226" s="28" t="s">
        <v>31</v>
      </c>
      <c r="AJ226" s="28"/>
      <c r="AK226" s="28" t="s">
        <v>239</v>
      </c>
      <c r="AL226" s="28" t="s">
        <v>240</v>
      </c>
      <c r="AM226" s="28" t="s">
        <v>231</v>
      </c>
      <c r="AN226" s="28" t="s">
        <v>232</v>
      </c>
      <c r="AO226" s="28" t="s">
        <v>231</v>
      </c>
      <c r="AP226" s="28" t="s">
        <v>232</v>
      </c>
      <c r="AQ226" s="28"/>
      <c r="AR226" s="28"/>
      <c r="AS226" s="28"/>
      <c r="AT226" s="28"/>
      <c r="AU226" s="28"/>
      <c r="AV226" s="28"/>
      <c r="AW226" s="29"/>
      <c r="AX226" s="33"/>
      <c r="AY226" s="31"/>
      <c r="AZ226" s="33"/>
      <c r="BA226" s="31"/>
      <c r="BB226" s="28"/>
      <c r="BC226" s="28"/>
      <c r="BD226" s="28"/>
      <c r="BE226" s="28"/>
      <c r="BF226" s="29"/>
      <c r="BG226" s="29"/>
      <c r="BH226" s="28" t="s">
        <v>858</v>
      </c>
      <c r="BI226" s="29">
        <v>1</v>
      </c>
      <c r="BJ226" s="29">
        <v>0</v>
      </c>
      <c r="BK226" s="30"/>
      <c r="BL226" s="30"/>
      <c r="BM226" s="28"/>
      <c r="BN226" s="30">
        <v>45978</v>
      </c>
      <c r="BO226" s="30">
        <v>45980</v>
      </c>
      <c r="BP226" s="31">
        <v>199.07</v>
      </c>
      <c r="BQ226" s="30">
        <v>45979</v>
      </c>
    </row>
    <row r="227" spans="1:69" ht="22.5" hidden="1" customHeight="1" x14ac:dyDescent="0.2">
      <c r="A227" s="28" t="s">
        <v>262</v>
      </c>
      <c r="B227" s="28"/>
      <c r="C227" s="28" t="s">
        <v>221</v>
      </c>
      <c r="D227" s="28" t="s">
        <v>222</v>
      </c>
      <c r="E227" s="29">
        <v>416018</v>
      </c>
      <c r="F227" s="29">
        <v>2255</v>
      </c>
      <c r="G227" s="29">
        <v>338</v>
      </c>
      <c r="H227" s="29">
        <v>0</v>
      </c>
      <c r="I227" s="30">
        <v>45943</v>
      </c>
      <c r="J227" s="28" t="s">
        <v>656</v>
      </c>
      <c r="K227" s="28" t="s">
        <v>859</v>
      </c>
      <c r="L227" s="31">
        <v>123.91</v>
      </c>
      <c r="M227" s="31">
        <v>9.75</v>
      </c>
      <c r="N227" s="31">
        <v>133.66</v>
      </c>
      <c r="O227" s="28"/>
      <c r="P227" s="32">
        <v>45992</v>
      </c>
      <c r="Q227" s="31">
        <v>133.66</v>
      </c>
      <c r="R227" s="28" t="s">
        <v>860</v>
      </c>
      <c r="S227" s="31">
        <v>0</v>
      </c>
      <c r="T227" s="28"/>
      <c r="U227" s="29"/>
      <c r="V227" s="28"/>
      <c r="W227" s="29"/>
      <c r="X227" s="29"/>
      <c r="Y227" s="29"/>
      <c r="Z227" s="31">
        <v>0</v>
      </c>
      <c r="AA227" s="31">
        <v>0</v>
      </c>
      <c r="AB227" s="31">
        <v>0</v>
      </c>
      <c r="AC227" s="28"/>
      <c r="AD227" s="28" t="s">
        <v>293</v>
      </c>
      <c r="AE227" s="28" t="s">
        <v>294</v>
      </c>
      <c r="AF227" s="28" t="s">
        <v>31</v>
      </c>
      <c r="AG227" s="28" t="s">
        <v>53</v>
      </c>
      <c r="AH227" s="28" t="s">
        <v>228</v>
      </c>
      <c r="AI227" s="28" t="s">
        <v>31</v>
      </c>
      <c r="AJ227" s="28"/>
      <c r="AK227" s="28" t="s">
        <v>239</v>
      </c>
      <c r="AL227" s="28" t="s">
        <v>240</v>
      </c>
      <c r="AM227" s="28" t="s">
        <v>231</v>
      </c>
      <c r="AN227" s="28" t="s">
        <v>232</v>
      </c>
      <c r="AO227" s="28" t="s">
        <v>231</v>
      </c>
      <c r="AP227" s="28" t="s">
        <v>232</v>
      </c>
      <c r="AQ227" s="28"/>
      <c r="AR227" s="28"/>
      <c r="AS227" s="28"/>
      <c r="AT227" s="28"/>
      <c r="AU227" s="28"/>
      <c r="AV227" s="28"/>
      <c r="AW227" s="29"/>
      <c r="AX227" s="33"/>
      <c r="AY227" s="31"/>
      <c r="AZ227" s="33"/>
      <c r="BA227" s="31"/>
      <c r="BB227" s="28"/>
      <c r="BC227" s="28"/>
      <c r="BD227" s="28"/>
      <c r="BE227" s="28"/>
      <c r="BF227" s="29"/>
      <c r="BG227" s="29"/>
      <c r="BH227" s="28" t="s">
        <v>861</v>
      </c>
      <c r="BI227" s="29">
        <v>1</v>
      </c>
      <c r="BJ227" s="29">
        <v>0</v>
      </c>
      <c r="BK227" s="30"/>
      <c r="BL227" s="30"/>
      <c r="BM227" s="28"/>
      <c r="BN227" s="30">
        <v>45992</v>
      </c>
      <c r="BO227" s="30">
        <v>45989</v>
      </c>
      <c r="BP227" s="31">
        <v>133.66</v>
      </c>
      <c r="BQ227" s="30">
        <v>45988</v>
      </c>
    </row>
    <row r="228" spans="1:69" ht="22.5" hidden="1" customHeight="1" x14ac:dyDescent="0.2">
      <c r="A228" s="22" t="s">
        <v>262</v>
      </c>
      <c r="B228" s="22"/>
      <c r="C228" s="22" t="s">
        <v>221</v>
      </c>
      <c r="D228" s="22" t="s">
        <v>222</v>
      </c>
      <c r="E228" s="23">
        <v>416023</v>
      </c>
      <c r="F228" s="23">
        <v>2251</v>
      </c>
      <c r="G228" s="23">
        <v>338</v>
      </c>
      <c r="H228" s="23">
        <v>0</v>
      </c>
      <c r="I228" s="24">
        <v>45943</v>
      </c>
      <c r="J228" s="22" t="s">
        <v>656</v>
      </c>
      <c r="K228" s="22" t="s">
        <v>862</v>
      </c>
      <c r="L228" s="25">
        <v>22.52</v>
      </c>
      <c r="M228" s="25">
        <v>1.24</v>
      </c>
      <c r="N228" s="25">
        <v>23.76</v>
      </c>
      <c r="O228" s="22"/>
      <c r="P228" s="26">
        <v>45992</v>
      </c>
      <c r="Q228" s="25">
        <v>23.76</v>
      </c>
      <c r="R228" s="22" t="s">
        <v>863</v>
      </c>
      <c r="S228" s="25">
        <v>0</v>
      </c>
      <c r="T228" s="22"/>
      <c r="U228" s="23"/>
      <c r="V228" s="22"/>
      <c r="W228" s="23"/>
      <c r="X228" s="23"/>
      <c r="Y228" s="23"/>
      <c r="Z228" s="25">
        <v>0</v>
      </c>
      <c r="AA228" s="25">
        <v>0</v>
      </c>
      <c r="AB228" s="25">
        <v>0</v>
      </c>
      <c r="AC228" s="22"/>
      <c r="AD228" s="22" t="s">
        <v>293</v>
      </c>
      <c r="AE228" s="22" t="s">
        <v>294</v>
      </c>
      <c r="AF228" s="22" t="s">
        <v>31</v>
      </c>
      <c r="AG228" s="22" t="s">
        <v>42</v>
      </c>
      <c r="AH228" s="22" t="s">
        <v>228</v>
      </c>
      <c r="AI228" s="22" t="s">
        <v>31</v>
      </c>
      <c r="AJ228" s="22"/>
      <c r="AK228" s="22" t="s">
        <v>235</v>
      </c>
      <c r="AL228" s="22" t="s">
        <v>331</v>
      </c>
      <c r="AM228" s="22" t="s">
        <v>231</v>
      </c>
      <c r="AN228" s="22" t="s">
        <v>232</v>
      </c>
      <c r="AO228" s="22" t="s">
        <v>231</v>
      </c>
      <c r="AP228" s="22" t="s">
        <v>232</v>
      </c>
      <c r="AQ228" s="22"/>
      <c r="AR228" s="22"/>
      <c r="AS228" s="22"/>
      <c r="AT228" s="22"/>
      <c r="AU228" s="22"/>
      <c r="AV228" s="22"/>
      <c r="AW228" s="23"/>
      <c r="AX228" s="27"/>
      <c r="AY228" s="25"/>
      <c r="AZ228" s="27"/>
      <c r="BA228" s="25"/>
      <c r="BB228" s="22"/>
      <c r="BC228" s="22"/>
      <c r="BD228" s="22"/>
      <c r="BE228" s="22"/>
      <c r="BF228" s="23"/>
      <c r="BG228" s="23"/>
      <c r="BH228" s="22" t="s">
        <v>864</v>
      </c>
      <c r="BI228" s="23">
        <v>1</v>
      </c>
      <c r="BJ228" s="23">
        <v>0</v>
      </c>
      <c r="BK228" s="24"/>
      <c r="BL228" s="24"/>
      <c r="BM228" s="22"/>
      <c r="BN228" s="24">
        <v>45992</v>
      </c>
      <c r="BO228" s="24">
        <v>45989</v>
      </c>
      <c r="BP228" s="25">
        <v>23.76</v>
      </c>
      <c r="BQ228" s="24">
        <v>45988</v>
      </c>
    </row>
    <row r="229" spans="1:69" ht="22.5" hidden="1" customHeight="1" x14ac:dyDescent="0.2">
      <c r="A229" s="28" t="s">
        <v>262</v>
      </c>
      <c r="B229" s="28"/>
      <c r="C229" s="28" t="s">
        <v>221</v>
      </c>
      <c r="D229" s="28" t="s">
        <v>222</v>
      </c>
      <c r="E229" s="29">
        <v>416024</v>
      </c>
      <c r="F229" s="29">
        <v>2252</v>
      </c>
      <c r="G229" s="29">
        <v>338</v>
      </c>
      <c r="H229" s="29">
        <v>0</v>
      </c>
      <c r="I229" s="30">
        <v>45943</v>
      </c>
      <c r="J229" s="28" t="s">
        <v>656</v>
      </c>
      <c r="K229" s="28" t="s">
        <v>865</v>
      </c>
      <c r="L229" s="31">
        <v>71.489999999999995</v>
      </c>
      <c r="M229" s="31">
        <v>8.0399999999999991</v>
      </c>
      <c r="N229" s="31">
        <v>79.53</v>
      </c>
      <c r="O229" s="28"/>
      <c r="P229" s="32">
        <v>45992</v>
      </c>
      <c r="Q229" s="31">
        <v>79.53</v>
      </c>
      <c r="R229" s="28" t="s">
        <v>866</v>
      </c>
      <c r="S229" s="31">
        <v>0</v>
      </c>
      <c r="T229" s="28"/>
      <c r="U229" s="29"/>
      <c r="V229" s="28"/>
      <c r="W229" s="29"/>
      <c r="X229" s="29"/>
      <c r="Y229" s="29"/>
      <c r="Z229" s="31">
        <v>0</v>
      </c>
      <c r="AA229" s="31">
        <v>0</v>
      </c>
      <c r="AB229" s="31">
        <v>0</v>
      </c>
      <c r="AC229" s="28"/>
      <c r="AD229" s="28" t="s">
        <v>293</v>
      </c>
      <c r="AE229" s="28" t="s">
        <v>294</v>
      </c>
      <c r="AF229" s="28" t="s">
        <v>31</v>
      </c>
      <c r="AG229" s="28" t="s">
        <v>42</v>
      </c>
      <c r="AH229" s="28" t="s">
        <v>228</v>
      </c>
      <c r="AI229" s="28" t="s">
        <v>31</v>
      </c>
      <c r="AJ229" s="28"/>
      <c r="AK229" s="28" t="s">
        <v>235</v>
      </c>
      <c r="AL229" s="28" t="s">
        <v>331</v>
      </c>
      <c r="AM229" s="28" t="s">
        <v>231</v>
      </c>
      <c r="AN229" s="28" t="s">
        <v>232</v>
      </c>
      <c r="AO229" s="28" t="s">
        <v>231</v>
      </c>
      <c r="AP229" s="28" t="s">
        <v>232</v>
      </c>
      <c r="AQ229" s="28"/>
      <c r="AR229" s="28"/>
      <c r="AS229" s="28"/>
      <c r="AT229" s="28"/>
      <c r="AU229" s="28"/>
      <c r="AV229" s="28"/>
      <c r="AW229" s="29"/>
      <c r="AX229" s="33"/>
      <c r="AY229" s="31"/>
      <c r="AZ229" s="33"/>
      <c r="BA229" s="31"/>
      <c r="BB229" s="28"/>
      <c r="BC229" s="28"/>
      <c r="BD229" s="28"/>
      <c r="BE229" s="28"/>
      <c r="BF229" s="29"/>
      <c r="BG229" s="29"/>
      <c r="BH229" s="28" t="s">
        <v>867</v>
      </c>
      <c r="BI229" s="29">
        <v>1</v>
      </c>
      <c r="BJ229" s="29">
        <v>0</v>
      </c>
      <c r="BK229" s="30"/>
      <c r="BL229" s="30"/>
      <c r="BM229" s="28"/>
      <c r="BN229" s="30">
        <v>45992</v>
      </c>
      <c r="BO229" s="30">
        <v>45989</v>
      </c>
      <c r="BP229" s="31">
        <v>79.53</v>
      </c>
      <c r="BQ229" s="30">
        <v>45988</v>
      </c>
    </row>
    <row r="230" spans="1:69" ht="22.5" hidden="1" customHeight="1" x14ac:dyDescent="0.2">
      <c r="A230" s="22" t="s">
        <v>262</v>
      </c>
      <c r="B230" s="22"/>
      <c r="C230" s="22" t="s">
        <v>221</v>
      </c>
      <c r="D230" s="22" t="s">
        <v>222</v>
      </c>
      <c r="E230" s="23">
        <v>416025</v>
      </c>
      <c r="F230" s="23">
        <v>2253</v>
      </c>
      <c r="G230" s="23">
        <v>338</v>
      </c>
      <c r="H230" s="23">
        <v>0</v>
      </c>
      <c r="I230" s="24">
        <v>45943</v>
      </c>
      <c r="J230" s="22" t="s">
        <v>656</v>
      </c>
      <c r="K230" s="22" t="s">
        <v>868</v>
      </c>
      <c r="L230" s="25">
        <v>28.28</v>
      </c>
      <c r="M230" s="25">
        <v>1.71</v>
      </c>
      <c r="N230" s="25">
        <v>29.99</v>
      </c>
      <c r="O230" s="22"/>
      <c r="P230" s="26">
        <v>45992</v>
      </c>
      <c r="Q230" s="25">
        <v>29.99</v>
      </c>
      <c r="R230" s="22" t="s">
        <v>869</v>
      </c>
      <c r="S230" s="25">
        <v>0</v>
      </c>
      <c r="T230" s="22"/>
      <c r="U230" s="23"/>
      <c r="V230" s="22"/>
      <c r="W230" s="23"/>
      <c r="X230" s="23"/>
      <c r="Y230" s="23"/>
      <c r="Z230" s="25">
        <v>0</v>
      </c>
      <c r="AA230" s="25">
        <v>0</v>
      </c>
      <c r="AB230" s="25">
        <v>0</v>
      </c>
      <c r="AC230" s="22"/>
      <c r="AD230" s="22" t="s">
        <v>293</v>
      </c>
      <c r="AE230" s="22" t="s">
        <v>294</v>
      </c>
      <c r="AF230" s="22" t="s">
        <v>31</v>
      </c>
      <c r="AG230" s="22" t="s">
        <v>42</v>
      </c>
      <c r="AH230" s="22" t="s">
        <v>228</v>
      </c>
      <c r="AI230" s="22" t="s">
        <v>31</v>
      </c>
      <c r="AJ230" s="22"/>
      <c r="AK230" s="22" t="s">
        <v>235</v>
      </c>
      <c r="AL230" s="22" t="s">
        <v>331</v>
      </c>
      <c r="AM230" s="22" t="s">
        <v>231</v>
      </c>
      <c r="AN230" s="22" t="s">
        <v>232</v>
      </c>
      <c r="AO230" s="22" t="s">
        <v>231</v>
      </c>
      <c r="AP230" s="22" t="s">
        <v>232</v>
      </c>
      <c r="AQ230" s="22"/>
      <c r="AR230" s="22"/>
      <c r="AS230" s="22"/>
      <c r="AT230" s="22"/>
      <c r="AU230" s="22"/>
      <c r="AV230" s="22"/>
      <c r="AW230" s="23"/>
      <c r="AX230" s="27"/>
      <c r="AY230" s="25"/>
      <c r="AZ230" s="27"/>
      <c r="BA230" s="25"/>
      <c r="BB230" s="22"/>
      <c r="BC230" s="22"/>
      <c r="BD230" s="22"/>
      <c r="BE230" s="22"/>
      <c r="BF230" s="23"/>
      <c r="BG230" s="23"/>
      <c r="BH230" s="22" t="s">
        <v>870</v>
      </c>
      <c r="BI230" s="23">
        <v>1</v>
      </c>
      <c r="BJ230" s="23">
        <v>0</v>
      </c>
      <c r="BK230" s="24"/>
      <c r="BL230" s="24"/>
      <c r="BM230" s="22"/>
      <c r="BN230" s="24">
        <v>45992</v>
      </c>
      <c r="BO230" s="24">
        <v>45989</v>
      </c>
      <c r="BP230" s="25">
        <v>29.99</v>
      </c>
      <c r="BQ230" s="24">
        <v>45988</v>
      </c>
    </row>
    <row r="231" spans="1:69" ht="22.5" hidden="1" customHeight="1" x14ac:dyDescent="0.2">
      <c r="A231" s="22" t="s">
        <v>262</v>
      </c>
      <c r="B231" s="22"/>
      <c r="C231" s="22" t="s">
        <v>221</v>
      </c>
      <c r="D231" s="22" t="s">
        <v>222</v>
      </c>
      <c r="E231" s="23">
        <v>416029</v>
      </c>
      <c r="F231" s="23">
        <v>2254</v>
      </c>
      <c r="G231" s="23">
        <v>338</v>
      </c>
      <c r="H231" s="23">
        <v>0</v>
      </c>
      <c r="I231" s="24">
        <v>45943</v>
      </c>
      <c r="J231" s="22" t="s">
        <v>656</v>
      </c>
      <c r="K231" s="22" t="s">
        <v>871</v>
      </c>
      <c r="L231" s="25">
        <v>21.25</v>
      </c>
      <c r="M231" s="25">
        <v>2.58</v>
      </c>
      <c r="N231" s="25">
        <v>23.83</v>
      </c>
      <c r="O231" s="22"/>
      <c r="P231" s="26">
        <v>45992</v>
      </c>
      <c r="Q231" s="25">
        <v>23.83</v>
      </c>
      <c r="R231" s="22" t="s">
        <v>872</v>
      </c>
      <c r="S231" s="25">
        <v>0</v>
      </c>
      <c r="T231" s="22"/>
      <c r="U231" s="23"/>
      <c r="V231" s="22"/>
      <c r="W231" s="23"/>
      <c r="X231" s="23"/>
      <c r="Y231" s="23"/>
      <c r="Z231" s="25">
        <v>0</v>
      </c>
      <c r="AA231" s="25">
        <v>0</v>
      </c>
      <c r="AB231" s="25">
        <v>0</v>
      </c>
      <c r="AC231" s="22"/>
      <c r="AD231" s="22" t="s">
        <v>293</v>
      </c>
      <c r="AE231" s="22" t="s">
        <v>294</v>
      </c>
      <c r="AF231" s="22" t="s">
        <v>31</v>
      </c>
      <c r="AG231" s="22" t="s">
        <v>42</v>
      </c>
      <c r="AH231" s="22" t="s">
        <v>228</v>
      </c>
      <c r="AI231" s="22" t="s">
        <v>31</v>
      </c>
      <c r="AJ231" s="22"/>
      <c r="AK231" s="22" t="s">
        <v>235</v>
      </c>
      <c r="AL231" s="22" t="s">
        <v>331</v>
      </c>
      <c r="AM231" s="22" t="s">
        <v>231</v>
      </c>
      <c r="AN231" s="22" t="s">
        <v>232</v>
      </c>
      <c r="AO231" s="22" t="s">
        <v>231</v>
      </c>
      <c r="AP231" s="22" t="s">
        <v>232</v>
      </c>
      <c r="AQ231" s="22"/>
      <c r="AR231" s="22"/>
      <c r="AS231" s="22"/>
      <c r="AT231" s="22"/>
      <c r="AU231" s="22"/>
      <c r="AV231" s="22"/>
      <c r="AW231" s="23"/>
      <c r="AX231" s="27"/>
      <c r="AY231" s="25"/>
      <c r="AZ231" s="27"/>
      <c r="BA231" s="25"/>
      <c r="BB231" s="22"/>
      <c r="BC231" s="22"/>
      <c r="BD231" s="22"/>
      <c r="BE231" s="22"/>
      <c r="BF231" s="23"/>
      <c r="BG231" s="23"/>
      <c r="BH231" s="22" t="s">
        <v>873</v>
      </c>
      <c r="BI231" s="23">
        <v>1</v>
      </c>
      <c r="BJ231" s="23">
        <v>0</v>
      </c>
      <c r="BK231" s="24"/>
      <c r="BL231" s="24"/>
      <c r="BM231" s="22"/>
      <c r="BN231" s="24">
        <v>45992</v>
      </c>
      <c r="BO231" s="24">
        <v>45989</v>
      </c>
      <c r="BP231" s="25">
        <v>23.83</v>
      </c>
      <c r="BQ231" s="24">
        <v>45988</v>
      </c>
    </row>
    <row r="232" spans="1:69" ht="22.5" hidden="1" customHeight="1" x14ac:dyDescent="0.2">
      <c r="A232" s="28" t="s">
        <v>262</v>
      </c>
      <c r="B232" s="28"/>
      <c r="C232" s="28" t="s">
        <v>221</v>
      </c>
      <c r="D232" s="28" t="s">
        <v>222</v>
      </c>
      <c r="E232" s="29">
        <v>416041</v>
      </c>
      <c r="F232" s="29">
        <v>2256</v>
      </c>
      <c r="G232" s="29">
        <v>338</v>
      </c>
      <c r="H232" s="29">
        <v>0</v>
      </c>
      <c r="I232" s="30">
        <v>45943</v>
      </c>
      <c r="J232" s="28" t="s">
        <v>656</v>
      </c>
      <c r="K232" s="28" t="s">
        <v>874</v>
      </c>
      <c r="L232" s="31">
        <v>93.58</v>
      </c>
      <c r="M232" s="31">
        <v>5.31</v>
      </c>
      <c r="N232" s="31">
        <v>98.89</v>
      </c>
      <c r="O232" s="28"/>
      <c r="P232" s="32">
        <v>45992</v>
      </c>
      <c r="Q232" s="31">
        <v>98.89</v>
      </c>
      <c r="R232" s="28" t="s">
        <v>875</v>
      </c>
      <c r="S232" s="31">
        <v>0</v>
      </c>
      <c r="T232" s="28"/>
      <c r="U232" s="29"/>
      <c r="V232" s="28"/>
      <c r="W232" s="29"/>
      <c r="X232" s="29"/>
      <c r="Y232" s="29"/>
      <c r="Z232" s="31">
        <v>0</v>
      </c>
      <c r="AA232" s="31">
        <v>0</v>
      </c>
      <c r="AB232" s="31">
        <v>0</v>
      </c>
      <c r="AC232" s="28"/>
      <c r="AD232" s="28" t="s">
        <v>293</v>
      </c>
      <c r="AE232" s="28" t="s">
        <v>294</v>
      </c>
      <c r="AF232" s="28" t="s">
        <v>31</v>
      </c>
      <c r="AG232" s="28" t="s">
        <v>42</v>
      </c>
      <c r="AH232" s="28" t="s">
        <v>228</v>
      </c>
      <c r="AI232" s="28" t="s">
        <v>31</v>
      </c>
      <c r="AJ232" s="28"/>
      <c r="AK232" s="28" t="s">
        <v>235</v>
      </c>
      <c r="AL232" s="28" t="s">
        <v>331</v>
      </c>
      <c r="AM232" s="28" t="s">
        <v>231</v>
      </c>
      <c r="AN232" s="28" t="s">
        <v>232</v>
      </c>
      <c r="AO232" s="28" t="s">
        <v>231</v>
      </c>
      <c r="AP232" s="28" t="s">
        <v>232</v>
      </c>
      <c r="AQ232" s="28"/>
      <c r="AR232" s="28"/>
      <c r="AS232" s="28"/>
      <c r="AT232" s="28"/>
      <c r="AU232" s="28"/>
      <c r="AV232" s="28"/>
      <c r="AW232" s="29"/>
      <c r="AX232" s="33"/>
      <c r="AY232" s="31"/>
      <c r="AZ232" s="33"/>
      <c r="BA232" s="31"/>
      <c r="BB232" s="28"/>
      <c r="BC232" s="28"/>
      <c r="BD232" s="28"/>
      <c r="BE232" s="28"/>
      <c r="BF232" s="29"/>
      <c r="BG232" s="29"/>
      <c r="BH232" s="28" t="s">
        <v>876</v>
      </c>
      <c r="BI232" s="29">
        <v>1</v>
      </c>
      <c r="BJ232" s="29">
        <v>0</v>
      </c>
      <c r="BK232" s="30"/>
      <c r="BL232" s="30"/>
      <c r="BM232" s="28"/>
      <c r="BN232" s="30">
        <v>45992</v>
      </c>
      <c r="BO232" s="30">
        <v>45989</v>
      </c>
      <c r="BP232" s="31">
        <v>98.89</v>
      </c>
      <c r="BQ232" s="30">
        <v>45988</v>
      </c>
    </row>
    <row r="233" spans="1:69" ht="22.5" hidden="1" customHeight="1" x14ac:dyDescent="0.2">
      <c r="A233" s="28" t="s">
        <v>262</v>
      </c>
      <c r="B233" s="28"/>
      <c r="C233" s="28" t="s">
        <v>221</v>
      </c>
      <c r="D233" s="28" t="s">
        <v>222</v>
      </c>
      <c r="E233" s="29">
        <v>416049</v>
      </c>
      <c r="F233" s="29">
        <v>2257</v>
      </c>
      <c r="G233" s="29">
        <v>338</v>
      </c>
      <c r="H233" s="29">
        <v>0</v>
      </c>
      <c r="I233" s="30">
        <v>45943</v>
      </c>
      <c r="J233" s="28" t="s">
        <v>656</v>
      </c>
      <c r="K233" s="28" t="s">
        <v>877</v>
      </c>
      <c r="L233" s="31">
        <v>25.34</v>
      </c>
      <c r="M233" s="31">
        <v>3.16</v>
      </c>
      <c r="N233" s="31">
        <v>28.5</v>
      </c>
      <c r="O233" s="28"/>
      <c r="P233" s="32">
        <v>45992</v>
      </c>
      <c r="Q233" s="31">
        <v>28.5</v>
      </c>
      <c r="R233" s="28" t="s">
        <v>878</v>
      </c>
      <c r="S233" s="31">
        <v>0</v>
      </c>
      <c r="T233" s="28"/>
      <c r="U233" s="29"/>
      <c r="V233" s="28"/>
      <c r="W233" s="29"/>
      <c r="X233" s="29"/>
      <c r="Y233" s="29"/>
      <c r="Z233" s="31">
        <v>0</v>
      </c>
      <c r="AA233" s="31">
        <v>0</v>
      </c>
      <c r="AB233" s="31">
        <v>0</v>
      </c>
      <c r="AC233" s="28"/>
      <c r="AD233" s="28" t="s">
        <v>365</v>
      </c>
      <c r="AE233" s="28" t="s">
        <v>366</v>
      </c>
      <c r="AF233" s="28" t="s">
        <v>31</v>
      </c>
      <c r="AG233" s="28" t="s">
        <v>53</v>
      </c>
      <c r="AH233" s="28" t="s">
        <v>228</v>
      </c>
      <c r="AI233" s="28" t="s">
        <v>31</v>
      </c>
      <c r="AJ233" s="28"/>
      <c r="AK233" s="28" t="s">
        <v>239</v>
      </c>
      <c r="AL233" s="28" t="s">
        <v>240</v>
      </c>
      <c r="AM233" s="28" t="s">
        <v>231</v>
      </c>
      <c r="AN233" s="28" t="s">
        <v>232</v>
      </c>
      <c r="AO233" s="28" t="s">
        <v>231</v>
      </c>
      <c r="AP233" s="28" t="s">
        <v>232</v>
      </c>
      <c r="AQ233" s="28"/>
      <c r="AR233" s="28"/>
      <c r="AS233" s="28"/>
      <c r="AT233" s="28"/>
      <c r="AU233" s="28"/>
      <c r="AV233" s="28"/>
      <c r="AW233" s="29"/>
      <c r="AX233" s="33"/>
      <c r="AY233" s="31"/>
      <c r="AZ233" s="33"/>
      <c r="BA233" s="31"/>
      <c r="BB233" s="28"/>
      <c r="BC233" s="28"/>
      <c r="BD233" s="28"/>
      <c r="BE233" s="28"/>
      <c r="BF233" s="29"/>
      <c r="BG233" s="29"/>
      <c r="BH233" s="28" t="s">
        <v>879</v>
      </c>
      <c r="BI233" s="29">
        <v>1</v>
      </c>
      <c r="BJ233" s="29">
        <v>0</v>
      </c>
      <c r="BK233" s="30"/>
      <c r="BL233" s="30"/>
      <c r="BM233" s="28"/>
      <c r="BN233" s="30">
        <v>45992</v>
      </c>
      <c r="BO233" s="30">
        <v>45989</v>
      </c>
      <c r="BP233" s="31">
        <v>28.5</v>
      </c>
      <c r="BQ233" s="30">
        <v>45988</v>
      </c>
    </row>
    <row r="234" spans="1:69" ht="22.5" hidden="1" customHeight="1" x14ac:dyDescent="0.2">
      <c r="A234" s="28" t="s">
        <v>262</v>
      </c>
      <c r="B234" s="28"/>
      <c r="C234" s="28" t="s">
        <v>221</v>
      </c>
      <c r="D234" s="28" t="s">
        <v>222</v>
      </c>
      <c r="E234" s="29">
        <v>416053</v>
      </c>
      <c r="F234" s="29">
        <v>2280</v>
      </c>
      <c r="G234" s="29">
        <v>339</v>
      </c>
      <c r="H234" s="29">
        <v>0</v>
      </c>
      <c r="I234" s="30">
        <v>45943</v>
      </c>
      <c r="J234" s="28" t="s">
        <v>656</v>
      </c>
      <c r="K234" s="28" t="s">
        <v>880</v>
      </c>
      <c r="L234" s="31">
        <v>141.55000000000001</v>
      </c>
      <c r="M234" s="31">
        <v>11.43</v>
      </c>
      <c r="N234" s="31">
        <v>152.97999999999999</v>
      </c>
      <c r="O234" s="28"/>
      <c r="P234" s="32">
        <v>45973</v>
      </c>
      <c r="Q234" s="31">
        <v>152.97999999999999</v>
      </c>
      <c r="R234" s="28" t="s">
        <v>881</v>
      </c>
      <c r="S234" s="31">
        <v>0</v>
      </c>
      <c r="T234" s="28"/>
      <c r="U234" s="29"/>
      <c r="V234" s="28"/>
      <c r="W234" s="29"/>
      <c r="X234" s="29"/>
      <c r="Y234" s="29"/>
      <c r="Z234" s="31">
        <v>0</v>
      </c>
      <c r="AA234" s="31">
        <v>0</v>
      </c>
      <c r="AB234" s="31">
        <v>0</v>
      </c>
      <c r="AC234" s="28"/>
      <c r="AD234" s="28" t="s">
        <v>365</v>
      </c>
      <c r="AE234" s="28" t="s">
        <v>366</v>
      </c>
      <c r="AF234" s="28" t="s">
        <v>31</v>
      </c>
      <c r="AG234" s="28" t="s">
        <v>46</v>
      </c>
      <c r="AH234" s="28" t="s">
        <v>228</v>
      </c>
      <c r="AI234" s="28" t="s">
        <v>31</v>
      </c>
      <c r="AJ234" s="28"/>
      <c r="AK234" s="28" t="s">
        <v>289</v>
      </c>
      <c r="AL234" s="28" t="s">
        <v>31</v>
      </c>
      <c r="AM234" s="28" t="s">
        <v>231</v>
      </c>
      <c r="AN234" s="28" t="s">
        <v>232</v>
      </c>
      <c r="AO234" s="28" t="s">
        <v>231</v>
      </c>
      <c r="AP234" s="28" t="s">
        <v>232</v>
      </c>
      <c r="AQ234" s="28"/>
      <c r="AR234" s="28"/>
      <c r="AS234" s="28"/>
      <c r="AT234" s="28"/>
      <c r="AU234" s="28"/>
      <c r="AV234" s="28"/>
      <c r="AW234" s="29"/>
      <c r="AX234" s="33"/>
      <c r="AY234" s="31"/>
      <c r="AZ234" s="33"/>
      <c r="BA234" s="31"/>
      <c r="BB234" s="28"/>
      <c r="BC234" s="28"/>
      <c r="BD234" s="28"/>
      <c r="BE234" s="28"/>
      <c r="BF234" s="29"/>
      <c r="BG234" s="29"/>
      <c r="BH234" s="28" t="s">
        <v>882</v>
      </c>
      <c r="BI234" s="29">
        <v>1</v>
      </c>
      <c r="BJ234" s="29">
        <v>0</v>
      </c>
      <c r="BK234" s="30"/>
      <c r="BL234" s="30"/>
      <c r="BM234" s="28"/>
      <c r="BN234" s="30">
        <v>45973</v>
      </c>
      <c r="BO234" s="30">
        <v>45973</v>
      </c>
      <c r="BP234" s="31">
        <v>152.97999999999999</v>
      </c>
      <c r="BQ234" s="30">
        <v>45972</v>
      </c>
    </row>
    <row r="235" spans="1:69" ht="22.5" customHeight="1" x14ac:dyDescent="0.2">
      <c r="A235" s="22" t="s">
        <v>262</v>
      </c>
      <c r="B235" s="22"/>
      <c r="C235" s="22" t="s">
        <v>221</v>
      </c>
      <c r="D235" s="22" t="s">
        <v>222</v>
      </c>
      <c r="E235" s="23">
        <v>416066</v>
      </c>
      <c r="F235" s="23">
        <v>2279</v>
      </c>
      <c r="G235" s="23">
        <v>339</v>
      </c>
      <c r="H235" s="23">
        <v>0</v>
      </c>
      <c r="I235" s="24">
        <v>45943</v>
      </c>
      <c r="J235" s="22" t="s">
        <v>656</v>
      </c>
      <c r="K235" s="22" t="s">
        <v>883</v>
      </c>
      <c r="L235" s="25">
        <v>52.8</v>
      </c>
      <c r="M235" s="25">
        <v>2.9</v>
      </c>
      <c r="N235" s="25">
        <v>55.7</v>
      </c>
      <c r="O235" s="22"/>
      <c r="P235" s="26">
        <v>45973</v>
      </c>
      <c r="Q235" s="25">
        <v>55.7</v>
      </c>
      <c r="R235" s="22" t="s">
        <v>469</v>
      </c>
      <c r="S235" s="25">
        <v>0</v>
      </c>
      <c r="T235" s="22"/>
      <c r="U235" s="23"/>
      <c r="V235" s="22"/>
      <c r="W235" s="23"/>
      <c r="X235" s="23"/>
      <c r="Y235" s="23"/>
      <c r="Z235" s="25">
        <v>0</v>
      </c>
      <c r="AA235" s="25">
        <v>0</v>
      </c>
      <c r="AB235" s="25">
        <v>0</v>
      </c>
      <c r="AC235" s="22"/>
      <c r="AD235" s="22" t="s">
        <v>266</v>
      </c>
      <c r="AE235" s="22" t="s">
        <v>267</v>
      </c>
      <c r="AF235" s="22" t="s">
        <v>31</v>
      </c>
      <c r="AG235" s="22" t="s">
        <v>42</v>
      </c>
      <c r="AH235" s="22" t="s">
        <v>228</v>
      </c>
      <c r="AI235" s="22" t="s">
        <v>31</v>
      </c>
      <c r="AJ235" s="22"/>
      <c r="AK235" s="22" t="s">
        <v>34</v>
      </c>
      <c r="AL235" s="22" t="s">
        <v>43</v>
      </c>
      <c r="AM235" s="22" t="s">
        <v>231</v>
      </c>
      <c r="AN235" s="22" t="s">
        <v>232</v>
      </c>
      <c r="AO235" s="22" t="s">
        <v>231</v>
      </c>
      <c r="AP235" s="22" t="s">
        <v>232</v>
      </c>
      <c r="AQ235" s="22"/>
      <c r="AR235" s="22"/>
      <c r="AS235" s="22"/>
      <c r="AT235" s="22"/>
      <c r="AU235" s="22"/>
      <c r="AV235" s="22"/>
      <c r="AW235" s="23"/>
      <c r="AX235" s="27"/>
      <c r="AY235" s="25"/>
      <c r="AZ235" s="27"/>
      <c r="BA235" s="25"/>
      <c r="BB235" s="22"/>
      <c r="BC235" s="22"/>
      <c r="BD235" s="22"/>
      <c r="BE235" s="22"/>
      <c r="BF235" s="23"/>
      <c r="BG235" s="23"/>
      <c r="BH235" s="22" t="s">
        <v>884</v>
      </c>
      <c r="BI235" s="23">
        <v>1</v>
      </c>
      <c r="BJ235" s="23">
        <v>0</v>
      </c>
      <c r="BK235" s="24"/>
      <c r="BL235" s="24"/>
      <c r="BM235" s="22"/>
      <c r="BN235" s="24">
        <v>45973</v>
      </c>
      <c r="BO235" s="24">
        <v>45973</v>
      </c>
      <c r="BP235" s="25">
        <v>55.7</v>
      </c>
      <c r="BQ235" s="24">
        <v>45972</v>
      </c>
    </row>
    <row r="236" spans="1:69" ht="22.5" hidden="1" customHeight="1" x14ac:dyDescent="0.2">
      <c r="A236" s="22" t="s">
        <v>262</v>
      </c>
      <c r="B236" s="22"/>
      <c r="C236" s="22" t="s">
        <v>221</v>
      </c>
      <c r="D236" s="22" t="s">
        <v>222</v>
      </c>
      <c r="E236" s="23">
        <v>416068</v>
      </c>
      <c r="F236" s="23">
        <v>2275</v>
      </c>
      <c r="G236" s="23">
        <v>339</v>
      </c>
      <c r="H236" s="23">
        <v>0</v>
      </c>
      <c r="I236" s="24">
        <v>45943</v>
      </c>
      <c r="J236" s="22" t="s">
        <v>656</v>
      </c>
      <c r="K236" s="22" t="s">
        <v>885</v>
      </c>
      <c r="L236" s="25">
        <v>110</v>
      </c>
      <c r="M236" s="25">
        <v>0</v>
      </c>
      <c r="N236" s="25">
        <v>110</v>
      </c>
      <c r="O236" s="22"/>
      <c r="P236" s="26">
        <v>45973</v>
      </c>
      <c r="Q236" s="25">
        <v>110</v>
      </c>
      <c r="R236" s="22" t="s">
        <v>886</v>
      </c>
      <c r="S236" s="25">
        <v>0</v>
      </c>
      <c r="T236" s="22"/>
      <c r="U236" s="23"/>
      <c r="V236" s="22"/>
      <c r="W236" s="23"/>
      <c r="X236" s="23"/>
      <c r="Y236" s="23"/>
      <c r="Z236" s="25">
        <v>0</v>
      </c>
      <c r="AA236" s="25">
        <v>0</v>
      </c>
      <c r="AB236" s="25">
        <v>0</v>
      </c>
      <c r="AC236" s="22"/>
      <c r="AD236" s="22" t="s">
        <v>887</v>
      </c>
      <c r="AE236" s="22" t="s">
        <v>888</v>
      </c>
      <c r="AF236" s="22" t="s">
        <v>31</v>
      </c>
      <c r="AG236" s="22" t="s">
        <v>288</v>
      </c>
      <c r="AH236" s="22" t="s">
        <v>228</v>
      </c>
      <c r="AI236" s="22" t="s">
        <v>31</v>
      </c>
      <c r="AJ236" s="22"/>
      <c r="AK236" s="22" t="s">
        <v>289</v>
      </c>
      <c r="AL236" s="22" t="s">
        <v>31</v>
      </c>
      <c r="AM236" s="22" t="s">
        <v>231</v>
      </c>
      <c r="AN236" s="22" t="s">
        <v>232</v>
      </c>
      <c r="AO236" s="22" t="s">
        <v>231</v>
      </c>
      <c r="AP236" s="22" t="s">
        <v>232</v>
      </c>
      <c r="AQ236" s="22"/>
      <c r="AR236" s="22"/>
      <c r="AS236" s="22"/>
      <c r="AT236" s="22"/>
      <c r="AU236" s="22"/>
      <c r="AV236" s="22"/>
      <c r="AW236" s="23"/>
      <c r="AX236" s="27"/>
      <c r="AY236" s="25"/>
      <c r="AZ236" s="27"/>
      <c r="BA236" s="25"/>
      <c r="BB236" s="22"/>
      <c r="BC236" s="22"/>
      <c r="BD236" s="22"/>
      <c r="BE236" s="22"/>
      <c r="BF236" s="23"/>
      <c r="BG236" s="23"/>
      <c r="BH236" s="22" t="s">
        <v>889</v>
      </c>
      <c r="BI236" s="23">
        <v>1</v>
      </c>
      <c r="BJ236" s="23">
        <v>0</v>
      </c>
      <c r="BK236" s="24"/>
      <c r="BL236" s="24"/>
      <c r="BM236" s="22"/>
      <c r="BN236" s="24">
        <v>45973</v>
      </c>
      <c r="BO236" s="24">
        <v>45973</v>
      </c>
      <c r="BP236" s="25">
        <v>110</v>
      </c>
      <c r="BQ236" s="24">
        <v>45972</v>
      </c>
    </row>
    <row r="237" spans="1:69" ht="22.5" hidden="1" customHeight="1" x14ac:dyDescent="0.2">
      <c r="A237" s="28" t="s">
        <v>262</v>
      </c>
      <c r="B237" s="28"/>
      <c r="C237" s="28" t="s">
        <v>221</v>
      </c>
      <c r="D237" s="28" t="s">
        <v>222</v>
      </c>
      <c r="E237" s="29">
        <v>416069</v>
      </c>
      <c r="F237" s="29">
        <v>2276</v>
      </c>
      <c r="G237" s="29">
        <v>339</v>
      </c>
      <c r="H237" s="29">
        <v>0</v>
      </c>
      <c r="I237" s="30">
        <v>45943</v>
      </c>
      <c r="J237" s="28" t="s">
        <v>656</v>
      </c>
      <c r="K237" s="28" t="s">
        <v>890</v>
      </c>
      <c r="L237" s="31">
        <v>40</v>
      </c>
      <c r="M237" s="31">
        <v>0</v>
      </c>
      <c r="N237" s="31">
        <v>40</v>
      </c>
      <c r="O237" s="28"/>
      <c r="P237" s="32">
        <v>45973</v>
      </c>
      <c r="Q237" s="31">
        <v>40</v>
      </c>
      <c r="R237" s="28" t="s">
        <v>886</v>
      </c>
      <c r="S237" s="31">
        <v>0</v>
      </c>
      <c r="T237" s="28"/>
      <c r="U237" s="29"/>
      <c r="V237" s="28"/>
      <c r="W237" s="29"/>
      <c r="X237" s="29"/>
      <c r="Y237" s="29"/>
      <c r="Z237" s="31">
        <v>0</v>
      </c>
      <c r="AA237" s="31">
        <v>0</v>
      </c>
      <c r="AB237" s="31">
        <v>0</v>
      </c>
      <c r="AC237" s="28"/>
      <c r="AD237" s="28" t="s">
        <v>887</v>
      </c>
      <c r="AE237" s="28" t="s">
        <v>888</v>
      </c>
      <c r="AF237" s="28" t="s">
        <v>31</v>
      </c>
      <c r="AG237" s="28" t="s">
        <v>288</v>
      </c>
      <c r="AH237" s="28" t="s">
        <v>228</v>
      </c>
      <c r="AI237" s="28" t="s">
        <v>31</v>
      </c>
      <c r="AJ237" s="28"/>
      <c r="AK237" s="28" t="s">
        <v>289</v>
      </c>
      <c r="AL237" s="28" t="s">
        <v>31</v>
      </c>
      <c r="AM237" s="28" t="s">
        <v>231</v>
      </c>
      <c r="AN237" s="28" t="s">
        <v>232</v>
      </c>
      <c r="AO237" s="28" t="s">
        <v>231</v>
      </c>
      <c r="AP237" s="28" t="s">
        <v>232</v>
      </c>
      <c r="AQ237" s="28"/>
      <c r="AR237" s="28"/>
      <c r="AS237" s="28"/>
      <c r="AT237" s="28"/>
      <c r="AU237" s="28"/>
      <c r="AV237" s="28"/>
      <c r="AW237" s="29"/>
      <c r="AX237" s="33"/>
      <c r="AY237" s="31"/>
      <c r="AZ237" s="33"/>
      <c r="BA237" s="31"/>
      <c r="BB237" s="28"/>
      <c r="BC237" s="28"/>
      <c r="BD237" s="28"/>
      <c r="BE237" s="28"/>
      <c r="BF237" s="29"/>
      <c r="BG237" s="29"/>
      <c r="BH237" s="28" t="s">
        <v>891</v>
      </c>
      <c r="BI237" s="29">
        <v>1</v>
      </c>
      <c r="BJ237" s="29">
        <v>0</v>
      </c>
      <c r="BK237" s="30"/>
      <c r="BL237" s="30"/>
      <c r="BM237" s="28"/>
      <c r="BN237" s="30">
        <v>45973</v>
      </c>
      <c r="BO237" s="30">
        <v>45973</v>
      </c>
      <c r="BP237" s="31">
        <v>40</v>
      </c>
      <c r="BQ237" s="30">
        <v>45972</v>
      </c>
    </row>
    <row r="238" spans="1:69" ht="22.5" hidden="1" customHeight="1" x14ac:dyDescent="0.2">
      <c r="A238" s="22" t="s">
        <v>262</v>
      </c>
      <c r="B238" s="22"/>
      <c r="C238" s="22" t="s">
        <v>221</v>
      </c>
      <c r="D238" s="22" t="s">
        <v>222</v>
      </c>
      <c r="E238" s="23">
        <v>416070</v>
      </c>
      <c r="F238" s="23">
        <v>2277</v>
      </c>
      <c r="G238" s="23">
        <v>339</v>
      </c>
      <c r="H238" s="23">
        <v>0</v>
      </c>
      <c r="I238" s="24">
        <v>45943</v>
      </c>
      <c r="J238" s="22" t="s">
        <v>656</v>
      </c>
      <c r="K238" s="22" t="s">
        <v>892</v>
      </c>
      <c r="L238" s="25">
        <v>81.14</v>
      </c>
      <c r="M238" s="25">
        <v>4.46</v>
      </c>
      <c r="N238" s="25">
        <v>85.6</v>
      </c>
      <c r="O238" s="22"/>
      <c r="P238" s="26">
        <v>45973</v>
      </c>
      <c r="Q238" s="25">
        <v>85.6</v>
      </c>
      <c r="R238" s="22" t="s">
        <v>893</v>
      </c>
      <c r="S238" s="25">
        <v>0</v>
      </c>
      <c r="T238" s="22"/>
      <c r="U238" s="23"/>
      <c r="V238" s="22"/>
      <c r="W238" s="23"/>
      <c r="X238" s="23"/>
      <c r="Y238" s="23"/>
      <c r="Z238" s="25">
        <v>0</v>
      </c>
      <c r="AA238" s="25">
        <v>0</v>
      </c>
      <c r="AB238" s="25">
        <v>0</v>
      </c>
      <c r="AC238" s="22"/>
      <c r="AD238" s="22" t="s">
        <v>293</v>
      </c>
      <c r="AE238" s="22" t="s">
        <v>294</v>
      </c>
      <c r="AF238" s="22" t="s">
        <v>31</v>
      </c>
      <c r="AG238" s="22" t="s">
        <v>53</v>
      </c>
      <c r="AH238" s="22" t="s">
        <v>228</v>
      </c>
      <c r="AI238" s="22" t="s">
        <v>31</v>
      </c>
      <c r="AJ238" s="22"/>
      <c r="AK238" s="22" t="s">
        <v>239</v>
      </c>
      <c r="AL238" s="22" t="s">
        <v>240</v>
      </c>
      <c r="AM238" s="22" t="s">
        <v>231</v>
      </c>
      <c r="AN238" s="22" t="s">
        <v>232</v>
      </c>
      <c r="AO238" s="22" t="s">
        <v>231</v>
      </c>
      <c r="AP238" s="22" t="s">
        <v>232</v>
      </c>
      <c r="AQ238" s="22"/>
      <c r="AR238" s="22"/>
      <c r="AS238" s="22"/>
      <c r="AT238" s="22"/>
      <c r="AU238" s="22"/>
      <c r="AV238" s="22"/>
      <c r="AW238" s="23"/>
      <c r="AX238" s="27"/>
      <c r="AY238" s="25"/>
      <c r="AZ238" s="27"/>
      <c r="BA238" s="25"/>
      <c r="BB238" s="22"/>
      <c r="BC238" s="22"/>
      <c r="BD238" s="22"/>
      <c r="BE238" s="22"/>
      <c r="BF238" s="23"/>
      <c r="BG238" s="23"/>
      <c r="BH238" s="22" t="s">
        <v>894</v>
      </c>
      <c r="BI238" s="23">
        <v>1</v>
      </c>
      <c r="BJ238" s="23">
        <v>0</v>
      </c>
      <c r="BK238" s="24"/>
      <c r="BL238" s="24"/>
      <c r="BM238" s="22"/>
      <c r="BN238" s="24">
        <v>45973</v>
      </c>
      <c r="BO238" s="24">
        <v>45973</v>
      </c>
      <c r="BP238" s="25">
        <v>85.6</v>
      </c>
      <c r="BQ238" s="24">
        <v>45972</v>
      </c>
    </row>
    <row r="239" spans="1:69" ht="22.5" hidden="1" customHeight="1" x14ac:dyDescent="0.2">
      <c r="A239" s="22" t="s">
        <v>262</v>
      </c>
      <c r="B239" s="22"/>
      <c r="C239" s="22" t="s">
        <v>221</v>
      </c>
      <c r="D239" s="22" t="s">
        <v>222</v>
      </c>
      <c r="E239" s="23">
        <v>416079</v>
      </c>
      <c r="F239" s="23">
        <v>2278</v>
      </c>
      <c r="G239" s="23">
        <v>339</v>
      </c>
      <c r="H239" s="23">
        <v>0</v>
      </c>
      <c r="I239" s="24">
        <v>45943</v>
      </c>
      <c r="J239" s="22" t="s">
        <v>656</v>
      </c>
      <c r="K239" s="22" t="s">
        <v>895</v>
      </c>
      <c r="L239" s="25">
        <v>37.229999999999997</v>
      </c>
      <c r="M239" s="25">
        <v>2.37</v>
      </c>
      <c r="N239" s="25">
        <v>39.6</v>
      </c>
      <c r="O239" s="22"/>
      <c r="P239" s="26">
        <v>45973</v>
      </c>
      <c r="Q239" s="25">
        <v>39.6</v>
      </c>
      <c r="R239" s="22" t="s">
        <v>896</v>
      </c>
      <c r="S239" s="25">
        <v>0</v>
      </c>
      <c r="T239" s="22"/>
      <c r="U239" s="23"/>
      <c r="V239" s="22"/>
      <c r="W239" s="23"/>
      <c r="X239" s="23"/>
      <c r="Y239" s="23"/>
      <c r="Z239" s="25">
        <v>0</v>
      </c>
      <c r="AA239" s="25">
        <v>0</v>
      </c>
      <c r="AB239" s="25">
        <v>0</v>
      </c>
      <c r="AC239" s="22"/>
      <c r="AD239" s="22" t="s">
        <v>293</v>
      </c>
      <c r="AE239" s="22" t="s">
        <v>294</v>
      </c>
      <c r="AF239" s="22" t="s">
        <v>31</v>
      </c>
      <c r="AG239" s="22" t="s">
        <v>57</v>
      </c>
      <c r="AH239" s="22" t="s">
        <v>228</v>
      </c>
      <c r="AI239" s="22" t="s">
        <v>31</v>
      </c>
      <c r="AJ239" s="22"/>
      <c r="AK239" s="22" t="s">
        <v>58</v>
      </c>
      <c r="AL239" s="22" t="s">
        <v>897</v>
      </c>
      <c r="AM239" s="22" t="s">
        <v>231</v>
      </c>
      <c r="AN239" s="22" t="s">
        <v>232</v>
      </c>
      <c r="AO239" s="22" t="s">
        <v>231</v>
      </c>
      <c r="AP239" s="22" t="s">
        <v>232</v>
      </c>
      <c r="AQ239" s="22"/>
      <c r="AR239" s="22"/>
      <c r="AS239" s="22"/>
      <c r="AT239" s="22"/>
      <c r="AU239" s="22"/>
      <c r="AV239" s="22"/>
      <c r="AW239" s="23"/>
      <c r="AX239" s="27"/>
      <c r="AY239" s="25"/>
      <c r="AZ239" s="27"/>
      <c r="BA239" s="25"/>
      <c r="BB239" s="22"/>
      <c r="BC239" s="22"/>
      <c r="BD239" s="22"/>
      <c r="BE239" s="22"/>
      <c r="BF239" s="23"/>
      <c r="BG239" s="23"/>
      <c r="BH239" s="22" t="s">
        <v>898</v>
      </c>
      <c r="BI239" s="23">
        <v>1</v>
      </c>
      <c r="BJ239" s="23">
        <v>0</v>
      </c>
      <c r="BK239" s="24"/>
      <c r="BL239" s="24"/>
      <c r="BM239" s="22"/>
      <c r="BN239" s="24">
        <v>45973</v>
      </c>
      <c r="BO239" s="24">
        <v>45973</v>
      </c>
      <c r="BP239" s="25">
        <v>39.6</v>
      </c>
      <c r="BQ239" s="24">
        <v>45972</v>
      </c>
    </row>
    <row r="240" spans="1:69" ht="22.5" hidden="1" customHeight="1" x14ac:dyDescent="0.2">
      <c r="A240" s="28" t="s">
        <v>262</v>
      </c>
      <c r="B240" s="28"/>
      <c r="C240" s="28" t="s">
        <v>221</v>
      </c>
      <c r="D240" s="28" t="s">
        <v>222</v>
      </c>
      <c r="E240" s="29">
        <v>416125</v>
      </c>
      <c r="F240" s="29">
        <v>2318</v>
      </c>
      <c r="G240" s="29">
        <v>343</v>
      </c>
      <c r="H240" s="29">
        <v>0</v>
      </c>
      <c r="I240" s="30">
        <v>45947</v>
      </c>
      <c r="J240" s="28" t="s">
        <v>656</v>
      </c>
      <c r="K240" s="28" t="s">
        <v>899</v>
      </c>
      <c r="L240" s="31">
        <v>85.31</v>
      </c>
      <c r="M240" s="31">
        <v>4.6900000000000004</v>
      </c>
      <c r="N240" s="31">
        <v>90</v>
      </c>
      <c r="O240" s="28"/>
      <c r="P240" s="32">
        <v>45954</v>
      </c>
      <c r="Q240" s="31">
        <v>90</v>
      </c>
      <c r="R240" s="28" t="s">
        <v>900</v>
      </c>
      <c r="S240" s="31">
        <v>0</v>
      </c>
      <c r="T240" s="28"/>
      <c r="U240" s="29"/>
      <c r="V240" s="28"/>
      <c r="W240" s="29"/>
      <c r="X240" s="29"/>
      <c r="Y240" s="29"/>
      <c r="Z240" s="31">
        <v>0</v>
      </c>
      <c r="AA240" s="31">
        <v>0</v>
      </c>
      <c r="AB240" s="31">
        <v>0</v>
      </c>
      <c r="AC240" s="28"/>
      <c r="AD240" s="28" t="s">
        <v>308</v>
      </c>
      <c r="AE240" s="28" t="s">
        <v>309</v>
      </c>
      <c r="AF240" s="28" t="s">
        <v>31</v>
      </c>
      <c r="AG240" s="28" t="s">
        <v>288</v>
      </c>
      <c r="AH240" s="28" t="s">
        <v>228</v>
      </c>
      <c r="AI240" s="28" t="s">
        <v>31</v>
      </c>
      <c r="AJ240" s="28"/>
      <c r="AK240" s="28" t="s">
        <v>289</v>
      </c>
      <c r="AL240" s="28" t="s">
        <v>31</v>
      </c>
      <c r="AM240" s="28" t="s">
        <v>231</v>
      </c>
      <c r="AN240" s="28" t="s">
        <v>232</v>
      </c>
      <c r="AO240" s="28" t="s">
        <v>231</v>
      </c>
      <c r="AP240" s="28" t="s">
        <v>232</v>
      </c>
      <c r="AQ240" s="28"/>
      <c r="AR240" s="28"/>
      <c r="AS240" s="28"/>
      <c r="AT240" s="28"/>
      <c r="AU240" s="28"/>
      <c r="AV240" s="28"/>
      <c r="AW240" s="29"/>
      <c r="AX240" s="33"/>
      <c r="AY240" s="31"/>
      <c r="AZ240" s="33"/>
      <c r="BA240" s="31"/>
      <c r="BB240" s="28"/>
      <c r="BC240" s="28"/>
      <c r="BD240" s="28"/>
      <c r="BE240" s="28"/>
      <c r="BF240" s="29"/>
      <c r="BG240" s="29"/>
      <c r="BH240" s="28" t="s">
        <v>901</v>
      </c>
      <c r="BI240" s="29">
        <v>1</v>
      </c>
      <c r="BJ240" s="29">
        <v>0</v>
      </c>
      <c r="BK240" s="30"/>
      <c r="BL240" s="30"/>
      <c r="BM240" s="28"/>
      <c r="BN240" s="30">
        <v>45954</v>
      </c>
      <c r="BO240" s="30">
        <v>45953</v>
      </c>
      <c r="BP240" s="31">
        <v>90</v>
      </c>
      <c r="BQ240" s="30">
        <v>45952</v>
      </c>
    </row>
    <row r="241" spans="1:69" ht="22.5" hidden="1" customHeight="1" x14ac:dyDescent="0.2">
      <c r="A241" s="28" t="s">
        <v>262</v>
      </c>
      <c r="B241" s="28"/>
      <c r="C241" s="28" t="s">
        <v>221</v>
      </c>
      <c r="D241" s="28" t="s">
        <v>222</v>
      </c>
      <c r="E241" s="29">
        <v>417671</v>
      </c>
      <c r="F241" s="29">
        <v>2358</v>
      </c>
      <c r="G241" s="29">
        <v>352</v>
      </c>
      <c r="H241" s="29">
        <v>0</v>
      </c>
      <c r="I241" s="30">
        <v>45954</v>
      </c>
      <c r="J241" s="28" t="s">
        <v>656</v>
      </c>
      <c r="K241" s="28" t="s">
        <v>902</v>
      </c>
      <c r="L241" s="31">
        <v>195.85</v>
      </c>
      <c r="M241" s="31">
        <v>10.77</v>
      </c>
      <c r="N241" s="31">
        <v>206.62</v>
      </c>
      <c r="O241" s="28"/>
      <c r="P241" s="32">
        <v>45959</v>
      </c>
      <c r="Q241" s="31">
        <v>206.62</v>
      </c>
      <c r="R241" s="28" t="s">
        <v>903</v>
      </c>
      <c r="S241" s="31">
        <v>0</v>
      </c>
      <c r="T241" s="28"/>
      <c r="U241" s="29"/>
      <c r="V241" s="28"/>
      <c r="W241" s="29"/>
      <c r="X241" s="29"/>
      <c r="Y241" s="29"/>
      <c r="Z241" s="31">
        <v>0</v>
      </c>
      <c r="AA241" s="31">
        <v>0</v>
      </c>
      <c r="AB241" s="31">
        <v>0</v>
      </c>
      <c r="AC241" s="28"/>
      <c r="AD241" s="28" t="s">
        <v>308</v>
      </c>
      <c r="AE241" s="28" t="s">
        <v>309</v>
      </c>
      <c r="AF241" s="28" t="s">
        <v>31</v>
      </c>
      <c r="AG241" s="28" t="s">
        <v>42</v>
      </c>
      <c r="AH241" s="28" t="s">
        <v>228</v>
      </c>
      <c r="AI241" s="28" t="s">
        <v>31</v>
      </c>
      <c r="AJ241" s="28"/>
      <c r="AK241" s="28" t="s">
        <v>235</v>
      </c>
      <c r="AL241" s="28" t="s">
        <v>236</v>
      </c>
      <c r="AM241" s="28" t="s">
        <v>231</v>
      </c>
      <c r="AN241" s="28" t="s">
        <v>232</v>
      </c>
      <c r="AO241" s="28" t="s">
        <v>231</v>
      </c>
      <c r="AP241" s="28" t="s">
        <v>232</v>
      </c>
      <c r="AQ241" s="28"/>
      <c r="AR241" s="28"/>
      <c r="AS241" s="28"/>
      <c r="AT241" s="28"/>
      <c r="AU241" s="28"/>
      <c r="AV241" s="28"/>
      <c r="AW241" s="29"/>
      <c r="AX241" s="33"/>
      <c r="AY241" s="31"/>
      <c r="AZ241" s="33"/>
      <c r="BA241" s="31"/>
      <c r="BB241" s="28"/>
      <c r="BC241" s="28"/>
      <c r="BD241" s="28"/>
      <c r="BE241" s="28"/>
      <c r="BF241" s="29"/>
      <c r="BG241" s="29"/>
      <c r="BH241" s="28" t="s">
        <v>904</v>
      </c>
      <c r="BI241" s="29">
        <v>1</v>
      </c>
      <c r="BJ241" s="29">
        <v>0</v>
      </c>
      <c r="BK241" s="30"/>
      <c r="BL241" s="30"/>
      <c r="BM241" s="28"/>
      <c r="BN241" s="30">
        <v>45959</v>
      </c>
      <c r="BO241" s="30">
        <v>45959</v>
      </c>
      <c r="BP241" s="31">
        <v>206.62</v>
      </c>
      <c r="BQ241" s="30">
        <v>45958</v>
      </c>
    </row>
    <row r="242" spans="1:69" ht="22.5" hidden="1" customHeight="1" x14ac:dyDescent="0.2">
      <c r="A242" s="22" t="s">
        <v>408</v>
      </c>
      <c r="B242" s="22"/>
      <c r="C242" s="22" t="s">
        <v>221</v>
      </c>
      <c r="D242" s="22" t="s">
        <v>222</v>
      </c>
      <c r="E242" s="23">
        <v>417737</v>
      </c>
      <c r="F242" s="23">
        <v>2344</v>
      </c>
      <c r="G242" s="23">
        <v>350</v>
      </c>
      <c r="H242" s="23">
        <v>0</v>
      </c>
      <c r="I242" s="24">
        <v>45954</v>
      </c>
      <c r="J242" s="22" t="s">
        <v>395</v>
      </c>
      <c r="K242" s="22" t="s">
        <v>905</v>
      </c>
      <c r="L242" s="25">
        <v>18.75</v>
      </c>
      <c r="M242" s="25">
        <v>0</v>
      </c>
      <c r="N242" s="25">
        <v>18.75</v>
      </c>
      <c r="O242" s="22"/>
      <c r="P242" s="26">
        <v>45959</v>
      </c>
      <c r="Q242" s="25">
        <v>18.75</v>
      </c>
      <c r="R242" s="22"/>
      <c r="S242" s="25">
        <v>0</v>
      </c>
      <c r="T242" s="22"/>
      <c r="U242" s="23"/>
      <c r="V242" s="22"/>
      <c r="W242" s="23"/>
      <c r="X242" s="23"/>
      <c r="Y242" s="23"/>
      <c r="Z242" s="25">
        <v>0</v>
      </c>
      <c r="AA242" s="25">
        <v>0</v>
      </c>
      <c r="AB242" s="25">
        <v>0</v>
      </c>
      <c r="AC242" s="22"/>
      <c r="AD242" s="22" t="s">
        <v>283</v>
      </c>
      <c r="AE242" s="22" t="s">
        <v>284</v>
      </c>
      <c r="AF242" s="22" t="s">
        <v>31</v>
      </c>
      <c r="AG242" s="22" t="s">
        <v>46</v>
      </c>
      <c r="AH242" s="22" t="s">
        <v>228</v>
      </c>
      <c r="AI242" s="22" t="s">
        <v>31</v>
      </c>
      <c r="AJ242" s="22"/>
      <c r="AK242" s="22" t="s">
        <v>285</v>
      </c>
      <c r="AL242" s="22" t="s">
        <v>286</v>
      </c>
      <c r="AM242" s="22" t="s">
        <v>231</v>
      </c>
      <c r="AN242" s="22" t="s">
        <v>232</v>
      </c>
      <c r="AO242" s="22" t="s">
        <v>231</v>
      </c>
      <c r="AP242" s="22" t="s">
        <v>232</v>
      </c>
      <c r="AQ242" s="22"/>
      <c r="AR242" s="22"/>
      <c r="AS242" s="22"/>
      <c r="AT242" s="22"/>
      <c r="AU242" s="22"/>
      <c r="AV242" s="22"/>
      <c r="AW242" s="23"/>
      <c r="AX242" s="27"/>
      <c r="AY242" s="25"/>
      <c r="AZ242" s="27"/>
      <c r="BA242" s="25"/>
      <c r="BB242" s="22"/>
      <c r="BC242" s="22"/>
      <c r="BD242" s="22"/>
      <c r="BE242" s="22"/>
      <c r="BF242" s="23"/>
      <c r="BG242" s="23"/>
      <c r="BH242" s="22"/>
      <c r="BI242" s="23">
        <v>1</v>
      </c>
      <c r="BJ242" s="23">
        <v>0</v>
      </c>
      <c r="BK242" s="24"/>
      <c r="BL242" s="24"/>
      <c r="BM242" s="22"/>
      <c r="BN242" s="24">
        <v>45959</v>
      </c>
      <c r="BO242" s="24">
        <v>45959</v>
      </c>
      <c r="BP242" s="25">
        <v>18.75</v>
      </c>
      <c r="BQ242" s="24">
        <v>45958</v>
      </c>
    </row>
    <row r="243" spans="1:69" ht="22.5" hidden="1" customHeight="1" x14ac:dyDescent="0.2">
      <c r="A243" s="28" t="s">
        <v>262</v>
      </c>
      <c r="B243" s="28"/>
      <c r="C243" s="28" t="s">
        <v>221</v>
      </c>
      <c r="D243" s="28" t="s">
        <v>222</v>
      </c>
      <c r="E243" s="29">
        <v>417775</v>
      </c>
      <c r="F243" s="29">
        <v>2454</v>
      </c>
      <c r="G243" s="29">
        <v>360</v>
      </c>
      <c r="H243" s="29">
        <v>0</v>
      </c>
      <c r="I243" s="30">
        <v>45959</v>
      </c>
      <c r="J243" s="28" t="s">
        <v>656</v>
      </c>
      <c r="K243" s="28" t="s">
        <v>906</v>
      </c>
      <c r="L243" s="31">
        <v>27.82</v>
      </c>
      <c r="M243" s="31">
        <v>1.53</v>
      </c>
      <c r="N243" s="31">
        <v>29.35</v>
      </c>
      <c r="O243" s="28"/>
      <c r="P243" s="32">
        <v>45978</v>
      </c>
      <c r="Q243" s="31">
        <v>29.35</v>
      </c>
      <c r="R243" s="28" t="s">
        <v>907</v>
      </c>
      <c r="S243" s="31">
        <v>0</v>
      </c>
      <c r="T243" s="28"/>
      <c r="U243" s="29"/>
      <c r="V243" s="28"/>
      <c r="W243" s="29"/>
      <c r="X243" s="29"/>
      <c r="Y243" s="29"/>
      <c r="Z243" s="31">
        <v>0</v>
      </c>
      <c r="AA243" s="31">
        <v>0</v>
      </c>
      <c r="AB243" s="31">
        <v>0</v>
      </c>
      <c r="AC243" s="28"/>
      <c r="AD243" s="28" t="s">
        <v>293</v>
      </c>
      <c r="AE243" s="28" t="s">
        <v>294</v>
      </c>
      <c r="AF243" s="28" t="s">
        <v>31</v>
      </c>
      <c r="AG243" s="28" t="s">
        <v>42</v>
      </c>
      <c r="AH243" s="28" t="s">
        <v>228</v>
      </c>
      <c r="AI243" s="28" t="s">
        <v>31</v>
      </c>
      <c r="AJ243" s="28"/>
      <c r="AK243" s="28" t="s">
        <v>235</v>
      </c>
      <c r="AL243" s="28" t="s">
        <v>331</v>
      </c>
      <c r="AM243" s="28" t="s">
        <v>231</v>
      </c>
      <c r="AN243" s="28" t="s">
        <v>232</v>
      </c>
      <c r="AO243" s="28" t="s">
        <v>231</v>
      </c>
      <c r="AP243" s="28" t="s">
        <v>232</v>
      </c>
      <c r="AQ243" s="28"/>
      <c r="AR243" s="28"/>
      <c r="AS243" s="28"/>
      <c r="AT243" s="28"/>
      <c r="AU243" s="28"/>
      <c r="AV243" s="28"/>
      <c r="AW243" s="29"/>
      <c r="AX243" s="33"/>
      <c r="AY243" s="31"/>
      <c r="AZ243" s="33"/>
      <c r="BA243" s="31"/>
      <c r="BB243" s="28"/>
      <c r="BC243" s="28"/>
      <c r="BD243" s="28"/>
      <c r="BE243" s="28"/>
      <c r="BF243" s="29"/>
      <c r="BG243" s="29"/>
      <c r="BH243" s="28" t="s">
        <v>908</v>
      </c>
      <c r="BI243" s="29">
        <v>1</v>
      </c>
      <c r="BJ243" s="29">
        <v>0</v>
      </c>
      <c r="BK243" s="30"/>
      <c r="BL243" s="30"/>
      <c r="BM243" s="28"/>
      <c r="BN243" s="30">
        <v>45978</v>
      </c>
      <c r="BO243" s="30">
        <v>45975</v>
      </c>
      <c r="BP243" s="31">
        <v>29.35</v>
      </c>
      <c r="BQ243" s="30">
        <v>45974</v>
      </c>
    </row>
    <row r="244" spans="1:69" ht="22.5" hidden="1" customHeight="1" x14ac:dyDescent="0.2">
      <c r="A244" s="22" t="s">
        <v>262</v>
      </c>
      <c r="B244" s="22"/>
      <c r="C244" s="22" t="s">
        <v>221</v>
      </c>
      <c r="D244" s="22" t="s">
        <v>222</v>
      </c>
      <c r="E244" s="23">
        <v>417776</v>
      </c>
      <c r="F244" s="23">
        <v>2455</v>
      </c>
      <c r="G244" s="23">
        <v>360</v>
      </c>
      <c r="H244" s="23">
        <v>0</v>
      </c>
      <c r="I244" s="24">
        <v>45959</v>
      </c>
      <c r="J244" s="22" t="s">
        <v>656</v>
      </c>
      <c r="K244" s="22" t="s">
        <v>909</v>
      </c>
      <c r="L244" s="25">
        <v>27.73</v>
      </c>
      <c r="M244" s="25">
        <v>1.53</v>
      </c>
      <c r="N244" s="25">
        <v>29.26</v>
      </c>
      <c r="O244" s="22"/>
      <c r="P244" s="26">
        <v>45978</v>
      </c>
      <c r="Q244" s="25">
        <v>29.26</v>
      </c>
      <c r="R244" s="22" t="s">
        <v>910</v>
      </c>
      <c r="S244" s="25">
        <v>0</v>
      </c>
      <c r="T244" s="22"/>
      <c r="U244" s="23"/>
      <c r="V244" s="22"/>
      <c r="W244" s="23"/>
      <c r="X244" s="23"/>
      <c r="Y244" s="23"/>
      <c r="Z244" s="25">
        <v>0</v>
      </c>
      <c r="AA244" s="25">
        <v>0</v>
      </c>
      <c r="AB244" s="25">
        <v>0</v>
      </c>
      <c r="AC244" s="22"/>
      <c r="AD244" s="22" t="s">
        <v>293</v>
      </c>
      <c r="AE244" s="22" t="s">
        <v>294</v>
      </c>
      <c r="AF244" s="22" t="s">
        <v>31</v>
      </c>
      <c r="AG244" s="22" t="s">
        <v>42</v>
      </c>
      <c r="AH244" s="22" t="s">
        <v>228</v>
      </c>
      <c r="AI244" s="22" t="s">
        <v>31</v>
      </c>
      <c r="AJ244" s="22"/>
      <c r="AK244" s="22" t="s">
        <v>235</v>
      </c>
      <c r="AL244" s="22" t="s">
        <v>331</v>
      </c>
      <c r="AM244" s="22" t="s">
        <v>231</v>
      </c>
      <c r="AN244" s="22" t="s">
        <v>232</v>
      </c>
      <c r="AO244" s="22" t="s">
        <v>231</v>
      </c>
      <c r="AP244" s="22" t="s">
        <v>232</v>
      </c>
      <c r="AQ244" s="22"/>
      <c r="AR244" s="22"/>
      <c r="AS244" s="22"/>
      <c r="AT244" s="22"/>
      <c r="AU244" s="22"/>
      <c r="AV244" s="22"/>
      <c r="AW244" s="23"/>
      <c r="AX244" s="27"/>
      <c r="AY244" s="25"/>
      <c r="AZ244" s="27"/>
      <c r="BA244" s="25"/>
      <c r="BB244" s="22"/>
      <c r="BC244" s="22"/>
      <c r="BD244" s="22"/>
      <c r="BE244" s="22"/>
      <c r="BF244" s="23"/>
      <c r="BG244" s="23"/>
      <c r="BH244" s="22" t="s">
        <v>911</v>
      </c>
      <c r="BI244" s="23">
        <v>1</v>
      </c>
      <c r="BJ244" s="23">
        <v>0</v>
      </c>
      <c r="BK244" s="24"/>
      <c r="BL244" s="24"/>
      <c r="BM244" s="22"/>
      <c r="BN244" s="24">
        <v>45978</v>
      </c>
      <c r="BO244" s="24">
        <v>45975</v>
      </c>
      <c r="BP244" s="25">
        <v>29.26</v>
      </c>
      <c r="BQ244" s="24">
        <v>45974</v>
      </c>
    </row>
    <row r="245" spans="1:69" ht="22.5" hidden="1" customHeight="1" x14ac:dyDescent="0.2">
      <c r="A245" s="28" t="s">
        <v>262</v>
      </c>
      <c r="B245" s="28"/>
      <c r="C245" s="28" t="s">
        <v>221</v>
      </c>
      <c r="D245" s="28" t="s">
        <v>222</v>
      </c>
      <c r="E245" s="29">
        <v>417777</v>
      </c>
      <c r="F245" s="29">
        <v>2456</v>
      </c>
      <c r="G245" s="29">
        <v>360</v>
      </c>
      <c r="H245" s="29">
        <v>0</v>
      </c>
      <c r="I245" s="30">
        <v>45959</v>
      </c>
      <c r="J245" s="28" t="s">
        <v>656</v>
      </c>
      <c r="K245" s="28" t="s">
        <v>912</v>
      </c>
      <c r="L245" s="31">
        <v>27.61</v>
      </c>
      <c r="M245" s="31">
        <v>1.7</v>
      </c>
      <c r="N245" s="31">
        <v>29.31</v>
      </c>
      <c r="O245" s="28"/>
      <c r="P245" s="32">
        <v>45978</v>
      </c>
      <c r="Q245" s="31">
        <v>29.31</v>
      </c>
      <c r="R245" s="28" t="s">
        <v>913</v>
      </c>
      <c r="S245" s="31">
        <v>0</v>
      </c>
      <c r="T245" s="28"/>
      <c r="U245" s="29"/>
      <c r="V245" s="28"/>
      <c r="W245" s="29"/>
      <c r="X245" s="29"/>
      <c r="Y245" s="29"/>
      <c r="Z245" s="31">
        <v>0</v>
      </c>
      <c r="AA245" s="31">
        <v>0</v>
      </c>
      <c r="AB245" s="31">
        <v>0</v>
      </c>
      <c r="AC245" s="28"/>
      <c r="AD245" s="28" t="s">
        <v>293</v>
      </c>
      <c r="AE245" s="28" t="s">
        <v>294</v>
      </c>
      <c r="AF245" s="28" t="s">
        <v>31</v>
      </c>
      <c r="AG245" s="28" t="s">
        <v>42</v>
      </c>
      <c r="AH245" s="28" t="s">
        <v>228</v>
      </c>
      <c r="AI245" s="28" t="s">
        <v>31</v>
      </c>
      <c r="AJ245" s="28"/>
      <c r="AK245" s="28" t="s">
        <v>235</v>
      </c>
      <c r="AL245" s="28" t="s">
        <v>331</v>
      </c>
      <c r="AM245" s="28" t="s">
        <v>231</v>
      </c>
      <c r="AN245" s="28" t="s">
        <v>232</v>
      </c>
      <c r="AO245" s="28" t="s">
        <v>231</v>
      </c>
      <c r="AP245" s="28" t="s">
        <v>232</v>
      </c>
      <c r="AQ245" s="28"/>
      <c r="AR245" s="28"/>
      <c r="AS245" s="28"/>
      <c r="AT245" s="28"/>
      <c r="AU245" s="28"/>
      <c r="AV245" s="28"/>
      <c r="AW245" s="29"/>
      <c r="AX245" s="33"/>
      <c r="AY245" s="31"/>
      <c r="AZ245" s="33"/>
      <c r="BA245" s="31"/>
      <c r="BB245" s="28"/>
      <c r="BC245" s="28"/>
      <c r="BD245" s="28"/>
      <c r="BE245" s="28"/>
      <c r="BF245" s="29"/>
      <c r="BG245" s="29"/>
      <c r="BH245" s="28" t="s">
        <v>914</v>
      </c>
      <c r="BI245" s="29">
        <v>1</v>
      </c>
      <c r="BJ245" s="29">
        <v>0</v>
      </c>
      <c r="BK245" s="30"/>
      <c r="BL245" s="30"/>
      <c r="BM245" s="28"/>
      <c r="BN245" s="30">
        <v>45978</v>
      </c>
      <c r="BO245" s="30">
        <v>45975</v>
      </c>
      <c r="BP245" s="31">
        <v>29.31</v>
      </c>
      <c r="BQ245" s="30">
        <v>45974</v>
      </c>
    </row>
    <row r="246" spans="1:69" ht="22.5" hidden="1" customHeight="1" x14ac:dyDescent="0.2">
      <c r="A246" s="22" t="s">
        <v>262</v>
      </c>
      <c r="B246" s="22"/>
      <c r="C246" s="22" t="s">
        <v>221</v>
      </c>
      <c r="D246" s="22" t="s">
        <v>222</v>
      </c>
      <c r="E246" s="23">
        <v>417778</v>
      </c>
      <c r="F246" s="23">
        <v>2457</v>
      </c>
      <c r="G246" s="23">
        <v>360</v>
      </c>
      <c r="H246" s="23">
        <v>0</v>
      </c>
      <c r="I246" s="24">
        <v>45959</v>
      </c>
      <c r="J246" s="22" t="s">
        <v>656</v>
      </c>
      <c r="K246" s="22" t="s">
        <v>915</v>
      </c>
      <c r="L246" s="25">
        <v>27.18</v>
      </c>
      <c r="M246" s="25">
        <v>2.1</v>
      </c>
      <c r="N246" s="25">
        <v>29.28</v>
      </c>
      <c r="O246" s="22"/>
      <c r="P246" s="26">
        <v>45978</v>
      </c>
      <c r="Q246" s="25">
        <v>29.28</v>
      </c>
      <c r="R246" s="22" t="s">
        <v>916</v>
      </c>
      <c r="S246" s="25">
        <v>0</v>
      </c>
      <c r="T246" s="22"/>
      <c r="U246" s="23"/>
      <c r="V246" s="22"/>
      <c r="W246" s="23"/>
      <c r="X246" s="23"/>
      <c r="Y246" s="23"/>
      <c r="Z246" s="25">
        <v>0</v>
      </c>
      <c r="AA246" s="25">
        <v>0</v>
      </c>
      <c r="AB246" s="25">
        <v>0</v>
      </c>
      <c r="AC246" s="22"/>
      <c r="AD246" s="22" t="s">
        <v>293</v>
      </c>
      <c r="AE246" s="22" t="s">
        <v>294</v>
      </c>
      <c r="AF246" s="22" t="s">
        <v>31</v>
      </c>
      <c r="AG246" s="22" t="s">
        <v>42</v>
      </c>
      <c r="AH246" s="22" t="s">
        <v>228</v>
      </c>
      <c r="AI246" s="22" t="s">
        <v>31</v>
      </c>
      <c r="AJ246" s="22"/>
      <c r="AK246" s="22" t="s">
        <v>235</v>
      </c>
      <c r="AL246" s="22" t="s">
        <v>331</v>
      </c>
      <c r="AM246" s="22" t="s">
        <v>231</v>
      </c>
      <c r="AN246" s="22" t="s">
        <v>232</v>
      </c>
      <c r="AO246" s="22" t="s">
        <v>231</v>
      </c>
      <c r="AP246" s="22" t="s">
        <v>232</v>
      </c>
      <c r="AQ246" s="22"/>
      <c r="AR246" s="22"/>
      <c r="AS246" s="22"/>
      <c r="AT246" s="22"/>
      <c r="AU246" s="22"/>
      <c r="AV246" s="22"/>
      <c r="AW246" s="23"/>
      <c r="AX246" s="27"/>
      <c r="AY246" s="25"/>
      <c r="AZ246" s="27"/>
      <c r="BA246" s="25"/>
      <c r="BB246" s="22"/>
      <c r="BC246" s="22"/>
      <c r="BD246" s="22"/>
      <c r="BE246" s="22"/>
      <c r="BF246" s="23"/>
      <c r="BG246" s="23"/>
      <c r="BH246" s="22" t="s">
        <v>917</v>
      </c>
      <c r="BI246" s="23">
        <v>1</v>
      </c>
      <c r="BJ246" s="23">
        <v>0</v>
      </c>
      <c r="BK246" s="24"/>
      <c r="BL246" s="24"/>
      <c r="BM246" s="22"/>
      <c r="BN246" s="24">
        <v>45978</v>
      </c>
      <c r="BO246" s="24">
        <v>45975</v>
      </c>
      <c r="BP246" s="25">
        <v>29.28</v>
      </c>
      <c r="BQ246" s="24">
        <v>45974</v>
      </c>
    </row>
    <row r="247" spans="1:69" ht="22.5" hidden="1" customHeight="1" x14ac:dyDescent="0.2">
      <c r="A247" s="28" t="s">
        <v>262</v>
      </c>
      <c r="B247" s="28"/>
      <c r="C247" s="28" t="s">
        <v>221</v>
      </c>
      <c r="D247" s="28" t="s">
        <v>222</v>
      </c>
      <c r="E247" s="29">
        <v>417779</v>
      </c>
      <c r="F247" s="29">
        <v>2458</v>
      </c>
      <c r="G247" s="29">
        <v>360</v>
      </c>
      <c r="H247" s="29">
        <v>0</v>
      </c>
      <c r="I247" s="30">
        <v>45959</v>
      </c>
      <c r="J247" s="28" t="s">
        <v>656</v>
      </c>
      <c r="K247" s="28" t="s">
        <v>918</v>
      </c>
      <c r="L247" s="31">
        <v>28.09</v>
      </c>
      <c r="M247" s="31">
        <v>1.54</v>
      </c>
      <c r="N247" s="31">
        <v>29.63</v>
      </c>
      <c r="O247" s="28"/>
      <c r="P247" s="32">
        <v>45978</v>
      </c>
      <c r="Q247" s="31">
        <v>29.63</v>
      </c>
      <c r="R247" s="28" t="s">
        <v>919</v>
      </c>
      <c r="S247" s="31">
        <v>0</v>
      </c>
      <c r="T247" s="28"/>
      <c r="U247" s="29"/>
      <c r="V247" s="28"/>
      <c r="W247" s="29"/>
      <c r="X247" s="29"/>
      <c r="Y247" s="29"/>
      <c r="Z247" s="31">
        <v>0</v>
      </c>
      <c r="AA247" s="31">
        <v>0</v>
      </c>
      <c r="AB247" s="31">
        <v>0</v>
      </c>
      <c r="AC247" s="28"/>
      <c r="AD247" s="28" t="s">
        <v>293</v>
      </c>
      <c r="AE247" s="28" t="s">
        <v>294</v>
      </c>
      <c r="AF247" s="28" t="s">
        <v>31</v>
      </c>
      <c r="AG247" s="28" t="s">
        <v>42</v>
      </c>
      <c r="AH247" s="28" t="s">
        <v>228</v>
      </c>
      <c r="AI247" s="28" t="s">
        <v>31</v>
      </c>
      <c r="AJ247" s="28"/>
      <c r="AK247" s="28" t="s">
        <v>235</v>
      </c>
      <c r="AL247" s="28" t="s">
        <v>331</v>
      </c>
      <c r="AM247" s="28" t="s">
        <v>231</v>
      </c>
      <c r="AN247" s="28" t="s">
        <v>232</v>
      </c>
      <c r="AO247" s="28" t="s">
        <v>231</v>
      </c>
      <c r="AP247" s="28" t="s">
        <v>232</v>
      </c>
      <c r="AQ247" s="28"/>
      <c r="AR247" s="28"/>
      <c r="AS247" s="28"/>
      <c r="AT247" s="28"/>
      <c r="AU247" s="28"/>
      <c r="AV247" s="28"/>
      <c r="AW247" s="29"/>
      <c r="AX247" s="33"/>
      <c r="AY247" s="31"/>
      <c r="AZ247" s="33"/>
      <c r="BA247" s="31"/>
      <c r="BB247" s="28"/>
      <c r="BC247" s="28"/>
      <c r="BD247" s="28"/>
      <c r="BE247" s="28"/>
      <c r="BF247" s="29"/>
      <c r="BG247" s="29"/>
      <c r="BH247" s="28" t="s">
        <v>920</v>
      </c>
      <c r="BI247" s="29">
        <v>1</v>
      </c>
      <c r="BJ247" s="29">
        <v>0</v>
      </c>
      <c r="BK247" s="30"/>
      <c r="BL247" s="30"/>
      <c r="BM247" s="28"/>
      <c r="BN247" s="30">
        <v>45978</v>
      </c>
      <c r="BO247" s="30">
        <v>45975</v>
      </c>
      <c r="BP247" s="31">
        <v>29.63</v>
      </c>
      <c r="BQ247" s="30">
        <v>45974</v>
      </c>
    </row>
    <row r="248" spans="1:69" ht="22.5" hidden="1" customHeight="1" x14ac:dyDescent="0.2">
      <c r="A248" s="28" t="s">
        <v>408</v>
      </c>
      <c r="B248" s="28"/>
      <c r="C248" s="28" t="s">
        <v>221</v>
      </c>
      <c r="D248" s="28" t="s">
        <v>222</v>
      </c>
      <c r="E248" s="29">
        <v>417796</v>
      </c>
      <c r="F248" s="29">
        <v>2386</v>
      </c>
      <c r="G248" s="29">
        <v>353</v>
      </c>
      <c r="H248" s="29">
        <v>0</v>
      </c>
      <c r="I248" s="30">
        <v>45957</v>
      </c>
      <c r="J248" s="28" t="s">
        <v>281</v>
      </c>
      <c r="K248" s="28" t="s">
        <v>921</v>
      </c>
      <c r="L248" s="31">
        <v>100</v>
      </c>
      <c r="M248" s="31">
        <v>20</v>
      </c>
      <c r="N248" s="31">
        <v>120</v>
      </c>
      <c r="O248" s="28"/>
      <c r="P248" s="32">
        <v>45959</v>
      </c>
      <c r="Q248" s="31">
        <v>120</v>
      </c>
      <c r="R248" s="28"/>
      <c r="S248" s="31">
        <v>0</v>
      </c>
      <c r="T248" s="28"/>
      <c r="U248" s="29"/>
      <c r="V248" s="28"/>
      <c r="W248" s="29"/>
      <c r="X248" s="29"/>
      <c r="Y248" s="29"/>
      <c r="Z248" s="31">
        <v>0</v>
      </c>
      <c r="AA248" s="31">
        <v>0</v>
      </c>
      <c r="AB248" s="31">
        <v>0</v>
      </c>
      <c r="AC248" s="28"/>
      <c r="AD248" s="28" t="s">
        <v>283</v>
      </c>
      <c r="AE248" s="28" t="s">
        <v>284</v>
      </c>
      <c r="AF248" s="28" t="s">
        <v>31</v>
      </c>
      <c r="AG248" s="28" t="s">
        <v>57</v>
      </c>
      <c r="AH248" s="28" t="s">
        <v>228</v>
      </c>
      <c r="AI248" s="28" t="s">
        <v>31</v>
      </c>
      <c r="AJ248" s="28"/>
      <c r="AK248" s="28" t="s">
        <v>58</v>
      </c>
      <c r="AL248" s="28" t="s">
        <v>59</v>
      </c>
      <c r="AM248" s="28" t="s">
        <v>231</v>
      </c>
      <c r="AN248" s="28" t="s">
        <v>232</v>
      </c>
      <c r="AO248" s="28" t="s">
        <v>231</v>
      </c>
      <c r="AP248" s="28" t="s">
        <v>232</v>
      </c>
      <c r="AQ248" s="28"/>
      <c r="AR248" s="28"/>
      <c r="AS248" s="28"/>
      <c r="AT248" s="28"/>
      <c r="AU248" s="28"/>
      <c r="AV248" s="28"/>
      <c r="AW248" s="29"/>
      <c r="AX248" s="33"/>
      <c r="AY248" s="31"/>
      <c r="AZ248" s="33"/>
      <c r="BA248" s="31"/>
      <c r="BB248" s="28"/>
      <c r="BC248" s="28"/>
      <c r="BD248" s="28"/>
      <c r="BE248" s="28"/>
      <c r="BF248" s="29"/>
      <c r="BG248" s="29"/>
      <c r="BH248" s="28"/>
      <c r="BI248" s="29">
        <v>1</v>
      </c>
      <c r="BJ248" s="29">
        <v>0</v>
      </c>
      <c r="BK248" s="30"/>
      <c r="BL248" s="30"/>
      <c r="BM248" s="28"/>
      <c r="BN248" s="30">
        <v>45959</v>
      </c>
      <c r="BO248" s="30">
        <v>45959</v>
      </c>
      <c r="BP248" s="31">
        <v>120</v>
      </c>
      <c r="BQ248" s="30">
        <v>45958</v>
      </c>
    </row>
    <row r="249" spans="1:69" ht="22.5" hidden="1" customHeight="1" x14ac:dyDescent="0.2">
      <c r="A249" s="28" t="s">
        <v>408</v>
      </c>
      <c r="B249" s="28"/>
      <c r="C249" s="28" t="s">
        <v>221</v>
      </c>
      <c r="D249" s="28" t="s">
        <v>222</v>
      </c>
      <c r="E249" s="29">
        <v>417806</v>
      </c>
      <c r="F249" s="29">
        <v>2392</v>
      </c>
      <c r="G249" s="29">
        <v>353</v>
      </c>
      <c r="H249" s="29">
        <v>0</v>
      </c>
      <c r="I249" s="30">
        <v>45957</v>
      </c>
      <c r="J249" s="28" t="s">
        <v>281</v>
      </c>
      <c r="K249" s="28" t="s">
        <v>922</v>
      </c>
      <c r="L249" s="31">
        <v>10.79</v>
      </c>
      <c r="M249" s="31">
        <v>2.16</v>
      </c>
      <c r="N249" s="31">
        <v>12.95</v>
      </c>
      <c r="O249" s="28"/>
      <c r="P249" s="32">
        <v>45959</v>
      </c>
      <c r="Q249" s="31">
        <v>12.95</v>
      </c>
      <c r="R249" s="28"/>
      <c r="S249" s="31">
        <v>0</v>
      </c>
      <c r="T249" s="28"/>
      <c r="U249" s="29"/>
      <c r="V249" s="28"/>
      <c r="W249" s="29"/>
      <c r="X249" s="29"/>
      <c r="Y249" s="29"/>
      <c r="Z249" s="31">
        <v>0</v>
      </c>
      <c r="AA249" s="31">
        <v>0</v>
      </c>
      <c r="AB249" s="31">
        <v>0</v>
      </c>
      <c r="AC249" s="28"/>
      <c r="AD249" s="28" t="s">
        <v>283</v>
      </c>
      <c r="AE249" s="28" t="s">
        <v>284</v>
      </c>
      <c r="AF249" s="28" t="s">
        <v>31</v>
      </c>
      <c r="AG249" s="28" t="s">
        <v>46</v>
      </c>
      <c r="AH249" s="28" t="s">
        <v>228</v>
      </c>
      <c r="AI249" s="28" t="s">
        <v>31</v>
      </c>
      <c r="AJ249" s="28"/>
      <c r="AK249" s="28" t="s">
        <v>285</v>
      </c>
      <c r="AL249" s="28" t="s">
        <v>286</v>
      </c>
      <c r="AM249" s="28" t="s">
        <v>231</v>
      </c>
      <c r="AN249" s="28" t="s">
        <v>232</v>
      </c>
      <c r="AO249" s="28" t="s">
        <v>231</v>
      </c>
      <c r="AP249" s="28" t="s">
        <v>232</v>
      </c>
      <c r="AQ249" s="28"/>
      <c r="AR249" s="28"/>
      <c r="AS249" s="28"/>
      <c r="AT249" s="28"/>
      <c r="AU249" s="28"/>
      <c r="AV249" s="28"/>
      <c r="AW249" s="29"/>
      <c r="AX249" s="33"/>
      <c r="AY249" s="31"/>
      <c r="AZ249" s="33"/>
      <c r="BA249" s="31"/>
      <c r="BB249" s="28"/>
      <c r="BC249" s="28"/>
      <c r="BD249" s="28"/>
      <c r="BE249" s="28"/>
      <c r="BF249" s="29"/>
      <c r="BG249" s="29"/>
      <c r="BH249" s="28"/>
      <c r="BI249" s="29">
        <v>1</v>
      </c>
      <c r="BJ249" s="29">
        <v>0</v>
      </c>
      <c r="BK249" s="30"/>
      <c r="BL249" s="30"/>
      <c r="BM249" s="28"/>
      <c r="BN249" s="30">
        <v>45959</v>
      </c>
      <c r="BO249" s="30">
        <v>45959</v>
      </c>
      <c r="BP249" s="31">
        <v>12.95</v>
      </c>
      <c r="BQ249" s="30">
        <v>45958</v>
      </c>
    </row>
    <row r="250" spans="1:69" ht="22.5" hidden="1" customHeight="1" x14ac:dyDescent="0.2">
      <c r="A250" s="22" t="s">
        <v>262</v>
      </c>
      <c r="B250" s="22"/>
      <c r="C250" s="22" t="s">
        <v>221</v>
      </c>
      <c r="D250" s="22" t="s">
        <v>222</v>
      </c>
      <c r="E250" s="23">
        <v>417810</v>
      </c>
      <c r="F250" s="23">
        <v>2399</v>
      </c>
      <c r="G250" s="23">
        <v>355</v>
      </c>
      <c r="H250" s="23">
        <v>0</v>
      </c>
      <c r="I250" s="24">
        <v>45958</v>
      </c>
      <c r="J250" s="22" t="s">
        <v>263</v>
      </c>
      <c r="K250" s="22" t="s">
        <v>923</v>
      </c>
      <c r="L250" s="25">
        <v>202.18</v>
      </c>
      <c r="M250" s="25">
        <v>12.89</v>
      </c>
      <c r="N250" s="25">
        <v>215.07</v>
      </c>
      <c r="O250" s="22"/>
      <c r="P250" s="26">
        <v>45959</v>
      </c>
      <c r="Q250" s="25">
        <v>215.07</v>
      </c>
      <c r="R250" s="22" t="s">
        <v>924</v>
      </c>
      <c r="S250" s="25">
        <v>0</v>
      </c>
      <c r="T250" s="22"/>
      <c r="U250" s="23"/>
      <c r="V250" s="22"/>
      <c r="W250" s="23"/>
      <c r="X250" s="23"/>
      <c r="Y250" s="23"/>
      <c r="Z250" s="25">
        <v>0</v>
      </c>
      <c r="AA250" s="25">
        <v>0</v>
      </c>
      <c r="AB250" s="25">
        <v>0</v>
      </c>
      <c r="AC250" s="22"/>
      <c r="AD250" s="22" t="s">
        <v>365</v>
      </c>
      <c r="AE250" s="22" t="s">
        <v>366</v>
      </c>
      <c r="AF250" s="22" t="s">
        <v>31</v>
      </c>
      <c r="AG250" s="22" t="s">
        <v>46</v>
      </c>
      <c r="AH250" s="22" t="s">
        <v>228</v>
      </c>
      <c r="AI250" s="22" t="s">
        <v>31</v>
      </c>
      <c r="AJ250" s="22"/>
      <c r="AK250" s="22" t="s">
        <v>289</v>
      </c>
      <c r="AL250" s="22" t="s">
        <v>31</v>
      </c>
      <c r="AM250" s="22" t="s">
        <v>231</v>
      </c>
      <c r="AN250" s="22" t="s">
        <v>232</v>
      </c>
      <c r="AO250" s="22" t="s">
        <v>231</v>
      </c>
      <c r="AP250" s="22" t="s">
        <v>232</v>
      </c>
      <c r="AQ250" s="22"/>
      <c r="AR250" s="22"/>
      <c r="AS250" s="22"/>
      <c r="AT250" s="22"/>
      <c r="AU250" s="22"/>
      <c r="AV250" s="22"/>
      <c r="AW250" s="23"/>
      <c r="AX250" s="27"/>
      <c r="AY250" s="25"/>
      <c r="AZ250" s="27"/>
      <c r="BA250" s="25"/>
      <c r="BB250" s="22"/>
      <c r="BC250" s="22"/>
      <c r="BD250" s="22"/>
      <c r="BE250" s="22"/>
      <c r="BF250" s="23"/>
      <c r="BG250" s="23"/>
      <c r="BH250" s="22" t="s">
        <v>925</v>
      </c>
      <c r="BI250" s="23">
        <v>1</v>
      </c>
      <c r="BJ250" s="23">
        <v>0</v>
      </c>
      <c r="BK250" s="24"/>
      <c r="BL250" s="24"/>
      <c r="BM250" s="22"/>
      <c r="BN250" s="24">
        <v>45959</v>
      </c>
      <c r="BO250" s="24">
        <v>45959</v>
      </c>
      <c r="BP250" s="25">
        <v>215.07</v>
      </c>
      <c r="BQ250" s="24">
        <v>45958</v>
      </c>
    </row>
    <row r="251" spans="1:69" ht="22.5" customHeight="1" x14ac:dyDescent="0.2">
      <c r="A251" s="22" t="s">
        <v>262</v>
      </c>
      <c r="B251" s="22"/>
      <c r="C251" s="22" t="s">
        <v>221</v>
      </c>
      <c r="D251" s="22" t="s">
        <v>222</v>
      </c>
      <c r="E251" s="23">
        <v>417829</v>
      </c>
      <c r="F251" s="23">
        <v>2397</v>
      </c>
      <c r="G251" s="23">
        <v>355</v>
      </c>
      <c r="H251" s="23">
        <v>0</v>
      </c>
      <c r="I251" s="24">
        <v>45958</v>
      </c>
      <c r="J251" s="22" t="s">
        <v>263</v>
      </c>
      <c r="K251" s="22" t="s">
        <v>926</v>
      </c>
      <c r="L251" s="25">
        <v>47</v>
      </c>
      <c r="M251" s="25">
        <v>2.59</v>
      </c>
      <c r="N251" s="25">
        <v>49.59</v>
      </c>
      <c r="O251" s="22"/>
      <c r="P251" s="26">
        <v>45959</v>
      </c>
      <c r="Q251" s="25">
        <v>49.59</v>
      </c>
      <c r="R251" s="22" t="s">
        <v>927</v>
      </c>
      <c r="S251" s="25">
        <v>0</v>
      </c>
      <c r="T251" s="22"/>
      <c r="U251" s="23"/>
      <c r="V251" s="22"/>
      <c r="W251" s="23"/>
      <c r="X251" s="23"/>
      <c r="Y251" s="23"/>
      <c r="Z251" s="25">
        <v>0</v>
      </c>
      <c r="AA251" s="25">
        <v>0</v>
      </c>
      <c r="AB251" s="25">
        <v>0</v>
      </c>
      <c r="AC251" s="22"/>
      <c r="AD251" s="22" t="s">
        <v>308</v>
      </c>
      <c r="AE251" s="22" t="s">
        <v>309</v>
      </c>
      <c r="AF251" s="22" t="s">
        <v>31</v>
      </c>
      <c r="AG251" s="22" t="s">
        <v>42</v>
      </c>
      <c r="AH251" s="22" t="s">
        <v>228</v>
      </c>
      <c r="AI251" s="22" t="s">
        <v>31</v>
      </c>
      <c r="AJ251" s="22"/>
      <c r="AK251" s="22" t="s">
        <v>34</v>
      </c>
      <c r="AL251" s="22" t="s">
        <v>43</v>
      </c>
      <c r="AM251" s="22" t="s">
        <v>231</v>
      </c>
      <c r="AN251" s="22" t="s">
        <v>232</v>
      </c>
      <c r="AO251" s="22" t="s">
        <v>231</v>
      </c>
      <c r="AP251" s="22" t="s">
        <v>232</v>
      </c>
      <c r="AQ251" s="22"/>
      <c r="AR251" s="22"/>
      <c r="AS251" s="22"/>
      <c r="AT251" s="22"/>
      <c r="AU251" s="22"/>
      <c r="AV251" s="22"/>
      <c r="AW251" s="23"/>
      <c r="AX251" s="27"/>
      <c r="AY251" s="25"/>
      <c r="AZ251" s="27"/>
      <c r="BA251" s="25"/>
      <c r="BB251" s="22"/>
      <c r="BC251" s="22"/>
      <c r="BD251" s="22"/>
      <c r="BE251" s="22"/>
      <c r="BF251" s="23"/>
      <c r="BG251" s="23"/>
      <c r="BH251" s="22" t="s">
        <v>928</v>
      </c>
      <c r="BI251" s="23">
        <v>1</v>
      </c>
      <c r="BJ251" s="23">
        <v>0</v>
      </c>
      <c r="BK251" s="24"/>
      <c r="BL251" s="24"/>
      <c r="BM251" s="22"/>
      <c r="BN251" s="24">
        <v>45959</v>
      </c>
      <c r="BO251" s="24">
        <v>45959</v>
      </c>
      <c r="BP251" s="25">
        <v>49.59</v>
      </c>
      <c r="BQ251" s="24">
        <v>45958</v>
      </c>
    </row>
    <row r="252" spans="1:69" ht="22.5" customHeight="1" x14ac:dyDescent="0.2">
      <c r="A252" s="28" t="s">
        <v>262</v>
      </c>
      <c r="B252" s="28"/>
      <c r="C252" s="28" t="s">
        <v>221</v>
      </c>
      <c r="D252" s="28" t="s">
        <v>222</v>
      </c>
      <c r="E252" s="29">
        <v>417830</v>
      </c>
      <c r="F252" s="29">
        <v>2398</v>
      </c>
      <c r="G252" s="29">
        <v>355</v>
      </c>
      <c r="H252" s="29">
        <v>0</v>
      </c>
      <c r="I252" s="30">
        <v>45958</v>
      </c>
      <c r="J252" s="28" t="s">
        <v>263</v>
      </c>
      <c r="K252" s="28" t="s">
        <v>929</v>
      </c>
      <c r="L252" s="31">
        <v>34.380000000000003</v>
      </c>
      <c r="M252" s="31">
        <v>1.89</v>
      </c>
      <c r="N252" s="31">
        <v>36.270000000000003</v>
      </c>
      <c r="O252" s="28"/>
      <c r="P252" s="32">
        <v>45959</v>
      </c>
      <c r="Q252" s="31">
        <v>36.270000000000003</v>
      </c>
      <c r="R252" s="28" t="s">
        <v>930</v>
      </c>
      <c r="S252" s="31">
        <v>0</v>
      </c>
      <c r="T252" s="28"/>
      <c r="U252" s="29"/>
      <c r="V252" s="28"/>
      <c r="W252" s="29"/>
      <c r="X252" s="29"/>
      <c r="Y252" s="29"/>
      <c r="Z252" s="31">
        <v>0</v>
      </c>
      <c r="AA252" s="31">
        <v>0</v>
      </c>
      <c r="AB252" s="31">
        <v>0</v>
      </c>
      <c r="AC252" s="28"/>
      <c r="AD252" s="28" t="s">
        <v>308</v>
      </c>
      <c r="AE252" s="28" t="s">
        <v>309</v>
      </c>
      <c r="AF252" s="28" t="s">
        <v>31</v>
      </c>
      <c r="AG252" s="28" t="s">
        <v>46</v>
      </c>
      <c r="AH252" s="28" t="s">
        <v>228</v>
      </c>
      <c r="AI252" s="28" t="s">
        <v>31</v>
      </c>
      <c r="AJ252" s="28"/>
      <c r="AK252" s="28" t="s">
        <v>34</v>
      </c>
      <c r="AL252" s="28" t="s">
        <v>47</v>
      </c>
      <c r="AM252" s="28" t="s">
        <v>231</v>
      </c>
      <c r="AN252" s="28" t="s">
        <v>232</v>
      </c>
      <c r="AO252" s="28" t="s">
        <v>231</v>
      </c>
      <c r="AP252" s="28" t="s">
        <v>232</v>
      </c>
      <c r="AQ252" s="28"/>
      <c r="AR252" s="28"/>
      <c r="AS252" s="28"/>
      <c r="AT252" s="28"/>
      <c r="AU252" s="28"/>
      <c r="AV252" s="28"/>
      <c r="AW252" s="29"/>
      <c r="AX252" s="33"/>
      <c r="AY252" s="31"/>
      <c r="AZ252" s="33"/>
      <c r="BA252" s="31"/>
      <c r="BB252" s="28"/>
      <c r="BC252" s="28"/>
      <c r="BD252" s="28"/>
      <c r="BE252" s="28"/>
      <c r="BF252" s="29"/>
      <c r="BG252" s="29"/>
      <c r="BH252" s="28" t="s">
        <v>931</v>
      </c>
      <c r="BI252" s="29">
        <v>1</v>
      </c>
      <c r="BJ252" s="29">
        <v>0</v>
      </c>
      <c r="BK252" s="30"/>
      <c r="BL252" s="30"/>
      <c r="BM252" s="28"/>
      <c r="BN252" s="30">
        <v>45959</v>
      </c>
      <c r="BO252" s="30">
        <v>45959</v>
      </c>
      <c r="BP252" s="31">
        <v>36.270000000000003</v>
      </c>
      <c r="BQ252" s="30">
        <v>45958</v>
      </c>
    </row>
    <row r="253" spans="1:69" ht="22.5" customHeight="1" x14ac:dyDescent="0.2">
      <c r="A253" s="28" t="s">
        <v>262</v>
      </c>
      <c r="B253" s="28"/>
      <c r="C253" s="28" t="s">
        <v>221</v>
      </c>
      <c r="D253" s="28" t="s">
        <v>222</v>
      </c>
      <c r="E253" s="29">
        <v>417891</v>
      </c>
      <c r="F253" s="29">
        <v>2467</v>
      </c>
      <c r="G253" s="29">
        <v>361</v>
      </c>
      <c r="H253" s="29">
        <v>0</v>
      </c>
      <c r="I253" s="30">
        <v>45959</v>
      </c>
      <c r="J253" s="28" t="s">
        <v>263</v>
      </c>
      <c r="K253" s="28" t="s">
        <v>932</v>
      </c>
      <c r="L253" s="31">
        <v>77.63</v>
      </c>
      <c r="M253" s="31">
        <v>4.2699999999999996</v>
      </c>
      <c r="N253" s="31">
        <v>81.900000000000006</v>
      </c>
      <c r="O253" s="28"/>
      <c r="P253" s="32">
        <v>45978</v>
      </c>
      <c r="Q253" s="31">
        <v>81.900000000000006</v>
      </c>
      <c r="R253" s="28" t="s">
        <v>312</v>
      </c>
      <c r="S253" s="31">
        <v>0</v>
      </c>
      <c r="T253" s="28"/>
      <c r="U253" s="29"/>
      <c r="V253" s="28"/>
      <c r="W253" s="29"/>
      <c r="X253" s="29"/>
      <c r="Y253" s="29"/>
      <c r="Z253" s="31">
        <v>0</v>
      </c>
      <c r="AA253" s="31">
        <v>0</v>
      </c>
      <c r="AB253" s="31">
        <v>0</v>
      </c>
      <c r="AC253" s="28"/>
      <c r="AD253" s="28" t="s">
        <v>308</v>
      </c>
      <c r="AE253" s="28" t="s">
        <v>309</v>
      </c>
      <c r="AF253" s="28" t="s">
        <v>31</v>
      </c>
      <c r="AG253" s="28" t="s">
        <v>42</v>
      </c>
      <c r="AH253" s="28" t="s">
        <v>228</v>
      </c>
      <c r="AI253" s="28" t="s">
        <v>31</v>
      </c>
      <c r="AJ253" s="28"/>
      <c r="AK253" s="28" t="s">
        <v>34</v>
      </c>
      <c r="AL253" s="28" t="s">
        <v>43</v>
      </c>
      <c r="AM253" s="28" t="s">
        <v>231</v>
      </c>
      <c r="AN253" s="28" t="s">
        <v>232</v>
      </c>
      <c r="AO253" s="28" t="s">
        <v>231</v>
      </c>
      <c r="AP253" s="28" t="s">
        <v>232</v>
      </c>
      <c r="AQ253" s="28"/>
      <c r="AR253" s="28"/>
      <c r="AS253" s="28"/>
      <c r="AT253" s="28"/>
      <c r="AU253" s="28"/>
      <c r="AV253" s="28"/>
      <c r="AW253" s="29"/>
      <c r="AX253" s="33"/>
      <c r="AY253" s="31"/>
      <c r="AZ253" s="33"/>
      <c r="BA253" s="31"/>
      <c r="BB253" s="28"/>
      <c r="BC253" s="28"/>
      <c r="BD253" s="28"/>
      <c r="BE253" s="28"/>
      <c r="BF253" s="29"/>
      <c r="BG253" s="29"/>
      <c r="BH253" s="28" t="s">
        <v>933</v>
      </c>
      <c r="BI253" s="29">
        <v>1</v>
      </c>
      <c r="BJ253" s="29">
        <v>0</v>
      </c>
      <c r="BK253" s="30"/>
      <c r="BL253" s="30"/>
      <c r="BM253" s="28"/>
      <c r="BN253" s="30">
        <v>45978</v>
      </c>
      <c r="BO253" s="30">
        <v>45975</v>
      </c>
      <c r="BP253" s="31">
        <v>81.900000000000006</v>
      </c>
      <c r="BQ253" s="30">
        <v>45974</v>
      </c>
    </row>
    <row r="254" spans="1:69" ht="22.5" customHeight="1" x14ac:dyDescent="0.2">
      <c r="A254" s="22" t="s">
        <v>262</v>
      </c>
      <c r="B254" s="22"/>
      <c r="C254" s="22" t="s">
        <v>221</v>
      </c>
      <c r="D254" s="22" t="s">
        <v>222</v>
      </c>
      <c r="E254" s="23">
        <v>417892</v>
      </c>
      <c r="F254" s="23">
        <v>2468</v>
      </c>
      <c r="G254" s="23">
        <v>361</v>
      </c>
      <c r="H254" s="23">
        <v>0</v>
      </c>
      <c r="I254" s="24">
        <v>45959</v>
      </c>
      <c r="J254" s="22" t="s">
        <v>263</v>
      </c>
      <c r="K254" s="22" t="s">
        <v>934</v>
      </c>
      <c r="L254" s="25">
        <v>62.1</v>
      </c>
      <c r="M254" s="25">
        <v>3.42</v>
      </c>
      <c r="N254" s="25">
        <v>65.52</v>
      </c>
      <c r="O254" s="22"/>
      <c r="P254" s="26">
        <v>45978</v>
      </c>
      <c r="Q254" s="25">
        <v>65.52</v>
      </c>
      <c r="R254" s="22" t="s">
        <v>315</v>
      </c>
      <c r="S254" s="25">
        <v>0</v>
      </c>
      <c r="T254" s="22"/>
      <c r="U254" s="23"/>
      <c r="V254" s="22"/>
      <c r="W254" s="23"/>
      <c r="X254" s="23"/>
      <c r="Y254" s="23"/>
      <c r="Z254" s="25">
        <v>0</v>
      </c>
      <c r="AA254" s="25">
        <v>0</v>
      </c>
      <c r="AB254" s="25">
        <v>0</v>
      </c>
      <c r="AC254" s="22"/>
      <c r="AD254" s="22" t="s">
        <v>308</v>
      </c>
      <c r="AE254" s="22" t="s">
        <v>309</v>
      </c>
      <c r="AF254" s="22" t="s">
        <v>31</v>
      </c>
      <c r="AG254" s="22" t="s">
        <v>42</v>
      </c>
      <c r="AH254" s="22" t="s">
        <v>228</v>
      </c>
      <c r="AI254" s="22" t="s">
        <v>31</v>
      </c>
      <c r="AJ254" s="22"/>
      <c r="AK254" s="22" t="s">
        <v>34</v>
      </c>
      <c r="AL254" s="22" t="s">
        <v>50</v>
      </c>
      <c r="AM254" s="22" t="s">
        <v>231</v>
      </c>
      <c r="AN254" s="22" t="s">
        <v>232</v>
      </c>
      <c r="AO254" s="22" t="s">
        <v>231</v>
      </c>
      <c r="AP254" s="22" t="s">
        <v>232</v>
      </c>
      <c r="AQ254" s="22"/>
      <c r="AR254" s="22"/>
      <c r="AS254" s="22"/>
      <c r="AT254" s="22"/>
      <c r="AU254" s="22"/>
      <c r="AV254" s="22"/>
      <c r="AW254" s="23"/>
      <c r="AX254" s="27"/>
      <c r="AY254" s="25"/>
      <c r="AZ254" s="27"/>
      <c r="BA254" s="25"/>
      <c r="BB254" s="22"/>
      <c r="BC254" s="22"/>
      <c r="BD254" s="22"/>
      <c r="BE254" s="22"/>
      <c r="BF254" s="23"/>
      <c r="BG254" s="23"/>
      <c r="BH254" s="22" t="s">
        <v>935</v>
      </c>
      <c r="BI254" s="23">
        <v>1</v>
      </c>
      <c r="BJ254" s="23">
        <v>0</v>
      </c>
      <c r="BK254" s="24"/>
      <c r="BL254" s="24"/>
      <c r="BM254" s="22"/>
      <c r="BN254" s="24">
        <v>45978</v>
      </c>
      <c r="BO254" s="24">
        <v>45975</v>
      </c>
      <c r="BP254" s="25">
        <v>65.52</v>
      </c>
      <c r="BQ254" s="24">
        <v>45974</v>
      </c>
    </row>
    <row r="255" spans="1:69" ht="22.5" customHeight="1" x14ac:dyDescent="0.2">
      <c r="A255" s="28" t="s">
        <v>262</v>
      </c>
      <c r="B255" s="28"/>
      <c r="C255" s="28" t="s">
        <v>221</v>
      </c>
      <c r="D255" s="28" t="s">
        <v>222</v>
      </c>
      <c r="E255" s="29">
        <v>417893</v>
      </c>
      <c r="F255" s="29">
        <v>2469</v>
      </c>
      <c r="G255" s="29">
        <v>361</v>
      </c>
      <c r="H255" s="29">
        <v>0</v>
      </c>
      <c r="I255" s="30">
        <v>45959</v>
      </c>
      <c r="J255" s="28" t="s">
        <v>263</v>
      </c>
      <c r="K255" s="28" t="s">
        <v>936</v>
      </c>
      <c r="L255" s="31">
        <v>62.1</v>
      </c>
      <c r="M255" s="31">
        <v>3.42</v>
      </c>
      <c r="N255" s="31">
        <v>65.52</v>
      </c>
      <c r="O255" s="28"/>
      <c r="P255" s="32">
        <v>45978</v>
      </c>
      <c r="Q255" s="31">
        <v>65.52</v>
      </c>
      <c r="R255" s="28" t="s">
        <v>318</v>
      </c>
      <c r="S255" s="31">
        <v>0</v>
      </c>
      <c r="T255" s="28"/>
      <c r="U255" s="29"/>
      <c r="V255" s="28"/>
      <c r="W255" s="29"/>
      <c r="X255" s="29"/>
      <c r="Y255" s="29"/>
      <c r="Z255" s="31">
        <v>0</v>
      </c>
      <c r="AA255" s="31">
        <v>0</v>
      </c>
      <c r="AB255" s="31">
        <v>0</v>
      </c>
      <c r="AC255" s="28"/>
      <c r="AD255" s="28" t="s">
        <v>308</v>
      </c>
      <c r="AE255" s="28" t="s">
        <v>309</v>
      </c>
      <c r="AF255" s="28" t="s">
        <v>31</v>
      </c>
      <c r="AG255" s="28" t="s">
        <v>42</v>
      </c>
      <c r="AH255" s="28" t="s">
        <v>228</v>
      </c>
      <c r="AI255" s="28" t="s">
        <v>31</v>
      </c>
      <c r="AJ255" s="28"/>
      <c r="AK255" s="28" t="s">
        <v>34</v>
      </c>
      <c r="AL255" s="28" t="s">
        <v>250</v>
      </c>
      <c r="AM255" s="28" t="s">
        <v>231</v>
      </c>
      <c r="AN255" s="28" t="s">
        <v>232</v>
      </c>
      <c r="AO255" s="28" t="s">
        <v>231</v>
      </c>
      <c r="AP255" s="28" t="s">
        <v>232</v>
      </c>
      <c r="AQ255" s="28"/>
      <c r="AR255" s="28"/>
      <c r="AS255" s="28"/>
      <c r="AT255" s="28"/>
      <c r="AU255" s="28"/>
      <c r="AV255" s="28"/>
      <c r="AW255" s="29"/>
      <c r="AX255" s="33"/>
      <c r="AY255" s="31"/>
      <c r="AZ255" s="33"/>
      <c r="BA255" s="31"/>
      <c r="BB255" s="28"/>
      <c r="BC255" s="28"/>
      <c r="BD255" s="28"/>
      <c r="BE255" s="28"/>
      <c r="BF255" s="29"/>
      <c r="BG255" s="29"/>
      <c r="BH255" s="28" t="s">
        <v>937</v>
      </c>
      <c r="BI255" s="29">
        <v>1</v>
      </c>
      <c r="BJ255" s="29">
        <v>0</v>
      </c>
      <c r="BK255" s="30"/>
      <c r="BL255" s="30"/>
      <c r="BM255" s="28"/>
      <c r="BN255" s="30">
        <v>45978</v>
      </c>
      <c r="BO255" s="30">
        <v>45975</v>
      </c>
      <c r="BP255" s="31">
        <v>65.52</v>
      </c>
      <c r="BQ255" s="30">
        <v>45974</v>
      </c>
    </row>
    <row r="256" spans="1:69" ht="22.5" customHeight="1" x14ac:dyDescent="0.2">
      <c r="A256" s="22" t="s">
        <v>262</v>
      </c>
      <c r="B256" s="22"/>
      <c r="C256" s="22" t="s">
        <v>221</v>
      </c>
      <c r="D256" s="22" t="s">
        <v>222</v>
      </c>
      <c r="E256" s="23">
        <v>417894</v>
      </c>
      <c r="F256" s="23">
        <v>2470</v>
      </c>
      <c r="G256" s="23">
        <v>361</v>
      </c>
      <c r="H256" s="23">
        <v>0</v>
      </c>
      <c r="I256" s="24">
        <v>45959</v>
      </c>
      <c r="J256" s="22" t="s">
        <v>263</v>
      </c>
      <c r="K256" s="22" t="s">
        <v>938</v>
      </c>
      <c r="L256" s="25">
        <v>1329.7</v>
      </c>
      <c r="M256" s="25">
        <v>73.13</v>
      </c>
      <c r="N256" s="25">
        <v>1402.83</v>
      </c>
      <c r="O256" s="22"/>
      <c r="P256" s="26">
        <v>45978</v>
      </c>
      <c r="Q256" s="25">
        <v>1402.83</v>
      </c>
      <c r="R256" s="22" t="s">
        <v>321</v>
      </c>
      <c r="S256" s="25">
        <v>0</v>
      </c>
      <c r="T256" s="22"/>
      <c r="U256" s="23"/>
      <c r="V256" s="22"/>
      <c r="W256" s="23"/>
      <c r="X256" s="23"/>
      <c r="Y256" s="23"/>
      <c r="Z256" s="25">
        <v>0</v>
      </c>
      <c r="AA256" s="25">
        <v>0</v>
      </c>
      <c r="AB256" s="25">
        <v>0</v>
      </c>
      <c r="AC256" s="22"/>
      <c r="AD256" s="22" t="s">
        <v>308</v>
      </c>
      <c r="AE256" s="22" t="s">
        <v>309</v>
      </c>
      <c r="AF256" s="22" t="s">
        <v>31</v>
      </c>
      <c r="AG256" s="22" t="s">
        <v>32</v>
      </c>
      <c r="AH256" s="22" t="s">
        <v>228</v>
      </c>
      <c r="AI256" s="22" t="s">
        <v>31</v>
      </c>
      <c r="AJ256" s="22"/>
      <c r="AK256" s="22" t="s">
        <v>34</v>
      </c>
      <c r="AL256" s="22" t="s">
        <v>31</v>
      </c>
      <c r="AM256" s="22" t="s">
        <v>231</v>
      </c>
      <c r="AN256" s="22" t="s">
        <v>232</v>
      </c>
      <c r="AO256" s="22" t="s">
        <v>231</v>
      </c>
      <c r="AP256" s="22" t="s">
        <v>232</v>
      </c>
      <c r="AQ256" s="22"/>
      <c r="AR256" s="22"/>
      <c r="AS256" s="22"/>
      <c r="AT256" s="22"/>
      <c r="AU256" s="22"/>
      <c r="AV256" s="22"/>
      <c r="AW256" s="23"/>
      <c r="AX256" s="27"/>
      <c r="AY256" s="25"/>
      <c r="AZ256" s="27"/>
      <c r="BA256" s="25"/>
      <c r="BB256" s="22"/>
      <c r="BC256" s="22"/>
      <c r="BD256" s="22"/>
      <c r="BE256" s="22"/>
      <c r="BF256" s="23"/>
      <c r="BG256" s="23"/>
      <c r="BH256" s="22" t="s">
        <v>939</v>
      </c>
      <c r="BI256" s="23">
        <v>1</v>
      </c>
      <c r="BJ256" s="23">
        <v>0</v>
      </c>
      <c r="BK256" s="24"/>
      <c r="BL256" s="24"/>
      <c r="BM256" s="22"/>
      <c r="BN256" s="24">
        <v>45978</v>
      </c>
      <c r="BO256" s="24">
        <v>45975</v>
      </c>
      <c r="BP256" s="25">
        <v>1402.83</v>
      </c>
      <c r="BQ256" s="24">
        <v>45974</v>
      </c>
    </row>
    <row r="257" spans="1:69" ht="22.5" customHeight="1" x14ac:dyDescent="0.2">
      <c r="A257" s="22" t="s">
        <v>262</v>
      </c>
      <c r="B257" s="22"/>
      <c r="C257" s="22" t="s">
        <v>221</v>
      </c>
      <c r="D257" s="22" t="s">
        <v>222</v>
      </c>
      <c r="E257" s="23">
        <v>417920</v>
      </c>
      <c r="F257" s="23">
        <v>2471</v>
      </c>
      <c r="G257" s="23">
        <v>361</v>
      </c>
      <c r="H257" s="23">
        <v>0</v>
      </c>
      <c r="I257" s="24">
        <v>45959</v>
      </c>
      <c r="J257" s="22" t="s">
        <v>263</v>
      </c>
      <c r="K257" s="22" t="s">
        <v>940</v>
      </c>
      <c r="L257" s="25">
        <v>39.17</v>
      </c>
      <c r="M257" s="25">
        <v>2.15</v>
      </c>
      <c r="N257" s="25">
        <v>41.32</v>
      </c>
      <c r="O257" s="22"/>
      <c r="P257" s="26">
        <v>45978</v>
      </c>
      <c r="Q257" s="25">
        <v>41.32</v>
      </c>
      <c r="R257" s="22" t="s">
        <v>941</v>
      </c>
      <c r="S257" s="25">
        <v>0</v>
      </c>
      <c r="T257" s="22"/>
      <c r="U257" s="23"/>
      <c r="V257" s="22"/>
      <c r="W257" s="23"/>
      <c r="X257" s="23"/>
      <c r="Y257" s="23"/>
      <c r="Z257" s="25">
        <v>0</v>
      </c>
      <c r="AA257" s="25">
        <v>0</v>
      </c>
      <c r="AB257" s="25">
        <v>0</v>
      </c>
      <c r="AC257" s="22"/>
      <c r="AD257" s="22" t="s">
        <v>308</v>
      </c>
      <c r="AE257" s="22" t="s">
        <v>309</v>
      </c>
      <c r="AF257" s="22" t="s">
        <v>31</v>
      </c>
      <c r="AG257" s="22" t="s">
        <v>32</v>
      </c>
      <c r="AH257" s="22" t="s">
        <v>228</v>
      </c>
      <c r="AI257" s="22" t="s">
        <v>31</v>
      </c>
      <c r="AJ257" s="22"/>
      <c r="AK257" s="22" t="s">
        <v>34</v>
      </c>
      <c r="AL257" s="22" t="s">
        <v>31</v>
      </c>
      <c r="AM257" s="22" t="s">
        <v>231</v>
      </c>
      <c r="AN257" s="22" t="s">
        <v>232</v>
      </c>
      <c r="AO257" s="22" t="s">
        <v>231</v>
      </c>
      <c r="AP257" s="22" t="s">
        <v>232</v>
      </c>
      <c r="AQ257" s="22"/>
      <c r="AR257" s="22"/>
      <c r="AS257" s="22"/>
      <c r="AT257" s="22"/>
      <c r="AU257" s="22"/>
      <c r="AV257" s="22"/>
      <c r="AW257" s="23"/>
      <c r="AX257" s="27"/>
      <c r="AY257" s="25"/>
      <c r="AZ257" s="27"/>
      <c r="BA257" s="25"/>
      <c r="BB257" s="22"/>
      <c r="BC257" s="22"/>
      <c r="BD257" s="22"/>
      <c r="BE257" s="22"/>
      <c r="BF257" s="23"/>
      <c r="BG257" s="23"/>
      <c r="BH257" s="22" t="s">
        <v>942</v>
      </c>
      <c r="BI257" s="23">
        <v>1</v>
      </c>
      <c r="BJ257" s="23">
        <v>0</v>
      </c>
      <c r="BK257" s="24"/>
      <c r="BL257" s="24"/>
      <c r="BM257" s="22"/>
      <c r="BN257" s="24">
        <v>45978</v>
      </c>
      <c r="BO257" s="24">
        <v>45975</v>
      </c>
      <c r="BP257" s="25">
        <v>41.32</v>
      </c>
      <c r="BQ257" s="24">
        <v>45974</v>
      </c>
    </row>
    <row r="258" spans="1:69" ht="22.5" hidden="1" customHeight="1" x14ac:dyDescent="0.2">
      <c r="A258" s="22" t="s">
        <v>262</v>
      </c>
      <c r="B258" s="22"/>
      <c r="C258" s="22" t="s">
        <v>221</v>
      </c>
      <c r="D258" s="22" t="s">
        <v>222</v>
      </c>
      <c r="E258" s="23">
        <v>417939</v>
      </c>
      <c r="F258" s="23">
        <v>2489</v>
      </c>
      <c r="G258" s="23">
        <v>363</v>
      </c>
      <c r="H258" s="23">
        <v>0</v>
      </c>
      <c r="I258" s="24">
        <v>45959</v>
      </c>
      <c r="J258" s="22" t="s">
        <v>656</v>
      </c>
      <c r="K258" s="22" t="s">
        <v>943</v>
      </c>
      <c r="L258" s="25">
        <v>140.82</v>
      </c>
      <c r="M258" s="25">
        <v>8.73</v>
      </c>
      <c r="N258" s="25">
        <v>149.55000000000001</v>
      </c>
      <c r="O258" s="22"/>
      <c r="P258" s="26">
        <v>45978</v>
      </c>
      <c r="Q258" s="25">
        <v>149.55000000000001</v>
      </c>
      <c r="R258" s="22" t="s">
        <v>944</v>
      </c>
      <c r="S258" s="25">
        <v>0</v>
      </c>
      <c r="T258" s="22"/>
      <c r="U258" s="23"/>
      <c r="V258" s="22"/>
      <c r="W258" s="23"/>
      <c r="X258" s="23"/>
      <c r="Y258" s="23"/>
      <c r="Z258" s="25">
        <v>0</v>
      </c>
      <c r="AA258" s="25">
        <v>0</v>
      </c>
      <c r="AB258" s="25">
        <v>0</v>
      </c>
      <c r="AC258" s="22"/>
      <c r="AD258" s="22" t="s">
        <v>293</v>
      </c>
      <c r="AE258" s="22" t="s">
        <v>294</v>
      </c>
      <c r="AF258" s="22" t="s">
        <v>31</v>
      </c>
      <c r="AG258" s="22" t="s">
        <v>42</v>
      </c>
      <c r="AH258" s="22" t="s">
        <v>228</v>
      </c>
      <c r="AI258" s="22" t="s">
        <v>31</v>
      </c>
      <c r="AJ258" s="22"/>
      <c r="AK258" s="22" t="s">
        <v>235</v>
      </c>
      <c r="AL258" s="22" t="s">
        <v>331</v>
      </c>
      <c r="AM258" s="22" t="s">
        <v>231</v>
      </c>
      <c r="AN258" s="22" t="s">
        <v>232</v>
      </c>
      <c r="AO258" s="22" t="s">
        <v>231</v>
      </c>
      <c r="AP258" s="22" t="s">
        <v>232</v>
      </c>
      <c r="AQ258" s="22"/>
      <c r="AR258" s="22"/>
      <c r="AS258" s="22"/>
      <c r="AT258" s="22"/>
      <c r="AU258" s="22"/>
      <c r="AV258" s="22"/>
      <c r="AW258" s="23"/>
      <c r="AX258" s="27"/>
      <c r="AY258" s="25"/>
      <c r="AZ258" s="27"/>
      <c r="BA258" s="25"/>
      <c r="BB258" s="22"/>
      <c r="BC258" s="22"/>
      <c r="BD258" s="22"/>
      <c r="BE258" s="22"/>
      <c r="BF258" s="23"/>
      <c r="BG258" s="23"/>
      <c r="BH258" s="22" t="s">
        <v>945</v>
      </c>
      <c r="BI258" s="23">
        <v>1</v>
      </c>
      <c r="BJ258" s="23">
        <v>0</v>
      </c>
      <c r="BK258" s="24"/>
      <c r="BL258" s="24"/>
      <c r="BM258" s="22"/>
      <c r="BN258" s="24">
        <v>45978</v>
      </c>
      <c r="BO258" s="24">
        <v>45975</v>
      </c>
      <c r="BP258" s="25">
        <v>149.55000000000001</v>
      </c>
      <c r="BQ258" s="24">
        <v>45974</v>
      </c>
    </row>
    <row r="259" spans="1:69" ht="22.5" hidden="1" customHeight="1" x14ac:dyDescent="0.2">
      <c r="A259" s="22" t="s">
        <v>262</v>
      </c>
      <c r="B259" s="22"/>
      <c r="C259" s="22" t="s">
        <v>221</v>
      </c>
      <c r="D259" s="22" t="s">
        <v>222</v>
      </c>
      <c r="E259" s="23">
        <v>418040</v>
      </c>
      <c r="F259" s="23">
        <v>2550</v>
      </c>
      <c r="G259" s="23">
        <v>371</v>
      </c>
      <c r="H259" s="23">
        <v>0</v>
      </c>
      <c r="I259" s="24">
        <v>45966</v>
      </c>
      <c r="J259" s="22" t="s">
        <v>263</v>
      </c>
      <c r="K259" s="22" t="s">
        <v>946</v>
      </c>
      <c r="L259" s="25">
        <v>28.32</v>
      </c>
      <c r="M259" s="25">
        <v>1.56</v>
      </c>
      <c r="N259" s="25">
        <v>29.88</v>
      </c>
      <c r="O259" s="22"/>
      <c r="P259" s="26">
        <v>45978</v>
      </c>
      <c r="Q259" s="25">
        <v>29.88</v>
      </c>
      <c r="R259" s="22" t="s">
        <v>947</v>
      </c>
      <c r="S259" s="25">
        <v>0</v>
      </c>
      <c r="T259" s="22"/>
      <c r="U259" s="23"/>
      <c r="V259" s="22"/>
      <c r="W259" s="23"/>
      <c r="X259" s="23"/>
      <c r="Y259" s="23"/>
      <c r="Z259" s="25">
        <v>0</v>
      </c>
      <c r="AA259" s="25">
        <v>0</v>
      </c>
      <c r="AB259" s="25">
        <v>0</v>
      </c>
      <c r="AC259" s="22"/>
      <c r="AD259" s="22" t="s">
        <v>293</v>
      </c>
      <c r="AE259" s="22" t="s">
        <v>294</v>
      </c>
      <c r="AF259" s="22" t="s">
        <v>31</v>
      </c>
      <c r="AG259" s="22" t="s">
        <v>42</v>
      </c>
      <c r="AH259" s="22" t="s">
        <v>228</v>
      </c>
      <c r="AI259" s="22" t="s">
        <v>31</v>
      </c>
      <c r="AJ259" s="22"/>
      <c r="AK259" s="22" t="s">
        <v>235</v>
      </c>
      <c r="AL259" s="22" t="s">
        <v>331</v>
      </c>
      <c r="AM259" s="22" t="s">
        <v>231</v>
      </c>
      <c r="AN259" s="22" t="s">
        <v>232</v>
      </c>
      <c r="AO259" s="22" t="s">
        <v>231</v>
      </c>
      <c r="AP259" s="22" t="s">
        <v>232</v>
      </c>
      <c r="AQ259" s="22"/>
      <c r="AR259" s="22"/>
      <c r="AS259" s="22"/>
      <c r="AT259" s="22"/>
      <c r="AU259" s="22"/>
      <c r="AV259" s="22"/>
      <c r="AW259" s="23"/>
      <c r="AX259" s="27"/>
      <c r="AY259" s="25"/>
      <c r="AZ259" s="27"/>
      <c r="BA259" s="25"/>
      <c r="BB259" s="22"/>
      <c r="BC259" s="22"/>
      <c r="BD259" s="22"/>
      <c r="BE259" s="22"/>
      <c r="BF259" s="23"/>
      <c r="BG259" s="23"/>
      <c r="BH259" s="22" t="s">
        <v>948</v>
      </c>
      <c r="BI259" s="23">
        <v>1</v>
      </c>
      <c r="BJ259" s="23">
        <v>0</v>
      </c>
      <c r="BK259" s="24"/>
      <c r="BL259" s="24"/>
      <c r="BM259" s="22"/>
      <c r="BN259" s="24">
        <v>45978</v>
      </c>
      <c r="BO259" s="24"/>
      <c r="BP259" s="25">
        <v>29.88</v>
      </c>
      <c r="BQ259" s="24">
        <v>45966</v>
      </c>
    </row>
    <row r="260" spans="1:69" ht="22.5" hidden="1" customHeight="1" x14ac:dyDescent="0.2">
      <c r="A260" s="28" t="s">
        <v>262</v>
      </c>
      <c r="B260" s="28"/>
      <c r="C260" s="28" t="s">
        <v>221</v>
      </c>
      <c r="D260" s="28" t="s">
        <v>222</v>
      </c>
      <c r="E260" s="29">
        <v>418041</v>
      </c>
      <c r="F260" s="29">
        <v>2551</v>
      </c>
      <c r="G260" s="29">
        <v>371</v>
      </c>
      <c r="H260" s="29">
        <v>0</v>
      </c>
      <c r="I260" s="30">
        <v>45966</v>
      </c>
      <c r="J260" s="28" t="s">
        <v>263</v>
      </c>
      <c r="K260" s="28" t="s">
        <v>949</v>
      </c>
      <c r="L260" s="31">
        <v>26.68</v>
      </c>
      <c r="M260" s="31">
        <v>3.02</v>
      </c>
      <c r="N260" s="31">
        <v>29.7</v>
      </c>
      <c r="O260" s="28"/>
      <c r="P260" s="32">
        <v>45978</v>
      </c>
      <c r="Q260" s="31">
        <v>29.7</v>
      </c>
      <c r="R260" s="28" t="s">
        <v>950</v>
      </c>
      <c r="S260" s="31">
        <v>0</v>
      </c>
      <c r="T260" s="28"/>
      <c r="U260" s="29"/>
      <c r="V260" s="28"/>
      <c r="W260" s="29"/>
      <c r="X260" s="29"/>
      <c r="Y260" s="29"/>
      <c r="Z260" s="31">
        <v>0</v>
      </c>
      <c r="AA260" s="31">
        <v>0</v>
      </c>
      <c r="AB260" s="31">
        <v>0</v>
      </c>
      <c r="AC260" s="28"/>
      <c r="AD260" s="28" t="s">
        <v>293</v>
      </c>
      <c r="AE260" s="28" t="s">
        <v>294</v>
      </c>
      <c r="AF260" s="28" t="s">
        <v>31</v>
      </c>
      <c r="AG260" s="28" t="s">
        <v>42</v>
      </c>
      <c r="AH260" s="28" t="s">
        <v>228</v>
      </c>
      <c r="AI260" s="28" t="s">
        <v>31</v>
      </c>
      <c r="AJ260" s="28"/>
      <c r="AK260" s="28" t="s">
        <v>235</v>
      </c>
      <c r="AL260" s="28" t="s">
        <v>331</v>
      </c>
      <c r="AM260" s="28" t="s">
        <v>231</v>
      </c>
      <c r="AN260" s="28" t="s">
        <v>232</v>
      </c>
      <c r="AO260" s="28" t="s">
        <v>231</v>
      </c>
      <c r="AP260" s="28" t="s">
        <v>232</v>
      </c>
      <c r="AQ260" s="28"/>
      <c r="AR260" s="28"/>
      <c r="AS260" s="28"/>
      <c r="AT260" s="28"/>
      <c r="AU260" s="28"/>
      <c r="AV260" s="28"/>
      <c r="AW260" s="29"/>
      <c r="AX260" s="33"/>
      <c r="AY260" s="31"/>
      <c r="AZ260" s="33"/>
      <c r="BA260" s="31"/>
      <c r="BB260" s="28"/>
      <c r="BC260" s="28"/>
      <c r="BD260" s="28"/>
      <c r="BE260" s="28"/>
      <c r="BF260" s="29"/>
      <c r="BG260" s="29"/>
      <c r="BH260" s="28" t="s">
        <v>951</v>
      </c>
      <c r="BI260" s="29">
        <v>1</v>
      </c>
      <c r="BJ260" s="29">
        <v>0</v>
      </c>
      <c r="BK260" s="30"/>
      <c r="BL260" s="30"/>
      <c r="BM260" s="28"/>
      <c r="BN260" s="30">
        <v>45978</v>
      </c>
      <c r="BO260" s="30"/>
      <c r="BP260" s="31">
        <v>29.7</v>
      </c>
      <c r="BQ260" s="30">
        <v>45966</v>
      </c>
    </row>
    <row r="261" spans="1:69" ht="22.5" hidden="1" customHeight="1" x14ac:dyDescent="0.2">
      <c r="A261" s="22" t="s">
        <v>262</v>
      </c>
      <c r="B261" s="22"/>
      <c r="C261" s="22" t="s">
        <v>221</v>
      </c>
      <c r="D261" s="22" t="s">
        <v>222</v>
      </c>
      <c r="E261" s="23">
        <v>418042</v>
      </c>
      <c r="F261" s="23">
        <v>2552</v>
      </c>
      <c r="G261" s="23">
        <v>371</v>
      </c>
      <c r="H261" s="23">
        <v>0</v>
      </c>
      <c r="I261" s="24">
        <v>45966</v>
      </c>
      <c r="J261" s="22" t="s">
        <v>263</v>
      </c>
      <c r="K261" s="22" t="s">
        <v>952</v>
      </c>
      <c r="L261" s="25">
        <v>25.84</v>
      </c>
      <c r="M261" s="25">
        <v>3.73</v>
      </c>
      <c r="N261" s="25">
        <v>29.57</v>
      </c>
      <c r="O261" s="22"/>
      <c r="P261" s="26">
        <v>45978</v>
      </c>
      <c r="Q261" s="25">
        <v>29.57</v>
      </c>
      <c r="R261" s="22" t="s">
        <v>953</v>
      </c>
      <c r="S261" s="25">
        <v>0</v>
      </c>
      <c r="T261" s="22"/>
      <c r="U261" s="23"/>
      <c r="V261" s="22"/>
      <c r="W261" s="23"/>
      <c r="X261" s="23"/>
      <c r="Y261" s="23"/>
      <c r="Z261" s="25">
        <v>0</v>
      </c>
      <c r="AA261" s="25">
        <v>0</v>
      </c>
      <c r="AB261" s="25">
        <v>0</v>
      </c>
      <c r="AC261" s="22"/>
      <c r="AD261" s="22" t="s">
        <v>293</v>
      </c>
      <c r="AE261" s="22" t="s">
        <v>294</v>
      </c>
      <c r="AF261" s="22" t="s">
        <v>31</v>
      </c>
      <c r="AG261" s="22" t="s">
        <v>42</v>
      </c>
      <c r="AH261" s="22" t="s">
        <v>228</v>
      </c>
      <c r="AI261" s="22" t="s">
        <v>31</v>
      </c>
      <c r="AJ261" s="22"/>
      <c r="AK261" s="22" t="s">
        <v>235</v>
      </c>
      <c r="AL261" s="22" t="s">
        <v>331</v>
      </c>
      <c r="AM261" s="22" t="s">
        <v>231</v>
      </c>
      <c r="AN261" s="22" t="s">
        <v>232</v>
      </c>
      <c r="AO261" s="22" t="s">
        <v>231</v>
      </c>
      <c r="AP261" s="22" t="s">
        <v>232</v>
      </c>
      <c r="AQ261" s="22"/>
      <c r="AR261" s="22"/>
      <c r="AS261" s="22"/>
      <c r="AT261" s="22"/>
      <c r="AU261" s="22"/>
      <c r="AV261" s="22"/>
      <c r="AW261" s="23"/>
      <c r="AX261" s="27"/>
      <c r="AY261" s="25"/>
      <c r="AZ261" s="27"/>
      <c r="BA261" s="25"/>
      <c r="BB261" s="22"/>
      <c r="BC261" s="22"/>
      <c r="BD261" s="22"/>
      <c r="BE261" s="22"/>
      <c r="BF261" s="23"/>
      <c r="BG261" s="23"/>
      <c r="BH261" s="22" t="s">
        <v>954</v>
      </c>
      <c r="BI261" s="23">
        <v>1</v>
      </c>
      <c r="BJ261" s="23">
        <v>0</v>
      </c>
      <c r="BK261" s="24"/>
      <c r="BL261" s="24"/>
      <c r="BM261" s="22"/>
      <c r="BN261" s="24">
        <v>45978</v>
      </c>
      <c r="BO261" s="24"/>
      <c r="BP261" s="25">
        <v>29.57</v>
      </c>
      <c r="BQ261" s="24">
        <v>45966</v>
      </c>
    </row>
    <row r="262" spans="1:69" ht="22.5" hidden="1" customHeight="1" x14ac:dyDescent="0.2">
      <c r="A262" s="28" t="s">
        <v>262</v>
      </c>
      <c r="B262" s="28"/>
      <c r="C262" s="28" t="s">
        <v>221</v>
      </c>
      <c r="D262" s="28" t="s">
        <v>222</v>
      </c>
      <c r="E262" s="29">
        <v>418043</v>
      </c>
      <c r="F262" s="29">
        <v>2553</v>
      </c>
      <c r="G262" s="29">
        <v>371</v>
      </c>
      <c r="H262" s="29">
        <v>0</v>
      </c>
      <c r="I262" s="30">
        <v>45966</v>
      </c>
      <c r="J262" s="28" t="s">
        <v>263</v>
      </c>
      <c r="K262" s="28" t="s">
        <v>955</v>
      </c>
      <c r="L262" s="31">
        <v>28.19</v>
      </c>
      <c r="M262" s="31">
        <v>1.55</v>
      </c>
      <c r="N262" s="31">
        <v>29.74</v>
      </c>
      <c r="O262" s="28"/>
      <c r="P262" s="32">
        <v>45978</v>
      </c>
      <c r="Q262" s="31">
        <v>29.74</v>
      </c>
      <c r="R262" s="28" t="s">
        <v>956</v>
      </c>
      <c r="S262" s="31">
        <v>0</v>
      </c>
      <c r="T262" s="28"/>
      <c r="U262" s="29"/>
      <c r="V262" s="28"/>
      <c r="W262" s="29"/>
      <c r="X262" s="29"/>
      <c r="Y262" s="29"/>
      <c r="Z262" s="31">
        <v>0</v>
      </c>
      <c r="AA262" s="31">
        <v>0</v>
      </c>
      <c r="AB262" s="31">
        <v>0</v>
      </c>
      <c r="AC262" s="28"/>
      <c r="AD262" s="28" t="s">
        <v>293</v>
      </c>
      <c r="AE262" s="28" t="s">
        <v>294</v>
      </c>
      <c r="AF262" s="28" t="s">
        <v>31</v>
      </c>
      <c r="AG262" s="28" t="s">
        <v>42</v>
      </c>
      <c r="AH262" s="28" t="s">
        <v>228</v>
      </c>
      <c r="AI262" s="28" t="s">
        <v>31</v>
      </c>
      <c r="AJ262" s="28"/>
      <c r="AK262" s="28" t="s">
        <v>235</v>
      </c>
      <c r="AL262" s="28" t="s">
        <v>331</v>
      </c>
      <c r="AM262" s="28" t="s">
        <v>231</v>
      </c>
      <c r="AN262" s="28" t="s">
        <v>232</v>
      </c>
      <c r="AO262" s="28" t="s">
        <v>231</v>
      </c>
      <c r="AP262" s="28" t="s">
        <v>232</v>
      </c>
      <c r="AQ262" s="28"/>
      <c r="AR262" s="28"/>
      <c r="AS262" s="28"/>
      <c r="AT262" s="28"/>
      <c r="AU262" s="28"/>
      <c r="AV262" s="28"/>
      <c r="AW262" s="29"/>
      <c r="AX262" s="33"/>
      <c r="AY262" s="31"/>
      <c r="AZ262" s="33"/>
      <c r="BA262" s="31"/>
      <c r="BB262" s="28"/>
      <c r="BC262" s="28"/>
      <c r="BD262" s="28"/>
      <c r="BE262" s="28"/>
      <c r="BF262" s="29"/>
      <c r="BG262" s="29"/>
      <c r="BH262" s="28" t="s">
        <v>957</v>
      </c>
      <c r="BI262" s="29">
        <v>1</v>
      </c>
      <c r="BJ262" s="29">
        <v>0</v>
      </c>
      <c r="BK262" s="30"/>
      <c r="BL262" s="30"/>
      <c r="BM262" s="28"/>
      <c r="BN262" s="30">
        <v>45978</v>
      </c>
      <c r="BO262" s="30"/>
      <c r="BP262" s="31">
        <v>29.74</v>
      </c>
      <c r="BQ262" s="30">
        <v>45966</v>
      </c>
    </row>
    <row r="263" spans="1:69" ht="22.5" hidden="1" customHeight="1" x14ac:dyDescent="0.2">
      <c r="A263" s="22" t="s">
        <v>262</v>
      </c>
      <c r="B263" s="22"/>
      <c r="C263" s="22" t="s">
        <v>221</v>
      </c>
      <c r="D263" s="22" t="s">
        <v>222</v>
      </c>
      <c r="E263" s="23">
        <v>418044</v>
      </c>
      <c r="F263" s="23">
        <v>2554</v>
      </c>
      <c r="G263" s="23">
        <v>371</v>
      </c>
      <c r="H263" s="23">
        <v>0</v>
      </c>
      <c r="I263" s="24">
        <v>45966</v>
      </c>
      <c r="J263" s="22" t="s">
        <v>263</v>
      </c>
      <c r="K263" s="22" t="s">
        <v>958</v>
      </c>
      <c r="L263" s="25">
        <v>25.31</v>
      </c>
      <c r="M263" s="25">
        <v>2.2599999999999998</v>
      </c>
      <c r="N263" s="25">
        <v>27.57</v>
      </c>
      <c r="O263" s="22"/>
      <c r="P263" s="26">
        <v>45978</v>
      </c>
      <c r="Q263" s="25">
        <v>27.57</v>
      </c>
      <c r="R263" s="22" t="s">
        <v>959</v>
      </c>
      <c r="S263" s="25">
        <v>0</v>
      </c>
      <c r="T263" s="22"/>
      <c r="U263" s="23"/>
      <c r="V263" s="22"/>
      <c r="W263" s="23"/>
      <c r="X263" s="23"/>
      <c r="Y263" s="23"/>
      <c r="Z263" s="25">
        <v>0</v>
      </c>
      <c r="AA263" s="25">
        <v>0</v>
      </c>
      <c r="AB263" s="25">
        <v>0</v>
      </c>
      <c r="AC263" s="22"/>
      <c r="AD263" s="22" t="s">
        <v>293</v>
      </c>
      <c r="AE263" s="22" t="s">
        <v>294</v>
      </c>
      <c r="AF263" s="22" t="s">
        <v>31</v>
      </c>
      <c r="AG263" s="22" t="s">
        <v>42</v>
      </c>
      <c r="AH263" s="22" t="s">
        <v>228</v>
      </c>
      <c r="AI263" s="22" t="s">
        <v>31</v>
      </c>
      <c r="AJ263" s="22"/>
      <c r="AK263" s="22" t="s">
        <v>235</v>
      </c>
      <c r="AL263" s="22" t="s">
        <v>331</v>
      </c>
      <c r="AM263" s="22" t="s">
        <v>231</v>
      </c>
      <c r="AN263" s="22" t="s">
        <v>232</v>
      </c>
      <c r="AO263" s="22" t="s">
        <v>231</v>
      </c>
      <c r="AP263" s="22" t="s">
        <v>232</v>
      </c>
      <c r="AQ263" s="22"/>
      <c r="AR263" s="22"/>
      <c r="AS263" s="22"/>
      <c r="AT263" s="22"/>
      <c r="AU263" s="22"/>
      <c r="AV263" s="22"/>
      <c r="AW263" s="23"/>
      <c r="AX263" s="27"/>
      <c r="AY263" s="25"/>
      <c r="AZ263" s="27"/>
      <c r="BA263" s="25"/>
      <c r="BB263" s="22"/>
      <c r="BC263" s="22"/>
      <c r="BD263" s="22"/>
      <c r="BE263" s="22"/>
      <c r="BF263" s="23"/>
      <c r="BG263" s="23"/>
      <c r="BH263" s="22" t="s">
        <v>960</v>
      </c>
      <c r="BI263" s="23">
        <v>1</v>
      </c>
      <c r="BJ263" s="23">
        <v>0</v>
      </c>
      <c r="BK263" s="24"/>
      <c r="BL263" s="24"/>
      <c r="BM263" s="22"/>
      <c r="BN263" s="24">
        <v>45978</v>
      </c>
      <c r="BO263" s="24"/>
      <c r="BP263" s="25">
        <v>27.57</v>
      </c>
      <c r="BQ263" s="24">
        <v>45966</v>
      </c>
    </row>
    <row r="264" spans="1:69" ht="22.5" hidden="1" customHeight="1" x14ac:dyDescent="0.2">
      <c r="A264" s="28" t="s">
        <v>262</v>
      </c>
      <c r="B264" s="28"/>
      <c r="C264" s="28" t="s">
        <v>221</v>
      </c>
      <c r="D264" s="28" t="s">
        <v>222</v>
      </c>
      <c r="E264" s="29">
        <v>418045</v>
      </c>
      <c r="F264" s="29">
        <v>2761</v>
      </c>
      <c r="G264" s="29">
        <v>396</v>
      </c>
      <c r="H264" s="29">
        <v>0</v>
      </c>
      <c r="I264" s="30">
        <v>45975</v>
      </c>
      <c r="J264" s="28" t="s">
        <v>395</v>
      </c>
      <c r="K264" s="28" t="s">
        <v>961</v>
      </c>
      <c r="L264" s="31">
        <v>183.46</v>
      </c>
      <c r="M264" s="31">
        <v>11.4</v>
      </c>
      <c r="N264" s="31">
        <v>194.86</v>
      </c>
      <c r="O264" s="28"/>
      <c r="P264" s="32">
        <v>45978</v>
      </c>
      <c r="Q264" s="31">
        <v>194.86</v>
      </c>
      <c r="R264" s="28" t="s">
        <v>962</v>
      </c>
      <c r="S264" s="31">
        <v>0</v>
      </c>
      <c r="T264" s="28"/>
      <c r="U264" s="29"/>
      <c r="V264" s="28"/>
      <c r="W264" s="29"/>
      <c r="X264" s="29"/>
      <c r="Y264" s="29"/>
      <c r="Z264" s="31">
        <v>0</v>
      </c>
      <c r="AA264" s="31">
        <v>0</v>
      </c>
      <c r="AB264" s="31">
        <v>0</v>
      </c>
      <c r="AC264" s="28"/>
      <c r="AD264" s="28" t="s">
        <v>365</v>
      </c>
      <c r="AE264" s="28" t="s">
        <v>366</v>
      </c>
      <c r="AF264" s="28" t="s">
        <v>31</v>
      </c>
      <c r="AG264" s="28" t="s">
        <v>42</v>
      </c>
      <c r="AH264" s="28" t="s">
        <v>228</v>
      </c>
      <c r="AI264" s="28" t="s">
        <v>31</v>
      </c>
      <c r="AJ264" s="28"/>
      <c r="AK264" s="28" t="s">
        <v>235</v>
      </c>
      <c r="AL264" s="28" t="s">
        <v>250</v>
      </c>
      <c r="AM264" s="28" t="s">
        <v>231</v>
      </c>
      <c r="AN264" s="28" t="s">
        <v>232</v>
      </c>
      <c r="AO264" s="28" t="s">
        <v>231</v>
      </c>
      <c r="AP264" s="28" t="s">
        <v>232</v>
      </c>
      <c r="AQ264" s="28"/>
      <c r="AR264" s="28"/>
      <c r="AS264" s="28"/>
      <c r="AT264" s="28"/>
      <c r="AU264" s="28"/>
      <c r="AV264" s="28"/>
      <c r="AW264" s="29"/>
      <c r="AX264" s="33"/>
      <c r="AY264" s="31"/>
      <c r="AZ264" s="33"/>
      <c r="BA264" s="31"/>
      <c r="BB264" s="28"/>
      <c r="BC264" s="28"/>
      <c r="BD264" s="28"/>
      <c r="BE264" s="28"/>
      <c r="BF264" s="29"/>
      <c r="BG264" s="29"/>
      <c r="BH264" s="28" t="s">
        <v>963</v>
      </c>
      <c r="BI264" s="29">
        <v>1</v>
      </c>
      <c r="BJ264" s="29">
        <v>0</v>
      </c>
      <c r="BK264" s="30"/>
      <c r="BL264" s="30"/>
      <c r="BM264" s="28"/>
      <c r="BN264" s="30">
        <v>45978</v>
      </c>
      <c r="BO264" s="30">
        <v>45975</v>
      </c>
      <c r="BP264" s="31">
        <v>194.86</v>
      </c>
      <c r="BQ264" s="30">
        <v>45974</v>
      </c>
    </row>
    <row r="265" spans="1:69" ht="22.5" hidden="1" customHeight="1" x14ac:dyDescent="0.2">
      <c r="A265" s="22" t="s">
        <v>262</v>
      </c>
      <c r="B265" s="22"/>
      <c r="C265" s="22" t="s">
        <v>221</v>
      </c>
      <c r="D265" s="22" t="s">
        <v>222</v>
      </c>
      <c r="E265" s="23">
        <v>418050</v>
      </c>
      <c r="F265" s="23">
        <v>2555</v>
      </c>
      <c r="G265" s="23">
        <v>371</v>
      </c>
      <c r="H265" s="23">
        <v>0</v>
      </c>
      <c r="I265" s="24">
        <v>45966</v>
      </c>
      <c r="J265" s="22" t="s">
        <v>263</v>
      </c>
      <c r="K265" s="22" t="s">
        <v>964</v>
      </c>
      <c r="L265" s="25">
        <v>26.49</v>
      </c>
      <c r="M265" s="25">
        <v>2.2999999999999998</v>
      </c>
      <c r="N265" s="25">
        <v>28.79</v>
      </c>
      <c r="O265" s="22"/>
      <c r="P265" s="26">
        <v>45978</v>
      </c>
      <c r="Q265" s="25">
        <v>28.79</v>
      </c>
      <c r="R265" s="22" t="s">
        <v>965</v>
      </c>
      <c r="S265" s="25">
        <v>0</v>
      </c>
      <c r="T265" s="22"/>
      <c r="U265" s="23"/>
      <c r="V265" s="22"/>
      <c r="W265" s="23"/>
      <c r="X265" s="23"/>
      <c r="Y265" s="23"/>
      <c r="Z265" s="25">
        <v>0</v>
      </c>
      <c r="AA265" s="25">
        <v>0</v>
      </c>
      <c r="AB265" s="25">
        <v>0</v>
      </c>
      <c r="AC265" s="22"/>
      <c r="AD265" s="22" t="s">
        <v>293</v>
      </c>
      <c r="AE265" s="22" t="s">
        <v>294</v>
      </c>
      <c r="AF265" s="22" t="s">
        <v>31</v>
      </c>
      <c r="AG265" s="22" t="s">
        <v>42</v>
      </c>
      <c r="AH265" s="22" t="s">
        <v>228</v>
      </c>
      <c r="AI265" s="22" t="s">
        <v>31</v>
      </c>
      <c r="AJ265" s="22"/>
      <c r="AK265" s="22" t="s">
        <v>235</v>
      </c>
      <c r="AL265" s="22" t="s">
        <v>331</v>
      </c>
      <c r="AM265" s="22" t="s">
        <v>231</v>
      </c>
      <c r="AN265" s="22" t="s">
        <v>232</v>
      </c>
      <c r="AO265" s="22" t="s">
        <v>231</v>
      </c>
      <c r="AP265" s="22" t="s">
        <v>232</v>
      </c>
      <c r="AQ265" s="22"/>
      <c r="AR265" s="22"/>
      <c r="AS265" s="22"/>
      <c r="AT265" s="22"/>
      <c r="AU265" s="22"/>
      <c r="AV265" s="22"/>
      <c r="AW265" s="23"/>
      <c r="AX265" s="27"/>
      <c r="AY265" s="25"/>
      <c r="AZ265" s="27"/>
      <c r="BA265" s="25"/>
      <c r="BB265" s="22"/>
      <c r="BC265" s="22"/>
      <c r="BD265" s="22"/>
      <c r="BE265" s="22"/>
      <c r="BF265" s="23"/>
      <c r="BG265" s="23"/>
      <c r="BH265" s="22" t="s">
        <v>966</v>
      </c>
      <c r="BI265" s="23">
        <v>1</v>
      </c>
      <c r="BJ265" s="23">
        <v>0</v>
      </c>
      <c r="BK265" s="24"/>
      <c r="BL265" s="24"/>
      <c r="BM265" s="22"/>
      <c r="BN265" s="24">
        <v>45978</v>
      </c>
      <c r="BO265" s="24"/>
      <c r="BP265" s="25">
        <v>28.79</v>
      </c>
      <c r="BQ265" s="24">
        <v>45966</v>
      </c>
    </row>
    <row r="266" spans="1:69" ht="22.5" hidden="1" customHeight="1" x14ac:dyDescent="0.2">
      <c r="A266" s="28" t="s">
        <v>262</v>
      </c>
      <c r="B266" s="28"/>
      <c r="C266" s="28" t="s">
        <v>221</v>
      </c>
      <c r="D266" s="28" t="s">
        <v>222</v>
      </c>
      <c r="E266" s="29">
        <v>418055</v>
      </c>
      <c r="F266" s="29">
        <v>2556</v>
      </c>
      <c r="G266" s="29">
        <v>371</v>
      </c>
      <c r="H266" s="29">
        <v>0</v>
      </c>
      <c r="I266" s="30">
        <v>45966</v>
      </c>
      <c r="J266" s="28" t="s">
        <v>263</v>
      </c>
      <c r="K266" s="28" t="s">
        <v>967</v>
      </c>
      <c r="L266" s="31">
        <v>45.87</v>
      </c>
      <c r="M266" s="31">
        <v>3.36</v>
      </c>
      <c r="N266" s="31">
        <v>49.23</v>
      </c>
      <c r="O266" s="28"/>
      <c r="P266" s="32">
        <v>45978</v>
      </c>
      <c r="Q266" s="31">
        <v>49.23</v>
      </c>
      <c r="R266" s="28" t="s">
        <v>968</v>
      </c>
      <c r="S266" s="31">
        <v>0</v>
      </c>
      <c r="T266" s="28"/>
      <c r="U266" s="29"/>
      <c r="V266" s="28"/>
      <c r="W266" s="29"/>
      <c r="X266" s="29"/>
      <c r="Y266" s="29"/>
      <c r="Z266" s="31">
        <v>0</v>
      </c>
      <c r="AA266" s="31">
        <v>0</v>
      </c>
      <c r="AB266" s="31">
        <v>0</v>
      </c>
      <c r="AC266" s="28"/>
      <c r="AD266" s="28" t="s">
        <v>293</v>
      </c>
      <c r="AE266" s="28" t="s">
        <v>294</v>
      </c>
      <c r="AF266" s="28" t="s">
        <v>31</v>
      </c>
      <c r="AG266" s="28" t="s">
        <v>42</v>
      </c>
      <c r="AH266" s="28" t="s">
        <v>228</v>
      </c>
      <c r="AI266" s="28" t="s">
        <v>31</v>
      </c>
      <c r="AJ266" s="28"/>
      <c r="AK266" s="28" t="s">
        <v>235</v>
      </c>
      <c r="AL266" s="28" t="s">
        <v>331</v>
      </c>
      <c r="AM266" s="28" t="s">
        <v>231</v>
      </c>
      <c r="AN266" s="28" t="s">
        <v>232</v>
      </c>
      <c r="AO266" s="28" t="s">
        <v>231</v>
      </c>
      <c r="AP266" s="28" t="s">
        <v>232</v>
      </c>
      <c r="AQ266" s="28"/>
      <c r="AR266" s="28"/>
      <c r="AS266" s="28"/>
      <c r="AT266" s="28"/>
      <c r="AU266" s="28"/>
      <c r="AV266" s="28"/>
      <c r="AW266" s="29"/>
      <c r="AX266" s="33"/>
      <c r="AY266" s="31"/>
      <c r="AZ266" s="33"/>
      <c r="BA266" s="31"/>
      <c r="BB266" s="28"/>
      <c r="BC266" s="28"/>
      <c r="BD266" s="28"/>
      <c r="BE266" s="28"/>
      <c r="BF266" s="29"/>
      <c r="BG266" s="29"/>
      <c r="BH266" s="28" t="s">
        <v>969</v>
      </c>
      <c r="BI266" s="29">
        <v>1</v>
      </c>
      <c r="BJ266" s="29">
        <v>0</v>
      </c>
      <c r="BK266" s="30"/>
      <c r="BL266" s="30"/>
      <c r="BM266" s="28"/>
      <c r="BN266" s="30">
        <v>45978</v>
      </c>
      <c r="BO266" s="30"/>
      <c r="BP266" s="31">
        <v>49.23</v>
      </c>
      <c r="BQ266" s="30">
        <v>45966</v>
      </c>
    </row>
    <row r="267" spans="1:69" ht="22.5" hidden="1" customHeight="1" x14ac:dyDescent="0.2">
      <c r="A267" s="22" t="s">
        <v>262</v>
      </c>
      <c r="B267" s="22"/>
      <c r="C267" s="22" t="s">
        <v>221</v>
      </c>
      <c r="D267" s="22" t="s">
        <v>222</v>
      </c>
      <c r="E267" s="23">
        <v>418056</v>
      </c>
      <c r="F267" s="23">
        <v>2557</v>
      </c>
      <c r="G267" s="23">
        <v>371</v>
      </c>
      <c r="H267" s="23">
        <v>0</v>
      </c>
      <c r="I267" s="24">
        <v>45966</v>
      </c>
      <c r="J267" s="22" t="s">
        <v>263</v>
      </c>
      <c r="K267" s="22" t="s">
        <v>970</v>
      </c>
      <c r="L267" s="25">
        <v>79.069999999999993</v>
      </c>
      <c r="M267" s="25">
        <v>6.01</v>
      </c>
      <c r="N267" s="25">
        <v>85.08</v>
      </c>
      <c r="O267" s="22"/>
      <c r="P267" s="26">
        <v>45978</v>
      </c>
      <c r="Q267" s="25">
        <v>85.08</v>
      </c>
      <c r="R267" s="22" t="s">
        <v>971</v>
      </c>
      <c r="S267" s="25">
        <v>0</v>
      </c>
      <c r="T267" s="22"/>
      <c r="U267" s="23"/>
      <c r="V267" s="22"/>
      <c r="W267" s="23"/>
      <c r="X267" s="23"/>
      <c r="Y267" s="23"/>
      <c r="Z267" s="25">
        <v>0</v>
      </c>
      <c r="AA267" s="25">
        <v>0</v>
      </c>
      <c r="AB267" s="25">
        <v>0</v>
      </c>
      <c r="AC267" s="22"/>
      <c r="AD267" s="22" t="s">
        <v>293</v>
      </c>
      <c r="AE267" s="22" t="s">
        <v>294</v>
      </c>
      <c r="AF267" s="22" t="s">
        <v>31</v>
      </c>
      <c r="AG267" s="22" t="s">
        <v>42</v>
      </c>
      <c r="AH267" s="22" t="s">
        <v>228</v>
      </c>
      <c r="AI267" s="22" t="s">
        <v>31</v>
      </c>
      <c r="AJ267" s="22"/>
      <c r="AK267" s="22" t="s">
        <v>235</v>
      </c>
      <c r="AL267" s="22" t="s">
        <v>331</v>
      </c>
      <c r="AM267" s="22" t="s">
        <v>231</v>
      </c>
      <c r="AN267" s="22" t="s">
        <v>232</v>
      </c>
      <c r="AO267" s="22" t="s">
        <v>231</v>
      </c>
      <c r="AP267" s="22" t="s">
        <v>232</v>
      </c>
      <c r="AQ267" s="22"/>
      <c r="AR267" s="22"/>
      <c r="AS267" s="22"/>
      <c r="AT267" s="22"/>
      <c r="AU267" s="22"/>
      <c r="AV267" s="22"/>
      <c r="AW267" s="23"/>
      <c r="AX267" s="27"/>
      <c r="AY267" s="25"/>
      <c r="AZ267" s="27"/>
      <c r="BA267" s="25"/>
      <c r="BB267" s="22"/>
      <c r="BC267" s="22"/>
      <c r="BD267" s="22"/>
      <c r="BE267" s="22"/>
      <c r="BF267" s="23"/>
      <c r="BG267" s="23"/>
      <c r="BH267" s="22" t="s">
        <v>972</v>
      </c>
      <c r="BI267" s="23">
        <v>1</v>
      </c>
      <c r="BJ267" s="23">
        <v>0</v>
      </c>
      <c r="BK267" s="24"/>
      <c r="BL267" s="24"/>
      <c r="BM267" s="22"/>
      <c r="BN267" s="24">
        <v>45978</v>
      </c>
      <c r="BO267" s="24"/>
      <c r="BP267" s="25">
        <v>85.08</v>
      </c>
      <c r="BQ267" s="24">
        <v>45966</v>
      </c>
    </row>
    <row r="268" spans="1:69" ht="22.5" hidden="1" customHeight="1" x14ac:dyDescent="0.2">
      <c r="A268" s="28" t="s">
        <v>262</v>
      </c>
      <c r="B268" s="28"/>
      <c r="C268" s="28" t="s">
        <v>221</v>
      </c>
      <c r="D268" s="28" t="s">
        <v>222</v>
      </c>
      <c r="E268" s="29">
        <v>418091</v>
      </c>
      <c r="F268" s="29">
        <v>2597</v>
      </c>
      <c r="G268" s="29">
        <v>376</v>
      </c>
      <c r="H268" s="29">
        <v>0</v>
      </c>
      <c r="I268" s="30">
        <v>45967</v>
      </c>
      <c r="J268" s="28" t="s">
        <v>263</v>
      </c>
      <c r="K268" s="28" t="s">
        <v>973</v>
      </c>
      <c r="L268" s="31">
        <v>137.41999999999999</v>
      </c>
      <c r="M268" s="31">
        <v>8.6199999999999992</v>
      </c>
      <c r="N268" s="31">
        <v>146.04</v>
      </c>
      <c r="O268" s="28"/>
      <c r="P268" s="32">
        <v>45978</v>
      </c>
      <c r="Q268" s="31">
        <v>146.04</v>
      </c>
      <c r="R268" s="28" t="s">
        <v>974</v>
      </c>
      <c r="S268" s="31">
        <v>0</v>
      </c>
      <c r="T268" s="28"/>
      <c r="U268" s="29"/>
      <c r="V268" s="28"/>
      <c r="W268" s="29"/>
      <c r="X268" s="29"/>
      <c r="Y268" s="29"/>
      <c r="Z268" s="31">
        <v>0</v>
      </c>
      <c r="AA268" s="31">
        <v>0</v>
      </c>
      <c r="AB268" s="31">
        <v>0</v>
      </c>
      <c r="AC268" s="28"/>
      <c r="AD268" s="28" t="s">
        <v>293</v>
      </c>
      <c r="AE268" s="28" t="s">
        <v>294</v>
      </c>
      <c r="AF268" s="28" t="s">
        <v>31</v>
      </c>
      <c r="AG268" s="28" t="s">
        <v>53</v>
      </c>
      <c r="AH268" s="28" t="s">
        <v>228</v>
      </c>
      <c r="AI268" s="28" t="s">
        <v>31</v>
      </c>
      <c r="AJ268" s="28"/>
      <c r="AK268" s="28" t="s">
        <v>239</v>
      </c>
      <c r="AL268" s="28" t="s">
        <v>240</v>
      </c>
      <c r="AM268" s="28" t="s">
        <v>231</v>
      </c>
      <c r="AN268" s="28" t="s">
        <v>232</v>
      </c>
      <c r="AO268" s="28" t="s">
        <v>231</v>
      </c>
      <c r="AP268" s="28" t="s">
        <v>232</v>
      </c>
      <c r="AQ268" s="28"/>
      <c r="AR268" s="28"/>
      <c r="AS268" s="28"/>
      <c r="AT268" s="28"/>
      <c r="AU268" s="28"/>
      <c r="AV268" s="28"/>
      <c r="AW268" s="29"/>
      <c r="AX268" s="33"/>
      <c r="AY268" s="31"/>
      <c r="AZ268" s="33"/>
      <c r="BA268" s="31"/>
      <c r="BB268" s="28"/>
      <c r="BC268" s="28"/>
      <c r="BD268" s="28"/>
      <c r="BE268" s="28"/>
      <c r="BF268" s="29"/>
      <c r="BG268" s="29"/>
      <c r="BH268" s="28" t="s">
        <v>975</v>
      </c>
      <c r="BI268" s="29">
        <v>1</v>
      </c>
      <c r="BJ268" s="29">
        <v>0</v>
      </c>
      <c r="BK268" s="30"/>
      <c r="BL268" s="30"/>
      <c r="BM268" s="28"/>
      <c r="BN268" s="30">
        <v>45978</v>
      </c>
      <c r="BO268" s="30">
        <v>45975</v>
      </c>
      <c r="BP268" s="31">
        <v>146.04</v>
      </c>
      <c r="BQ268" s="30">
        <v>45974</v>
      </c>
    </row>
    <row r="269" spans="1:69" ht="22.5" hidden="1" customHeight="1" x14ac:dyDescent="0.2">
      <c r="A269" s="28" t="s">
        <v>262</v>
      </c>
      <c r="B269" s="28"/>
      <c r="C269" s="28" t="s">
        <v>221</v>
      </c>
      <c r="D269" s="28" t="s">
        <v>222</v>
      </c>
      <c r="E269" s="29">
        <v>418097</v>
      </c>
      <c r="F269" s="29">
        <v>2598</v>
      </c>
      <c r="G269" s="29">
        <v>376</v>
      </c>
      <c r="H269" s="29">
        <v>0</v>
      </c>
      <c r="I269" s="30">
        <v>45967</v>
      </c>
      <c r="J269" s="28" t="s">
        <v>263</v>
      </c>
      <c r="K269" s="28" t="s">
        <v>976</v>
      </c>
      <c r="L269" s="31">
        <v>189.1</v>
      </c>
      <c r="M269" s="31">
        <v>10.7</v>
      </c>
      <c r="N269" s="31">
        <v>199.8</v>
      </c>
      <c r="O269" s="28"/>
      <c r="P269" s="32">
        <v>45978</v>
      </c>
      <c r="Q269" s="31">
        <v>199.8</v>
      </c>
      <c r="R269" s="28" t="s">
        <v>977</v>
      </c>
      <c r="S269" s="31">
        <v>0</v>
      </c>
      <c r="T269" s="28"/>
      <c r="U269" s="29"/>
      <c r="V269" s="28"/>
      <c r="W269" s="29"/>
      <c r="X269" s="29"/>
      <c r="Y269" s="29"/>
      <c r="Z269" s="31">
        <v>0</v>
      </c>
      <c r="AA269" s="31">
        <v>0</v>
      </c>
      <c r="AB269" s="31">
        <v>0</v>
      </c>
      <c r="AC269" s="28"/>
      <c r="AD269" s="28" t="s">
        <v>293</v>
      </c>
      <c r="AE269" s="28" t="s">
        <v>294</v>
      </c>
      <c r="AF269" s="28" t="s">
        <v>31</v>
      </c>
      <c r="AG269" s="28" t="s">
        <v>42</v>
      </c>
      <c r="AH269" s="28" t="s">
        <v>228</v>
      </c>
      <c r="AI269" s="28" t="s">
        <v>31</v>
      </c>
      <c r="AJ269" s="28"/>
      <c r="AK269" s="28" t="s">
        <v>235</v>
      </c>
      <c r="AL269" s="28" t="s">
        <v>236</v>
      </c>
      <c r="AM269" s="28" t="s">
        <v>231</v>
      </c>
      <c r="AN269" s="28" t="s">
        <v>232</v>
      </c>
      <c r="AO269" s="28" t="s">
        <v>231</v>
      </c>
      <c r="AP269" s="28" t="s">
        <v>232</v>
      </c>
      <c r="AQ269" s="28"/>
      <c r="AR269" s="28"/>
      <c r="AS269" s="28"/>
      <c r="AT269" s="28"/>
      <c r="AU269" s="28"/>
      <c r="AV269" s="28"/>
      <c r="AW269" s="29"/>
      <c r="AX269" s="33"/>
      <c r="AY269" s="31"/>
      <c r="AZ269" s="33"/>
      <c r="BA269" s="31"/>
      <c r="BB269" s="28"/>
      <c r="BC269" s="28"/>
      <c r="BD269" s="28"/>
      <c r="BE269" s="28"/>
      <c r="BF269" s="29"/>
      <c r="BG269" s="29"/>
      <c r="BH269" s="28" t="s">
        <v>978</v>
      </c>
      <c r="BI269" s="29">
        <v>1</v>
      </c>
      <c r="BJ269" s="29">
        <v>0</v>
      </c>
      <c r="BK269" s="30"/>
      <c r="BL269" s="30"/>
      <c r="BM269" s="28"/>
      <c r="BN269" s="30">
        <v>45978</v>
      </c>
      <c r="BO269" s="30">
        <v>45975</v>
      </c>
      <c r="BP269" s="31">
        <v>199.8</v>
      </c>
      <c r="BQ269" s="30">
        <v>45974</v>
      </c>
    </row>
    <row r="270" spans="1:69" ht="22.5" hidden="1" customHeight="1" x14ac:dyDescent="0.2">
      <c r="A270" s="22" t="s">
        <v>262</v>
      </c>
      <c r="B270" s="22"/>
      <c r="C270" s="22" t="s">
        <v>221</v>
      </c>
      <c r="D270" s="22" t="s">
        <v>222</v>
      </c>
      <c r="E270" s="23">
        <v>418098</v>
      </c>
      <c r="F270" s="23">
        <v>2599</v>
      </c>
      <c r="G270" s="23">
        <v>376</v>
      </c>
      <c r="H270" s="23">
        <v>0</v>
      </c>
      <c r="I270" s="24">
        <v>45967</v>
      </c>
      <c r="J270" s="22" t="s">
        <v>263</v>
      </c>
      <c r="K270" s="22" t="s">
        <v>979</v>
      </c>
      <c r="L270" s="25">
        <v>11.99</v>
      </c>
      <c r="M270" s="25">
        <v>2.27</v>
      </c>
      <c r="N270" s="25">
        <v>14.26</v>
      </c>
      <c r="O270" s="22"/>
      <c r="P270" s="26">
        <v>45978</v>
      </c>
      <c r="Q270" s="25">
        <v>14.26</v>
      </c>
      <c r="R270" s="22" t="s">
        <v>980</v>
      </c>
      <c r="S270" s="25">
        <v>0</v>
      </c>
      <c r="T270" s="22"/>
      <c r="U270" s="23"/>
      <c r="V270" s="22"/>
      <c r="W270" s="23"/>
      <c r="X270" s="23"/>
      <c r="Y270" s="23"/>
      <c r="Z270" s="25">
        <v>0</v>
      </c>
      <c r="AA270" s="25">
        <v>0</v>
      </c>
      <c r="AB270" s="25">
        <v>0</v>
      </c>
      <c r="AC270" s="22"/>
      <c r="AD270" s="22" t="s">
        <v>293</v>
      </c>
      <c r="AE270" s="22" t="s">
        <v>294</v>
      </c>
      <c r="AF270" s="22" t="s">
        <v>31</v>
      </c>
      <c r="AG270" s="22" t="s">
        <v>42</v>
      </c>
      <c r="AH270" s="22" t="s">
        <v>228</v>
      </c>
      <c r="AI270" s="22" t="s">
        <v>31</v>
      </c>
      <c r="AJ270" s="22"/>
      <c r="AK270" s="22" t="s">
        <v>235</v>
      </c>
      <c r="AL270" s="22" t="s">
        <v>236</v>
      </c>
      <c r="AM270" s="22" t="s">
        <v>231</v>
      </c>
      <c r="AN270" s="22" t="s">
        <v>232</v>
      </c>
      <c r="AO270" s="22" t="s">
        <v>231</v>
      </c>
      <c r="AP270" s="22" t="s">
        <v>232</v>
      </c>
      <c r="AQ270" s="22"/>
      <c r="AR270" s="22"/>
      <c r="AS270" s="22"/>
      <c r="AT270" s="22"/>
      <c r="AU270" s="22"/>
      <c r="AV270" s="22"/>
      <c r="AW270" s="23"/>
      <c r="AX270" s="27"/>
      <c r="AY270" s="25"/>
      <c r="AZ270" s="27"/>
      <c r="BA270" s="25"/>
      <c r="BB270" s="22"/>
      <c r="BC270" s="22"/>
      <c r="BD270" s="22"/>
      <c r="BE270" s="22"/>
      <c r="BF270" s="23"/>
      <c r="BG270" s="23"/>
      <c r="BH270" s="22" t="s">
        <v>981</v>
      </c>
      <c r="BI270" s="23">
        <v>1</v>
      </c>
      <c r="BJ270" s="23">
        <v>0</v>
      </c>
      <c r="BK270" s="24"/>
      <c r="BL270" s="24"/>
      <c r="BM270" s="22"/>
      <c r="BN270" s="24">
        <v>45978</v>
      </c>
      <c r="BO270" s="24">
        <v>45975</v>
      </c>
      <c r="BP270" s="25">
        <v>14.26</v>
      </c>
      <c r="BQ270" s="24">
        <v>45974</v>
      </c>
    </row>
    <row r="271" spans="1:69" ht="22.5" hidden="1" customHeight="1" x14ac:dyDescent="0.2">
      <c r="A271" s="28" t="s">
        <v>262</v>
      </c>
      <c r="B271" s="28"/>
      <c r="C271" s="28" t="s">
        <v>221</v>
      </c>
      <c r="D271" s="28" t="s">
        <v>222</v>
      </c>
      <c r="E271" s="29">
        <v>418099</v>
      </c>
      <c r="F271" s="29">
        <v>2600</v>
      </c>
      <c r="G271" s="29">
        <v>376</v>
      </c>
      <c r="H271" s="29">
        <v>0</v>
      </c>
      <c r="I271" s="30">
        <v>45967</v>
      </c>
      <c r="J271" s="28" t="s">
        <v>263</v>
      </c>
      <c r="K271" s="28" t="s">
        <v>982</v>
      </c>
      <c r="L271" s="31">
        <v>90.12</v>
      </c>
      <c r="M271" s="31">
        <v>9.69</v>
      </c>
      <c r="N271" s="31">
        <v>99.81</v>
      </c>
      <c r="O271" s="28"/>
      <c r="P271" s="32">
        <v>45978</v>
      </c>
      <c r="Q271" s="31">
        <v>99.81</v>
      </c>
      <c r="R271" s="28" t="s">
        <v>983</v>
      </c>
      <c r="S271" s="31">
        <v>0</v>
      </c>
      <c r="T271" s="28"/>
      <c r="U271" s="29"/>
      <c r="V271" s="28"/>
      <c r="W271" s="29"/>
      <c r="X271" s="29"/>
      <c r="Y271" s="29"/>
      <c r="Z271" s="31">
        <v>0</v>
      </c>
      <c r="AA271" s="31">
        <v>0</v>
      </c>
      <c r="AB271" s="31">
        <v>0</v>
      </c>
      <c r="AC271" s="28"/>
      <c r="AD271" s="28" t="s">
        <v>293</v>
      </c>
      <c r="AE271" s="28" t="s">
        <v>294</v>
      </c>
      <c r="AF271" s="28" t="s">
        <v>31</v>
      </c>
      <c r="AG271" s="28" t="s">
        <v>42</v>
      </c>
      <c r="AH271" s="28" t="s">
        <v>228</v>
      </c>
      <c r="AI271" s="28" t="s">
        <v>31</v>
      </c>
      <c r="AJ271" s="28"/>
      <c r="AK271" s="28" t="s">
        <v>235</v>
      </c>
      <c r="AL271" s="28" t="s">
        <v>236</v>
      </c>
      <c r="AM271" s="28" t="s">
        <v>231</v>
      </c>
      <c r="AN271" s="28" t="s">
        <v>232</v>
      </c>
      <c r="AO271" s="28" t="s">
        <v>231</v>
      </c>
      <c r="AP271" s="28" t="s">
        <v>232</v>
      </c>
      <c r="AQ271" s="28"/>
      <c r="AR271" s="28"/>
      <c r="AS271" s="28"/>
      <c r="AT271" s="28"/>
      <c r="AU271" s="28"/>
      <c r="AV271" s="28"/>
      <c r="AW271" s="29"/>
      <c r="AX271" s="33"/>
      <c r="AY271" s="31"/>
      <c r="AZ271" s="33"/>
      <c r="BA271" s="31"/>
      <c r="BB271" s="28"/>
      <c r="BC271" s="28"/>
      <c r="BD271" s="28"/>
      <c r="BE271" s="28"/>
      <c r="BF271" s="29"/>
      <c r="BG271" s="29"/>
      <c r="BH271" s="28" t="s">
        <v>984</v>
      </c>
      <c r="BI271" s="29">
        <v>1</v>
      </c>
      <c r="BJ271" s="29">
        <v>0</v>
      </c>
      <c r="BK271" s="30"/>
      <c r="BL271" s="30"/>
      <c r="BM271" s="28"/>
      <c r="BN271" s="30">
        <v>45978</v>
      </c>
      <c r="BO271" s="30">
        <v>45975</v>
      </c>
      <c r="BP271" s="31">
        <v>99.81</v>
      </c>
      <c r="BQ271" s="30">
        <v>45974</v>
      </c>
    </row>
    <row r="272" spans="1:69" ht="22.5" hidden="1" customHeight="1" x14ac:dyDescent="0.2">
      <c r="A272" s="22" t="s">
        <v>262</v>
      </c>
      <c r="B272" s="22"/>
      <c r="C272" s="22" t="s">
        <v>221</v>
      </c>
      <c r="D272" s="22" t="s">
        <v>222</v>
      </c>
      <c r="E272" s="23">
        <v>418108</v>
      </c>
      <c r="F272" s="23">
        <v>2603</v>
      </c>
      <c r="G272" s="23">
        <v>378</v>
      </c>
      <c r="H272" s="23">
        <v>0</v>
      </c>
      <c r="I272" s="24">
        <v>45967</v>
      </c>
      <c r="J272" s="22" t="s">
        <v>263</v>
      </c>
      <c r="K272" s="22" t="s">
        <v>985</v>
      </c>
      <c r="L272" s="25">
        <v>136.54</v>
      </c>
      <c r="M272" s="25">
        <v>10.28</v>
      </c>
      <c r="N272" s="25">
        <v>146.82</v>
      </c>
      <c r="O272" s="22"/>
      <c r="P272" s="26">
        <v>45978</v>
      </c>
      <c r="Q272" s="25">
        <v>146.82</v>
      </c>
      <c r="R272" s="22" t="s">
        <v>986</v>
      </c>
      <c r="S272" s="25">
        <v>0</v>
      </c>
      <c r="T272" s="22"/>
      <c r="U272" s="23"/>
      <c r="V272" s="22"/>
      <c r="W272" s="23"/>
      <c r="X272" s="23"/>
      <c r="Y272" s="23"/>
      <c r="Z272" s="25">
        <v>0</v>
      </c>
      <c r="AA272" s="25">
        <v>0</v>
      </c>
      <c r="AB272" s="25">
        <v>0</v>
      </c>
      <c r="AC272" s="22"/>
      <c r="AD272" s="22" t="s">
        <v>293</v>
      </c>
      <c r="AE272" s="22" t="s">
        <v>294</v>
      </c>
      <c r="AF272" s="22" t="s">
        <v>31</v>
      </c>
      <c r="AG272" s="22" t="s">
        <v>53</v>
      </c>
      <c r="AH272" s="22" t="s">
        <v>228</v>
      </c>
      <c r="AI272" s="22" t="s">
        <v>31</v>
      </c>
      <c r="AJ272" s="22"/>
      <c r="AK272" s="22" t="s">
        <v>239</v>
      </c>
      <c r="AL272" s="22" t="s">
        <v>240</v>
      </c>
      <c r="AM272" s="22" t="s">
        <v>231</v>
      </c>
      <c r="AN272" s="22" t="s">
        <v>232</v>
      </c>
      <c r="AO272" s="22" t="s">
        <v>231</v>
      </c>
      <c r="AP272" s="22" t="s">
        <v>232</v>
      </c>
      <c r="AQ272" s="22"/>
      <c r="AR272" s="22"/>
      <c r="AS272" s="22"/>
      <c r="AT272" s="22"/>
      <c r="AU272" s="22"/>
      <c r="AV272" s="22"/>
      <c r="AW272" s="23"/>
      <c r="AX272" s="27"/>
      <c r="AY272" s="25"/>
      <c r="AZ272" s="27"/>
      <c r="BA272" s="25"/>
      <c r="BB272" s="22"/>
      <c r="BC272" s="22"/>
      <c r="BD272" s="22"/>
      <c r="BE272" s="22"/>
      <c r="BF272" s="23"/>
      <c r="BG272" s="23"/>
      <c r="BH272" s="22" t="s">
        <v>987</v>
      </c>
      <c r="BI272" s="23">
        <v>1</v>
      </c>
      <c r="BJ272" s="23">
        <v>0</v>
      </c>
      <c r="BK272" s="24"/>
      <c r="BL272" s="24"/>
      <c r="BM272" s="22"/>
      <c r="BN272" s="24">
        <v>45978</v>
      </c>
      <c r="BO272" s="24">
        <v>45975</v>
      </c>
      <c r="BP272" s="25">
        <v>146.82</v>
      </c>
      <c r="BQ272" s="24">
        <v>45974</v>
      </c>
    </row>
    <row r="273" spans="1:69" ht="22.5" hidden="1" customHeight="1" x14ac:dyDescent="0.2">
      <c r="A273" s="22" t="s">
        <v>262</v>
      </c>
      <c r="B273" s="22"/>
      <c r="C273" s="22" t="s">
        <v>221</v>
      </c>
      <c r="D273" s="22" t="s">
        <v>222</v>
      </c>
      <c r="E273" s="23">
        <v>418110</v>
      </c>
      <c r="F273" s="23">
        <v>2604</v>
      </c>
      <c r="G273" s="23">
        <v>378</v>
      </c>
      <c r="H273" s="23">
        <v>0</v>
      </c>
      <c r="I273" s="24">
        <v>45967</v>
      </c>
      <c r="J273" s="22" t="s">
        <v>263</v>
      </c>
      <c r="K273" s="22" t="s">
        <v>988</v>
      </c>
      <c r="L273" s="25">
        <v>94</v>
      </c>
      <c r="M273" s="25">
        <v>5.17</v>
      </c>
      <c r="N273" s="25">
        <v>99.17</v>
      </c>
      <c r="O273" s="22"/>
      <c r="P273" s="26">
        <v>45978</v>
      </c>
      <c r="Q273" s="25">
        <v>99.17</v>
      </c>
      <c r="R273" s="22" t="s">
        <v>989</v>
      </c>
      <c r="S273" s="25">
        <v>0</v>
      </c>
      <c r="T273" s="22"/>
      <c r="U273" s="23"/>
      <c r="V273" s="22"/>
      <c r="W273" s="23"/>
      <c r="X273" s="23"/>
      <c r="Y273" s="23"/>
      <c r="Z273" s="25">
        <v>0</v>
      </c>
      <c r="AA273" s="25">
        <v>0</v>
      </c>
      <c r="AB273" s="25">
        <v>0</v>
      </c>
      <c r="AC273" s="22"/>
      <c r="AD273" s="22" t="s">
        <v>293</v>
      </c>
      <c r="AE273" s="22" t="s">
        <v>294</v>
      </c>
      <c r="AF273" s="22" t="s">
        <v>31</v>
      </c>
      <c r="AG273" s="22" t="s">
        <v>53</v>
      </c>
      <c r="AH273" s="22" t="s">
        <v>228</v>
      </c>
      <c r="AI273" s="22" t="s">
        <v>31</v>
      </c>
      <c r="AJ273" s="22"/>
      <c r="AK273" s="22" t="s">
        <v>239</v>
      </c>
      <c r="AL273" s="22" t="s">
        <v>240</v>
      </c>
      <c r="AM273" s="22" t="s">
        <v>231</v>
      </c>
      <c r="AN273" s="22" t="s">
        <v>232</v>
      </c>
      <c r="AO273" s="22" t="s">
        <v>231</v>
      </c>
      <c r="AP273" s="22" t="s">
        <v>232</v>
      </c>
      <c r="AQ273" s="22"/>
      <c r="AR273" s="22"/>
      <c r="AS273" s="22"/>
      <c r="AT273" s="22"/>
      <c r="AU273" s="22"/>
      <c r="AV273" s="22"/>
      <c r="AW273" s="23"/>
      <c r="AX273" s="27"/>
      <c r="AY273" s="25"/>
      <c r="AZ273" s="27"/>
      <c r="BA273" s="25"/>
      <c r="BB273" s="22"/>
      <c r="BC273" s="22"/>
      <c r="BD273" s="22"/>
      <c r="BE273" s="22"/>
      <c r="BF273" s="23"/>
      <c r="BG273" s="23"/>
      <c r="BH273" s="22" t="s">
        <v>990</v>
      </c>
      <c r="BI273" s="23">
        <v>1</v>
      </c>
      <c r="BJ273" s="23">
        <v>0</v>
      </c>
      <c r="BK273" s="24"/>
      <c r="BL273" s="24"/>
      <c r="BM273" s="22"/>
      <c r="BN273" s="24">
        <v>45978</v>
      </c>
      <c r="BO273" s="24">
        <v>45975</v>
      </c>
      <c r="BP273" s="25">
        <v>99.17</v>
      </c>
      <c r="BQ273" s="24">
        <v>45974</v>
      </c>
    </row>
    <row r="274" spans="1:69" ht="22.5" hidden="1" customHeight="1" x14ac:dyDescent="0.2">
      <c r="A274" s="28" t="s">
        <v>262</v>
      </c>
      <c r="B274" s="28"/>
      <c r="C274" s="28" t="s">
        <v>221</v>
      </c>
      <c r="D274" s="28" t="s">
        <v>222</v>
      </c>
      <c r="E274" s="29">
        <v>418111</v>
      </c>
      <c r="F274" s="29">
        <v>2605</v>
      </c>
      <c r="G274" s="29">
        <v>378</v>
      </c>
      <c r="H274" s="29">
        <v>0</v>
      </c>
      <c r="I274" s="30">
        <v>45967</v>
      </c>
      <c r="J274" s="28" t="s">
        <v>263</v>
      </c>
      <c r="K274" s="28" t="s">
        <v>991</v>
      </c>
      <c r="L274" s="31">
        <v>88.98</v>
      </c>
      <c r="M274" s="31">
        <v>5.03</v>
      </c>
      <c r="N274" s="31">
        <v>94.01</v>
      </c>
      <c r="O274" s="28"/>
      <c r="P274" s="32">
        <v>45978</v>
      </c>
      <c r="Q274" s="31">
        <v>94.01</v>
      </c>
      <c r="R274" s="28" t="s">
        <v>992</v>
      </c>
      <c r="S274" s="31">
        <v>0</v>
      </c>
      <c r="T274" s="28"/>
      <c r="U274" s="29"/>
      <c r="V274" s="28"/>
      <c r="W274" s="29"/>
      <c r="X274" s="29"/>
      <c r="Y274" s="29"/>
      <c r="Z274" s="31">
        <v>0</v>
      </c>
      <c r="AA274" s="31">
        <v>0</v>
      </c>
      <c r="AB274" s="31">
        <v>0</v>
      </c>
      <c r="AC274" s="28"/>
      <c r="AD274" s="28" t="s">
        <v>293</v>
      </c>
      <c r="AE274" s="28" t="s">
        <v>294</v>
      </c>
      <c r="AF274" s="28" t="s">
        <v>31</v>
      </c>
      <c r="AG274" s="28" t="s">
        <v>53</v>
      </c>
      <c r="AH274" s="28" t="s">
        <v>228</v>
      </c>
      <c r="AI274" s="28" t="s">
        <v>31</v>
      </c>
      <c r="AJ274" s="28"/>
      <c r="AK274" s="28" t="s">
        <v>239</v>
      </c>
      <c r="AL274" s="28" t="s">
        <v>243</v>
      </c>
      <c r="AM274" s="28" t="s">
        <v>231</v>
      </c>
      <c r="AN274" s="28" t="s">
        <v>232</v>
      </c>
      <c r="AO274" s="28" t="s">
        <v>231</v>
      </c>
      <c r="AP274" s="28" t="s">
        <v>232</v>
      </c>
      <c r="AQ274" s="28"/>
      <c r="AR274" s="28"/>
      <c r="AS274" s="28"/>
      <c r="AT274" s="28"/>
      <c r="AU274" s="28"/>
      <c r="AV274" s="28"/>
      <c r="AW274" s="29"/>
      <c r="AX274" s="33"/>
      <c r="AY274" s="31"/>
      <c r="AZ274" s="33"/>
      <c r="BA274" s="31"/>
      <c r="BB274" s="28"/>
      <c r="BC274" s="28"/>
      <c r="BD274" s="28"/>
      <c r="BE274" s="28"/>
      <c r="BF274" s="29"/>
      <c r="BG274" s="29"/>
      <c r="BH274" s="28" t="s">
        <v>993</v>
      </c>
      <c r="BI274" s="29">
        <v>1</v>
      </c>
      <c r="BJ274" s="29">
        <v>0</v>
      </c>
      <c r="BK274" s="30"/>
      <c r="BL274" s="30"/>
      <c r="BM274" s="28"/>
      <c r="BN274" s="30">
        <v>45978</v>
      </c>
      <c r="BO274" s="30">
        <v>45975</v>
      </c>
      <c r="BP274" s="31">
        <v>94.01</v>
      </c>
      <c r="BQ274" s="30">
        <v>45974</v>
      </c>
    </row>
    <row r="275" spans="1:69" ht="22.5" hidden="1" customHeight="1" x14ac:dyDescent="0.2">
      <c r="A275" s="22" t="s">
        <v>262</v>
      </c>
      <c r="B275" s="22"/>
      <c r="C275" s="22" t="s">
        <v>221</v>
      </c>
      <c r="D275" s="22" t="s">
        <v>222</v>
      </c>
      <c r="E275" s="23">
        <v>418112</v>
      </c>
      <c r="F275" s="23">
        <v>2606</v>
      </c>
      <c r="G275" s="23">
        <v>378</v>
      </c>
      <c r="H275" s="23">
        <v>0</v>
      </c>
      <c r="I275" s="24">
        <v>45967</v>
      </c>
      <c r="J275" s="22" t="s">
        <v>263</v>
      </c>
      <c r="K275" s="22" t="s">
        <v>994</v>
      </c>
      <c r="L275" s="25">
        <v>226.18</v>
      </c>
      <c r="M275" s="25">
        <v>18.46</v>
      </c>
      <c r="N275" s="25">
        <v>244.64</v>
      </c>
      <c r="O275" s="22"/>
      <c r="P275" s="26">
        <v>45978</v>
      </c>
      <c r="Q275" s="25">
        <v>244.64</v>
      </c>
      <c r="R275" s="22" t="s">
        <v>995</v>
      </c>
      <c r="S275" s="25">
        <v>0</v>
      </c>
      <c r="T275" s="22"/>
      <c r="U275" s="23"/>
      <c r="V275" s="22"/>
      <c r="W275" s="23"/>
      <c r="X275" s="23"/>
      <c r="Y275" s="23"/>
      <c r="Z275" s="25">
        <v>0</v>
      </c>
      <c r="AA275" s="25">
        <v>0</v>
      </c>
      <c r="AB275" s="25">
        <v>0</v>
      </c>
      <c r="AC275" s="22"/>
      <c r="AD275" s="22" t="s">
        <v>293</v>
      </c>
      <c r="AE275" s="22" t="s">
        <v>294</v>
      </c>
      <c r="AF275" s="22" t="s">
        <v>31</v>
      </c>
      <c r="AG275" s="22" t="s">
        <v>53</v>
      </c>
      <c r="AH275" s="22" t="s">
        <v>228</v>
      </c>
      <c r="AI275" s="22" t="s">
        <v>31</v>
      </c>
      <c r="AJ275" s="22"/>
      <c r="AK275" s="22" t="s">
        <v>239</v>
      </c>
      <c r="AL275" s="22" t="s">
        <v>243</v>
      </c>
      <c r="AM275" s="22" t="s">
        <v>231</v>
      </c>
      <c r="AN275" s="22" t="s">
        <v>232</v>
      </c>
      <c r="AO275" s="22" t="s">
        <v>231</v>
      </c>
      <c r="AP275" s="22" t="s">
        <v>232</v>
      </c>
      <c r="AQ275" s="22"/>
      <c r="AR275" s="22"/>
      <c r="AS275" s="22"/>
      <c r="AT275" s="22"/>
      <c r="AU275" s="22"/>
      <c r="AV275" s="22"/>
      <c r="AW275" s="23"/>
      <c r="AX275" s="27"/>
      <c r="AY275" s="25"/>
      <c r="AZ275" s="27"/>
      <c r="BA275" s="25"/>
      <c r="BB275" s="22"/>
      <c r="BC275" s="22"/>
      <c r="BD275" s="22"/>
      <c r="BE275" s="22"/>
      <c r="BF275" s="23"/>
      <c r="BG275" s="23"/>
      <c r="BH275" s="22" t="s">
        <v>996</v>
      </c>
      <c r="BI275" s="23">
        <v>1</v>
      </c>
      <c r="BJ275" s="23">
        <v>0</v>
      </c>
      <c r="BK275" s="24"/>
      <c r="BL275" s="24"/>
      <c r="BM275" s="22"/>
      <c r="BN275" s="24">
        <v>45978</v>
      </c>
      <c r="BO275" s="24">
        <v>45975</v>
      </c>
      <c r="BP275" s="25">
        <v>244.64</v>
      </c>
      <c r="BQ275" s="24">
        <v>45974</v>
      </c>
    </row>
    <row r="276" spans="1:69" ht="22.5" hidden="1" customHeight="1" x14ac:dyDescent="0.2">
      <c r="A276" s="22" t="s">
        <v>262</v>
      </c>
      <c r="B276" s="22"/>
      <c r="C276" s="22" t="s">
        <v>221</v>
      </c>
      <c r="D276" s="22" t="s">
        <v>222</v>
      </c>
      <c r="E276" s="23">
        <v>418114</v>
      </c>
      <c r="F276" s="23">
        <v>2607</v>
      </c>
      <c r="G276" s="23">
        <v>378</v>
      </c>
      <c r="H276" s="23">
        <v>0</v>
      </c>
      <c r="I276" s="24">
        <v>45967</v>
      </c>
      <c r="J276" s="22" t="s">
        <v>263</v>
      </c>
      <c r="K276" s="22" t="s">
        <v>997</v>
      </c>
      <c r="L276" s="25">
        <v>79.400000000000006</v>
      </c>
      <c r="M276" s="25">
        <v>13.23</v>
      </c>
      <c r="N276" s="25">
        <v>92.63</v>
      </c>
      <c r="O276" s="22"/>
      <c r="P276" s="26">
        <v>45978</v>
      </c>
      <c r="Q276" s="25">
        <v>92.63</v>
      </c>
      <c r="R276" s="22" t="s">
        <v>998</v>
      </c>
      <c r="S276" s="25">
        <v>0</v>
      </c>
      <c r="T276" s="22"/>
      <c r="U276" s="23"/>
      <c r="V276" s="22"/>
      <c r="W276" s="23"/>
      <c r="X276" s="23"/>
      <c r="Y276" s="23"/>
      <c r="Z276" s="25">
        <v>0</v>
      </c>
      <c r="AA276" s="25">
        <v>0</v>
      </c>
      <c r="AB276" s="25">
        <v>0</v>
      </c>
      <c r="AC276" s="22"/>
      <c r="AD276" s="22" t="s">
        <v>293</v>
      </c>
      <c r="AE276" s="22" t="s">
        <v>294</v>
      </c>
      <c r="AF276" s="22" t="s">
        <v>31</v>
      </c>
      <c r="AG276" s="22" t="s">
        <v>53</v>
      </c>
      <c r="AH276" s="22" t="s">
        <v>228</v>
      </c>
      <c r="AI276" s="22" t="s">
        <v>31</v>
      </c>
      <c r="AJ276" s="22"/>
      <c r="AK276" s="22" t="s">
        <v>239</v>
      </c>
      <c r="AL276" s="22" t="s">
        <v>240</v>
      </c>
      <c r="AM276" s="22" t="s">
        <v>231</v>
      </c>
      <c r="AN276" s="22" t="s">
        <v>232</v>
      </c>
      <c r="AO276" s="22" t="s">
        <v>231</v>
      </c>
      <c r="AP276" s="22" t="s">
        <v>232</v>
      </c>
      <c r="AQ276" s="22"/>
      <c r="AR276" s="22"/>
      <c r="AS276" s="22"/>
      <c r="AT276" s="22"/>
      <c r="AU276" s="22"/>
      <c r="AV276" s="22"/>
      <c r="AW276" s="23"/>
      <c r="AX276" s="27"/>
      <c r="AY276" s="25"/>
      <c r="AZ276" s="27"/>
      <c r="BA276" s="25"/>
      <c r="BB276" s="22"/>
      <c r="BC276" s="22"/>
      <c r="BD276" s="22"/>
      <c r="BE276" s="22"/>
      <c r="BF276" s="23"/>
      <c r="BG276" s="23"/>
      <c r="BH276" s="22" t="s">
        <v>999</v>
      </c>
      <c r="BI276" s="23">
        <v>1</v>
      </c>
      <c r="BJ276" s="23">
        <v>0</v>
      </c>
      <c r="BK276" s="24"/>
      <c r="BL276" s="24"/>
      <c r="BM276" s="22"/>
      <c r="BN276" s="24">
        <v>45978</v>
      </c>
      <c r="BO276" s="24">
        <v>45975</v>
      </c>
      <c r="BP276" s="25">
        <v>92.63</v>
      </c>
      <c r="BQ276" s="24">
        <v>45974</v>
      </c>
    </row>
    <row r="277" spans="1:69" ht="22.5" hidden="1" customHeight="1" x14ac:dyDescent="0.2">
      <c r="A277" s="28" t="s">
        <v>262</v>
      </c>
      <c r="B277" s="28"/>
      <c r="C277" s="28" t="s">
        <v>221</v>
      </c>
      <c r="D277" s="28" t="s">
        <v>222</v>
      </c>
      <c r="E277" s="29">
        <v>418115</v>
      </c>
      <c r="F277" s="29">
        <v>2608</v>
      </c>
      <c r="G277" s="29">
        <v>378</v>
      </c>
      <c r="H277" s="29">
        <v>0</v>
      </c>
      <c r="I277" s="30">
        <v>45967</v>
      </c>
      <c r="J277" s="28" t="s">
        <v>263</v>
      </c>
      <c r="K277" s="28" t="s">
        <v>1000</v>
      </c>
      <c r="L277" s="31">
        <v>141.66</v>
      </c>
      <c r="M277" s="31">
        <v>8.06</v>
      </c>
      <c r="N277" s="31">
        <v>149.72</v>
      </c>
      <c r="O277" s="28"/>
      <c r="P277" s="32">
        <v>45978</v>
      </c>
      <c r="Q277" s="31">
        <v>149.72</v>
      </c>
      <c r="R277" s="28" t="s">
        <v>1001</v>
      </c>
      <c r="S277" s="31">
        <v>0</v>
      </c>
      <c r="T277" s="28"/>
      <c r="U277" s="29"/>
      <c r="V277" s="28"/>
      <c r="W277" s="29"/>
      <c r="X277" s="29"/>
      <c r="Y277" s="29"/>
      <c r="Z277" s="31">
        <v>0</v>
      </c>
      <c r="AA277" s="31">
        <v>0</v>
      </c>
      <c r="AB277" s="31">
        <v>0</v>
      </c>
      <c r="AC277" s="28"/>
      <c r="AD277" s="28" t="s">
        <v>293</v>
      </c>
      <c r="AE277" s="28" t="s">
        <v>294</v>
      </c>
      <c r="AF277" s="28" t="s">
        <v>31</v>
      </c>
      <c r="AG277" s="28" t="s">
        <v>53</v>
      </c>
      <c r="AH277" s="28" t="s">
        <v>228</v>
      </c>
      <c r="AI277" s="28" t="s">
        <v>31</v>
      </c>
      <c r="AJ277" s="28"/>
      <c r="AK277" s="28" t="s">
        <v>239</v>
      </c>
      <c r="AL277" s="28" t="s">
        <v>240</v>
      </c>
      <c r="AM277" s="28" t="s">
        <v>231</v>
      </c>
      <c r="AN277" s="28" t="s">
        <v>232</v>
      </c>
      <c r="AO277" s="28" t="s">
        <v>231</v>
      </c>
      <c r="AP277" s="28" t="s">
        <v>232</v>
      </c>
      <c r="AQ277" s="28"/>
      <c r="AR277" s="28"/>
      <c r="AS277" s="28"/>
      <c r="AT277" s="28"/>
      <c r="AU277" s="28"/>
      <c r="AV277" s="28"/>
      <c r="AW277" s="29"/>
      <c r="AX277" s="33"/>
      <c r="AY277" s="31"/>
      <c r="AZ277" s="33"/>
      <c r="BA277" s="31"/>
      <c r="BB277" s="28"/>
      <c r="BC277" s="28"/>
      <c r="BD277" s="28"/>
      <c r="BE277" s="28"/>
      <c r="BF277" s="29"/>
      <c r="BG277" s="29"/>
      <c r="BH277" s="28" t="s">
        <v>1002</v>
      </c>
      <c r="BI277" s="29">
        <v>1</v>
      </c>
      <c r="BJ277" s="29">
        <v>0</v>
      </c>
      <c r="BK277" s="30"/>
      <c r="BL277" s="30"/>
      <c r="BM277" s="28"/>
      <c r="BN277" s="30">
        <v>45978</v>
      </c>
      <c r="BO277" s="30">
        <v>45975</v>
      </c>
      <c r="BP277" s="31">
        <v>149.72</v>
      </c>
      <c r="BQ277" s="30">
        <v>45974</v>
      </c>
    </row>
    <row r="278" spans="1:69" ht="22.5" hidden="1" customHeight="1" x14ac:dyDescent="0.2">
      <c r="A278" s="22" t="s">
        <v>262</v>
      </c>
      <c r="B278" s="22"/>
      <c r="C278" s="22" t="s">
        <v>221</v>
      </c>
      <c r="D278" s="22" t="s">
        <v>222</v>
      </c>
      <c r="E278" s="23">
        <v>418116</v>
      </c>
      <c r="F278" s="23">
        <v>2609</v>
      </c>
      <c r="G278" s="23">
        <v>378</v>
      </c>
      <c r="H278" s="23">
        <v>0</v>
      </c>
      <c r="I278" s="24">
        <v>45967</v>
      </c>
      <c r="J278" s="22" t="s">
        <v>263</v>
      </c>
      <c r="K278" s="22" t="s">
        <v>1003</v>
      </c>
      <c r="L278" s="25">
        <v>51.91</v>
      </c>
      <c r="M278" s="25">
        <v>10.38</v>
      </c>
      <c r="N278" s="25">
        <v>62.29</v>
      </c>
      <c r="O278" s="22"/>
      <c r="P278" s="26">
        <v>45978</v>
      </c>
      <c r="Q278" s="25">
        <v>62.29</v>
      </c>
      <c r="R278" s="22" t="s">
        <v>1004</v>
      </c>
      <c r="S278" s="25">
        <v>0</v>
      </c>
      <c r="T278" s="22"/>
      <c r="U278" s="23"/>
      <c r="V278" s="22"/>
      <c r="W278" s="23"/>
      <c r="X278" s="23"/>
      <c r="Y278" s="23"/>
      <c r="Z278" s="25">
        <v>0</v>
      </c>
      <c r="AA278" s="25">
        <v>0</v>
      </c>
      <c r="AB278" s="25">
        <v>0</v>
      </c>
      <c r="AC278" s="22"/>
      <c r="AD278" s="22" t="s">
        <v>293</v>
      </c>
      <c r="AE278" s="22" t="s">
        <v>294</v>
      </c>
      <c r="AF278" s="22" t="s">
        <v>31</v>
      </c>
      <c r="AG278" s="22" t="s">
        <v>42</v>
      </c>
      <c r="AH278" s="22" t="s">
        <v>228</v>
      </c>
      <c r="AI278" s="22" t="s">
        <v>31</v>
      </c>
      <c r="AJ278" s="22"/>
      <c r="AK278" s="22" t="s">
        <v>235</v>
      </c>
      <c r="AL278" s="22" t="s">
        <v>236</v>
      </c>
      <c r="AM278" s="22" t="s">
        <v>231</v>
      </c>
      <c r="AN278" s="22" t="s">
        <v>232</v>
      </c>
      <c r="AO278" s="22" t="s">
        <v>231</v>
      </c>
      <c r="AP278" s="22" t="s">
        <v>232</v>
      </c>
      <c r="AQ278" s="22"/>
      <c r="AR278" s="22"/>
      <c r="AS278" s="22"/>
      <c r="AT278" s="22"/>
      <c r="AU278" s="22"/>
      <c r="AV278" s="22"/>
      <c r="AW278" s="23"/>
      <c r="AX278" s="27"/>
      <c r="AY278" s="25"/>
      <c r="AZ278" s="27"/>
      <c r="BA278" s="25"/>
      <c r="BB278" s="22"/>
      <c r="BC278" s="22"/>
      <c r="BD278" s="22"/>
      <c r="BE278" s="22"/>
      <c r="BF278" s="23"/>
      <c r="BG278" s="23"/>
      <c r="BH278" s="22" t="s">
        <v>1005</v>
      </c>
      <c r="BI278" s="23">
        <v>1</v>
      </c>
      <c r="BJ278" s="23">
        <v>0</v>
      </c>
      <c r="BK278" s="24"/>
      <c r="BL278" s="24"/>
      <c r="BM278" s="22"/>
      <c r="BN278" s="24">
        <v>45978</v>
      </c>
      <c r="BO278" s="24">
        <v>45975</v>
      </c>
      <c r="BP278" s="25">
        <v>62.29</v>
      </c>
      <c r="BQ278" s="24">
        <v>45974</v>
      </c>
    </row>
    <row r="279" spans="1:69" ht="22.5" hidden="1" customHeight="1" x14ac:dyDescent="0.2">
      <c r="A279" s="28" t="s">
        <v>262</v>
      </c>
      <c r="B279" s="28"/>
      <c r="C279" s="28" t="s">
        <v>221</v>
      </c>
      <c r="D279" s="28" t="s">
        <v>222</v>
      </c>
      <c r="E279" s="29">
        <v>418117</v>
      </c>
      <c r="F279" s="29">
        <v>2610</v>
      </c>
      <c r="G279" s="29">
        <v>378</v>
      </c>
      <c r="H279" s="29">
        <v>0</v>
      </c>
      <c r="I279" s="30">
        <v>45967</v>
      </c>
      <c r="J279" s="28" t="s">
        <v>263</v>
      </c>
      <c r="K279" s="28" t="s">
        <v>1006</v>
      </c>
      <c r="L279" s="31">
        <v>188.69</v>
      </c>
      <c r="M279" s="31">
        <v>11.03</v>
      </c>
      <c r="N279" s="31">
        <v>199.72</v>
      </c>
      <c r="O279" s="28"/>
      <c r="P279" s="32">
        <v>45978</v>
      </c>
      <c r="Q279" s="31">
        <v>199.72</v>
      </c>
      <c r="R279" s="28" t="s">
        <v>1007</v>
      </c>
      <c r="S279" s="31">
        <v>0</v>
      </c>
      <c r="T279" s="28"/>
      <c r="U279" s="29"/>
      <c r="V279" s="28"/>
      <c r="W279" s="29"/>
      <c r="X279" s="29"/>
      <c r="Y279" s="29"/>
      <c r="Z279" s="31">
        <v>0</v>
      </c>
      <c r="AA279" s="31">
        <v>0</v>
      </c>
      <c r="AB279" s="31">
        <v>0</v>
      </c>
      <c r="AC279" s="28"/>
      <c r="AD279" s="28" t="s">
        <v>293</v>
      </c>
      <c r="AE279" s="28" t="s">
        <v>294</v>
      </c>
      <c r="AF279" s="28" t="s">
        <v>31</v>
      </c>
      <c r="AG279" s="28" t="s">
        <v>42</v>
      </c>
      <c r="AH279" s="28" t="s">
        <v>228</v>
      </c>
      <c r="AI279" s="28" t="s">
        <v>31</v>
      </c>
      <c r="AJ279" s="28"/>
      <c r="AK279" s="28" t="s">
        <v>235</v>
      </c>
      <c r="AL279" s="28" t="s">
        <v>236</v>
      </c>
      <c r="AM279" s="28" t="s">
        <v>231</v>
      </c>
      <c r="AN279" s="28" t="s">
        <v>232</v>
      </c>
      <c r="AO279" s="28" t="s">
        <v>231</v>
      </c>
      <c r="AP279" s="28" t="s">
        <v>232</v>
      </c>
      <c r="AQ279" s="28"/>
      <c r="AR279" s="28"/>
      <c r="AS279" s="28"/>
      <c r="AT279" s="28"/>
      <c r="AU279" s="28"/>
      <c r="AV279" s="28"/>
      <c r="AW279" s="29"/>
      <c r="AX279" s="33"/>
      <c r="AY279" s="31"/>
      <c r="AZ279" s="33"/>
      <c r="BA279" s="31"/>
      <c r="BB279" s="28"/>
      <c r="BC279" s="28"/>
      <c r="BD279" s="28"/>
      <c r="BE279" s="28"/>
      <c r="BF279" s="29"/>
      <c r="BG279" s="29"/>
      <c r="BH279" s="28" t="s">
        <v>1008</v>
      </c>
      <c r="BI279" s="29">
        <v>1</v>
      </c>
      <c r="BJ279" s="29">
        <v>0</v>
      </c>
      <c r="BK279" s="30"/>
      <c r="BL279" s="30"/>
      <c r="BM279" s="28"/>
      <c r="BN279" s="30">
        <v>45978</v>
      </c>
      <c r="BO279" s="30">
        <v>45975</v>
      </c>
      <c r="BP279" s="31">
        <v>199.72</v>
      </c>
      <c r="BQ279" s="30">
        <v>45974</v>
      </c>
    </row>
    <row r="280" spans="1:69" ht="22.5" hidden="1" customHeight="1" x14ac:dyDescent="0.2">
      <c r="A280" s="28" t="s">
        <v>408</v>
      </c>
      <c r="B280" s="28"/>
      <c r="C280" s="28" t="s">
        <v>221</v>
      </c>
      <c r="D280" s="28" t="s">
        <v>222</v>
      </c>
      <c r="E280" s="29">
        <v>419179</v>
      </c>
      <c r="F280" s="29">
        <v>2787</v>
      </c>
      <c r="G280" s="29">
        <v>408</v>
      </c>
      <c r="H280" s="29">
        <v>2</v>
      </c>
      <c r="I280" s="30">
        <v>45981</v>
      </c>
      <c r="J280" s="28" t="s">
        <v>281</v>
      </c>
      <c r="K280" s="28" t="s">
        <v>1009</v>
      </c>
      <c r="L280" s="31">
        <v>47.78</v>
      </c>
      <c r="M280" s="31">
        <v>9.5500000000000007</v>
      </c>
      <c r="N280" s="31">
        <v>57.33</v>
      </c>
      <c r="O280" s="28"/>
      <c r="P280" s="32">
        <v>45987</v>
      </c>
      <c r="Q280" s="31">
        <v>57.33</v>
      </c>
      <c r="R280" s="28"/>
      <c r="S280" s="31">
        <v>0</v>
      </c>
      <c r="T280" s="28"/>
      <c r="U280" s="29"/>
      <c r="V280" s="28"/>
      <c r="W280" s="29"/>
      <c r="X280" s="29"/>
      <c r="Y280" s="29"/>
      <c r="Z280" s="31">
        <v>0</v>
      </c>
      <c r="AA280" s="31">
        <v>0</v>
      </c>
      <c r="AB280" s="31">
        <v>0</v>
      </c>
      <c r="AC280" s="28"/>
      <c r="AD280" s="28" t="s">
        <v>283</v>
      </c>
      <c r="AE280" s="28" t="s">
        <v>284</v>
      </c>
      <c r="AF280" s="28" t="s">
        <v>31</v>
      </c>
      <c r="AG280" s="28" t="s">
        <v>46</v>
      </c>
      <c r="AH280" s="28" t="s">
        <v>228</v>
      </c>
      <c r="AI280" s="28" t="s">
        <v>31</v>
      </c>
      <c r="AJ280" s="28"/>
      <c r="AK280" s="28" t="s">
        <v>285</v>
      </c>
      <c r="AL280" s="28" t="s">
        <v>286</v>
      </c>
      <c r="AM280" s="28" t="s">
        <v>231</v>
      </c>
      <c r="AN280" s="28" t="s">
        <v>232</v>
      </c>
      <c r="AO280" s="28" t="s">
        <v>231</v>
      </c>
      <c r="AP280" s="28" t="s">
        <v>232</v>
      </c>
      <c r="AQ280" s="28"/>
      <c r="AR280" s="28"/>
      <c r="AS280" s="28"/>
      <c r="AT280" s="28"/>
      <c r="AU280" s="28"/>
      <c r="AV280" s="28"/>
      <c r="AW280" s="29"/>
      <c r="AX280" s="33"/>
      <c r="AY280" s="31"/>
      <c r="AZ280" s="33"/>
      <c r="BA280" s="31"/>
      <c r="BB280" s="28"/>
      <c r="BC280" s="28"/>
      <c r="BD280" s="28"/>
      <c r="BE280" s="28"/>
      <c r="BF280" s="29"/>
      <c r="BG280" s="29"/>
      <c r="BH280" s="28"/>
      <c r="BI280" s="29">
        <v>1</v>
      </c>
      <c r="BJ280" s="29">
        <v>0</v>
      </c>
      <c r="BK280" s="30"/>
      <c r="BL280" s="30"/>
      <c r="BM280" s="28"/>
      <c r="BN280" s="30">
        <v>45987</v>
      </c>
      <c r="BO280" s="30">
        <v>45986</v>
      </c>
      <c r="BP280" s="31">
        <v>57.33</v>
      </c>
      <c r="BQ280" s="30">
        <v>45985</v>
      </c>
    </row>
    <row r="281" spans="1:69" ht="22.5" hidden="1" customHeight="1" x14ac:dyDescent="0.2">
      <c r="A281" s="22" t="s">
        <v>408</v>
      </c>
      <c r="B281" s="22"/>
      <c r="C281" s="22" t="s">
        <v>221</v>
      </c>
      <c r="D281" s="22" t="s">
        <v>222</v>
      </c>
      <c r="E281" s="23">
        <v>419269</v>
      </c>
      <c r="F281" s="23">
        <v>2818</v>
      </c>
      <c r="G281" s="23">
        <v>416</v>
      </c>
      <c r="H281" s="23">
        <v>2</v>
      </c>
      <c r="I281" s="24">
        <v>45986</v>
      </c>
      <c r="J281" s="22" t="s">
        <v>281</v>
      </c>
      <c r="K281" s="22" t="s">
        <v>1010</v>
      </c>
      <c r="L281" s="25">
        <v>92.26</v>
      </c>
      <c r="M281" s="25">
        <v>18.45</v>
      </c>
      <c r="N281" s="25">
        <v>110.71</v>
      </c>
      <c r="O281" s="22"/>
      <c r="P281" s="26">
        <v>45987</v>
      </c>
      <c r="Q281" s="25">
        <v>110.71</v>
      </c>
      <c r="R281" s="22"/>
      <c r="S281" s="25">
        <v>0</v>
      </c>
      <c r="T281" s="22"/>
      <c r="U281" s="23"/>
      <c r="V281" s="22"/>
      <c r="W281" s="23"/>
      <c r="X281" s="23"/>
      <c r="Y281" s="23"/>
      <c r="Z281" s="25">
        <v>0</v>
      </c>
      <c r="AA281" s="25">
        <v>0</v>
      </c>
      <c r="AB281" s="25">
        <v>0</v>
      </c>
      <c r="AC281" s="22"/>
      <c r="AD281" s="22" t="s">
        <v>410</v>
      </c>
      <c r="AE281" s="22" t="s">
        <v>411</v>
      </c>
      <c r="AF281" s="22" t="s">
        <v>31</v>
      </c>
      <c r="AG281" s="22" t="s">
        <v>53</v>
      </c>
      <c r="AH281" s="22" t="s">
        <v>228</v>
      </c>
      <c r="AI281" s="22" t="s">
        <v>31</v>
      </c>
      <c r="AJ281" s="22"/>
      <c r="AK281" s="22" t="s">
        <v>239</v>
      </c>
      <c r="AL281" s="22" t="s">
        <v>457</v>
      </c>
      <c r="AM281" s="22" t="s">
        <v>231</v>
      </c>
      <c r="AN281" s="22" t="s">
        <v>232</v>
      </c>
      <c r="AO281" s="22" t="s">
        <v>231</v>
      </c>
      <c r="AP281" s="22" t="s">
        <v>232</v>
      </c>
      <c r="AQ281" s="22"/>
      <c r="AR281" s="22"/>
      <c r="AS281" s="22"/>
      <c r="AT281" s="22"/>
      <c r="AU281" s="22"/>
      <c r="AV281" s="22"/>
      <c r="AW281" s="23"/>
      <c r="AX281" s="27"/>
      <c r="AY281" s="25"/>
      <c r="AZ281" s="27"/>
      <c r="BA281" s="25"/>
      <c r="BB281" s="22"/>
      <c r="BC281" s="22"/>
      <c r="BD281" s="22"/>
      <c r="BE281" s="22"/>
      <c r="BF281" s="23"/>
      <c r="BG281" s="23"/>
      <c r="BH281" s="22"/>
      <c r="BI281" s="23">
        <v>1</v>
      </c>
      <c r="BJ281" s="23">
        <v>0</v>
      </c>
      <c r="BK281" s="24"/>
      <c r="BL281" s="24"/>
      <c r="BM281" s="22"/>
      <c r="BN281" s="24">
        <v>45987</v>
      </c>
      <c r="BO281" s="24">
        <v>45986</v>
      </c>
      <c r="BP281" s="25">
        <v>110.71</v>
      </c>
      <c r="BQ281" s="24">
        <v>45985</v>
      </c>
    </row>
    <row r="282" spans="1:69" ht="22.5" hidden="1" customHeight="1" x14ac:dyDescent="0.2">
      <c r="A282" s="28" t="s">
        <v>408</v>
      </c>
      <c r="B282" s="28"/>
      <c r="C282" s="28" t="s">
        <v>221</v>
      </c>
      <c r="D282" s="28" t="s">
        <v>222</v>
      </c>
      <c r="E282" s="29">
        <v>419270</v>
      </c>
      <c r="F282" s="29">
        <v>2818</v>
      </c>
      <c r="G282" s="29">
        <v>416</v>
      </c>
      <c r="H282" s="29">
        <v>2</v>
      </c>
      <c r="I282" s="30">
        <v>45986</v>
      </c>
      <c r="J282" s="28" t="s">
        <v>281</v>
      </c>
      <c r="K282" s="28" t="s">
        <v>1011</v>
      </c>
      <c r="L282" s="31">
        <v>97.63</v>
      </c>
      <c r="M282" s="31">
        <v>19.52</v>
      </c>
      <c r="N282" s="31">
        <v>117.15</v>
      </c>
      <c r="O282" s="28"/>
      <c r="P282" s="32">
        <v>45987</v>
      </c>
      <c r="Q282" s="31">
        <v>117.15</v>
      </c>
      <c r="R282" s="28"/>
      <c r="S282" s="31">
        <v>0</v>
      </c>
      <c r="T282" s="28"/>
      <c r="U282" s="29"/>
      <c r="V282" s="28"/>
      <c r="W282" s="29"/>
      <c r="X282" s="29"/>
      <c r="Y282" s="29"/>
      <c r="Z282" s="31">
        <v>0</v>
      </c>
      <c r="AA282" s="31">
        <v>0</v>
      </c>
      <c r="AB282" s="31">
        <v>0</v>
      </c>
      <c r="AC282" s="28"/>
      <c r="AD282" s="28" t="s">
        <v>410</v>
      </c>
      <c r="AE282" s="28" t="s">
        <v>411</v>
      </c>
      <c r="AF282" s="28" t="s">
        <v>31</v>
      </c>
      <c r="AG282" s="28" t="s">
        <v>53</v>
      </c>
      <c r="AH282" s="28" t="s">
        <v>228</v>
      </c>
      <c r="AI282" s="28" t="s">
        <v>31</v>
      </c>
      <c r="AJ282" s="28"/>
      <c r="AK282" s="28" t="s">
        <v>239</v>
      </c>
      <c r="AL282" s="28" t="s">
        <v>243</v>
      </c>
      <c r="AM282" s="28" t="s">
        <v>231</v>
      </c>
      <c r="AN282" s="28" t="s">
        <v>232</v>
      </c>
      <c r="AO282" s="28" t="s">
        <v>231</v>
      </c>
      <c r="AP282" s="28" t="s">
        <v>232</v>
      </c>
      <c r="AQ282" s="28"/>
      <c r="AR282" s="28"/>
      <c r="AS282" s="28"/>
      <c r="AT282" s="28"/>
      <c r="AU282" s="28"/>
      <c r="AV282" s="28"/>
      <c r="AW282" s="29"/>
      <c r="AX282" s="33"/>
      <c r="AY282" s="31"/>
      <c r="AZ282" s="33"/>
      <c r="BA282" s="31"/>
      <c r="BB282" s="28"/>
      <c r="BC282" s="28"/>
      <c r="BD282" s="28"/>
      <c r="BE282" s="28"/>
      <c r="BF282" s="29"/>
      <c r="BG282" s="29"/>
      <c r="BH282" s="28"/>
      <c r="BI282" s="29">
        <v>1</v>
      </c>
      <c r="BJ282" s="29">
        <v>0</v>
      </c>
      <c r="BK282" s="30"/>
      <c r="BL282" s="30"/>
      <c r="BM282" s="28"/>
      <c r="BN282" s="30">
        <v>45987</v>
      </c>
      <c r="BO282" s="30">
        <v>45986</v>
      </c>
      <c r="BP282" s="31">
        <v>117.15</v>
      </c>
      <c r="BQ282" s="30">
        <v>45985</v>
      </c>
    </row>
    <row r="283" spans="1:69" ht="22.5" hidden="1" customHeight="1" x14ac:dyDescent="0.2">
      <c r="A283" s="28" t="s">
        <v>408</v>
      </c>
      <c r="B283" s="28"/>
      <c r="C283" s="28" t="s">
        <v>221</v>
      </c>
      <c r="D283" s="28" t="s">
        <v>222</v>
      </c>
      <c r="E283" s="29">
        <v>419272</v>
      </c>
      <c r="F283" s="29">
        <v>2818</v>
      </c>
      <c r="G283" s="29">
        <v>416</v>
      </c>
      <c r="H283" s="29">
        <v>4</v>
      </c>
      <c r="I283" s="30">
        <v>45986</v>
      </c>
      <c r="J283" s="28" t="s">
        <v>281</v>
      </c>
      <c r="K283" s="28" t="s">
        <v>1012</v>
      </c>
      <c r="L283" s="31">
        <v>67.540000000000006</v>
      </c>
      <c r="M283" s="31">
        <v>13.51</v>
      </c>
      <c r="N283" s="31">
        <v>81.05</v>
      </c>
      <c r="O283" s="28"/>
      <c r="P283" s="32">
        <v>45987</v>
      </c>
      <c r="Q283" s="31">
        <v>81.05</v>
      </c>
      <c r="R283" s="28"/>
      <c r="S283" s="31">
        <v>0</v>
      </c>
      <c r="T283" s="28"/>
      <c r="U283" s="29"/>
      <c r="V283" s="28"/>
      <c r="W283" s="29"/>
      <c r="X283" s="29"/>
      <c r="Y283" s="29"/>
      <c r="Z283" s="31">
        <v>0</v>
      </c>
      <c r="AA283" s="31">
        <v>0</v>
      </c>
      <c r="AB283" s="31">
        <v>0</v>
      </c>
      <c r="AC283" s="28"/>
      <c r="AD283" s="28" t="s">
        <v>410</v>
      </c>
      <c r="AE283" s="28" t="s">
        <v>411</v>
      </c>
      <c r="AF283" s="28" t="s">
        <v>31</v>
      </c>
      <c r="AG283" s="28" t="s">
        <v>53</v>
      </c>
      <c r="AH283" s="28" t="s">
        <v>228</v>
      </c>
      <c r="AI283" s="28" t="s">
        <v>31</v>
      </c>
      <c r="AJ283" s="28"/>
      <c r="AK283" s="28" t="s">
        <v>239</v>
      </c>
      <c r="AL283" s="28" t="s">
        <v>240</v>
      </c>
      <c r="AM283" s="28" t="s">
        <v>231</v>
      </c>
      <c r="AN283" s="28" t="s">
        <v>232</v>
      </c>
      <c r="AO283" s="28" t="s">
        <v>231</v>
      </c>
      <c r="AP283" s="28" t="s">
        <v>232</v>
      </c>
      <c r="AQ283" s="28"/>
      <c r="AR283" s="28"/>
      <c r="AS283" s="28"/>
      <c r="AT283" s="28"/>
      <c r="AU283" s="28"/>
      <c r="AV283" s="28"/>
      <c r="AW283" s="29"/>
      <c r="AX283" s="33"/>
      <c r="AY283" s="31"/>
      <c r="AZ283" s="33"/>
      <c r="BA283" s="31"/>
      <c r="BB283" s="28"/>
      <c r="BC283" s="28"/>
      <c r="BD283" s="28"/>
      <c r="BE283" s="28"/>
      <c r="BF283" s="29"/>
      <c r="BG283" s="29"/>
      <c r="BH283" s="28"/>
      <c r="BI283" s="29">
        <v>1</v>
      </c>
      <c r="BJ283" s="29">
        <v>0</v>
      </c>
      <c r="BK283" s="30"/>
      <c r="BL283" s="30"/>
      <c r="BM283" s="28"/>
      <c r="BN283" s="30">
        <v>45987</v>
      </c>
      <c r="BO283" s="30">
        <v>45986</v>
      </c>
      <c r="BP283" s="31">
        <v>81.05</v>
      </c>
      <c r="BQ283" s="30">
        <v>45985</v>
      </c>
    </row>
    <row r="284" spans="1:69" ht="22.5" hidden="1" customHeight="1" x14ac:dyDescent="0.2">
      <c r="A284" s="28" t="s">
        <v>262</v>
      </c>
      <c r="B284" s="28"/>
      <c r="C284" s="28" t="s">
        <v>221</v>
      </c>
      <c r="D284" s="28" t="s">
        <v>222</v>
      </c>
      <c r="E284" s="29">
        <v>419561</v>
      </c>
      <c r="F284" s="29">
        <v>2902</v>
      </c>
      <c r="G284" s="29">
        <v>433</v>
      </c>
      <c r="H284" s="29">
        <v>0</v>
      </c>
      <c r="I284" s="30">
        <v>46000</v>
      </c>
      <c r="J284" s="28" t="s">
        <v>1013</v>
      </c>
      <c r="K284" s="28" t="s">
        <v>1014</v>
      </c>
      <c r="L284" s="31">
        <v>27.33</v>
      </c>
      <c r="M284" s="31">
        <v>1.81</v>
      </c>
      <c r="N284" s="31">
        <v>29.14</v>
      </c>
      <c r="O284" s="28"/>
      <c r="P284" s="32">
        <v>46007</v>
      </c>
      <c r="Q284" s="31">
        <v>29.14</v>
      </c>
      <c r="R284" s="28" t="s">
        <v>1015</v>
      </c>
      <c r="S284" s="31">
        <v>0</v>
      </c>
      <c r="T284" s="28"/>
      <c r="U284" s="29"/>
      <c r="V284" s="28"/>
      <c r="W284" s="29"/>
      <c r="X284" s="29"/>
      <c r="Y284" s="29"/>
      <c r="Z284" s="31">
        <v>0</v>
      </c>
      <c r="AA284" s="31">
        <v>0</v>
      </c>
      <c r="AB284" s="31">
        <v>0</v>
      </c>
      <c r="AC284" s="28"/>
      <c r="AD284" s="28" t="s">
        <v>293</v>
      </c>
      <c r="AE284" s="28" t="s">
        <v>294</v>
      </c>
      <c r="AF284" s="28" t="s">
        <v>31</v>
      </c>
      <c r="AG284" s="28" t="s">
        <v>591</v>
      </c>
      <c r="AH284" s="28" t="s">
        <v>228</v>
      </c>
      <c r="AI284" s="28" t="s">
        <v>31</v>
      </c>
      <c r="AJ284" s="28"/>
      <c r="AK284" s="28" t="s">
        <v>235</v>
      </c>
      <c r="AL284" s="28" t="s">
        <v>31</v>
      </c>
      <c r="AM284" s="28" t="s">
        <v>231</v>
      </c>
      <c r="AN284" s="28" t="s">
        <v>232</v>
      </c>
      <c r="AO284" s="28" t="s">
        <v>231</v>
      </c>
      <c r="AP284" s="28" t="s">
        <v>232</v>
      </c>
      <c r="AQ284" s="28"/>
      <c r="AR284" s="28"/>
      <c r="AS284" s="28"/>
      <c r="AT284" s="28"/>
      <c r="AU284" s="28"/>
      <c r="AV284" s="28"/>
      <c r="AW284" s="29"/>
      <c r="AX284" s="33"/>
      <c r="AY284" s="31"/>
      <c r="AZ284" s="33"/>
      <c r="BA284" s="31"/>
      <c r="BB284" s="28"/>
      <c r="BC284" s="28"/>
      <c r="BD284" s="28"/>
      <c r="BE284" s="28"/>
      <c r="BF284" s="29"/>
      <c r="BG284" s="29"/>
      <c r="BH284" s="28" t="s">
        <v>1016</v>
      </c>
      <c r="BI284" s="29">
        <v>1</v>
      </c>
      <c r="BJ284" s="29">
        <v>0</v>
      </c>
      <c r="BK284" s="30"/>
      <c r="BL284" s="30"/>
      <c r="BM284" s="28"/>
      <c r="BN284" s="30">
        <v>46007</v>
      </c>
      <c r="BO284" s="30">
        <v>46006</v>
      </c>
      <c r="BP284" s="31">
        <v>29.14</v>
      </c>
      <c r="BQ284" s="30">
        <v>46005</v>
      </c>
    </row>
    <row r="285" spans="1:69" ht="22.5" hidden="1" customHeight="1" x14ac:dyDescent="0.2">
      <c r="A285" s="22" t="s">
        <v>262</v>
      </c>
      <c r="B285" s="22"/>
      <c r="C285" s="22" t="s">
        <v>221</v>
      </c>
      <c r="D285" s="22" t="s">
        <v>222</v>
      </c>
      <c r="E285" s="23">
        <v>419564</v>
      </c>
      <c r="F285" s="23">
        <v>2903</v>
      </c>
      <c r="G285" s="23">
        <v>433</v>
      </c>
      <c r="H285" s="23">
        <v>0</v>
      </c>
      <c r="I285" s="24">
        <v>46000</v>
      </c>
      <c r="J285" s="22" t="s">
        <v>1013</v>
      </c>
      <c r="K285" s="22" t="s">
        <v>1017</v>
      </c>
      <c r="L285" s="25">
        <v>327.54000000000002</v>
      </c>
      <c r="M285" s="25">
        <v>21.8</v>
      </c>
      <c r="N285" s="25">
        <v>349.34</v>
      </c>
      <c r="O285" s="22"/>
      <c r="P285" s="26">
        <v>46007</v>
      </c>
      <c r="Q285" s="25">
        <v>349.34</v>
      </c>
      <c r="R285" s="22" t="s">
        <v>1018</v>
      </c>
      <c r="S285" s="25">
        <v>0</v>
      </c>
      <c r="T285" s="22"/>
      <c r="U285" s="23"/>
      <c r="V285" s="22"/>
      <c r="W285" s="23"/>
      <c r="X285" s="23"/>
      <c r="Y285" s="23"/>
      <c r="Z285" s="25">
        <v>0</v>
      </c>
      <c r="AA285" s="25">
        <v>0</v>
      </c>
      <c r="AB285" s="25">
        <v>0</v>
      </c>
      <c r="AC285" s="22"/>
      <c r="AD285" s="22" t="s">
        <v>293</v>
      </c>
      <c r="AE285" s="22" t="s">
        <v>294</v>
      </c>
      <c r="AF285" s="22" t="s">
        <v>31</v>
      </c>
      <c r="AG285" s="22" t="s">
        <v>46</v>
      </c>
      <c r="AH285" s="22" t="s">
        <v>228</v>
      </c>
      <c r="AI285" s="22" t="s">
        <v>31</v>
      </c>
      <c r="AJ285" s="22"/>
      <c r="AK285" s="22" t="s">
        <v>239</v>
      </c>
      <c r="AL285" s="22" t="s">
        <v>790</v>
      </c>
      <c r="AM285" s="22" t="s">
        <v>231</v>
      </c>
      <c r="AN285" s="22" t="s">
        <v>232</v>
      </c>
      <c r="AO285" s="22" t="s">
        <v>231</v>
      </c>
      <c r="AP285" s="22" t="s">
        <v>232</v>
      </c>
      <c r="AQ285" s="22"/>
      <c r="AR285" s="22"/>
      <c r="AS285" s="22"/>
      <c r="AT285" s="22"/>
      <c r="AU285" s="22"/>
      <c r="AV285" s="22"/>
      <c r="AW285" s="23"/>
      <c r="AX285" s="27"/>
      <c r="AY285" s="25"/>
      <c r="AZ285" s="27"/>
      <c r="BA285" s="25"/>
      <c r="BB285" s="22"/>
      <c r="BC285" s="22"/>
      <c r="BD285" s="22"/>
      <c r="BE285" s="22"/>
      <c r="BF285" s="23"/>
      <c r="BG285" s="23"/>
      <c r="BH285" s="22" t="s">
        <v>1019</v>
      </c>
      <c r="BI285" s="23">
        <v>1</v>
      </c>
      <c r="BJ285" s="23">
        <v>0</v>
      </c>
      <c r="BK285" s="24"/>
      <c r="BL285" s="24"/>
      <c r="BM285" s="22"/>
      <c r="BN285" s="24">
        <v>46007</v>
      </c>
      <c r="BO285" s="24">
        <v>46006</v>
      </c>
      <c r="BP285" s="25">
        <v>349.34</v>
      </c>
      <c r="BQ285" s="24">
        <v>46005</v>
      </c>
    </row>
    <row r="286" spans="1:69" ht="22.5" hidden="1" customHeight="1" x14ac:dyDescent="0.2">
      <c r="A286" s="28" t="s">
        <v>262</v>
      </c>
      <c r="B286" s="28"/>
      <c r="C286" s="28" t="s">
        <v>221</v>
      </c>
      <c r="D286" s="28" t="s">
        <v>222</v>
      </c>
      <c r="E286" s="29">
        <v>419565</v>
      </c>
      <c r="F286" s="29">
        <v>2904</v>
      </c>
      <c r="G286" s="29">
        <v>433</v>
      </c>
      <c r="H286" s="29">
        <v>0</v>
      </c>
      <c r="I286" s="30">
        <v>46000</v>
      </c>
      <c r="J286" s="28" t="s">
        <v>1013</v>
      </c>
      <c r="K286" s="28" t="s">
        <v>1020</v>
      </c>
      <c r="L286" s="31">
        <v>555.65</v>
      </c>
      <c r="M286" s="31">
        <v>42.02</v>
      </c>
      <c r="N286" s="31">
        <v>597.66999999999996</v>
      </c>
      <c r="O286" s="28"/>
      <c r="P286" s="32">
        <v>46007</v>
      </c>
      <c r="Q286" s="31">
        <v>597.66999999999996</v>
      </c>
      <c r="R286" s="28" t="s">
        <v>1021</v>
      </c>
      <c r="S286" s="31">
        <v>0</v>
      </c>
      <c r="T286" s="28"/>
      <c r="U286" s="29"/>
      <c r="V286" s="28"/>
      <c r="W286" s="29"/>
      <c r="X286" s="29"/>
      <c r="Y286" s="29"/>
      <c r="Z286" s="31">
        <v>0</v>
      </c>
      <c r="AA286" s="31">
        <v>0</v>
      </c>
      <c r="AB286" s="31">
        <v>0</v>
      </c>
      <c r="AC286" s="28"/>
      <c r="AD286" s="28" t="s">
        <v>293</v>
      </c>
      <c r="AE286" s="28" t="s">
        <v>294</v>
      </c>
      <c r="AF286" s="28" t="s">
        <v>31</v>
      </c>
      <c r="AG286" s="28" t="s">
        <v>53</v>
      </c>
      <c r="AH286" s="28" t="s">
        <v>228</v>
      </c>
      <c r="AI286" s="28" t="s">
        <v>31</v>
      </c>
      <c r="AJ286" s="28"/>
      <c r="AK286" s="28" t="s">
        <v>239</v>
      </c>
      <c r="AL286" s="28" t="s">
        <v>457</v>
      </c>
      <c r="AM286" s="28" t="s">
        <v>231</v>
      </c>
      <c r="AN286" s="28" t="s">
        <v>232</v>
      </c>
      <c r="AO286" s="28" t="s">
        <v>231</v>
      </c>
      <c r="AP286" s="28" t="s">
        <v>232</v>
      </c>
      <c r="AQ286" s="28"/>
      <c r="AR286" s="28"/>
      <c r="AS286" s="28"/>
      <c r="AT286" s="28"/>
      <c r="AU286" s="28"/>
      <c r="AV286" s="28"/>
      <c r="AW286" s="29"/>
      <c r="AX286" s="33"/>
      <c r="AY286" s="31"/>
      <c r="AZ286" s="33"/>
      <c r="BA286" s="31"/>
      <c r="BB286" s="28"/>
      <c r="BC286" s="28"/>
      <c r="BD286" s="28"/>
      <c r="BE286" s="28"/>
      <c r="BF286" s="29"/>
      <c r="BG286" s="29"/>
      <c r="BH286" s="28" t="s">
        <v>1022</v>
      </c>
      <c r="BI286" s="29">
        <v>1</v>
      </c>
      <c r="BJ286" s="29">
        <v>0</v>
      </c>
      <c r="BK286" s="30"/>
      <c r="BL286" s="30"/>
      <c r="BM286" s="28"/>
      <c r="BN286" s="30">
        <v>46007</v>
      </c>
      <c r="BO286" s="30">
        <v>46006</v>
      </c>
      <c r="BP286" s="31">
        <v>597.66999999999996</v>
      </c>
      <c r="BQ286" s="30">
        <v>46005</v>
      </c>
    </row>
    <row r="287" spans="1:69" ht="22.5" hidden="1" customHeight="1" x14ac:dyDescent="0.2">
      <c r="A287" s="22" t="s">
        <v>262</v>
      </c>
      <c r="B287" s="22"/>
      <c r="C287" s="22" t="s">
        <v>221</v>
      </c>
      <c r="D287" s="22" t="s">
        <v>222</v>
      </c>
      <c r="E287" s="23">
        <v>419566</v>
      </c>
      <c r="F287" s="23">
        <v>2905</v>
      </c>
      <c r="G287" s="23">
        <v>433</v>
      </c>
      <c r="H287" s="23">
        <v>0</v>
      </c>
      <c r="I287" s="24">
        <v>46000</v>
      </c>
      <c r="J287" s="22" t="s">
        <v>1013</v>
      </c>
      <c r="K287" s="22" t="s">
        <v>1023</v>
      </c>
      <c r="L287" s="25">
        <v>310.95</v>
      </c>
      <c r="M287" s="25">
        <v>38.33</v>
      </c>
      <c r="N287" s="25">
        <v>349.28</v>
      </c>
      <c r="O287" s="22"/>
      <c r="P287" s="26">
        <v>46007</v>
      </c>
      <c r="Q287" s="25">
        <v>349.28</v>
      </c>
      <c r="R287" s="22" t="s">
        <v>1024</v>
      </c>
      <c r="S287" s="25">
        <v>0</v>
      </c>
      <c r="T287" s="22"/>
      <c r="U287" s="23"/>
      <c r="V287" s="22"/>
      <c r="W287" s="23"/>
      <c r="X287" s="23"/>
      <c r="Y287" s="23"/>
      <c r="Z287" s="25">
        <v>0</v>
      </c>
      <c r="AA287" s="25">
        <v>0</v>
      </c>
      <c r="AB287" s="25">
        <v>0</v>
      </c>
      <c r="AC287" s="22"/>
      <c r="AD287" s="22" t="s">
        <v>293</v>
      </c>
      <c r="AE287" s="22" t="s">
        <v>294</v>
      </c>
      <c r="AF287" s="22" t="s">
        <v>31</v>
      </c>
      <c r="AG287" s="22" t="s">
        <v>42</v>
      </c>
      <c r="AH287" s="22" t="s">
        <v>228</v>
      </c>
      <c r="AI287" s="22" t="s">
        <v>31</v>
      </c>
      <c r="AJ287" s="22"/>
      <c r="AK287" s="22" t="s">
        <v>235</v>
      </c>
      <c r="AL287" s="22" t="s">
        <v>250</v>
      </c>
      <c r="AM287" s="22" t="s">
        <v>231</v>
      </c>
      <c r="AN287" s="22" t="s">
        <v>232</v>
      </c>
      <c r="AO287" s="22" t="s">
        <v>231</v>
      </c>
      <c r="AP287" s="22" t="s">
        <v>232</v>
      </c>
      <c r="AQ287" s="22"/>
      <c r="AR287" s="22"/>
      <c r="AS287" s="22"/>
      <c r="AT287" s="22"/>
      <c r="AU287" s="22"/>
      <c r="AV287" s="22"/>
      <c r="AW287" s="23"/>
      <c r="AX287" s="27"/>
      <c r="AY287" s="25"/>
      <c r="AZ287" s="27"/>
      <c r="BA287" s="25"/>
      <c r="BB287" s="22"/>
      <c r="BC287" s="22"/>
      <c r="BD287" s="22"/>
      <c r="BE287" s="22"/>
      <c r="BF287" s="23"/>
      <c r="BG287" s="23"/>
      <c r="BH287" s="22" t="s">
        <v>1025</v>
      </c>
      <c r="BI287" s="23">
        <v>1</v>
      </c>
      <c r="BJ287" s="23">
        <v>0</v>
      </c>
      <c r="BK287" s="24"/>
      <c r="BL287" s="24"/>
      <c r="BM287" s="22"/>
      <c r="BN287" s="24">
        <v>46007</v>
      </c>
      <c r="BO287" s="24">
        <v>46006</v>
      </c>
      <c r="BP287" s="25">
        <v>349.28</v>
      </c>
      <c r="BQ287" s="24">
        <v>46005</v>
      </c>
    </row>
    <row r="288" spans="1:69" ht="22.5" hidden="1" customHeight="1" x14ac:dyDescent="0.2">
      <c r="A288" s="22" t="s">
        <v>262</v>
      </c>
      <c r="B288" s="22"/>
      <c r="C288" s="22" t="s">
        <v>221</v>
      </c>
      <c r="D288" s="22" t="s">
        <v>222</v>
      </c>
      <c r="E288" s="23">
        <v>419568</v>
      </c>
      <c r="F288" s="23">
        <v>2906</v>
      </c>
      <c r="G288" s="23">
        <v>433</v>
      </c>
      <c r="H288" s="23">
        <v>0</v>
      </c>
      <c r="I288" s="24">
        <v>46000</v>
      </c>
      <c r="J288" s="22" t="s">
        <v>1013</v>
      </c>
      <c r="K288" s="22" t="s">
        <v>1026</v>
      </c>
      <c r="L288" s="25">
        <v>318.91000000000003</v>
      </c>
      <c r="M288" s="25">
        <v>17.77</v>
      </c>
      <c r="N288" s="25">
        <v>336.68</v>
      </c>
      <c r="O288" s="22"/>
      <c r="P288" s="26">
        <v>46007</v>
      </c>
      <c r="Q288" s="25">
        <v>336.68</v>
      </c>
      <c r="R288" s="22" t="s">
        <v>1027</v>
      </c>
      <c r="S288" s="25">
        <v>0</v>
      </c>
      <c r="T288" s="22"/>
      <c r="U288" s="23"/>
      <c r="V288" s="22"/>
      <c r="W288" s="23"/>
      <c r="X288" s="23"/>
      <c r="Y288" s="23"/>
      <c r="Z288" s="25">
        <v>0</v>
      </c>
      <c r="AA288" s="25">
        <v>0</v>
      </c>
      <c r="AB288" s="25">
        <v>0</v>
      </c>
      <c r="AC288" s="22"/>
      <c r="AD288" s="22" t="s">
        <v>293</v>
      </c>
      <c r="AE288" s="22" t="s">
        <v>294</v>
      </c>
      <c r="AF288" s="22" t="s">
        <v>31</v>
      </c>
      <c r="AG288" s="22" t="s">
        <v>259</v>
      </c>
      <c r="AH288" s="22" t="s">
        <v>228</v>
      </c>
      <c r="AI288" s="22" t="s">
        <v>31</v>
      </c>
      <c r="AJ288" s="22"/>
      <c r="AK288" s="22" t="s">
        <v>260</v>
      </c>
      <c r="AL288" s="22" t="s">
        <v>31</v>
      </c>
      <c r="AM288" s="22" t="s">
        <v>231</v>
      </c>
      <c r="AN288" s="22" t="s">
        <v>232</v>
      </c>
      <c r="AO288" s="22" t="s">
        <v>231</v>
      </c>
      <c r="AP288" s="22" t="s">
        <v>232</v>
      </c>
      <c r="AQ288" s="22"/>
      <c r="AR288" s="22"/>
      <c r="AS288" s="22"/>
      <c r="AT288" s="22"/>
      <c r="AU288" s="22"/>
      <c r="AV288" s="22"/>
      <c r="AW288" s="23"/>
      <c r="AX288" s="27"/>
      <c r="AY288" s="25"/>
      <c r="AZ288" s="27"/>
      <c r="BA288" s="25"/>
      <c r="BB288" s="22"/>
      <c r="BC288" s="22"/>
      <c r="BD288" s="22"/>
      <c r="BE288" s="22"/>
      <c r="BF288" s="23"/>
      <c r="BG288" s="23"/>
      <c r="BH288" s="22" t="s">
        <v>1028</v>
      </c>
      <c r="BI288" s="23">
        <v>1</v>
      </c>
      <c r="BJ288" s="23">
        <v>0</v>
      </c>
      <c r="BK288" s="24"/>
      <c r="BL288" s="24"/>
      <c r="BM288" s="22"/>
      <c r="BN288" s="24">
        <v>46007</v>
      </c>
      <c r="BO288" s="24">
        <v>46006</v>
      </c>
      <c r="BP288" s="25">
        <v>336.68</v>
      </c>
      <c r="BQ288" s="24">
        <v>46005</v>
      </c>
    </row>
    <row r="289" spans="1:69" ht="22.5" hidden="1" customHeight="1" x14ac:dyDescent="0.2">
      <c r="A289" s="28" t="s">
        <v>262</v>
      </c>
      <c r="B289" s="28"/>
      <c r="C289" s="28" t="s">
        <v>221</v>
      </c>
      <c r="D289" s="28" t="s">
        <v>222</v>
      </c>
      <c r="E289" s="29">
        <v>419602</v>
      </c>
      <c r="F289" s="29">
        <v>2927</v>
      </c>
      <c r="G289" s="29">
        <v>435</v>
      </c>
      <c r="H289" s="29">
        <v>0</v>
      </c>
      <c r="I289" s="30">
        <v>46000</v>
      </c>
      <c r="J289" s="28" t="s">
        <v>1013</v>
      </c>
      <c r="K289" s="28" t="s">
        <v>1029</v>
      </c>
      <c r="L289" s="31">
        <v>130.43</v>
      </c>
      <c r="M289" s="31">
        <v>8.09</v>
      </c>
      <c r="N289" s="31">
        <v>138.52000000000001</v>
      </c>
      <c r="O289" s="28"/>
      <c r="P289" s="32">
        <v>46007</v>
      </c>
      <c r="Q289" s="31">
        <v>138.52000000000001</v>
      </c>
      <c r="R289" s="28" t="s">
        <v>1030</v>
      </c>
      <c r="S289" s="31">
        <v>0</v>
      </c>
      <c r="T289" s="28"/>
      <c r="U289" s="29"/>
      <c r="V289" s="28"/>
      <c r="W289" s="29"/>
      <c r="X289" s="29"/>
      <c r="Y289" s="29"/>
      <c r="Z289" s="31">
        <v>0</v>
      </c>
      <c r="AA289" s="31">
        <v>0</v>
      </c>
      <c r="AB289" s="31">
        <v>0</v>
      </c>
      <c r="AC289" s="28"/>
      <c r="AD289" s="28" t="s">
        <v>365</v>
      </c>
      <c r="AE289" s="28" t="s">
        <v>366</v>
      </c>
      <c r="AF289" s="28" t="s">
        <v>31</v>
      </c>
      <c r="AG289" s="28" t="s">
        <v>42</v>
      </c>
      <c r="AH289" s="28" t="s">
        <v>228</v>
      </c>
      <c r="AI289" s="28" t="s">
        <v>31</v>
      </c>
      <c r="AJ289" s="28"/>
      <c r="AK289" s="28" t="s">
        <v>235</v>
      </c>
      <c r="AL289" s="28" t="s">
        <v>250</v>
      </c>
      <c r="AM289" s="28" t="s">
        <v>231</v>
      </c>
      <c r="AN289" s="28" t="s">
        <v>232</v>
      </c>
      <c r="AO289" s="28" t="s">
        <v>231</v>
      </c>
      <c r="AP289" s="28" t="s">
        <v>232</v>
      </c>
      <c r="AQ289" s="28"/>
      <c r="AR289" s="28"/>
      <c r="AS289" s="28"/>
      <c r="AT289" s="28"/>
      <c r="AU289" s="28"/>
      <c r="AV289" s="28"/>
      <c r="AW289" s="29"/>
      <c r="AX289" s="33"/>
      <c r="AY289" s="31"/>
      <c r="AZ289" s="33"/>
      <c r="BA289" s="31"/>
      <c r="BB289" s="28"/>
      <c r="BC289" s="28"/>
      <c r="BD289" s="28"/>
      <c r="BE289" s="28"/>
      <c r="BF289" s="29"/>
      <c r="BG289" s="29"/>
      <c r="BH289" s="28" t="s">
        <v>1031</v>
      </c>
      <c r="BI289" s="29">
        <v>1</v>
      </c>
      <c r="BJ289" s="29">
        <v>0</v>
      </c>
      <c r="BK289" s="30"/>
      <c r="BL289" s="30"/>
      <c r="BM289" s="28"/>
      <c r="BN289" s="30">
        <v>46007</v>
      </c>
      <c r="BO289" s="30">
        <v>46006</v>
      </c>
      <c r="BP289" s="31">
        <v>138.52000000000001</v>
      </c>
      <c r="BQ289" s="30">
        <v>46005</v>
      </c>
    </row>
    <row r="290" spans="1:69" ht="22.5" customHeight="1" x14ac:dyDescent="0.2">
      <c r="A290" s="28" t="s">
        <v>262</v>
      </c>
      <c r="B290" s="28"/>
      <c r="C290" s="28" t="s">
        <v>221</v>
      </c>
      <c r="D290" s="28" t="s">
        <v>222</v>
      </c>
      <c r="E290" s="29">
        <v>419655</v>
      </c>
      <c r="F290" s="29">
        <v>2969</v>
      </c>
      <c r="G290" s="29">
        <v>437</v>
      </c>
      <c r="H290" s="29">
        <v>0</v>
      </c>
      <c r="I290" s="30">
        <v>46000</v>
      </c>
      <c r="J290" s="28" t="s">
        <v>1013</v>
      </c>
      <c r="K290" s="28" t="s">
        <v>1032</v>
      </c>
      <c r="L290" s="31">
        <v>24.64</v>
      </c>
      <c r="M290" s="31">
        <v>1.36</v>
      </c>
      <c r="N290" s="31">
        <v>26</v>
      </c>
      <c r="O290" s="28"/>
      <c r="P290" s="32">
        <v>46007</v>
      </c>
      <c r="Q290" s="31">
        <v>26</v>
      </c>
      <c r="R290" s="28" t="s">
        <v>463</v>
      </c>
      <c r="S290" s="31">
        <v>0</v>
      </c>
      <c r="T290" s="28"/>
      <c r="U290" s="29"/>
      <c r="V290" s="28"/>
      <c r="W290" s="29"/>
      <c r="X290" s="29"/>
      <c r="Y290" s="29"/>
      <c r="Z290" s="31">
        <v>0</v>
      </c>
      <c r="AA290" s="31">
        <v>0</v>
      </c>
      <c r="AB290" s="31">
        <v>0</v>
      </c>
      <c r="AC290" s="28"/>
      <c r="AD290" s="28" t="s">
        <v>266</v>
      </c>
      <c r="AE290" s="28" t="s">
        <v>267</v>
      </c>
      <c r="AF290" s="28" t="s">
        <v>31</v>
      </c>
      <c r="AG290" s="28" t="s">
        <v>42</v>
      </c>
      <c r="AH290" s="28" t="s">
        <v>228</v>
      </c>
      <c r="AI290" s="28" t="s">
        <v>31</v>
      </c>
      <c r="AJ290" s="28"/>
      <c r="AK290" s="28" t="s">
        <v>34</v>
      </c>
      <c r="AL290" s="28" t="s">
        <v>250</v>
      </c>
      <c r="AM290" s="28" t="s">
        <v>231</v>
      </c>
      <c r="AN290" s="28" t="s">
        <v>232</v>
      </c>
      <c r="AO290" s="28" t="s">
        <v>231</v>
      </c>
      <c r="AP290" s="28" t="s">
        <v>232</v>
      </c>
      <c r="AQ290" s="28"/>
      <c r="AR290" s="28"/>
      <c r="AS290" s="28"/>
      <c r="AT290" s="28"/>
      <c r="AU290" s="28"/>
      <c r="AV290" s="28"/>
      <c r="AW290" s="29"/>
      <c r="AX290" s="33"/>
      <c r="AY290" s="31"/>
      <c r="AZ290" s="33"/>
      <c r="BA290" s="31"/>
      <c r="BB290" s="28"/>
      <c r="BC290" s="28"/>
      <c r="BD290" s="28"/>
      <c r="BE290" s="28"/>
      <c r="BF290" s="29"/>
      <c r="BG290" s="29"/>
      <c r="BH290" s="28" t="s">
        <v>1033</v>
      </c>
      <c r="BI290" s="29">
        <v>1</v>
      </c>
      <c r="BJ290" s="29">
        <v>0</v>
      </c>
      <c r="BK290" s="30"/>
      <c r="BL290" s="30"/>
      <c r="BM290" s="28"/>
      <c r="BN290" s="30">
        <v>46007</v>
      </c>
      <c r="BO290" s="30">
        <v>46006</v>
      </c>
      <c r="BP290" s="31">
        <v>26</v>
      </c>
      <c r="BQ290" s="30">
        <v>46005</v>
      </c>
    </row>
    <row r="291" spans="1:69" ht="22.5" customHeight="1" x14ac:dyDescent="0.2">
      <c r="A291" s="22" t="s">
        <v>262</v>
      </c>
      <c r="B291" s="22"/>
      <c r="C291" s="22" t="s">
        <v>221</v>
      </c>
      <c r="D291" s="22" t="s">
        <v>222</v>
      </c>
      <c r="E291" s="23">
        <v>419656</v>
      </c>
      <c r="F291" s="23">
        <v>2970</v>
      </c>
      <c r="G291" s="23">
        <v>437</v>
      </c>
      <c r="H291" s="23">
        <v>0</v>
      </c>
      <c r="I291" s="24">
        <v>46000</v>
      </c>
      <c r="J291" s="22" t="s">
        <v>1013</v>
      </c>
      <c r="K291" s="22" t="s">
        <v>1034</v>
      </c>
      <c r="L291" s="25">
        <v>24.64</v>
      </c>
      <c r="M291" s="25">
        <v>1.36</v>
      </c>
      <c r="N291" s="25">
        <v>26</v>
      </c>
      <c r="O291" s="22"/>
      <c r="P291" s="26">
        <v>46007</v>
      </c>
      <c r="Q291" s="25">
        <v>26</v>
      </c>
      <c r="R291" s="22" t="s">
        <v>1035</v>
      </c>
      <c r="S291" s="25">
        <v>0</v>
      </c>
      <c r="T291" s="22"/>
      <c r="U291" s="23"/>
      <c r="V291" s="22"/>
      <c r="W291" s="23"/>
      <c r="X291" s="23"/>
      <c r="Y291" s="23"/>
      <c r="Z291" s="25">
        <v>0</v>
      </c>
      <c r="AA291" s="25">
        <v>0</v>
      </c>
      <c r="AB291" s="25">
        <v>0</v>
      </c>
      <c r="AC291" s="22"/>
      <c r="AD291" s="22" t="s">
        <v>266</v>
      </c>
      <c r="AE291" s="22" t="s">
        <v>267</v>
      </c>
      <c r="AF291" s="22" t="s">
        <v>31</v>
      </c>
      <c r="AG291" s="22" t="s">
        <v>46</v>
      </c>
      <c r="AH291" s="22" t="s">
        <v>228</v>
      </c>
      <c r="AI291" s="22" t="s">
        <v>31</v>
      </c>
      <c r="AJ291" s="22"/>
      <c r="AK291" s="22" t="s">
        <v>34</v>
      </c>
      <c r="AL291" s="22" t="s">
        <v>47</v>
      </c>
      <c r="AM291" s="22" t="s">
        <v>231</v>
      </c>
      <c r="AN291" s="22" t="s">
        <v>232</v>
      </c>
      <c r="AO291" s="22" t="s">
        <v>231</v>
      </c>
      <c r="AP291" s="22" t="s">
        <v>232</v>
      </c>
      <c r="AQ291" s="22"/>
      <c r="AR291" s="22"/>
      <c r="AS291" s="22"/>
      <c r="AT291" s="22"/>
      <c r="AU291" s="22"/>
      <c r="AV291" s="22"/>
      <c r="AW291" s="23"/>
      <c r="AX291" s="27"/>
      <c r="AY291" s="25"/>
      <c r="AZ291" s="27"/>
      <c r="BA291" s="25"/>
      <c r="BB291" s="22"/>
      <c r="BC291" s="22"/>
      <c r="BD291" s="22"/>
      <c r="BE291" s="22"/>
      <c r="BF291" s="23"/>
      <c r="BG291" s="23"/>
      <c r="BH291" s="22" t="s">
        <v>1036</v>
      </c>
      <c r="BI291" s="23">
        <v>1</v>
      </c>
      <c r="BJ291" s="23">
        <v>0</v>
      </c>
      <c r="BK291" s="24"/>
      <c r="BL291" s="24"/>
      <c r="BM291" s="22"/>
      <c r="BN291" s="24">
        <v>46007</v>
      </c>
      <c r="BO291" s="24">
        <v>46006</v>
      </c>
      <c r="BP291" s="25">
        <v>26</v>
      </c>
      <c r="BQ291" s="24">
        <v>46005</v>
      </c>
    </row>
    <row r="292" spans="1:69" ht="22.5" customHeight="1" x14ac:dyDescent="0.2">
      <c r="A292" s="28" t="s">
        <v>262</v>
      </c>
      <c r="B292" s="28"/>
      <c r="C292" s="28" t="s">
        <v>221</v>
      </c>
      <c r="D292" s="28" t="s">
        <v>222</v>
      </c>
      <c r="E292" s="29">
        <v>419657</v>
      </c>
      <c r="F292" s="29">
        <v>2971</v>
      </c>
      <c r="G292" s="29">
        <v>437</v>
      </c>
      <c r="H292" s="29">
        <v>0</v>
      </c>
      <c r="I292" s="30">
        <v>46000</v>
      </c>
      <c r="J292" s="28" t="s">
        <v>1013</v>
      </c>
      <c r="K292" s="28" t="s">
        <v>1037</v>
      </c>
      <c r="L292" s="31">
        <v>30.8</v>
      </c>
      <c r="M292" s="31">
        <v>1.69</v>
      </c>
      <c r="N292" s="31">
        <v>32.49</v>
      </c>
      <c r="O292" s="28"/>
      <c r="P292" s="32">
        <v>46007</v>
      </c>
      <c r="Q292" s="31">
        <v>32.49</v>
      </c>
      <c r="R292" s="28" t="s">
        <v>469</v>
      </c>
      <c r="S292" s="31">
        <v>0</v>
      </c>
      <c r="T292" s="28"/>
      <c r="U292" s="29"/>
      <c r="V292" s="28"/>
      <c r="W292" s="29"/>
      <c r="X292" s="29"/>
      <c r="Y292" s="29"/>
      <c r="Z292" s="31">
        <v>0</v>
      </c>
      <c r="AA292" s="31">
        <v>0</v>
      </c>
      <c r="AB292" s="31">
        <v>0</v>
      </c>
      <c r="AC292" s="28"/>
      <c r="AD292" s="28" t="s">
        <v>266</v>
      </c>
      <c r="AE292" s="28" t="s">
        <v>267</v>
      </c>
      <c r="AF292" s="28" t="s">
        <v>31</v>
      </c>
      <c r="AG292" s="28" t="s">
        <v>42</v>
      </c>
      <c r="AH292" s="28" t="s">
        <v>228</v>
      </c>
      <c r="AI292" s="28" t="s">
        <v>31</v>
      </c>
      <c r="AJ292" s="28"/>
      <c r="AK292" s="28" t="s">
        <v>34</v>
      </c>
      <c r="AL292" s="28" t="s">
        <v>43</v>
      </c>
      <c r="AM292" s="28" t="s">
        <v>231</v>
      </c>
      <c r="AN292" s="28" t="s">
        <v>232</v>
      </c>
      <c r="AO292" s="28" t="s">
        <v>231</v>
      </c>
      <c r="AP292" s="28" t="s">
        <v>232</v>
      </c>
      <c r="AQ292" s="28"/>
      <c r="AR292" s="28"/>
      <c r="AS292" s="28"/>
      <c r="AT292" s="28"/>
      <c r="AU292" s="28"/>
      <c r="AV292" s="28"/>
      <c r="AW292" s="29"/>
      <c r="AX292" s="33"/>
      <c r="AY292" s="31"/>
      <c r="AZ292" s="33"/>
      <c r="BA292" s="31"/>
      <c r="BB292" s="28"/>
      <c r="BC292" s="28"/>
      <c r="BD292" s="28"/>
      <c r="BE292" s="28"/>
      <c r="BF292" s="29"/>
      <c r="BG292" s="29"/>
      <c r="BH292" s="28" t="s">
        <v>1038</v>
      </c>
      <c r="BI292" s="29">
        <v>1</v>
      </c>
      <c r="BJ292" s="29">
        <v>0</v>
      </c>
      <c r="BK292" s="30"/>
      <c r="BL292" s="30"/>
      <c r="BM292" s="28"/>
      <c r="BN292" s="30">
        <v>46007</v>
      </c>
      <c r="BO292" s="30">
        <v>46006</v>
      </c>
      <c r="BP292" s="31">
        <v>32.49</v>
      </c>
      <c r="BQ292" s="30">
        <v>46005</v>
      </c>
    </row>
    <row r="293" spans="1:69" ht="22.5" customHeight="1" x14ac:dyDescent="0.2">
      <c r="A293" s="22" t="s">
        <v>262</v>
      </c>
      <c r="B293" s="22"/>
      <c r="C293" s="22" t="s">
        <v>221</v>
      </c>
      <c r="D293" s="22" t="s">
        <v>222</v>
      </c>
      <c r="E293" s="23">
        <v>419658</v>
      </c>
      <c r="F293" s="23">
        <v>2972</v>
      </c>
      <c r="G293" s="23">
        <v>437</v>
      </c>
      <c r="H293" s="23">
        <v>0</v>
      </c>
      <c r="I293" s="24">
        <v>46000</v>
      </c>
      <c r="J293" s="22" t="s">
        <v>1013</v>
      </c>
      <c r="K293" s="22" t="s">
        <v>1039</v>
      </c>
      <c r="L293" s="25">
        <v>21.12</v>
      </c>
      <c r="M293" s="25">
        <v>1.1599999999999999</v>
      </c>
      <c r="N293" s="25">
        <v>22.28</v>
      </c>
      <c r="O293" s="22"/>
      <c r="P293" s="26">
        <v>46007</v>
      </c>
      <c r="Q293" s="25">
        <v>22.28</v>
      </c>
      <c r="R293" s="22" t="s">
        <v>466</v>
      </c>
      <c r="S293" s="25">
        <v>0</v>
      </c>
      <c r="T293" s="22"/>
      <c r="U293" s="23"/>
      <c r="V293" s="22"/>
      <c r="W293" s="23"/>
      <c r="X293" s="23"/>
      <c r="Y293" s="23"/>
      <c r="Z293" s="25">
        <v>0</v>
      </c>
      <c r="AA293" s="25">
        <v>0</v>
      </c>
      <c r="AB293" s="25">
        <v>0</v>
      </c>
      <c r="AC293" s="22"/>
      <c r="AD293" s="22" t="s">
        <v>266</v>
      </c>
      <c r="AE293" s="22" t="s">
        <v>267</v>
      </c>
      <c r="AF293" s="22" t="s">
        <v>31</v>
      </c>
      <c r="AG293" s="22" t="s">
        <v>42</v>
      </c>
      <c r="AH293" s="22" t="s">
        <v>228</v>
      </c>
      <c r="AI293" s="22" t="s">
        <v>31</v>
      </c>
      <c r="AJ293" s="22"/>
      <c r="AK293" s="22" t="s">
        <v>34</v>
      </c>
      <c r="AL293" s="22" t="s">
        <v>50</v>
      </c>
      <c r="AM293" s="22" t="s">
        <v>231</v>
      </c>
      <c r="AN293" s="22" t="s">
        <v>232</v>
      </c>
      <c r="AO293" s="22" t="s">
        <v>231</v>
      </c>
      <c r="AP293" s="22" t="s">
        <v>232</v>
      </c>
      <c r="AQ293" s="22"/>
      <c r="AR293" s="22"/>
      <c r="AS293" s="22"/>
      <c r="AT293" s="22"/>
      <c r="AU293" s="22"/>
      <c r="AV293" s="22"/>
      <c r="AW293" s="23"/>
      <c r="AX293" s="27"/>
      <c r="AY293" s="25"/>
      <c r="AZ293" s="27"/>
      <c r="BA293" s="25"/>
      <c r="BB293" s="22"/>
      <c r="BC293" s="22"/>
      <c r="BD293" s="22"/>
      <c r="BE293" s="22"/>
      <c r="BF293" s="23"/>
      <c r="BG293" s="23"/>
      <c r="BH293" s="22" t="s">
        <v>1040</v>
      </c>
      <c r="BI293" s="23">
        <v>1</v>
      </c>
      <c r="BJ293" s="23">
        <v>0</v>
      </c>
      <c r="BK293" s="24"/>
      <c r="BL293" s="24"/>
      <c r="BM293" s="22"/>
      <c r="BN293" s="24">
        <v>46007</v>
      </c>
      <c r="BO293" s="24">
        <v>46006</v>
      </c>
      <c r="BP293" s="25">
        <v>22.28</v>
      </c>
      <c r="BQ293" s="24">
        <v>46005</v>
      </c>
    </row>
    <row r="294" spans="1:69" ht="22.5" customHeight="1" x14ac:dyDescent="0.2">
      <c r="A294" s="22" t="s">
        <v>262</v>
      </c>
      <c r="B294" s="22"/>
      <c r="C294" s="22" t="s">
        <v>221</v>
      </c>
      <c r="D294" s="22" t="s">
        <v>222</v>
      </c>
      <c r="E294" s="23">
        <v>419671</v>
      </c>
      <c r="F294" s="23">
        <v>3007</v>
      </c>
      <c r="G294" s="23">
        <v>441</v>
      </c>
      <c r="H294" s="23">
        <v>0</v>
      </c>
      <c r="I294" s="24">
        <v>46001</v>
      </c>
      <c r="J294" s="22" t="s">
        <v>1013</v>
      </c>
      <c r="K294" s="22" t="s">
        <v>1041</v>
      </c>
      <c r="L294" s="25">
        <v>570.24</v>
      </c>
      <c r="M294" s="25">
        <v>31.36</v>
      </c>
      <c r="N294" s="25">
        <v>601.6</v>
      </c>
      <c r="O294" s="22"/>
      <c r="P294" s="26">
        <v>46007</v>
      </c>
      <c r="Q294" s="25">
        <v>601.6</v>
      </c>
      <c r="R294" s="22" t="s">
        <v>460</v>
      </c>
      <c r="S294" s="25">
        <v>0</v>
      </c>
      <c r="T294" s="22"/>
      <c r="U294" s="23"/>
      <c r="V294" s="22"/>
      <c r="W294" s="23"/>
      <c r="X294" s="23"/>
      <c r="Y294" s="23"/>
      <c r="Z294" s="25">
        <v>0</v>
      </c>
      <c r="AA294" s="25">
        <v>0</v>
      </c>
      <c r="AB294" s="25">
        <v>0</v>
      </c>
      <c r="AC294" s="22"/>
      <c r="AD294" s="22" t="s">
        <v>266</v>
      </c>
      <c r="AE294" s="22" t="s">
        <v>267</v>
      </c>
      <c r="AF294" s="22" t="s">
        <v>31</v>
      </c>
      <c r="AG294" s="22" t="s">
        <v>32</v>
      </c>
      <c r="AH294" s="22" t="s">
        <v>228</v>
      </c>
      <c r="AI294" s="22" t="s">
        <v>31</v>
      </c>
      <c r="AJ294" s="22"/>
      <c r="AK294" s="22" t="s">
        <v>34</v>
      </c>
      <c r="AL294" s="22" t="s">
        <v>31</v>
      </c>
      <c r="AM294" s="22" t="s">
        <v>231</v>
      </c>
      <c r="AN294" s="22" t="s">
        <v>232</v>
      </c>
      <c r="AO294" s="22" t="s">
        <v>231</v>
      </c>
      <c r="AP294" s="22" t="s">
        <v>232</v>
      </c>
      <c r="AQ294" s="22"/>
      <c r="AR294" s="22"/>
      <c r="AS294" s="22"/>
      <c r="AT294" s="22"/>
      <c r="AU294" s="22"/>
      <c r="AV294" s="22"/>
      <c r="AW294" s="23"/>
      <c r="AX294" s="27"/>
      <c r="AY294" s="25"/>
      <c r="AZ294" s="27"/>
      <c r="BA294" s="25"/>
      <c r="BB294" s="22"/>
      <c r="BC294" s="22"/>
      <c r="BD294" s="22"/>
      <c r="BE294" s="22"/>
      <c r="BF294" s="23"/>
      <c r="BG294" s="23"/>
      <c r="BH294" s="22" t="s">
        <v>1042</v>
      </c>
      <c r="BI294" s="23">
        <v>1</v>
      </c>
      <c r="BJ294" s="23">
        <v>0</v>
      </c>
      <c r="BK294" s="24"/>
      <c r="BL294" s="24"/>
      <c r="BM294" s="22"/>
      <c r="BN294" s="24">
        <v>46007</v>
      </c>
      <c r="BO294" s="24">
        <v>46006</v>
      </c>
      <c r="BP294" s="25">
        <v>601.6</v>
      </c>
      <c r="BQ294" s="24">
        <v>46005</v>
      </c>
    </row>
    <row r="295" spans="1:69" ht="22.5" customHeight="1" x14ac:dyDescent="0.2">
      <c r="A295" s="22" t="s">
        <v>262</v>
      </c>
      <c r="B295" s="22"/>
      <c r="C295" s="22" t="s">
        <v>221</v>
      </c>
      <c r="D295" s="22" t="s">
        <v>222</v>
      </c>
      <c r="E295" s="23">
        <v>419689</v>
      </c>
      <c r="F295" s="23">
        <v>3008</v>
      </c>
      <c r="G295" s="23">
        <v>441</v>
      </c>
      <c r="H295" s="23">
        <v>0</v>
      </c>
      <c r="I295" s="24">
        <v>46001</v>
      </c>
      <c r="J295" s="22" t="s">
        <v>1013</v>
      </c>
      <c r="K295" s="22" t="s">
        <v>1043</v>
      </c>
      <c r="L295" s="25">
        <v>28.83</v>
      </c>
      <c r="M295" s="25">
        <v>1.59</v>
      </c>
      <c r="N295" s="25">
        <v>30.42</v>
      </c>
      <c r="O295" s="22"/>
      <c r="P295" s="26">
        <v>46007</v>
      </c>
      <c r="Q295" s="25">
        <v>30.42</v>
      </c>
      <c r="R295" s="22" t="s">
        <v>930</v>
      </c>
      <c r="S295" s="25">
        <v>0</v>
      </c>
      <c r="T295" s="22"/>
      <c r="U295" s="23"/>
      <c r="V295" s="22"/>
      <c r="W295" s="23"/>
      <c r="X295" s="23"/>
      <c r="Y295" s="23"/>
      <c r="Z295" s="25">
        <v>0</v>
      </c>
      <c r="AA295" s="25">
        <v>0</v>
      </c>
      <c r="AB295" s="25">
        <v>0</v>
      </c>
      <c r="AC295" s="22"/>
      <c r="AD295" s="22" t="s">
        <v>308</v>
      </c>
      <c r="AE295" s="22" t="s">
        <v>309</v>
      </c>
      <c r="AF295" s="22" t="s">
        <v>31</v>
      </c>
      <c r="AG295" s="22" t="s">
        <v>46</v>
      </c>
      <c r="AH295" s="22" t="s">
        <v>228</v>
      </c>
      <c r="AI295" s="22" t="s">
        <v>31</v>
      </c>
      <c r="AJ295" s="22"/>
      <c r="AK295" s="22" t="s">
        <v>34</v>
      </c>
      <c r="AL295" s="22" t="s">
        <v>47</v>
      </c>
      <c r="AM295" s="22" t="s">
        <v>231</v>
      </c>
      <c r="AN295" s="22" t="s">
        <v>232</v>
      </c>
      <c r="AO295" s="22" t="s">
        <v>231</v>
      </c>
      <c r="AP295" s="22" t="s">
        <v>232</v>
      </c>
      <c r="AQ295" s="22"/>
      <c r="AR295" s="22"/>
      <c r="AS295" s="22"/>
      <c r="AT295" s="22"/>
      <c r="AU295" s="22"/>
      <c r="AV295" s="22"/>
      <c r="AW295" s="23"/>
      <c r="AX295" s="27"/>
      <c r="AY295" s="25"/>
      <c r="AZ295" s="27"/>
      <c r="BA295" s="25"/>
      <c r="BB295" s="22"/>
      <c r="BC295" s="22"/>
      <c r="BD295" s="22"/>
      <c r="BE295" s="22"/>
      <c r="BF295" s="23"/>
      <c r="BG295" s="23"/>
      <c r="BH295" s="22" t="s">
        <v>1044</v>
      </c>
      <c r="BI295" s="23">
        <v>1</v>
      </c>
      <c r="BJ295" s="23">
        <v>0</v>
      </c>
      <c r="BK295" s="24"/>
      <c r="BL295" s="24"/>
      <c r="BM295" s="22"/>
      <c r="BN295" s="24">
        <v>46007</v>
      </c>
      <c r="BO295" s="24">
        <v>46006</v>
      </c>
      <c r="BP295" s="25">
        <v>30.42</v>
      </c>
      <c r="BQ295" s="24">
        <v>46005</v>
      </c>
    </row>
    <row r="296" spans="1:69" ht="22.5" customHeight="1" x14ac:dyDescent="0.2">
      <c r="A296" s="28" t="s">
        <v>262</v>
      </c>
      <c r="B296" s="28"/>
      <c r="C296" s="28" t="s">
        <v>221</v>
      </c>
      <c r="D296" s="28" t="s">
        <v>222</v>
      </c>
      <c r="E296" s="29">
        <v>419692</v>
      </c>
      <c r="F296" s="29">
        <v>3009</v>
      </c>
      <c r="G296" s="29">
        <v>441</v>
      </c>
      <c r="H296" s="29">
        <v>0</v>
      </c>
      <c r="I296" s="30">
        <v>46001</v>
      </c>
      <c r="J296" s="28" t="s">
        <v>1013</v>
      </c>
      <c r="K296" s="28" t="s">
        <v>1045</v>
      </c>
      <c r="L296" s="31">
        <v>61</v>
      </c>
      <c r="M296" s="31">
        <v>3.35</v>
      </c>
      <c r="N296" s="31">
        <v>64.349999999999994</v>
      </c>
      <c r="O296" s="28"/>
      <c r="P296" s="32">
        <v>46007</v>
      </c>
      <c r="Q296" s="31">
        <v>64.349999999999994</v>
      </c>
      <c r="R296" s="28" t="s">
        <v>312</v>
      </c>
      <c r="S296" s="31">
        <v>0</v>
      </c>
      <c r="T296" s="28"/>
      <c r="U296" s="29"/>
      <c r="V296" s="28"/>
      <c r="W296" s="29"/>
      <c r="X296" s="29"/>
      <c r="Y296" s="29"/>
      <c r="Z296" s="31">
        <v>0</v>
      </c>
      <c r="AA296" s="31">
        <v>0</v>
      </c>
      <c r="AB296" s="31">
        <v>0</v>
      </c>
      <c r="AC296" s="28"/>
      <c r="AD296" s="28" t="s">
        <v>308</v>
      </c>
      <c r="AE296" s="28" t="s">
        <v>309</v>
      </c>
      <c r="AF296" s="28" t="s">
        <v>31</v>
      </c>
      <c r="AG296" s="28" t="s">
        <v>42</v>
      </c>
      <c r="AH296" s="28" t="s">
        <v>228</v>
      </c>
      <c r="AI296" s="28" t="s">
        <v>31</v>
      </c>
      <c r="AJ296" s="28"/>
      <c r="AK296" s="28" t="s">
        <v>34</v>
      </c>
      <c r="AL296" s="28" t="s">
        <v>43</v>
      </c>
      <c r="AM296" s="28" t="s">
        <v>231</v>
      </c>
      <c r="AN296" s="28" t="s">
        <v>232</v>
      </c>
      <c r="AO296" s="28" t="s">
        <v>231</v>
      </c>
      <c r="AP296" s="28" t="s">
        <v>232</v>
      </c>
      <c r="AQ296" s="28"/>
      <c r="AR296" s="28"/>
      <c r="AS296" s="28"/>
      <c r="AT296" s="28"/>
      <c r="AU296" s="28"/>
      <c r="AV296" s="28"/>
      <c r="AW296" s="29"/>
      <c r="AX296" s="33"/>
      <c r="AY296" s="31"/>
      <c r="AZ296" s="33"/>
      <c r="BA296" s="31"/>
      <c r="BB296" s="28"/>
      <c r="BC296" s="28"/>
      <c r="BD296" s="28"/>
      <c r="BE296" s="28"/>
      <c r="BF296" s="29"/>
      <c r="BG296" s="29"/>
      <c r="BH296" s="28" t="s">
        <v>1046</v>
      </c>
      <c r="BI296" s="29">
        <v>1</v>
      </c>
      <c r="BJ296" s="29">
        <v>0</v>
      </c>
      <c r="BK296" s="30"/>
      <c r="BL296" s="30"/>
      <c r="BM296" s="28"/>
      <c r="BN296" s="30">
        <v>46007</v>
      </c>
      <c r="BO296" s="30">
        <v>46006</v>
      </c>
      <c r="BP296" s="31">
        <v>64.349999999999994</v>
      </c>
      <c r="BQ296" s="30">
        <v>46005</v>
      </c>
    </row>
    <row r="297" spans="1:69" ht="22.5" customHeight="1" x14ac:dyDescent="0.2">
      <c r="A297" s="22" t="s">
        <v>262</v>
      </c>
      <c r="B297" s="22"/>
      <c r="C297" s="22" t="s">
        <v>221</v>
      </c>
      <c r="D297" s="22" t="s">
        <v>222</v>
      </c>
      <c r="E297" s="23">
        <v>419693</v>
      </c>
      <c r="F297" s="23">
        <v>3010</v>
      </c>
      <c r="G297" s="23">
        <v>441</v>
      </c>
      <c r="H297" s="23">
        <v>0</v>
      </c>
      <c r="I297" s="24">
        <v>46001</v>
      </c>
      <c r="J297" s="22" t="s">
        <v>1013</v>
      </c>
      <c r="K297" s="22" t="s">
        <v>1047</v>
      </c>
      <c r="L297" s="25">
        <v>48.8</v>
      </c>
      <c r="M297" s="25">
        <v>2.68</v>
      </c>
      <c r="N297" s="25">
        <v>51.48</v>
      </c>
      <c r="O297" s="22"/>
      <c r="P297" s="26">
        <v>46007</v>
      </c>
      <c r="Q297" s="25">
        <v>51.48</v>
      </c>
      <c r="R297" s="22" t="s">
        <v>315</v>
      </c>
      <c r="S297" s="25">
        <v>0</v>
      </c>
      <c r="T297" s="22"/>
      <c r="U297" s="23"/>
      <c r="V297" s="22"/>
      <c r="W297" s="23"/>
      <c r="X297" s="23"/>
      <c r="Y297" s="23"/>
      <c r="Z297" s="25">
        <v>0</v>
      </c>
      <c r="AA297" s="25">
        <v>0</v>
      </c>
      <c r="AB297" s="25">
        <v>0</v>
      </c>
      <c r="AC297" s="22"/>
      <c r="AD297" s="22" t="s">
        <v>308</v>
      </c>
      <c r="AE297" s="22" t="s">
        <v>309</v>
      </c>
      <c r="AF297" s="22" t="s">
        <v>31</v>
      </c>
      <c r="AG297" s="22" t="s">
        <v>42</v>
      </c>
      <c r="AH297" s="22" t="s">
        <v>228</v>
      </c>
      <c r="AI297" s="22" t="s">
        <v>31</v>
      </c>
      <c r="AJ297" s="22"/>
      <c r="AK297" s="22" t="s">
        <v>34</v>
      </c>
      <c r="AL297" s="22" t="s">
        <v>50</v>
      </c>
      <c r="AM297" s="22" t="s">
        <v>231</v>
      </c>
      <c r="AN297" s="22" t="s">
        <v>232</v>
      </c>
      <c r="AO297" s="22" t="s">
        <v>231</v>
      </c>
      <c r="AP297" s="22" t="s">
        <v>232</v>
      </c>
      <c r="AQ297" s="22"/>
      <c r="AR297" s="22"/>
      <c r="AS297" s="22"/>
      <c r="AT297" s="22"/>
      <c r="AU297" s="22"/>
      <c r="AV297" s="22"/>
      <c r="AW297" s="23"/>
      <c r="AX297" s="27"/>
      <c r="AY297" s="25"/>
      <c r="AZ297" s="27"/>
      <c r="BA297" s="25"/>
      <c r="BB297" s="22"/>
      <c r="BC297" s="22"/>
      <c r="BD297" s="22"/>
      <c r="BE297" s="22"/>
      <c r="BF297" s="23"/>
      <c r="BG297" s="23"/>
      <c r="BH297" s="22" t="s">
        <v>1048</v>
      </c>
      <c r="BI297" s="23">
        <v>1</v>
      </c>
      <c r="BJ297" s="23">
        <v>0</v>
      </c>
      <c r="BK297" s="24"/>
      <c r="BL297" s="24"/>
      <c r="BM297" s="22"/>
      <c r="BN297" s="24">
        <v>46007</v>
      </c>
      <c r="BO297" s="24">
        <v>46006</v>
      </c>
      <c r="BP297" s="25">
        <v>51.48</v>
      </c>
      <c r="BQ297" s="24">
        <v>46005</v>
      </c>
    </row>
    <row r="298" spans="1:69" ht="22.5" customHeight="1" x14ac:dyDescent="0.2">
      <c r="A298" s="28" t="s">
        <v>262</v>
      </c>
      <c r="B298" s="28"/>
      <c r="C298" s="28" t="s">
        <v>221</v>
      </c>
      <c r="D298" s="28" t="s">
        <v>222</v>
      </c>
      <c r="E298" s="29">
        <v>419694</v>
      </c>
      <c r="F298" s="29">
        <v>3011</v>
      </c>
      <c r="G298" s="29">
        <v>441</v>
      </c>
      <c r="H298" s="29">
        <v>0</v>
      </c>
      <c r="I298" s="30">
        <v>46001</v>
      </c>
      <c r="J298" s="28" t="s">
        <v>1013</v>
      </c>
      <c r="K298" s="28" t="s">
        <v>1049</v>
      </c>
      <c r="L298" s="31">
        <v>48.8</v>
      </c>
      <c r="M298" s="31">
        <v>2.68</v>
      </c>
      <c r="N298" s="31">
        <v>51.48</v>
      </c>
      <c r="O298" s="28"/>
      <c r="P298" s="32">
        <v>46007</v>
      </c>
      <c r="Q298" s="31">
        <v>51.48</v>
      </c>
      <c r="R298" s="28" t="s">
        <v>318</v>
      </c>
      <c r="S298" s="31">
        <v>0</v>
      </c>
      <c r="T298" s="28"/>
      <c r="U298" s="29"/>
      <c r="V298" s="28"/>
      <c r="W298" s="29"/>
      <c r="X298" s="29"/>
      <c r="Y298" s="29"/>
      <c r="Z298" s="31">
        <v>0</v>
      </c>
      <c r="AA298" s="31">
        <v>0</v>
      </c>
      <c r="AB298" s="31">
        <v>0</v>
      </c>
      <c r="AC298" s="28"/>
      <c r="AD298" s="28" t="s">
        <v>308</v>
      </c>
      <c r="AE298" s="28" t="s">
        <v>309</v>
      </c>
      <c r="AF298" s="28" t="s">
        <v>31</v>
      </c>
      <c r="AG298" s="28" t="s">
        <v>42</v>
      </c>
      <c r="AH298" s="28" t="s">
        <v>228</v>
      </c>
      <c r="AI298" s="28" t="s">
        <v>31</v>
      </c>
      <c r="AJ298" s="28"/>
      <c r="AK298" s="28" t="s">
        <v>34</v>
      </c>
      <c r="AL298" s="28" t="s">
        <v>250</v>
      </c>
      <c r="AM298" s="28" t="s">
        <v>231</v>
      </c>
      <c r="AN298" s="28" t="s">
        <v>232</v>
      </c>
      <c r="AO298" s="28" t="s">
        <v>231</v>
      </c>
      <c r="AP298" s="28" t="s">
        <v>232</v>
      </c>
      <c r="AQ298" s="28"/>
      <c r="AR298" s="28"/>
      <c r="AS298" s="28"/>
      <c r="AT298" s="28"/>
      <c r="AU298" s="28"/>
      <c r="AV298" s="28"/>
      <c r="AW298" s="29"/>
      <c r="AX298" s="33"/>
      <c r="AY298" s="31"/>
      <c r="AZ298" s="33"/>
      <c r="BA298" s="31"/>
      <c r="BB298" s="28"/>
      <c r="BC298" s="28"/>
      <c r="BD298" s="28"/>
      <c r="BE298" s="28"/>
      <c r="BF298" s="29"/>
      <c r="BG298" s="29"/>
      <c r="BH298" s="28" t="s">
        <v>1050</v>
      </c>
      <c r="BI298" s="29">
        <v>1</v>
      </c>
      <c r="BJ298" s="29">
        <v>0</v>
      </c>
      <c r="BK298" s="30"/>
      <c r="BL298" s="30"/>
      <c r="BM298" s="28"/>
      <c r="BN298" s="30">
        <v>46007</v>
      </c>
      <c r="BO298" s="30">
        <v>46006</v>
      </c>
      <c r="BP298" s="31">
        <v>51.48</v>
      </c>
      <c r="BQ298" s="30">
        <v>46005</v>
      </c>
    </row>
    <row r="299" spans="1:69" ht="22.5" hidden="1" customHeight="1" x14ac:dyDescent="0.2">
      <c r="A299" s="28" t="s">
        <v>262</v>
      </c>
      <c r="B299" s="28"/>
      <c r="C299" s="28" t="s">
        <v>221</v>
      </c>
      <c r="D299" s="28" t="s">
        <v>222</v>
      </c>
      <c r="E299" s="29">
        <v>420522</v>
      </c>
      <c r="F299" s="29">
        <v>3041</v>
      </c>
      <c r="G299" s="29">
        <v>445</v>
      </c>
      <c r="H299" s="29">
        <v>0</v>
      </c>
      <c r="I299" s="30">
        <v>46002</v>
      </c>
      <c r="J299" s="28" t="s">
        <v>1013</v>
      </c>
      <c r="K299" s="28" t="s">
        <v>1051</v>
      </c>
      <c r="L299" s="31">
        <v>130.47</v>
      </c>
      <c r="M299" s="31">
        <v>13.05</v>
      </c>
      <c r="N299" s="31">
        <v>143.52000000000001</v>
      </c>
      <c r="O299" s="28"/>
      <c r="P299" s="32">
        <v>46007</v>
      </c>
      <c r="Q299" s="31">
        <v>143.52000000000001</v>
      </c>
      <c r="R299" s="28" t="s">
        <v>1052</v>
      </c>
      <c r="S299" s="31">
        <v>0</v>
      </c>
      <c r="T299" s="28"/>
      <c r="U299" s="29"/>
      <c r="V299" s="28"/>
      <c r="W299" s="29"/>
      <c r="X299" s="29"/>
      <c r="Y299" s="29"/>
      <c r="Z299" s="31">
        <v>0</v>
      </c>
      <c r="AA299" s="31">
        <v>0</v>
      </c>
      <c r="AB299" s="31">
        <v>0</v>
      </c>
      <c r="AC299" s="28"/>
      <c r="AD299" s="28" t="s">
        <v>365</v>
      </c>
      <c r="AE299" s="28" t="s">
        <v>366</v>
      </c>
      <c r="AF299" s="28" t="s">
        <v>31</v>
      </c>
      <c r="AG299" s="28" t="s">
        <v>46</v>
      </c>
      <c r="AH299" s="28" t="s">
        <v>228</v>
      </c>
      <c r="AI299" s="28" t="s">
        <v>31</v>
      </c>
      <c r="AJ299" s="28"/>
      <c r="AK299" s="28" t="s">
        <v>289</v>
      </c>
      <c r="AL299" s="28" t="s">
        <v>31</v>
      </c>
      <c r="AM299" s="28" t="s">
        <v>231</v>
      </c>
      <c r="AN299" s="28" t="s">
        <v>232</v>
      </c>
      <c r="AO299" s="28" t="s">
        <v>231</v>
      </c>
      <c r="AP299" s="28" t="s">
        <v>232</v>
      </c>
      <c r="AQ299" s="28"/>
      <c r="AR299" s="28"/>
      <c r="AS299" s="28"/>
      <c r="AT299" s="28"/>
      <c r="AU299" s="28"/>
      <c r="AV299" s="28"/>
      <c r="AW299" s="29"/>
      <c r="AX299" s="33"/>
      <c r="AY299" s="31"/>
      <c r="AZ299" s="33"/>
      <c r="BA299" s="31"/>
      <c r="BB299" s="28"/>
      <c r="BC299" s="28"/>
      <c r="BD299" s="28"/>
      <c r="BE299" s="28"/>
      <c r="BF299" s="29"/>
      <c r="BG299" s="29"/>
      <c r="BH299" s="28" t="s">
        <v>1053</v>
      </c>
      <c r="BI299" s="29">
        <v>1</v>
      </c>
      <c r="BJ299" s="29">
        <v>0</v>
      </c>
      <c r="BK299" s="30"/>
      <c r="BL299" s="30"/>
      <c r="BM299" s="28"/>
      <c r="BN299" s="30">
        <v>46007</v>
      </c>
      <c r="BO299" s="30">
        <v>46006</v>
      </c>
      <c r="BP299" s="31">
        <v>143.52000000000001</v>
      </c>
      <c r="BQ299" s="30">
        <v>46005</v>
      </c>
    </row>
    <row r="300" spans="1:69" ht="22.5" hidden="1" customHeight="1" x14ac:dyDescent="0.2">
      <c r="A300" s="28" t="s">
        <v>262</v>
      </c>
      <c r="B300" s="28"/>
      <c r="C300" s="28" t="s">
        <v>221</v>
      </c>
      <c r="D300" s="28" t="s">
        <v>222</v>
      </c>
      <c r="E300" s="29">
        <v>420562</v>
      </c>
      <c r="F300" s="29">
        <v>3057</v>
      </c>
      <c r="G300" s="29">
        <v>449</v>
      </c>
      <c r="H300" s="29">
        <v>0</v>
      </c>
      <c r="I300" s="30">
        <v>46003</v>
      </c>
      <c r="J300" s="28" t="s">
        <v>1013</v>
      </c>
      <c r="K300" s="28" t="s">
        <v>1054</v>
      </c>
      <c r="L300" s="31">
        <v>91.58</v>
      </c>
      <c r="M300" s="31">
        <v>7.73</v>
      </c>
      <c r="N300" s="31">
        <v>99.31</v>
      </c>
      <c r="O300" s="28"/>
      <c r="P300" s="32">
        <v>46007</v>
      </c>
      <c r="Q300" s="31">
        <v>99.31</v>
      </c>
      <c r="R300" s="28" t="s">
        <v>1055</v>
      </c>
      <c r="S300" s="31">
        <v>0</v>
      </c>
      <c r="T300" s="28"/>
      <c r="U300" s="29"/>
      <c r="V300" s="28"/>
      <c r="W300" s="29"/>
      <c r="X300" s="29"/>
      <c r="Y300" s="29"/>
      <c r="Z300" s="31">
        <v>0</v>
      </c>
      <c r="AA300" s="31">
        <v>0</v>
      </c>
      <c r="AB300" s="31">
        <v>0</v>
      </c>
      <c r="AC300" s="28"/>
      <c r="AD300" s="28" t="s">
        <v>365</v>
      </c>
      <c r="AE300" s="28" t="s">
        <v>366</v>
      </c>
      <c r="AF300" s="28" t="s">
        <v>31</v>
      </c>
      <c r="AG300" s="28" t="s">
        <v>42</v>
      </c>
      <c r="AH300" s="28" t="s">
        <v>228</v>
      </c>
      <c r="AI300" s="28" t="s">
        <v>31</v>
      </c>
      <c r="AJ300" s="28"/>
      <c r="AK300" s="28" t="s">
        <v>235</v>
      </c>
      <c r="AL300" s="28" t="s">
        <v>250</v>
      </c>
      <c r="AM300" s="28" t="s">
        <v>231</v>
      </c>
      <c r="AN300" s="28" t="s">
        <v>232</v>
      </c>
      <c r="AO300" s="28" t="s">
        <v>231</v>
      </c>
      <c r="AP300" s="28" t="s">
        <v>232</v>
      </c>
      <c r="AQ300" s="28"/>
      <c r="AR300" s="28"/>
      <c r="AS300" s="28"/>
      <c r="AT300" s="28"/>
      <c r="AU300" s="28"/>
      <c r="AV300" s="28"/>
      <c r="AW300" s="29"/>
      <c r="AX300" s="33"/>
      <c r="AY300" s="31"/>
      <c r="AZ300" s="33"/>
      <c r="BA300" s="31"/>
      <c r="BB300" s="28"/>
      <c r="BC300" s="28"/>
      <c r="BD300" s="28"/>
      <c r="BE300" s="28"/>
      <c r="BF300" s="29"/>
      <c r="BG300" s="29"/>
      <c r="BH300" s="28" t="s">
        <v>1056</v>
      </c>
      <c r="BI300" s="29">
        <v>1</v>
      </c>
      <c r="BJ300" s="29">
        <v>0</v>
      </c>
      <c r="BK300" s="30"/>
      <c r="BL300" s="30"/>
      <c r="BM300" s="28"/>
      <c r="BN300" s="30">
        <v>46007</v>
      </c>
      <c r="BO300" s="30">
        <v>46006</v>
      </c>
      <c r="BP300" s="31">
        <v>99.31</v>
      </c>
      <c r="BQ300" s="30">
        <v>46005</v>
      </c>
    </row>
    <row r="301" spans="1:69" ht="22.5" customHeight="1" x14ac:dyDescent="0.2">
      <c r="A301" s="28" t="s">
        <v>262</v>
      </c>
      <c r="B301" s="28"/>
      <c r="C301" s="28" t="s">
        <v>221</v>
      </c>
      <c r="D301" s="28" t="s">
        <v>222</v>
      </c>
      <c r="E301" s="29">
        <v>420573</v>
      </c>
      <c r="F301" s="29">
        <v>3055</v>
      </c>
      <c r="G301" s="29">
        <v>449</v>
      </c>
      <c r="H301" s="29">
        <v>0</v>
      </c>
      <c r="I301" s="30">
        <v>46003</v>
      </c>
      <c r="J301" s="28" t="s">
        <v>1013</v>
      </c>
      <c r="K301" s="28" t="s">
        <v>1057</v>
      </c>
      <c r="L301" s="31">
        <v>1140.06</v>
      </c>
      <c r="M301" s="31">
        <v>62.7</v>
      </c>
      <c r="N301" s="31">
        <v>1202.76</v>
      </c>
      <c r="O301" s="28"/>
      <c r="P301" s="32">
        <v>46007</v>
      </c>
      <c r="Q301" s="31">
        <v>1202.76</v>
      </c>
      <c r="R301" s="28" t="s">
        <v>321</v>
      </c>
      <c r="S301" s="31">
        <v>0</v>
      </c>
      <c r="T301" s="28"/>
      <c r="U301" s="29"/>
      <c r="V301" s="28"/>
      <c r="W301" s="29"/>
      <c r="X301" s="29"/>
      <c r="Y301" s="29"/>
      <c r="Z301" s="31">
        <v>0</v>
      </c>
      <c r="AA301" s="31">
        <v>0</v>
      </c>
      <c r="AB301" s="31">
        <v>0</v>
      </c>
      <c r="AC301" s="28"/>
      <c r="AD301" s="28" t="s">
        <v>308</v>
      </c>
      <c r="AE301" s="28" t="s">
        <v>309</v>
      </c>
      <c r="AF301" s="28" t="s">
        <v>31</v>
      </c>
      <c r="AG301" s="28" t="s">
        <v>32</v>
      </c>
      <c r="AH301" s="28" t="s">
        <v>228</v>
      </c>
      <c r="AI301" s="28" t="s">
        <v>31</v>
      </c>
      <c r="AJ301" s="28"/>
      <c r="AK301" s="28" t="s">
        <v>34</v>
      </c>
      <c r="AL301" s="28" t="s">
        <v>31</v>
      </c>
      <c r="AM301" s="28" t="s">
        <v>231</v>
      </c>
      <c r="AN301" s="28" t="s">
        <v>232</v>
      </c>
      <c r="AO301" s="28" t="s">
        <v>231</v>
      </c>
      <c r="AP301" s="28" t="s">
        <v>232</v>
      </c>
      <c r="AQ301" s="28"/>
      <c r="AR301" s="28"/>
      <c r="AS301" s="28"/>
      <c r="AT301" s="28"/>
      <c r="AU301" s="28"/>
      <c r="AV301" s="28"/>
      <c r="AW301" s="29"/>
      <c r="AX301" s="33"/>
      <c r="AY301" s="31"/>
      <c r="AZ301" s="33"/>
      <c r="BA301" s="31"/>
      <c r="BB301" s="28"/>
      <c r="BC301" s="28"/>
      <c r="BD301" s="28"/>
      <c r="BE301" s="28"/>
      <c r="BF301" s="29"/>
      <c r="BG301" s="29"/>
      <c r="BH301" s="28" t="s">
        <v>1058</v>
      </c>
      <c r="BI301" s="29">
        <v>1</v>
      </c>
      <c r="BJ301" s="29">
        <v>0</v>
      </c>
      <c r="BK301" s="30"/>
      <c r="BL301" s="30"/>
      <c r="BM301" s="28"/>
      <c r="BN301" s="30">
        <v>46007</v>
      </c>
      <c r="BO301" s="30">
        <v>46006</v>
      </c>
      <c r="BP301" s="31">
        <v>1202.76</v>
      </c>
      <c r="BQ301" s="30">
        <v>46005</v>
      </c>
    </row>
    <row r="302" spans="1:69" ht="22.5" customHeight="1" x14ac:dyDescent="0.2">
      <c r="A302" s="22" t="s">
        <v>262</v>
      </c>
      <c r="B302" s="22"/>
      <c r="C302" s="22" t="s">
        <v>221</v>
      </c>
      <c r="D302" s="22" t="s">
        <v>222</v>
      </c>
      <c r="E302" s="23">
        <v>420574</v>
      </c>
      <c r="F302" s="23">
        <v>3056</v>
      </c>
      <c r="G302" s="23">
        <v>449</v>
      </c>
      <c r="H302" s="23">
        <v>0</v>
      </c>
      <c r="I302" s="24">
        <v>46003</v>
      </c>
      <c r="J302" s="22" t="s">
        <v>1013</v>
      </c>
      <c r="K302" s="22" t="s">
        <v>1059</v>
      </c>
      <c r="L302" s="25">
        <v>57.67</v>
      </c>
      <c r="M302" s="25">
        <v>3.17</v>
      </c>
      <c r="N302" s="25">
        <v>60.84</v>
      </c>
      <c r="O302" s="22"/>
      <c r="P302" s="26">
        <v>46007</v>
      </c>
      <c r="Q302" s="25">
        <v>60.84</v>
      </c>
      <c r="R302" s="22" t="s">
        <v>318</v>
      </c>
      <c r="S302" s="25">
        <v>0</v>
      </c>
      <c r="T302" s="22"/>
      <c r="U302" s="23"/>
      <c r="V302" s="22"/>
      <c r="W302" s="23"/>
      <c r="X302" s="23"/>
      <c r="Y302" s="23"/>
      <c r="Z302" s="25">
        <v>0</v>
      </c>
      <c r="AA302" s="25">
        <v>0</v>
      </c>
      <c r="AB302" s="25">
        <v>0</v>
      </c>
      <c r="AC302" s="22"/>
      <c r="AD302" s="22" t="s">
        <v>308</v>
      </c>
      <c r="AE302" s="22" t="s">
        <v>309</v>
      </c>
      <c r="AF302" s="22" t="s">
        <v>31</v>
      </c>
      <c r="AG302" s="22" t="s">
        <v>42</v>
      </c>
      <c r="AH302" s="22" t="s">
        <v>228</v>
      </c>
      <c r="AI302" s="22" t="s">
        <v>31</v>
      </c>
      <c r="AJ302" s="22"/>
      <c r="AK302" s="22" t="s">
        <v>34</v>
      </c>
      <c r="AL302" s="22" t="s">
        <v>250</v>
      </c>
      <c r="AM302" s="22" t="s">
        <v>231</v>
      </c>
      <c r="AN302" s="22" t="s">
        <v>232</v>
      </c>
      <c r="AO302" s="22" t="s">
        <v>231</v>
      </c>
      <c r="AP302" s="22" t="s">
        <v>232</v>
      </c>
      <c r="AQ302" s="22"/>
      <c r="AR302" s="22"/>
      <c r="AS302" s="22"/>
      <c r="AT302" s="22"/>
      <c r="AU302" s="22"/>
      <c r="AV302" s="22"/>
      <c r="AW302" s="23"/>
      <c r="AX302" s="27"/>
      <c r="AY302" s="25"/>
      <c r="AZ302" s="27"/>
      <c r="BA302" s="25"/>
      <c r="BB302" s="22"/>
      <c r="BC302" s="22"/>
      <c r="BD302" s="22"/>
      <c r="BE302" s="22"/>
      <c r="BF302" s="23"/>
      <c r="BG302" s="23"/>
      <c r="BH302" s="22" t="s">
        <v>1058</v>
      </c>
      <c r="BI302" s="23">
        <v>1</v>
      </c>
      <c r="BJ302" s="23">
        <v>0</v>
      </c>
      <c r="BK302" s="24"/>
      <c r="BL302" s="24"/>
      <c r="BM302" s="22"/>
      <c r="BN302" s="24">
        <v>46007</v>
      </c>
      <c r="BO302" s="24">
        <v>46006</v>
      </c>
      <c r="BP302" s="25">
        <v>60.84</v>
      </c>
      <c r="BQ302" s="24">
        <v>46005</v>
      </c>
    </row>
    <row r="303" spans="1:69" ht="22.5" hidden="1" customHeight="1" x14ac:dyDescent="0.2">
      <c r="A303" s="28" t="s">
        <v>262</v>
      </c>
      <c r="B303" s="28"/>
      <c r="C303" s="28" t="s">
        <v>221</v>
      </c>
      <c r="D303" s="28" t="s">
        <v>222</v>
      </c>
      <c r="E303" s="29">
        <v>420589</v>
      </c>
      <c r="F303" s="29">
        <v>3088</v>
      </c>
      <c r="G303" s="29">
        <v>452</v>
      </c>
      <c r="H303" s="29">
        <v>0</v>
      </c>
      <c r="I303" s="30">
        <v>46003</v>
      </c>
      <c r="J303" s="28" t="s">
        <v>1013</v>
      </c>
      <c r="K303" s="28" t="s">
        <v>1060</v>
      </c>
      <c r="L303" s="31">
        <v>187.42</v>
      </c>
      <c r="M303" s="31">
        <v>12.54</v>
      </c>
      <c r="N303" s="31">
        <v>199.96</v>
      </c>
      <c r="O303" s="28"/>
      <c r="P303" s="32">
        <v>46007</v>
      </c>
      <c r="Q303" s="31">
        <v>199.96</v>
      </c>
      <c r="R303" s="28" t="s">
        <v>1061</v>
      </c>
      <c r="S303" s="31">
        <v>0</v>
      </c>
      <c r="T303" s="28"/>
      <c r="U303" s="29"/>
      <c r="V303" s="28"/>
      <c r="W303" s="29"/>
      <c r="X303" s="29"/>
      <c r="Y303" s="29"/>
      <c r="Z303" s="31">
        <v>0</v>
      </c>
      <c r="AA303" s="31">
        <v>0</v>
      </c>
      <c r="AB303" s="31">
        <v>0</v>
      </c>
      <c r="AC303" s="28"/>
      <c r="AD303" s="28" t="s">
        <v>365</v>
      </c>
      <c r="AE303" s="28" t="s">
        <v>366</v>
      </c>
      <c r="AF303" s="28" t="s">
        <v>31</v>
      </c>
      <c r="AG303" s="28" t="s">
        <v>42</v>
      </c>
      <c r="AH303" s="28" t="s">
        <v>228</v>
      </c>
      <c r="AI303" s="28" t="s">
        <v>31</v>
      </c>
      <c r="AJ303" s="28"/>
      <c r="AK303" s="28" t="s">
        <v>235</v>
      </c>
      <c r="AL303" s="28" t="s">
        <v>250</v>
      </c>
      <c r="AM303" s="28" t="s">
        <v>231</v>
      </c>
      <c r="AN303" s="28" t="s">
        <v>232</v>
      </c>
      <c r="AO303" s="28" t="s">
        <v>231</v>
      </c>
      <c r="AP303" s="28" t="s">
        <v>232</v>
      </c>
      <c r="AQ303" s="28"/>
      <c r="AR303" s="28"/>
      <c r="AS303" s="28"/>
      <c r="AT303" s="28"/>
      <c r="AU303" s="28"/>
      <c r="AV303" s="28"/>
      <c r="AW303" s="29"/>
      <c r="AX303" s="33"/>
      <c r="AY303" s="31"/>
      <c r="AZ303" s="33"/>
      <c r="BA303" s="31"/>
      <c r="BB303" s="28"/>
      <c r="BC303" s="28"/>
      <c r="BD303" s="28"/>
      <c r="BE303" s="28"/>
      <c r="BF303" s="29"/>
      <c r="BG303" s="29"/>
      <c r="BH303" s="28" t="s">
        <v>1062</v>
      </c>
      <c r="BI303" s="29">
        <v>1</v>
      </c>
      <c r="BJ303" s="29">
        <v>0</v>
      </c>
      <c r="BK303" s="30"/>
      <c r="BL303" s="30"/>
      <c r="BM303" s="28"/>
      <c r="BN303" s="30">
        <v>46007</v>
      </c>
      <c r="BO303" s="30">
        <v>46006</v>
      </c>
      <c r="BP303" s="31">
        <v>199.96</v>
      </c>
      <c r="BQ303" s="30">
        <v>46005</v>
      </c>
    </row>
    <row r="304" spans="1:69" ht="22.5" hidden="1" customHeight="1" x14ac:dyDescent="0.2">
      <c r="A304" s="22" t="s">
        <v>262</v>
      </c>
      <c r="B304" s="22"/>
      <c r="C304" s="22" t="s">
        <v>221</v>
      </c>
      <c r="D304" s="22" t="s">
        <v>222</v>
      </c>
      <c r="E304" s="23">
        <v>420746</v>
      </c>
      <c r="F304" s="23">
        <v>3100</v>
      </c>
      <c r="G304" s="23">
        <v>456</v>
      </c>
      <c r="H304" s="23">
        <v>0</v>
      </c>
      <c r="I304" s="24">
        <v>46007</v>
      </c>
      <c r="J304" s="22" t="s">
        <v>1013</v>
      </c>
      <c r="K304" s="22" t="s">
        <v>1063</v>
      </c>
      <c r="L304" s="25">
        <v>25</v>
      </c>
      <c r="M304" s="25">
        <v>0</v>
      </c>
      <c r="N304" s="25">
        <v>25</v>
      </c>
      <c r="O304" s="22"/>
      <c r="P304" s="26">
        <v>46013</v>
      </c>
      <c r="Q304" s="25">
        <v>25</v>
      </c>
      <c r="R304" s="22" t="s">
        <v>1064</v>
      </c>
      <c r="S304" s="25">
        <v>0</v>
      </c>
      <c r="T304" s="22"/>
      <c r="U304" s="23"/>
      <c r="V304" s="22"/>
      <c r="W304" s="23"/>
      <c r="X304" s="23"/>
      <c r="Y304" s="23"/>
      <c r="Z304" s="25">
        <v>0</v>
      </c>
      <c r="AA304" s="25">
        <v>0</v>
      </c>
      <c r="AB304" s="25">
        <v>0</v>
      </c>
      <c r="AC304" s="22"/>
      <c r="AD304" s="22" t="s">
        <v>1065</v>
      </c>
      <c r="AE304" s="22" t="s">
        <v>1066</v>
      </c>
      <c r="AF304" s="22" t="s">
        <v>31</v>
      </c>
      <c r="AG304" s="22" t="s">
        <v>46</v>
      </c>
      <c r="AH304" s="22" t="s">
        <v>228</v>
      </c>
      <c r="AI304" s="22" t="s">
        <v>31</v>
      </c>
      <c r="AJ304" s="22"/>
      <c r="AK304" s="22" t="s">
        <v>289</v>
      </c>
      <c r="AL304" s="22" t="s">
        <v>31</v>
      </c>
      <c r="AM304" s="22" t="s">
        <v>231</v>
      </c>
      <c r="AN304" s="22" t="s">
        <v>232</v>
      </c>
      <c r="AO304" s="22" t="s">
        <v>231</v>
      </c>
      <c r="AP304" s="22" t="s">
        <v>232</v>
      </c>
      <c r="AQ304" s="22"/>
      <c r="AR304" s="22"/>
      <c r="AS304" s="22"/>
      <c r="AT304" s="22"/>
      <c r="AU304" s="22"/>
      <c r="AV304" s="22"/>
      <c r="AW304" s="23"/>
      <c r="AX304" s="27"/>
      <c r="AY304" s="25"/>
      <c r="AZ304" s="27"/>
      <c r="BA304" s="25"/>
      <c r="BB304" s="22"/>
      <c r="BC304" s="22"/>
      <c r="BD304" s="22"/>
      <c r="BE304" s="22"/>
      <c r="BF304" s="23"/>
      <c r="BG304" s="23"/>
      <c r="BH304" s="22" t="s">
        <v>1067</v>
      </c>
      <c r="BI304" s="23">
        <v>1</v>
      </c>
      <c r="BJ304" s="23">
        <v>0</v>
      </c>
      <c r="BK304" s="24"/>
      <c r="BL304" s="24"/>
      <c r="BM304" s="22"/>
      <c r="BN304" s="24">
        <v>46013</v>
      </c>
      <c r="BO304" s="24">
        <v>46010</v>
      </c>
      <c r="BP304" s="25">
        <v>25</v>
      </c>
      <c r="BQ304" s="24">
        <v>46009</v>
      </c>
    </row>
    <row r="305" spans="1:69" ht="22.5" hidden="1" customHeight="1" x14ac:dyDescent="0.2">
      <c r="A305" s="22" t="s">
        <v>262</v>
      </c>
      <c r="B305" s="22"/>
      <c r="C305" s="22" t="s">
        <v>221</v>
      </c>
      <c r="D305" s="22" t="s">
        <v>222</v>
      </c>
      <c r="E305" s="23">
        <v>420826</v>
      </c>
      <c r="F305" s="23">
        <v>3174</v>
      </c>
      <c r="G305" s="23">
        <v>468</v>
      </c>
      <c r="H305" s="23">
        <v>0</v>
      </c>
      <c r="I305" s="24">
        <v>46010</v>
      </c>
      <c r="J305" s="22" t="s">
        <v>263</v>
      </c>
      <c r="K305" s="22" t="s">
        <v>1068</v>
      </c>
      <c r="L305" s="25">
        <v>234.8</v>
      </c>
      <c r="M305" s="25">
        <v>14.12</v>
      </c>
      <c r="N305" s="25">
        <v>248.92</v>
      </c>
      <c r="O305" s="22"/>
      <c r="P305" s="26">
        <v>46013</v>
      </c>
      <c r="Q305" s="25">
        <v>248.92</v>
      </c>
      <c r="R305" s="22" t="s">
        <v>1069</v>
      </c>
      <c r="S305" s="25">
        <v>0</v>
      </c>
      <c r="T305" s="22"/>
      <c r="U305" s="23"/>
      <c r="V305" s="22"/>
      <c r="W305" s="23"/>
      <c r="X305" s="23"/>
      <c r="Y305" s="23"/>
      <c r="Z305" s="25">
        <v>0</v>
      </c>
      <c r="AA305" s="25">
        <v>0</v>
      </c>
      <c r="AB305" s="25">
        <v>0</v>
      </c>
      <c r="AC305" s="22"/>
      <c r="AD305" s="22" t="s">
        <v>293</v>
      </c>
      <c r="AE305" s="22" t="s">
        <v>294</v>
      </c>
      <c r="AF305" s="22" t="s">
        <v>31</v>
      </c>
      <c r="AG305" s="22" t="s">
        <v>42</v>
      </c>
      <c r="AH305" s="22" t="s">
        <v>228</v>
      </c>
      <c r="AI305" s="22" t="s">
        <v>31</v>
      </c>
      <c r="AJ305" s="22"/>
      <c r="AK305" s="22" t="s">
        <v>235</v>
      </c>
      <c r="AL305" s="22" t="s">
        <v>236</v>
      </c>
      <c r="AM305" s="22" t="s">
        <v>231</v>
      </c>
      <c r="AN305" s="22" t="s">
        <v>232</v>
      </c>
      <c r="AO305" s="22" t="s">
        <v>231</v>
      </c>
      <c r="AP305" s="22" t="s">
        <v>232</v>
      </c>
      <c r="AQ305" s="22"/>
      <c r="AR305" s="22"/>
      <c r="AS305" s="22"/>
      <c r="AT305" s="22"/>
      <c r="AU305" s="22"/>
      <c r="AV305" s="22"/>
      <c r="AW305" s="23"/>
      <c r="AX305" s="27"/>
      <c r="AY305" s="25"/>
      <c r="AZ305" s="27"/>
      <c r="BA305" s="25"/>
      <c r="BB305" s="22"/>
      <c r="BC305" s="22"/>
      <c r="BD305" s="22"/>
      <c r="BE305" s="22"/>
      <c r="BF305" s="23"/>
      <c r="BG305" s="23"/>
      <c r="BH305" s="22" t="s">
        <v>1070</v>
      </c>
      <c r="BI305" s="23">
        <v>1</v>
      </c>
      <c r="BJ305" s="23">
        <v>0</v>
      </c>
      <c r="BK305" s="24"/>
      <c r="BL305" s="24"/>
      <c r="BM305" s="22"/>
      <c r="BN305" s="24">
        <v>46013</v>
      </c>
      <c r="BO305" s="24">
        <v>46010</v>
      </c>
      <c r="BP305" s="25">
        <v>248.92</v>
      </c>
      <c r="BQ305" s="24">
        <v>46009</v>
      </c>
    </row>
    <row r="306" spans="1:69" ht="22.5" hidden="1" customHeight="1" x14ac:dyDescent="0.2">
      <c r="A306" s="28" t="s">
        <v>262</v>
      </c>
      <c r="B306" s="28"/>
      <c r="C306" s="28" t="s">
        <v>221</v>
      </c>
      <c r="D306" s="28" t="s">
        <v>222</v>
      </c>
      <c r="E306" s="29">
        <v>420827</v>
      </c>
      <c r="F306" s="29">
        <v>3175</v>
      </c>
      <c r="G306" s="29">
        <v>468</v>
      </c>
      <c r="H306" s="29">
        <v>0</v>
      </c>
      <c r="I306" s="30">
        <v>46010</v>
      </c>
      <c r="J306" s="28" t="s">
        <v>263</v>
      </c>
      <c r="K306" s="28" t="s">
        <v>1071</v>
      </c>
      <c r="L306" s="31">
        <v>633.83000000000004</v>
      </c>
      <c r="M306" s="31">
        <v>63.35</v>
      </c>
      <c r="N306" s="31">
        <v>697.18</v>
      </c>
      <c r="O306" s="28"/>
      <c r="P306" s="32">
        <v>46013</v>
      </c>
      <c r="Q306" s="31">
        <v>697.18</v>
      </c>
      <c r="R306" s="28" t="s">
        <v>1072</v>
      </c>
      <c r="S306" s="31">
        <v>0</v>
      </c>
      <c r="T306" s="28"/>
      <c r="U306" s="29"/>
      <c r="V306" s="28"/>
      <c r="W306" s="29"/>
      <c r="X306" s="29"/>
      <c r="Y306" s="29"/>
      <c r="Z306" s="31">
        <v>0</v>
      </c>
      <c r="AA306" s="31">
        <v>0</v>
      </c>
      <c r="AB306" s="31">
        <v>0</v>
      </c>
      <c r="AC306" s="28"/>
      <c r="AD306" s="28" t="s">
        <v>293</v>
      </c>
      <c r="AE306" s="28" t="s">
        <v>294</v>
      </c>
      <c r="AF306" s="28" t="s">
        <v>31</v>
      </c>
      <c r="AG306" s="28" t="s">
        <v>42</v>
      </c>
      <c r="AH306" s="28" t="s">
        <v>228</v>
      </c>
      <c r="AI306" s="28" t="s">
        <v>31</v>
      </c>
      <c r="AJ306" s="28"/>
      <c r="AK306" s="28" t="s">
        <v>235</v>
      </c>
      <c r="AL306" s="28" t="s">
        <v>236</v>
      </c>
      <c r="AM306" s="28" t="s">
        <v>231</v>
      </c>
      <c r="AN306" s="28" t="s">
        <v>232</v>
      </c>
      <c r="AO306" s="28" t="s">
        <v>231</v>
      </c>
      <c r="AP306" s="28" t="s">
        <v>232</v>
      </c>
      <c r="AQ306" s="28"/>
      <c r="AR306" s="28"/>
      <c r="AS306" s="28"/>
      <c r="AT306" s="28"/>
      <c r="AU306" s="28"/>
      <c r="AV306" s="28"/>
      <c r="AW306" s="29"/>
      <c r="AX306" s="33"/>
      <c r="AY306" s="31"/>
      <c r="AZ306" s="33"/>
      <c r="BA306" s="31"/>
      <c r="BB306" s="28"/>
      <c r="BC306" s="28"/>
      <c r="BD306" s="28"/>
      <c r="BE306" s="28"/>
      <c r="BF306" s="29"/>
      <c r="BG306" s="29"/>
      <c r="BH306" s="28" t="s">
        <v>1073</v>
      </c>
      <c r="BI306" s="29">
        <v>1</v>
      </c>
      <c r="BJ306" s="29">
        <v>0</v>
      </c>
      <c r="BK306" s="30"/>
      <c r="BL306" s="30"/>
      <c r="BM306" s="28"/>
      <c r="BN306" s="30">
        <v>46013</v>
      </c>
      <c r="BO306" s="30">
        <v>46010</v>
      </c>
      <c r="BP306" s="31">
        <v>697.18</v>
      </c>
      <c r="BQ306" s="30">
        <v>46009</v>
      </c>
    </row>
    <row r="307" spans="1:69" ht="22.5" hidden="1" customHeight="1" x14ac:dyDescent="0.2">
      <c r="A307" s="22" t="s">
        <v>262</v>
      </c>
      <c r="B307" s="22"/>
      <c r="C307" s="22" t="s">
        <v>221</v>
      </c>
      <c r="D307" s="22" t="s">
        <v>222</v>
      </c>
      <c r="E307" s="23">
        <v>420828</v>
      </c>
      <c r="F307" s="23">
        <v>3176</v>
      </c>
      <c r="G307" s="23">
        <v>468</v>
      </c>
      <c r="H307" s="23">
        <v>0</v>
      </c>
      <c r="I307" s="24">
        <v>46010</v>
      </c>
      <c r="J307" s="22" t="s">
        <v>263</v>
      </c>
      <c r="K307" s="22" t="s">
        <v>1074</v>
      </c>
      <c r="L307" s="25">
        <v>235.26</v>
      </c>
      <c r="M307" s="25">
        <v>14.79</v>
      </c>
      <c r="N307" s="25">
        <v>250.05</v>
      </c>
      <c r="O307" s="22"/>
      <c r="P307" s="26">
        <v>46013</v>
      </c>
      <c r="Q307" s="25">
        <v>250.05</v>
      </c>
      <c r="R307" s="22" t="s">
        <v>1075</v>
      </c>
      <c r="S307" s="25">
        <v>0</v>
      </c>
      <c r="T307" s="22"/>
      <c r="U307" s="23"/>
      <c r="V307" s="22"/>
      <c r="W307" s="23"/>
      <c r="X307" s="23"/>
      <c r="Y307" s="23"/>
      <c r="Z307" s="25">
        <v>0</v>
      </c>
      <c r="AA307" s="25">
        <v>0</v>
      </c>
      <c r="AB307" s="25">
        <v>0</v>
      </c>
      <c r="AC307" s="22"/>
      <c r="AD307" s="22" t="s">
        <v>293</v>
      </c>
      <c r="AE307" s="22" t="s">
        <v>294</v>
      </c>
      <c r="AF307" s="22" t="s">
        <v>31</v>
      </c>
      <c r="AG307" s="22" t="s">
        <v>42</v>
      </c>
      <c r="AH307" s="22" t="s">
        <v>228</v>
      </c>
      <c r="AI307" s="22" t="s">
        <v>31</v>
      </c>
      <c r="AJ307" s="22"/>
      <c r="AK307" s="22" t="s">
        <v>235</v>
      </c>
      <c r="AL307" s="22" t="s">
        <v>236</v>
      </c>
      <c r="AM307" s="22" t="s">
        <v>231</v>
      </c>
      <c r="AN307" s="22" t="s">
        <v>232</v>
      </c>
      <c r="AO307" s="22" t="s">
        <v>231</v>
      </c>
      <c r="AP307" s="22" t="s">
        <v>232</v>
      </c>
      <c r="AQ307" s="22"/>
      <c r="AR307" s="22"/>
      <c r="AS307" s="22"/>
      <c r="AT307" s="22"/>
      <c r="AU307" s="22"/>
      <c r="AV307" s="22"/>
      <c r="AW307" s="23"/>
      <c r="AX307" s="27"/>
      <c r="AY307" s="25"/>
      <c r="AZ307" s="27"/>
      <c r="BA307" s="25"/>
      <c r="BB307" s="22"/>
      <c r="BC307" s="22"/>
      <c r="BD307" s="22"/>
      <c r="BE307" s="22"/>
      <c r="BF307" s="23"/>
      <c r="BG307" s="23"/>
      <c r="BH307" s="22" t="s">
        <v>1076</v>
      </c>
      <c r="BI307" s="23">
        <v>1</v>
      </c>
      <c r="BJ307" s="23">
        <v>0</v>
      </c>
      <c r="BK307" s="24"/>
      <c r="BL307" s="24"/>
      <c r="BM307" s="22"/>
      <c r="BN307" s="24">
        <v>46013</v>
      </c>
      <c r="BO307" s="24">
        <v>46010</v>
      </c>
      <c r="BP307" s="25">
        <v>250.05</v>
      </c>
      <c r="BQ307" s="24">
        <v>46009</v>
      </c>
    </row>
    <row r="308" spans="1:69" ht="22.5" hidden="1" customHeight="1" x14ac:dyDescent="0.2">
      <c r="A308" s="28" t="s">
        <v>262</v>
      </c>
      <c r="B308" s="28"/>
      <c r="C308" s="28" t="s">
        <v>221</v>
      </c>
      <c r="D308" s="28" t="s">
        <v>222</v>
      </c>
      <c r="E308" s="29">
        <v>420829</v>
      </c>
      <c r="F308" s="29">
        <v>3177</v>
      </c>
      <c r="G308" s="29">
        <v>468</v>
      </c>
      <c r="H308" s="29">
        <v>0</v>
      </c>
      <c r="I308" s="30">
        <v>46010</v>
      </c>
      <c r="J308" s="28" t="s">
        <v>263</v>
      </c>
      <c r="K308" s="28" t="s">
        <v>1077</v>
      </c>
      <c r="L308" s="31">
        <v>267.81</v>
      </c>
      <c r="M308" s="31">
        <v>32.54</v>
      </c>
      <c r="N308" s="31">
        <v>300.35000000000002</v>
      </c>
      <c r="O308" s="28"/>
      <c r="P308" s="32">
        <v>46013</v>
      </c>
      <c r="Q308" s="31">
        <v>300.35000000000002</v>
      </c>
      <c r="R308" s="28" t="s">
        <v>1078</v>
      </c>
      <c r="S308" s="31">
        <v>0</v>
      </c>
      <c r="T308" s="28"/>
      <c r="U308" s="29"/>
      <c r="V308" s="28"/>
      <c r="W308" s="29"/>
      <c r="X308" s="29"/>
      <c r="Y308" s="29"/>
      <c r="Z308" s="31">
        <v>0</v>
      </c>
      <c r="AA308" s="31">
        <v>0</v>
      </c>
      <c r="AB308" s="31">
        <v>0</v>
      </c>
      <c r="AC308" s="28"/>
      <c r="AD308" s="28" t="s">
        <v>293</v>
      </c>
      <c r="AE308" s="28" t="s">
        <v>294</v>
      </c>
      <c r="AF308" s="28" t="s">
        <v>31</v>
      </c>
      <c r="AG308" s="28" t="s">
        <v>42</v>
      </c>
      <c r="AH308" s="28" t="s">
        <v>228</v>
      </c>
      <c r="AI308" s="28" t="s">
        <v>31</v>
      </c>
      <c r="AJ308" s="28"/>
      <c r="AK308" s="28" t="s">
        <v>235</v>
      </c>
      <c r="AL308" s="28" t="s">
        <v>236</v>
      </c>
      <c r="AM308" s="28" t="s">
        <v>231</v>
      </c>
      <c r="AN308" s="28" t="s">
        <v>232</v>
      </c>
      <c r="AO308" s="28" t="s">
        <v>231</v>
      </c>
      <c r="AP308" s="28" t="s">
        <v>232</v>
      </c>
      <c r="AQ308" s="28"/>
      <c r="AR308" s="28"/>
      <c r="AS308" s="28"/>
      <c r="AT308" s="28"/>
      <c r="AU308" s="28"/>
      <c r="AV308" s="28"/>
      <c r="AW308" s="29"/>
      <c r="AX308" s="33"/>
      <c r="AY308" s="31"/>
      <c r="AZ308" s="33"/>
      <c r="BA308" s="31"/>
      <c r="BB308" s="28"/>
      <c r="BC308" s="28"/>
      <c r="BD308" s="28"/>
      <c r="BE308" s="28"/>
      <c r="BF308" s="29"/>
      <c r="BG308" s="29"/>
      <c r="BH308" s="28" t="s">
        <v>1079</v>
      </c>
      <c r="BI308" s="29">
        <v>1</v>
      </c>
      <c r="BJ308" s="29">
        <v>0</v>
      </c>
      <c r="BK308" s="30"/>
      <c r="BL308" s="30"/>
      <c r="BM308" s="28"/>
      <c r="BN308" s="30">
        <v>46013</v>
      </c>
      <c r="BO308" s="30">
        <v>46010</v>
      </c>
      <c r="BP308" s="31">
        <v>300.35000000000002</v>
      </c>
      <c r="BQ308" s="30">
        <v>46009</v>
      </c>
    </row>
    <row r="309" spans="1:69" ht="22.5" hidden="1" customHeight="1" x14ac:dyDescent="0.2">
      <c r="A309" s="28" t="s">
        <v>262</v>
      </c>
      <c r="B309" s="28"/>
      <c r="C309" s="28" t="s">
        <v>221</v>
      </c>
      <c r="D309" s="28" t="s">
        <v>222</v>
      </c>
      <c r="E309" s="29">
        <v>420974</v>
      </c>
      <c r="F309" s="29">
        <v>3249</v>
      </c>
      <c r="G309" s="29">
        <v>476</v>
      </c>
      <c r="H309" s="29">
        <v>0</v>
      </c>
      <c r="I309" s="30">
        <v>46022</v>
      </c>
      <c r="J309" s="28" t="s">
        <v>263</v>
      </c>
      <c r="K309" s="28" t="s">
        <v>1080</v>
      </c>
      <c r="L309" s="31">
        <v>700.38</v>
      </c>
      <c r="M309" s="31">
        <v>38.520000000000003</v>
      </c>
      <c r="N309" s="31">
        <v>738.9</v>
      </c>
      <c r="O309" s="28"/>
      <c r="P309" s="32">
        <v>46031</v>
      </c>
      <c r="Q309" s="31">
        <v>738.9</v>
      </c>
      <c r="R309" s="28" t="s">
        <v>1081</v>
      </c>
      <c r="S309" s="31">
        <v>0</v>
      </c>
      <c r="T309" s="28"/>
      <c r="U309" s="29"/>
      <c r="V309" s="28"/>
      <c r="W309" s="29"/>
      <c r="X309" s="29"/>
      <c r="Y309" s="29"/>
      <c r="Z309" s="31">
        <v>0</v>
      </c>
      <c r="AA309" s="31">
        <v>0</v>
      </c>
      <c r="AB309" s="31">
        <v>0</v>
      </c>
      <c r="AC309" s="28"/>
      <c r="AD309" s="28" t="s">
        <v>1082</v>
      </c>
      <c r="AE309" s="28" t="s">
        <v>1083</v>
      </c>
      <c r="AF309" s="28" t="s">
        <v>31</v>
      </c>
      <c r="AG309" s="28" t="s">
        <v>57</v>
      </c>
      <c r="AH309" s="28" t="s">
        <v>228</v>
      </c>
      <c r="AI309" s="28" t="s">
        <v>31</v>
      </c>
      <c r="AJ309" s="28"/>
      <c r="AK309" s="28" t="s">
        <v>58</v>
      </c>
      <c r="AL309" s="28" t="s">
        <v>59</v>
      </c>
      <c r="AM309" s="28" t="s">
        <v>231</v>
      </c>
      <c r="AN309" s="28" t="s">
        <v>232</v>
      </c>
      <c r="AO309" s="28" t="s">
        <v>231</v>
      </c>
      <c r="AP309" s="28" t="s">
        <v>232</v>
      </c>
      <c r="AQ309" s="28"/>
      <c r="AR309" s="28"/>
      <c r="AS309" s="28"/>
      <c r="AT309" s="28"/>
      <c r="AU309" s="28"/>
      <c r="AV309" s="28"/>
      <c r="AW309" s="29"/>
      <c r="AX309" s="33"/>
      <c r="AY309" s="31"/>
      <c r="AZ309" s="33"/>
      <c r="BA309" s="31"/>
      <c r="BB309" s="28"/>
      <c r="BC309" s="28"/>
      <c r="BD309" s="28"/>
      <c r="BE309" s="28"/>
      <c r="BF309" s="29"/>
      <c r="BG309" s="29"/>
      <c r="BH309" s="28" t="s">
        <v>1084</v>
      </c>
      <c r="BI309" s="29">
        <v>1</v>
      </c>
      <c r="BJ309" s="29">
        <v>0</v>
      </c>
      <c r="BK309" s="30"/>
      <c r="BL309" s="30"/>
      <c r="BM309" s="28"/>
      <c r="BN309" s="30">
        <v>46031</v>
      </c>
      <c r="BO309" s="30">
        <v>46031</v>
      </c>
      <c r="BP309" s="31">
        <v>738.9</v>
      </c>
      <c r="BQ309" s="30">
        <v>46030</v>
      </c>
    </row>
    <row r="310" spans="1:69" ht="22.5" hidden="1" customHeight="1" x14ac:dyDescent="0.2">
      <c r="A310" s="22" t="s">
        <v>1085</v>
      </c>
      <c r="B310" s="22" t="s">
        <v>483</v>
      </c>
      <c r="C310" s="22" t="s">
        <v>221</v>
      </c>
      <c r="D310" s="22" t="s">
        <v>222</v>
      </c>
      <c r="E310" s="23">
        <v>423024</v>
      </c>
      <c r="F310" s="23">
        <v>3649</v>
      </c>
      <c r="G310" s="23">
        <v>483</v>
      </c>
      <c r="H310" s="23">
        <v>0</v>
      </c>
      <c r="I310" s="24">
        <v>46022</v>
      </c>
      <c r="J310" s="22" t="s">
        <v>223</v>
      </c>
      <c r="K310" s="22" t="s">
        <v>1086</v>
      </c>
      <c r="L310" s="25">
        <v>253.58</v>
      </c>
      <c r="M310" s="25">
        <v>50.72</v>
      </c>
      <c r="N310" s="25">
        <v>304.3</v>
      </c>
      <c r="O310" s="22"/>
      <c r="P310" s="26"/>
      <c r="Q310" s="25">
        <v>304.3</v>
      </c>
      <c r="R310" s="22"/>
      <c r="S310" s="25">
        <v>0</v>
      </c>
      <c r="T310" s="22"/>
      <c r="U310" s="23"/>
      <c r="V310" s="22"/>
      <c r="W310" s="23"/>
      <c r="X310" s="23"/>
      <c r="Y310" s="23"/>
      <c r="Z310" s="25">
        <v>0</v>
      </c>
      <c r="AA310" s="25">
        <v>0</v>
      </c>
      <c r="AB310" s="25">
        <v>0</v>
      </c>
      <c r="AC310" s="22"/>
      <c r="AD310" s="22" t="s">
        <v>225</v>
      </c>
      <c r="AE310" s="22" t="s">
        <v>226</v>
      </c>
      <c r="AF310" s="22" t="s">
        <v>31</v>
      </c>
      <c r="AG310" s="22" t="s">
        <v>46</v>
      </c>
      <c r="AH310" s="22" t="s">
        <v>228</v>
      </c>
      <c r="AI310" s="22" t="s">
        <v>31</v>
      </c>
      <c r="AJ310" s="22"/>
      <c r="AK310" s="22" t="s">
        <v>285</v>
      </c>
      <c r="AL310" s="22" t="s">
        <v>286</v>
      </c>
      <c r="AM310" s="22" t="s">
        <v>231</v>
      </c>
      <c r="AN310" s="22" t="s">
        <v>232</v>
      </c>
      <c r="AO310" s="22" t="s">
        <v>231</v>
      </c>
      <c r="AP310" s="22" t="s">
        <v>232</v>
      </c>
      <c r="AQ310" s="22"/>
      <c r="AR310" s="22"/>
      <c r="AS310" s="22"/>
      <c r="AT310" s="22"/>
      <c r="AU310" s="22"/>
      <c r="AV310" s="22"/>
      <c r="AW310" s="23"/>
      <c r="AX310" s="27"/>
      <c r="AY310" s="25"/>
      <c r="AZ310" s="27"/>
      <c r="BA310" s="25"/>
      <c r="BB310" s="22" t="s">
        <v>1087</v>
      </c>
      <c r="BC310" s="22"/>
      <c r="BD310" s="22"/>
      <c r="BE310" s="22"/>
      <c r="BF310" s="23"/>
      <c r="BG310" s="23"/>
      <c r="BH310" s="22"/>
      <c r="BI310" s="23">
        <v>0</v>
      </c>
      <c r="BJ310" s="23">
        <v>0</v>
      </c>
      <c r="BK310" s="24"/>
      <c r="BL310" s="24"/>
      <c r="BM310" s="22"/>
      <c r="BN310" s="24"/>
      <c r="BO310" s="24">
        <v>46072</v>
      </c>
      <c r="BP310" s="25">
        <v>0</v>
      </c>
      <c r="BQ310" s="24">
        <v>46071</v>
      </c>
    </row>
    <row r="311" spans="1:69" ht="22.5" hidden="1" customHeight="1" x14ac:dyDescent="0.2">
      <c r="A311" s="22" t="s">
        <v>1085</v>
      </c>
      <c r="B311" s="22" t="s">
        <v>483</v>
      </c>
      <c r="C311" s="22" t="s">
        <v>221</v>
      </c>
      <c r="D311" s="22" t="s">
        <v>222</v>
      </c>
      <c r="E311" s="23">
        <v>423036</v>
      </c>
      <c r="F311" s="23">
        <v>3650</v>
      </c>
      <c r="G311" s="23">
        <v>483</v>
      </c>
      <c r="H311" s="23">
        <v>0</v>
      </c>
      <c r="I311" s="24">
        <v>46022</v>
      </c>
      <c r="J311" s="22" t="s">
        <v>223</v>
      </c>
      <c r="K311" s="22" t="s">
        <v>1088</v>
      </c>
      <c r="L311" s="25">
        <v>316.67</v>
      </c>
      <c r="M311" s="25">
        <v>63.33</v>
      </c>
      <c r="N311" s="25">
        <v>380</v>
      </c>
      <c r="O311" s="22"/>
      <c r="P311" s="26"/>
      <c r="Q311" s="25">
        <v>380</v>
      </c>
      <c r="R311" s="22"/>
      <c r="S311" s="25">
        <v>0</v>
      </c>
      <c r="T311" s="22"/>
      <c r="U311" s="23"/>
      <c r="V311" s="22"/>
      <c r="W311" s="23"/>
      <c r="X311" s="23"/>
      <c r="Y311" s="23"/>
      <c r="Z311" s="25">
        <v>0</v>
      </c>
      <c r="AA311" s="25">
        <v>0</v>
      </c>
      <c r="AB311" s="25">
        <v>0</v>
      </c>
      <c r="AC311" s="22"/>
      <c r="AD311" s="22" t="s">
        <v>225</v>
      </c>
      <c r="AE311" s="22" t="s">
        <v>226</v>
      </c>
      <c r="AF311" s="22" t="s">
        <v>31</v>
      </c>
      <c r="AG311" s="22" t="s">
        <v>42</v>
      </c>
      <c r="AH311" s="22" t="s">
        <v>228</v>
      </c>
      <c r="AI311" s="22" t="s">
        <v>31</v>
      </c>
      <c r="AJ311" s="22"/>
      <c r="AK311" s="22" t="s">
        <v>235</v>
      </c>
      <c r="AL311" s="22" t="s">
        <v>250</v>
      </c>
      <c r="AM311" s="22" t="s">
        <v>231</v>
      </c>
      <c r="AN311" s="22" t="s">
        <v>232</v>
      </c>
      <c r="AO311" s="22" t="s">
        <v>231</v>
      </c>
      <c r="AP311" s="22" t="s">
        <v>232</v>
      </c>
      <c r="AQ311" s="22"/>
      <c r="AR311" s="22"/>
      <c r="AS311" s="22"/>
      <c r="AT311" s="22"/>
      <c r="AU311" s="22"/>
      <c r="AV311" s="22"/>
      <c r="AW311" s="23"/>
      <c r="AX311" s="27"/>
      <c r="AY311" s="25"/>
      <c r="AZ311" s="27"/>
      <c r="BA311" s="25"/>
      <c r="BB311" s="22" t="s">
        <v>1089</v>
      </c>
      <c r="BC311" s="22"/>
      <c r="BD311" s="22"/>
      <c r="BE311" s="22"/>
      <c r="BF311" s="23"/>
      <c r="BG311" s="23"/>
      <c r="BH311" s="22"/>
      <c r="BI311" s="23">
        <v>0</v>
      </c>
      <c r="BJ311" s="23">
        <v>0</v>
      </c>
      <c r="BK311" s="24"/>
      <c r="BL311" s="24"/>
      <c r="BM311" s="22"/>
      <c r="BN311" s="24"/>
      <c r="BO311" s="24">
        <v>46072</v>
      </c>
      <c r="BP311" s="25">
        <v>0</v>
      </c>
      <c r="BQ311" s="24">
        <v>46071</v>
      </c>
    </row>
    <row r="312" spans="1:69" ht="22.5" hidden="1" customHeight="1" x14ac:dyDescent="0.2">
      <c r="A312" s="22" t="s">
        <v>1085</v>
      </c>
      <c r="B312" s="22" t="s">
        <v>483</v>
      </c>
      <c r="C312" s="22" t="s">
        <v>221</v>
      </c>
      <c r="D312" s="22" t="s">
        <v>222</v>
      </c>
      <c r="E312" s="23">
        <v>423042</v>
      </c>
      <c r="F312" s="23">
        <v>3651</v>
      </c>
      <c r="G312" s="23">
        <v>483</v>
      </c>
      <c r="H312" s="23">
        <v>0</v>
      </c>
      <c r="I312" s="24">
        <v>46022</v>
      </c>
      <c r="J312" s="22" t="s">
        <v>223</v>
      </c>
      <c r="K312" s="22" t="s">
        <v>1090</v>
      </c>
      <c r="L312" s="25">
        <v>50</v>
      </c>
      <c r="M312" s="25">
        <v>10</v>
      </c>
      <c r="N312" s="25">
        <v>60</v>
      </c>
      <c r="O312" s="22"/>
      <c r="P312" s="26"/>
      <c r="Q312" s="25">
        <v>60</v>
      </c>
      <c r="R312" s="22"/>
      <c r="S312" s="25">
        <v>0</v>
      </c>
      <c r="T312" s="22"/>
      <c r="U312" s="23"/>
      <c r="V312" s="22"/>
      <c r="W312" s="23"/>
      <c r="X312" s="23"/>
      <c r="Y312" s="23"/>
      <c r="Z312" s="25">
        <v>0</v>
      </c>
      <c r="AA312" s="25">
        <v>0</v>
      </c>
      <c r="AB312" s="25">
        <v>0</v>
      </c>
      <c r="AC312" s="22"/>
      <c r="AD312" s="22" t="s">
        <v>225</v>
      </c>
      <c r="AE312" s="22" t="s">
        <v>226</v>
      </c>
      <c r="AF312" s="22" t="s">
        <v>31</v>
      </c>
      <c r="AG312" s="22" t="s">
        <v>42</v>
      </c>
      <c r="AH312" s="22" t="s">
        <v>228</v>
      </c>
      <c r="AI312" s="22" t="s">
        <v>31</v>
      </c>
      <c r="AJ312" s="22"/>
      <c r="AK312" s="22" t="s">
        <v>235</v>
      </c>
      <c r="AL312" s="22" t="s">
        <v>250</v>
      </c>
      <c r="AM312" s="22" t="s">
        <v>231</v>
      </c>
      <c r="AN312" s="22" t="s">
        <v>232</v>
      </c>
      <c r="AO312" s="22" t="s">
        <v>231</v>
      </c>
      <c r="AP312" s="22" t="s">
        <v>232</v>
      </c>
      <c r="AQ312" s="22"/>
      <c r="AR312" s="22"/>
      <c r="AS312" s="22"/>
      <c r="AT312" s="22"/>
      <c r="AU312" s="22"/>
      <c r="AV312" s="22"/>
      <c r="AW312" s="23"/>
      <c r="AX312" s="27"/>
      <c r="AY312" s="25"/>
      <c r="AZ312" s="27"/>
      <c r="BA312" s="25"/>
      <c r="BB312" s="22" t="s">
        <v>1091</v>
      </c>
      <c r="BC312" s="22"/>
      <c r="BD312" s="22"/>
      <c r="BE312" s="22"/>
      <c r="BF312" s="23"/>
      <c r="BG312" s="23"/>
      <c r="BH312" s="22"/>
      <c r="BI312" s="23">
        <v>0</v>
      </c>
      <c r="BJ312" s="23">
        <v>0</v>
      </c>
      <c r="BK312" s="24"/>
      <c r="BL312" s="24"/>
      <c r="BM312" s="22"/>
      <c r="BN312" s="24"/>
      <c r="BO312" s="24">
        <v>46072</v>
      </c>
      <c r="BP312" s="25">
        <v>0</v>
      </c>
      <c r="BQ312" s="24">
        <v>46071</v>
      </c>
    </row>
    <row r="313" spans="1:69" ht="22.5" hidden="1" customHeight="1" x14ac:dyDescent="0.2">
      <c r="A313" s="28" t="s">
        <v>1085</v>
      </c>
      <c r="B313" s="28" t="s">
        <v>483</v>
      </c>
      <c r="C313" s="28" t="s">
        <v>221</v>
      </c>
      <c r="D313" s="28" t="s">
        <v>222</v>
      </c>
      <c r="E313" s="29">
        <v>423045</v>
      </c>
      <c r="F313" s="29">
        <v>3652</v>
      </c>
      <c r="G313" s="29">
        <v>483</v>
      </c>
      <c r="H313" s="29">
        <v>0</v>
      </c>
      <c r="I313" s="30">
        <v>46022</v>
      </c>
      <c r="J313" s="28" t="s">
        <v>223</v>
      </c>
      <c r="K313" s="28" t="s">
        <v>1092</v>
      </c>
      <c r="L313" s="31">
        <v>125</v>
      </c>
      <c r="M313" s="31">
        <v>25</v>
      </c>
      <c r="N313" s="31">
        <v>150</v>
      </c>
      <c r="O313" s="28"/>
      <c r="P313" s="32"/>
      <c r="Q313" s="31">
        <v>150</v>
      </c>
      <c r="R313" s="28"/>
      <c r="S313" s="31">
        <v>0</v>
      </c>
      <c r="T313" s="28"/>
      <c r="U313" s="29"/>
      <c r="V313" s="28"/>
      <c r="W313" s="29"/>
      <c r="X313" s="29"/>
      <c r="Y313" s="29"/>
      <c r="Z313" s="31">
        <v>0</v>
      </c>
      <c r="AA313" s="31">
        <v>0</v>
      </c>
      <c r="AB313" s="31">
        <v>0</v>
      </c>
      <c r="AC313" s="28"/>
      <c r="AD313" s="28" t="s">
        <v>225</v>
      </c>
      <c r="AE313" s="28" t="s">
        <v>226</v>
      </c>
      <c r="AF313" s="28" t="s">
        <v>31</v>
      </c>
      <c r="AG313" s="28" t="s">
        <v>42</v>
      </c>
      <c r="AH313" s="28" t="s">
        <v>228</v>
      </c>
      <c r="AI313" s="28" t="s">
        <v>31</v>
      </c>
      <c r="AJ313" s="28"/>
      <c r="AK313" s="28" t="s">
        <v>235</v>
      </c>
      <c r="AL313" s="28" t="s">
        <v>331</v>
      </c>
      <c r="AM313" s="28" t="s">
        <v>231</v>
      </c>
      <c r="AN313" s="28" t="s">
        <v>232</v>
      </c>
      <c r="AO313" s="28" t="s">
        <v>231</v>
      </c>
      <c r="AP313" s="28" t="s">
        <v>232</v>
      </c>
      <c r="AQ313" s="28"/>
      <c r="AR313" s="28"/>
      <c r="AS313" s="28"/>
      <c r="AT313" s="28"/>
      <c r="AU313" s="28"/>
      <c r="AV313" s="28"/>
      <c r="AW313" s="29"/>
      <c r="AX313" s="33"/>
      <c r="AY313" s="31"/>
      <c r="AZ313" s="33"/>
      <c r="BA313" s="31"/>
      <c r="BB313" s="28" t="s">
        <v>1093</v>
      </c>
      <c r="BC313" s="28"/>
      <c r="BD313" s="28"/>
      <c r="BE313" s="28"/>
      <c r="BF313" s="29"/>
      <c r="BG313" s="29"/>
      <c r="BH313" s="28"/>
      <c r="BI313" s="29">
        <v>0</v>
      </c>
      <c r="BJ313" s="29">
        <v>0</v>
      </c>
      <c r="BK313" s="30"/>
      <c r="BL313" s="30"/>
      <c r="BM313" s="28"/>
      <c r="BN313" s="30"/>
      <c r="BO313" s="30">
        <v>46072</v>
      </c>
      <c r="BP313" s="31">
        <v>0</v>
      </c>
      <c r="BQ313" s="30">
        <v>46071</v>
      </c>
    </row>
    <row r="314" spans="1:69" ht="22.5" hidden="1" customHeight="1" x14ac:dyDescent="0.2">
      <c r="A314" s="22" t="s">
        <v>1085</v>
      </c>
      <c r="B314" s="22" t="s">
        <v>483</v>
      </c>
      <c r="C314" s="22" t="s">
        <v>221</v>
      </c>
      <c r="D314" s="22" t="s">
        <v>222</v>
      </c>
      <c r="E314" s="23">
        <v>423048</v>
      </c>
      <c r="F314" s="23">
        <v>3653</v>
      </c>
      <c r="G314" s="23">
        <v>483</v>
      </c>
      <c r="H314" s="23">
        <v>0</v>
      </c>
      <c r="I314" s="24">
        <v>46022</v>
      </c>
      <c r="J314" s="22" t="s">
        <v>223</v>
      </c>
      <c r="K314" s="22" t="s">
        <v>1094</v>
      </c>
      <c r="L314" s="25">
        <v>125</v>
      </c>
      <c r="M314" s="25">
        <v>25</v>
      </c>
      <c r="N314" s="25">
        <v>150</v>
      </c>
      <c r="O314" s="22"/>
      <c r="P314" s="26"/>
      <c r="Q314" s="25">
        <v>150</v>
      </c>
      <c r="R314" s="22"/>
      <c r="S314" s="25">
        <v>0</v>
      </c>
      <c r="T314" s="22"/>
      <c r="U314" s="23"/>
      <c r="V314" s="22"/>
      <c r="W314" s="23"/>
      <c r="X314" s="23"/>
      <c r="Y314" s="23"/>
      <c r="Z314" s="25">
        <v>0</v>
      </c>
      <c r="AA314" s="25">
        <v>0</v>
      </c>
      <c r="AB314" s="25">
        <v>0</v>
      </c>
      <c r="AC314" s="22"/>
      <c r="AD314" s="22" t="s">
        <v>225</v>
      </c>
      <c r="AE314" s="22" t="s">
        <v>226</v>
      </c>
      <c r="AF314" s="22" t="s">
        <v>31</v>
      </c>
      <c r="AG314" s="22" t="s">
        <v>42</v>
      </c>
      <c r="AH314" s="22" t="s">
        <v>228</v>
      </c>
      <c r="AI314" s="22" t="s">
        <v>31</v>
      </c>
      <c r="AJ314" s="22"/>
      <c r="AK314" s="22" t="s">
        <v>235</v>
      </c>
      <c r="AL314" s="22" t="s">
        <v>331</v>
      </c>
      <c r="AM314" s="22" t="s">
        <v>231</v>
      </c>
      <c r="AN314" s="22" t="s">
        <v>232</v>
      </c>
      <c r="AO314" s="22" t="s">
        <v>231</v>
      </c>
      <c r="AP314" s="22" t="s">
        <v>232</v>
      </c>
      <c r="AQ314" s="22"/>
      <c r="AR314" s="22"/>
      <c r="AS314" s="22"/>
      <c r="AT314" s="22"/>
      <c r="AU314" s="22"/>
      <c r="AV314" s="22"/>
      <c r="AW314" s="23"/>
      <c r="AX314" s="27"/>
      <c r="AY314" s="25"/>
      <c r="AZ314" s="27"/>
      <c r="BA314" s="25"/>
      <c r="BB314" s="22" t="s">
        <v>1095</v>
      </c>
      <c r="BC314" s="22"/>
      <c r="BD314" s="22"/>
      <c r="BE314" s="22"/>
      <c r="BF314" s="23"/>
      <c r="BG314" s="23"/>
      <c r="BH314" s="22"/>
      <c r="BI314" s="23">
        <v>0</v>
      </c>
      <c r="BJ314" s="23">
        <v>0</v>
      </c>
      <c r="BK314" s="24"/>
      <c r="BL314" s="24"/>
      <c r="BM314" s="22"/>
      <c r="BN314" s="24"/>
      <c r="BO314" s="24">
        <v>46072</v>
      </c>
      <c r="BP314" s="25">
        <v>0</v>
      </c>
      <c r="BQ314" s="24">
        <v>46071</v>
      </c>
    </row>
    <row r="315" spans="1:69" ht="22.5" hidden="1" customHeight="1" x14ac:dyDescent="0.2">
      <c r="A315" s="28" t="s">
        <v>1085</v>
      </c>
      <c r="B315" s="28" t="s">
        <v>483</v>
      </c>
      <c r="C315" s="28" t="s">
        <v>221</v>
      </c>
      <c r="D315" s="28" t="s">
        <v>222</v>
      </c>
      <c r="E315" s="29">
        <v>423051</v>
      </c>
      <c r="F315" s="29">
        <v>3654</v>
      </c>
      <c r="G315" s="29">
        <v>483</v>
      </c>
      <c r="H315" s="29">
        <v>0</v>
      </c>
      <c r="I315" s="30">
        <v>46022</v>
      </c>
      <c r="J315" s="28" t="s">
        <v>223</v>
      </c>
      <c r="K315" s="28" t="s">
        <v>1096</v>
      </c>
      <c r="L315" s="31">
        <v>83.33</v>
      </c>
      <c r="M315" s="31">
        <v>16.670000000000002</v>
      </c>
      <c r="N315" s="31">
        <v>100</v>
      </c>
      <c r="O315" s="28"/>
      <c r="P315" s="32"/>
      <c r="Q315" s="31">
        <v>100</v>
      </c>
      <c r="R315" s="28"/>
      <c r="S315" s="31">
        <v>0</v>
      </c>
      <c r="T315" s="28"/>
      <c r="U315" s="29"/>
      <c r="V315" s="28"/>
      <c r="W315" s="29"/>
      <c r="X315" s="29"/>
      <c r="Y315" s="29"/>
      <c r="Z315" s="31">
        <v>0</v>
      </c>
      <c r="AA315" s="31">
        <v>0</v>
      </c>
      <c r="AB315" s="31">
        <v>0</v>
      </c>
      <c r="AC315" s="28"/>
      <c r="AD315" s="28" t="s">
        <v>225</v>
      </c>
      <c r="AE315" s="28" t="s">
        <v>226</v>
      </c>
      <c r="AF315" s="28" t="s">
        <v>31</v>
      </c>
      <c r="AG315" s="28" t="s">
        <v>42</v>
      </c>
      <c r="AH315" s="28" t="s">
        <v>228</v>
      </c>
      <c r="AI315" s="28" t="s">
        <v>31</v>
      </c>
      <c r="AJ315" s="28"/>
      <c r="AK315" s="28" t="s">
        <v>235</v>
      </c>
      <c r="AL315" s="28" t="s">
        <v>331</v>
      </c>
      <c r="AM315" s="28" t="s">
        <v>231</v>
      </c>
      <c r="AN315" s="28" t="s">
        <v>232</v>
      </c>
      <c r="AO315" s="28" t="s">
        <v>231</v>
      </c>
      <c r="AP315" s="28" t="s">
        <v>232</v>
      </c>
      <c r="AQ315" s="28"/>
      <c r="AR315" s="28"/>
      <c r="AS315" s="28"/>
      <c r="AT315" s="28"/>
      <c r="AU315" s="28"/>
      <c r="AV315" s="28"/>
      <c r="AW315" s="29"/>
      <c r="AX315" s="33"/>
      <c r="AY315" s="31"/>
      <c r="AZ315" s="33"/>
      <c r="BA315" s="31"/>
      <c r="BB315" s="28" t="s">
        <v>1097</v>
      </c>
      <c r="BC315" s="28"/>
      <c r="BD315" s="28"/>
      <c r="BE315" s="28"/>
      <c r="BF315" s="29"/>
      <c r="BG315" s="29"/>
      <c r="BH315" s="28"/>
      <c r="BI315" s="29">
        <v>0</v>
      </c>
      <c r="BJ315" s="29">
        <v>0</v>
      </c>
      <c r="BK315" s="30"/>
      <c r="BL315" s="30"/>
      <c r="BM315" s="28"/>
      <c r="BN315" s="30"/>
      <c r="BO315" s="30">
        <v>46072</v>
      </c>
      <c r="BP315" s="31">
        <v>0</v>
      </c>
      <c r="BQ315" s="30">
        <v>46071</v>
      </c>
    </row>
    <row r="316" spans="1:69" ht="22.5" hidden="1" customHeight="1" x14ac:dyDescent="0.2">
      <c r="A316" s="22" t="s">
        <v>1085</v>
      </c>
      <c r="B316" s="22" t="s">
        <v>483</v>
      </c>
      <c r="C316" s="22" t="s">
        <v>221</v>
      </c>
      <c r="D316" s="22" t="s">
        <v>222</v>
      </c>
      <c r="E316" s="23">
        <v>423054</v>
      </c>
      <c r="F316" s="23">
        <v>3655</v>
      </c>
      <c r="G316" s="23">
        <v>483</v>
      </c>
      <c r="H316" s="23">
        <v>0</v>
      </c>
      <c r="I316" s="24">
        <v>46022</v>
      </c>
      <c r="J316" s="22" t="s">
        <v>223</v>
      </c>
      <c r="K316" s="22" t="s">
        <v>1098</v>
      </c>
      <c r="L316" s="25">
        <v>83.33</v>
      </c>
      <c r="M316" s="25">
        <v>16.670000000000002</v>
      </c>
      <c r="N316" s="25">
        <v>100</v>
      </c>
      <c r="O316" s="22"/>
      <c r="P316" s="26"/>
      <c r="Q316" s="25">
        <v>100</v>
      </c>
      <c r="R316" s="22"/>
      <c r="S316" s="25">
        <v>0</v>
      </c>
      <c r="T316" s="22"/>
      <c r="U316" s="23"/>
      <c r="V316" s="22"/>
      <c r="W316" s="23"/>
      <c r="X316" s="23"/>
      <c r="Y316" s="23"/>
      <c r="Z316" s="25">
        <v>0</v>
      </c>
      <c r="AA316" s="25">
        <v>0</v>
      </c>
      <c r="AB316" s="25">
        <v>0</v>
      </c>
      <c r="AC316" s="22"/>
      <c r="AD316" s="22" t="s">
        <v>225</v>
      </c>
      <c r="AE316" s="22" t="s">
        <v>226</v>
      </c>
      <c r="AF316" s="22" t="s">
        <v>31</v>
      </c>
      <c r="AG316" s="22" t="s">
        <v>42</v>
      </c>
      <c r="AH316" s="22" t="s">
        <v>228</v>
      </c>
      <c r="AI316" s="22" t="s">
        <v>31</v>
      </c>
      <c r="AJ316" s="22"/>
      <c r="AK316" s="22" t="s">
        <v>235</v>
      </c>
      <c r="AL316" s="22" t="s">
        <v>331</v>
      </c>
      <c r="AM316" s="22" t="s">
        <v>231</v>
      </c>
      <c r="AN316" s="22" t="s">
        <v>232</v>
      </c>
      <c r="AO316" s="22" t="s">
        <v>231</v>
      </c>
      <c r="AP316" s="22" t="s">
        <v>232</v>
      </c>
      <c r="AQ316" s="22"/>
      <c r="AR316" s="22"/>
      <c r="AS316" s="22"/>
      <c r="AT316" s="22"/>
      <c r="AU316" s="22"/>
      <c r="AV316" s="22"/>
      <c r="AW316" s="23"/>
      <c r="AX316" s="27"/>
      <c r="AY316" s="25"/>
      <c r="AZ316" s="27"/>
      <c r="BA316" s="25"/>
      <c r="BB316" s="22" t="s">
        <v>1099</v>
      </c>
      <c r="BC316" s="22"/>
      <c r="BD316" s="22"/>
      <c r="BE316" s="22"/>
      <c r="BF316" s="23"/>
      <c r="BG316" s="23"/>
      <c r="BH316" s="22"/>
      <c r="BI316" s="23">
        <v>0</v>
      </c>
      <c r="BJ316" s="23">
        <v>0</v>
      </c>
      <c r="BK316" s="24"/>
      <c r="BL316" s="24"/>
      <c r="BM316" s="22"/>
      <c r="BN316" s="24"/>
      <c r="BO316" s="24">
        <v>46072</v>
      </c>
      <c r="BP316" s="25">
        <v>0</v>
      </c>
      <c r="BQ316" s="24">
        <v>46071</v>
      </c>
    </row>
    <row r="317" spans="1:69" ht="22.5" hidden="1" customHeight="1" x14ac:dyDescent="0.2">
      <c r="A317" s="28" t="s">
        <v>1085</v>
      </c>
      <c r="B317" s="28" t="s">
        <v>483</v>
      </c>
      <c r="C317" s="28" t="s">
        <v>221</v>
      </c>
      <c r="D317" s="28" t="s">
        <v>222</v>
      </c>
      <c r="E317" s="29">
        <v>423063</v>
      </c>
      <c r="F317" s="29">
        <v>3656</v>
      </c>
      <c r="G317" s="29">
        <v>483</v>
      </c>
      <c r="H317" s="29">
        <v>0</v>
      </c>
      <c r="I317" s="30">
        <v>46022</v>
      </c>
      <c r="J317" s="28" t="s">
        <v>223</v>
      </c>
      <c r="K317" s="28" t="s">
        <v>1100</v>
      </c>
      <c r="L317" s="31">
        <v>29.1</v>
      </c>
      <c r="M317" s="31">
        <v>5.82</v>
      </c>
      <c r="N317" s="31">
        <v>34.92</v>
      </c>
      <c r="O317" s="28"/>
      <c r="P317" s="32"/>
      <c r="Q317" s="31">
        <v>34.92</v>
      </c>
      <c r="R317" s="28"/>
      <c r="S317" s="31">
        <v>0</v>
      </c>
      <c r="T317" s="28"/>
      <c r="U317" s="29"/>
      <c r="V317" s="28"/>
      <c r="W317" s="29"/>
      <c r="X317" s="29"/>
      <c r="Y317" s="29"/>
      <c r="Z317" s="31">
        <v>0</v>
      </c>
      <c r="AA317" s="31">
        <v>0</v>
      </c>
      <c r="AB317" s="31">
        <v>0</v>
      </c>
      <c r="AC317" s="28"/>
      <c r="AD317" s="28" t="s">
        <v>225</v>
      </c>
      <c r="AE317" s="28" t="s">
        <v>226</v>
      </c>
      <c r="AF317" s="28" t="s">
        <v>31</v>
      </c>
      <c r="AG317" s="28" t="s">
        <v>42</v>
      </c>
      <c r="AH317" s="28" t="s">
        <v>228</v>
      </c>
      <c r="AI317" s="28" t="s">
        <v>31</v>
      </c>
      <c r="AJ317" s="28"/>
      <c r="AK317" s="28" t="s">
        <v>235</v>
      </c>
      <c r="AL317" s="28" t="s">
        <v>331</v>
      </c>
      <c r="AM317" s="28" t="s">
        <v>231</v>
      </c>
      <c r="AN317" s="28" t="s">
        <v>232</v>
      </c>
      <c r="AO317" s="28" t="s">
        <v>231</v>
      </c>
      <c r="AP317" s="28" t="s">
        <v>232</v>
      </c>
      <c r="AQ317" s="28"/>
      <c r="AR317" s="28"/>
      <c r="AS317" s="28"/>
      <c r="AT317" s="28"/>
      <c r="AU317" s="28"/>
      <c r="AV317" s="28"/>
      <c r="AW317" s="29"/>
      <c r="AX317" s="33"/>
      <c r="AY317" s="31"/>
      <c r="AZ317" s="33"/>
      <c r="BA317" s="31"/>
      <c r="BB317" s="28" t="s">
        <v>1101</v>
      </c>
      <c r="BC317" s="28"/>
      <c r="BD317" s="28"/>
      <c r="BE317" s="28"/>
      <c r="BF317" s="29"/>
      <c r="BG317" s="29"/>
      <c r="BH317" s="28"/>
      <c r="BI317" s="29">
        <v>0</v>
      </c>
      <c r="BJ317" s="29">
        <v>0</v>
      </c>
      <c r="BK317" s="30"/>
      <c r="BL317" s="30"/>
      <c r="BM317" s="28"/>
      <c r="BN317" s="30"/>
      <c r="BO317" s="30">
        <v>46072</v>
      </c>
      <c r="BP317" s="31">
        <v>0</v>
      </c>
      <c r="BQ317" s="30">
        <v>46071</v>
      </c>
    </row>
    <row r="318" spans="1:69" ht="22.5" hidden="1" customHeight="1" x14ac:dyDescent="0.2">
      <c r="A318" s="22" t="s">
        <v>1085</v>
      </c>
      <c r="B318" s="22" t="s">
        <v>483</v>
      </c>
      <c r="C318" s="22" t="s">
        <v>221</v>
      </c>
      <c r="D318" s="22" t="s">
        <v>222</v>
      </c>
      <c r="E318" s="23">
        <v>423066</v>
      </c>
      <c r="F318" s="23">
        <v>3657</v>
      </c>
      <c r="G318" s="23">
        <v>483</v>
      </c>
      <c r="H318" s="23">
        <v>0</v>
      </c>
      <c r="I318" s="24">
        <v>46022</v>
      </c>
      <c r="J318" s="22" t="s">
        <v>223</v>
      </c>
      <c r="K318" s="22" t="s">
        <v>1102</v>
      </c>
      <c r="L318" s="25">
        <v>25</v>
      </c>
      <c r="M318" s="25">
        <v>5</v>
      </c>
      <c r="N318" s="25">
        <v>30</v>
      </c>
      <c r="O318" s="22"/>
      <c r="P318" s="26"/>
      <c r="Q318" s="25">
        <v>30</v>
      </c>
      <c r="R318" s="22"/>
      <c r="S318" s="25">
        <v>0</v>
      </c>
      <c r="T318" s="22"/>
      <c r="U318" s="23"/>
      <c r="V318" s="22"/>
      <c r="W318" s="23"/>
      <c r="X318" s="23"/>
      <c r="Y318" s="23"/>
      <c r="Z318" s="25">
        <v>0</v>
      </c>
      <c r="AA318" s="25">
        <v>0</v>
      </c>
      <c r="AB318" s="25">
        <v>0</v>
      </c>
      <c r="AC318" s="22"/>
      <c r="AD318" s="22" t="s">
        <v>225</v>
      </c>
      <c r="AE318" s="22" t="s">
        <v>226</v>
      </c>
      <c r="AF318" s="22" t="s">
        <v>31</v>
      </c>
      <c r="AG318" s="22" t="s">
        <v>42</v>
      </c>
      <c r="AH318" s="22" t="s">
        <v>228</v>
      </c>
      <c r="AI318" s="22" t="s">
        <v>31</v>
      </c>
      <c r="AJ318" s="22"/>
      <c r="AK318" s="22" t="s">
        <v>235</v>
      </c>
      <c r="AL318" s="22" t="s">
        <v>331</v>
      </c>
      <c r="AM318" s="22" t="s">
        <v>231</v>
      </c>
      <c r="AN318" s="22" t="s">
        <v>232</v>
      </c>
      <c r="AO318" s="22" t="s">
        <v>231</v>
      </c>
      <c r="AP318" s="22" t="s">
        <v>232</v>
      </c>
      <c r="AQ318" s="22"/>
      <c r="AR318" s="22"/>
      <c r="AS318" s="22"/>
      <c r="AT318" s="22"/>
      <c r="AU318" s="22"/>
      <c r="AV318" s="22"/>
      <c r="AW318" s="23"/>
      <c r="AX318" s="27"/>
      <c r="AY318" s="25"/>
      <c r="AZ318" s="27"/>
      <c r="BA318" s="25"/>
      <c r="BB318" s="22" t="s">
        <v>1103</v>
      </c>
      <c r="BC318" s="22"/>
      <c r="BD318" s="22"/>
      <c r="BE318" s="22"/>
      <c r="BF318" s="23"/>
      <c r="BG318" s="23"/>
      <c r="BH318" s="22"/>
      <c r="BI318" s="23">
        <v>0</v>
      </c>
      <c r="BJ318" s="23">
        <v>0</v>
      </c>
      <c r="BK318" s="24"/>
      <c r="BL318" s="24"/>
      <c r="BM318" s="22"/>
      <c r="BN318" s="24"/>
      <c r="BO318" s="24">
        <v>46072</v>
      </c>
      <c r="BP318" s="25">
        <v>0</v>
      </c>
      <c r="BQ318" s="24">
        <v>46071</v>
      </c>
    </row>
    <row r="319" spans="1:69" ht="22.5" hidden="1" customHeight="1" x14ac:dyDescent="0.2">
      <c r="A319" s="28" t="s">
        <v>1085</v>
      </c>
      <c r="B319" s="28" t="s">
        <v>483</v>
      </c>
      <c r="C319" s="28" t="s">
        <v>221</v>
      </c>
      <c r="D319" s="28" t="s">
        <v>222</v>
      </c>
      <c r="E319" s="29">
        <v>423069</v>
      </c>
      <c r="F319" s="29">
        <v>3658</v>
      </c>
      <c r="G319" s="29">
        <v>483</v>
      </c>
      <c r="H319" s="29">
        <v>0</v>
      </c>
      <c r="I319" s="30">
        <v>46022</v>
      </c>
      <c r="J319" s="28" t="s">
        <v>223</v>
      </c>
      <c r="K319" s="28" t="s">
        <v>1104</v>
      </c>
      <c r="L319" s="31">
        <v>166.67</v>
      </c>
      <c r="M319" s="31">
        <v>33.33</v>
      </c>
      <c r="N319" s="31">
        <v>200</v>
      </c>
      <c r="O319" s="28"/>
      <c r="P319" s="32"/>
      <c r="Q319" s="31">
        <v>200</v>
      </c>
      <c r="R319" s="28"/>
      <c r="S319" s="31">
        <v>0</v>
      </c>
      <c r="T319" s="28"/>
      <c r="U319" s="29"/>
      <c r="V319" s="28"/>
      <c r="W319" s="29"/>
      <c r="X319" s="29"/>
      <c r="Y319" s="29"/>
      <c r="Z319" s="31">
        <v>0</v>
      </c>
      <c r="AA319" s="31">
        <v>0</v>
      </c>
      <c r="AB319" s="31">
        <v>0</v>
      </c>
      <c r="AC319" s="28"/>
      <c r="AD319" s="28" t="s">
        <v>225</v>
      </c>
      <c r="AE319" s="28" t="s">
        <v>226</v>
      </c>
      <c r="AF319" s="28" t="s">
        <v>31</v>
      </c>
      <c r="AG319" s="28" t="s">
        <v>42</v>
      </c>
      <c r="AH319" s="28" t="s">
        <v>228</v>
      </c>
      <c r="AI319" s="28" t="s">
        <v>31</v>
      </c>
      <c r="AJ319" s="28"/>
      <c r="AK319" s="28" t="s">
        <v>235</v>
      </c>
      <c r="AL319" s="28" t="s">
        <v>236</v>
      </c>
      <c r="AM319" s="28" t="s">
        <v>231</v>
      </c>
      <c r="AN319" s="28" t="s">
        <v>232</v>
      </c>
      <c r="AO319" s="28" t="s">
        <v>231</v>
      </c>
      <c r="AP319" s="28" t="s">
        <v>232</v>
      </c>
      <c r="AQ319" s="28"/>
      <c r="AR319" s="28"/>
      <c r="AS319" s="28"/>
      <c r="AT319" s="28"/>
      <c r="AU319" s="28"/>
      <c r="AV319" s="28"/>
      <c r="AW319" s="29"/>
      <c r="AX319" s="33"/>
      <c r="AY319" s="31"/>
      <c r="AZ319" s="33"/>
      <c r="BA319" s="31"/>
      <c r="BB319" s="28" t="s">
        <v>1105</v>
      </c>
      <c r="BC319" s="28"/>
      <c r="BD319" s="28"/>
      <c r="BE319" s="28"/>
      <c r="BF319" s="29"/>
      <c r="BG319" s="29"/>
      <c r="BH319" s="28"/>
      <c r="BI319" s="29">
        <v>0</v>
      </c>
      <c r="BJ319" s="29">
        <v>0</v>
      </c>
      <c r="BK319" s="30"/>
      <c r="BL319" s="30"/>
      <c r="BM319" s="28"/>
      <c r="BN319" s="30"/>
      <c r="BO319" s="30">
        <v>46072</v>
      </c>
      <c r="BP319" s="31">
        <v>0</v>
      </c>
      <c r="BQ319" s="30">
        <v>46071</v>
      </c>
    </row>
    <row r="320" spans="1:69" ht="22.5" hidden="1" customHeight="1" x14ac:dyDescent="0.2">
      <c r="A320" s="22" t="s">
        <v>1085</v>
      </c>
      <c r="B320" s="22" t="s">
        <v>483</v>
      </c>
      <c r="C320" s="22" t="s">
        <v>221</v>
      </c>
      <c r="D320" s="22" t="s">
        <v>222</v>
      </c>
      <c r="E320" s="23">
        <v>423072</v>
      </c>
      <c r="F320" s="23">
        <v>3659</v>
      </c>
      <c r="G320" s="23">
        <v>483</v>
      </c>
      <c r="H320" s="23">
        <v>0</v>
      </c>
      <c r="I320" s="24">
        <v>46022</v>
      </c>
      <c r="J320" s="22" t="s">
        <v>223</v>
      </c>
      <c r="K320" s="22" t="s">
        <v>1106</v>
      </c>
      <c r="L320" s="25">
        <v>208.33</v>
      </c>
      <c r="M320" s="25">
        <v>41.67</v>
      </c>
      <c r="N320" s="25">
        <v>250</v>
      </c>
      <c r="O320" s="22"/>
      <c r="P320" s="26"/>
      <c r="Q320" s="25">
        <v>250</v>
      </c>
      <c r="R320" s="22"/>
      <c r="S320" s="25">
        <v>0</v>
      </c>
      <c r="T320" s="22"/>
      <c r="U320" s="23"/>
      <c r="V320" s="22"/>
      <c r="W320" s="23"/>
      <c r="X320" s="23"/>
      <c r="Y320" s="23"/>
      <c r="Z320" s="25">
        <v>0</v>
      </c>
      <c r="AA320" s="25">
        <v>0</v>
      </c>
      <c r="AB320" s="25">
        <v>0</v>
      </c>
      <c r="AC320" s="22"/>
      <c r="AD320" s="22" t="s">
        <v>225</v>
      </c>
      <c r="AE320" s="22" t="s">
        <v>226</v>
      </c>
      <c r="AF320" s="22" t="s">
        <v>31</v>
      </c>
      <c r="AG320" s="22" t="s">
        <v>42</v>
      </c>
      <c r="AH320" s="22" t="s">
        <v>228</v>
      </c>
      <c r="AI320" s="22" t="s">
        <v>31</v>
      </c>
      <c r="AJ320" s="22"/>
      <c r="AK320" s="22" t="s">
        <v>235</v>
      </c>
      <c r="AL320" s="22" t="s">
        <v>236</v>
      </c>
      <c r="AM320" s="22" t="s">
        <v>231</v>
      </c>
      <c r="AN320" s="22" t="s">
        <v>232</v>
      </c>
      <c r="AO320" s="22" t="s">
        <v>231</v>
      </c>
      <c r="AP320" s="22" t="s">
        <v>232</v>
      </c>
      <c r="AQ320" s="22"/>
      <c r="AR320" s="22"/>
      <c r="AS320" s="22"/>
      <c r="AT320" s="22"/>
      <c r="AU320" s="22"/>
      <c r="AV320" s="22"/>
      <c r="AW320" s="23"/>
      <c r="AX320" s="27"/>
      <c r="AY320" s="25"/>
      <c r="AZ320" s="27"/>
      <c r="BA320" s="25"/>
      <c r="BB320" s="22" t="s">
        <v>1107</v>
      </c>
      <c r="BC320" s="22"/>
      <c r="BD320" s="22"/>
      <c r="BE320" s="22"/>
      <c r="BF320" s="23"/>
      <c r="BG320" s="23"/>
      <c r="BH320" s="22"/>
      <c r="BI320" s="23">
        <v>0</v>
      </c>
      <c r="BJ320" s="23">
        <v>0</v>
      </c>
      <c r="BK320" s="24"/>
      <c r="BL320" s="24"/>
      <c r="BM320" s="22"/>
      <c r="BN320" s="24"/>
      <c r="BO320" s="24">
        <v>46072</v>
      </c>
      <c r="BP320" s="25">
        <v>0</v>
      </c>
      <c r="BQ320" s="24">
        <v>46071</v>
      </c>
    </row>
    <row r="321" spans="1:69" ht="22.5" hidden="1" customHeight="1" x14ac:dyDescent="0.2">
      <c r="A321" s="28" t="s">
        <v>1085</v>
      </c>
      <c r="B321" s="28" t="s">
        <v>483</v>
      </c>
      <c r="C321" s="28" t="s">
        <v>221</v>
      </c>
      <c r="D321" s="28" t="s">
        <v>222</v>
      </c>
      <c r="E321" s="29">
        <v>423075</v>
      </c>
      <c r="F321" s="29">
        <v>3660</v>
      </c>
      <c r="G321" s="29">
        <v>483</v>
      </c>
      <c r="H321" s="29">
        <v>0</v>
      </c>
      <c r="I321" s="30">
        <v>46022</v>
      </c>
      <c r="J321" s="28" t="s">
        <v>223</v>
      </c>
      <c r="K321" s="28" t="s">
        <v>1108</v>
      </c>
      <c r="L321" s="31">
        <v>83.33</v>
      </c>
      <c r="M321" s="31">
        <v>16.670000000000002</v>
      </c>
      <c r="N321" s="31">
        <v>100</v>
      </c>
      <c r="O321" s="28"/>
      <c r="P321" s="32"/>
      <c r="Q321" s="31">
        <v>100</v>
      </c>
      <c r="R321" s="28"/>
      <c r="S321" s="31">
        <v>0</v>
      </c>
      <c r="T321" s="28"/>
      <c r="U321" s="29"/>
      <c r="V321" s="28"/>
      <c r="W321" s="29"/>
      <c r="X321" s="29"/>
      <c r="Y321" s="29"/>
      <c r="Z321" s="31">
        <v>0</v>
      </c>
      <c r="AA321" s="31">
        <v>0</v>
      </c>
      <c r="AB321" s="31">
        <v>0</v>
      </c>
      <c r="AC321" s="28"/>
      <c r="AD321" s="28" t="s">
        <v>225</v>
      </c>
      <c r="AE321" s="28" t="s">
        <v>226</v>
      </c>
      <c r="AF321" s="28" t="s">
        <v>31</v>
      </c>
      <c r="AG321" s="28" t="s">
        <v>42</v>
      </c>
      <c r="AH321" s="28" t="s">
        <v>228</v>
      </c>
      <c r="AI321" s="28" t="s">
        <v>31</v>
      </c>
      <c r="AJ321" s="28"/>
      <c r="AK321" s="28" t="s">
        <v>235</v>
      </c>
      <c r="AL321" s="28" t="s">
        <v>236</v>
      </c>
      <c r="AM321" s="28" t="s">
        <v>231</v>
      </c>
      <c r="AN321" s="28" t="s">
        <v>232</v>
      </c>
      <c r="AO321" s="28" t="s">
        <v>231</v>
      </c>
      <c r="AP321" s="28" t="s">
        <v>232</v>
      </c>
      <c r="AQ321" s="28"/>
      <c r="AR321" s="28"/>
      <c r="AS321" s="28"/>
      <c r="AT321" s="28"/>
      <c r="AU321" s="28"/>
      <c r="AV321" s="28"/>
      <c r="AW321" s="29"/>
      <c r="AX321" s="33"/>
      <c r="AY321" s="31"/>
      <c r="AZ321" s="33"/>
      <c r="BA321" s="31"/>
      <c r="BB321" s="28" t="s">
        <v>1109</v>
      </c>
      <c r="BC321" s="28"/>
      <c r="BD321" s="28"/>
      <c r="BE321" s="28"/>
      <c r="BF321" s="29"/>
      <c r="BG321" s="29"/>
      <c r="BH321" s="28"/>
      <c r="BI321" s="29">
        <v>0</v>
      </c>
      <c r="BJ321" s="29">
        <v>0</v>
      </c>
      <c r="BK321" s="30"/>
      <c r="BL321" s="30"/>
      <c r="BM321" s="28"/>
      <c r="BN321" s="30"/>
      <c r="BO321" s="30">
        <v>46072</v>
      </c>
      <c r="BP321" s="31">
        <v>0</v>
      </c>
      <c r="BQ321" s="30">
        <v>46071</v>
      </c>
    </row>
    <row r="322" spans="1:69" ht="22.5" hidden="1" customHeight="1" x14ac:dyDescent="0.2">
      <c r="A322" s="28" t="s">
        <v>1085</v>
      </c>
      <c r="B322" s="28" t="s">
        <v>483</v>
      </c>
      <c r="C322" s="28" t="s">
        <v>221</v>
      </c>
      <c r="D322" s="28" t="s">
        <v>222</v>
      </c>
      <c r="E322" s="29">
        <v>423081</v>
      </c>
      <c r="F322" s="29">
        <v>3661</v>
      </c>
      <c r="G322" s="29">
        <v>483</v>
      </c>
      <c r="H322" s="29">
        <v>0</v>
      </c>
      <c r="I322" s="30">
        <v>46022</v>
      </c>
      <c r="J322" s="28" t="s">
        <v>223</v>
      </c>
      <c r="K322" s="28" t="s">
        <v>1110</v>
      </c>
      <c r="L322" s="31">
        <v>83.33</v>
      </c>
      <c r="M322" s="31">
        <v>16.670000000000002</v>
      </c>
      <c r="N322" s="31">
        <v>100</v>
      </c>
      <c r="O322" s="28"/>
      <c r="P322" s="32"/>
      <c r="Q322" s="31">
        <v>100</v>
      </c>
      <c r="R322" s="28"/>
      <c r="S322" s="31">
        <v>0</v>
      </c>
      <c r="T322" s="28"/>
      <c r="U322" s="29"/>
      <c r="V322" s="28"/>
      <c r="W322" s="29"/>
      <c r="X322" s="29"/>
      <c r="Y322" s="29"/>
      <c r="Z322" s="31">
        <v>0</v>
      </c>
      <c r="AA322" s="31">
        <v>0</v>
      </c>
      <c r="AB322" s="31">
        <v>0</v>
      </c>
      <c r="AC322" s="28"/>
      <c r="AD322" s="28" t="s">
        <v>225</v>
      </c>
      <c r="AE322" s="28" t="s">
        <v>226</v>
      </c>
      <c r="AF322" s="28" t="s">
        <v>31</v>
      </c>
      <c r="AG322" s="28" t="s">
        <v>42</v>
      </c>
      <c r="AH322" s="28" t="s">
        <v>228</v>
      </c>
      <c r="AI322" s="28" t="s">
        <v>31</v>
      </c>
      <c r="AJ322" s="28"/>
      <c r="AK322" s="28" t="s">
        <v>235</v>
      </c>
      <c r="AL322" s="28" t="s">
        <v>236</v>
      </c>
      <c r="AM322" s="28" t="s">
        <v>231</v>
      </c>
      <c r="AN322" s="28" t="s">
        <v>232</v>
      </c>
      <c r="AO322" s="28" t="s">
        <v>231</v>
      </c>
      <c r="AP322" s="28" t="s">
        <v>232</v>
      </c>
      <c r="AQ322" s="28"/>
      <c r="AR322" s="28"/>
      <c r="AS322" s="28"/>
      <c r="AT322" s="28"/>
      <c r="AU322" s="28"/>
      <c r="AV322" s="28"/>
      <c r="AW322" s="29"/>
      <c r="AX322" s="33"/>
      <c r="AY322" s="31"/>
      <c r="AZ322" s="33"/>
      <c r="BA322" s="31"/>
      <c r="BB322" s="28" t="s">
        <v>1111</v>
      </c>
      <c r="BC322" s="28"/>
      <c r="BD322" s="28"/>
      <c r="BE322" s="28"/>
      <c r="BF322" s="29"/>
      <c r="BG322" s="29"/>
      <c r="BH322" s="28"/>
      <c r="BI322" s="29">
        <v>0</v>
      </c>
      <c r="BJ322" s="29">
        <v>0</v>
      </c>
      <c r="BK322" s="30"/>
      <c r="BL322" s="30"/>
      <c r="BM322" s="28"/>
      <c r="BN322" s="30"/>
      <c r="BO322" s="30">
        <v>46072</v>
      </c>
      <c r="BP322" s="31">
        <v>0</v>
      </c>
      <c r="BQ322" s="30">
        <v>46071</v>
      </c>
    </row>
    <row r="323" spans="1:69" ht="22.5" hidden="1" customHeight="1" x14ac:dyDescent="0.2">
      <c r="A323" s="22" t="s">
        <v>1085</v>
      </c>
      <c r="B323" s="22" t="s">
        <v>483</v>
      </c>
      <c r="C323" s="22" t="s">
        <v>221</v>
      </c>
      <c r="D323" s="22" t="s">
        <v>222</v>
      </c>
      <c r="E323" s="23">
        <v>423084</v>
      </c>
      <c r="F323" s="23">
        <v>3662</v>
      </c>
      <c r="G323" s="23">
        <v>483</v>
      </c>
      <c r="H323" s="23">
        <v>0</v>
      </c>
      <c r="I323" s="24">
        <v>46022</v>
      </c>
      <c r="J323" s="22" t="s">
        <v>223</v>
      </c>
      <c r="K323" s="22" t="s">
        <v>1112</v>
      </c>
      <c r="L323" s="25">
        <v>333.33</v>
      </c>
      <c r="M323" s="25">
        <v>66.67</v>
      </c>
      <c r="N323" s="25">
        <v>400</v>
      </c>
      <c r="O323" s="22"/>
      <c r="P323" s="26"/>
      <c r="Q323" s="25">
        <v>400</v>
      </c>
      <c r="R323" s="22"/>
      <c r="S323" s="25">
        <v>0</v>
      </c>
      <c r="T323" s="22"/>
      <c r="U323" s="23"/>
      <c r="V323" s="22"/>
      <c r="W323" s="23"/>
      <c r="X323" s="23"/>
      <c r="Y323" s="23"/>
      <c r="Z323" s="25">
        <v>0</v>
      </c>
      <c r="AA323" s="25">
        <v>0</v>
      </c>
      <c r="AB323" s="25">
        <v>0</v>
      </c>
      <c r="AC323" s="22"/>
      <c r="AD323" s="22" t="s">
        <v>225</v>
      </c>
      <c r="AE323" s="22" t="s">
        <v>226</v>
      </c>
      <c r="AF323" s="22" t="s">
        <v>31</v>
      </c>
      <c r="AG323" s="22" t="s">
        <v>42</v>
      </c>
      <c r="AH323" s="22" t="s">
        <v>228</v>
      </c>
      <c r="AI323" s="22" t="s">
        <v>31</v>
      </c>
      <c r="AJ323" s="22"/>
      <c r="AK323" s="22" t="s">
        <v>235</v>
      </c>
      <c r="AL323" s="22" t="s">
        <v>236</v>
      </c>
      <c r="AM323" s="22" t="s">
        <v>231</v>
      </c>
      <c r="AN323" s="22" t="s">
        <v>232</v>
      </c>
      <c r="AO323" s="22" t="s">
        <v>231</v>
      </c>
      <c r="AP323" s="22" t="s">
        <v>232</v>
      </c>
      <c r="AQ323" s="22"/>
      <c r="AR323" s="22"/>
      <c r="AS323" s="22"/>
      <c r="AT323" s="22"/>
      <c r="AU323" s="22"/>
      <c r="AV323" s="22"/>
      <c r="AW323" s="23"/>
      <c r="AX323" s="27"/>
      <c r="AY323" s="25"/>
      <c r="AZ323" s="27"/>
      <c r="BA323" s="25"/>
      <c r="BB323" s="22" t="s">
        <v>1113</v>
      </c>
      <c r="BC323" s="22"/>
      <c r="BD323" s="22"/>
      <c r="BE323" s="22"/>
      <c r="BF323" s="23"/>
      <c r="BG323" s="23"/>
      <c r="BH323" s="22"/>
      <c r="BI323" s="23">
        <v>0</v>
      </c>
      <c r="BJ323" s="23">
        <v>0</v>
      </c>
      <c r="BK323" s="24"/>
      <c r="BL323" s="24"/>
      <c r="BM323" s="22"/>
      <c r="BN323" s="24"/>
      <c r="BO323" s="24">
        <v>46072</v>
      </c>
      <c r="BP323" s="25">
        <v>0</v>
      </c>
      <c r="BQ323" s="24">
        <v>46071</v>
      </c>
    </row>
    <row r="324" spans="1:69" ht="22.5" hidden="1" customHeight="1" x14ac:dyDescent="0.2">
      <c r="A324" s="28" t="s">
        <v>1085</v>
      </c>
      <c r="B324" s="28" t="s">
        <v>483</v>
      </c>
      <c r="C324" s="28" t="s">
        <v>221</v>
      </c>
      <c r="D324" s="28" t="s">
        <v>222</v>
      </c>
      <c r="E324" s="29">
        <v>423087</v>
      </c>
      <c r="F324" s="29">
        <v>3663</v>
      </c>
      <c r="G324" s="29">
        <v>483</v>
      </c>
      <c r="H324" s="29">
        <v>0</v>
      </c>
      <c r="I324" s="30">
        <v>46022</v>
      </c>
      <c r="J324" s="28" t="s">
        <v>223</v>
      </c>
      <c r="K324" s="28" t="s">
        <v>1114</v>
      </c>
      <c r="L324" s="31">
        <v>250</v>
      </c>
      <c r="M324" s="31">
        <v>50</v>
      </c>
      <c r="N324" s="31">
        <v>300</v>
      </c>
      <c r="O324" s="28"/>
      <c r="P324" s="32"/>
      <c r="Q324" s="31">
        <v>300</v>
      </c>
      <c r="R324" s="28"/>
      <c r="S324" s="31">
        <v>0</v>
      </c>
      <c r="T324" s="28"/>
      <c r="U324" s="29"/>
      <c r="V324" s="28"/>
      <c r="W324" s="29"/>
      <c r="X324" s="29"/>
      <c r="Y324" s="29"/>
      <c r="Z324" s="31">
        <v>0</v>
      </c>
      <c r="AA324" s="31">
        <v>0</v>
      </c>
      <c r="AB324" s="31">
        <v>0</v>
      </c>
      <c r="AC324" s="28"/>
      <c r="AD324" s="28" t="s">
        <v>225</v>
      </c>
      <c r="AE324" s="28" t="s">
        <v>226</v>
      </c>
      <c r="AF324" s="28" t="s">
        <v>31</v>
      </c>
      <c r="AG324" s="28" t="s">
        <v>42</v>
      </c>
      <c r="AH324" s="28" t="s">
        <v>228</v>
      </c>
      <c r="AI324" s="28" t="s">
        <v>31</v>
      </c>
      <c r="AJ324" s="28"/>
      <c r="AK324" s="28" t="s">
        <v>235</v>
      </c>
      <c r="AL324" s="28" t="s">
        <v>236</v>
      </c>
      <c r="AM324" s="28" t="s">
        <v>231</v>
      </c>
      <c r="AN324" s="28" t="s">
        <v>232</v>
      </c>
      <c r="AO324" s="28" t="s">
        <v>231</v>
      </c>
      <c r="AP324" s="28" t="s">
        <v>232</v>
      </c>
      <c r="AQ324" s="28"/>
      <c r="AR324" s="28"/>
      <c r="AS324" s="28"/>
      <c r="AT324" s="28"/>
      <c r="AU324" s="28"/>
      <c r="AV324" s="28"/>
      <c r="AW324" s="29"/>
      <c r="AX324" s="33"/>
      <c r="AY324" s="31"/>
      <c r="AZ324" s="33"/>
      <c r="BA324" s="31"/>
      <c r="BB324" s="28" t="s">
        <v>1115</v>
      </c>
      <c r="BC324" s="28"/>
      <c r="BD324" s="28"/>
      <c r="BE324" s="28"/>
      <c r="BF324" s="29"/>
      <c r="BG324" s="29"/>
      <c r="BH324" s="28"/>
      <c r="BI324" s="29">
        <v>0</v>
      </c>
      <c r="BJ324" s="29">
        <v>0</v>
      </c>
      <c r="BK324" s="30"/>
      <c r="BL324" s="30"/>
      <c r="BM324" s="28"/>
      <c r="BN324" s="30"/>
      <c r="BO324" s="30">
        <v>46072</v>
      </c>
      <c r="BP324" s="31">
        <v>0</v>
      </c>
      <c r="BQ324" s="30">
        <v>46071</v>
      </c>
    </row>
    <row r="325" spans="1:69" ht="22.5" hidden="1" customHeight="1" x14ac:dyDescent="0.2">
      <c r="A325" s="28" t="s">
        <v>1085</v>
      </c>
      <c r="B325" s="28" t="s">
        <v>483</v>
      </c>
      <c r="C325" s="28" t="s">
        <v>221</v>
      </c>
      <c r="D325" s="28" t="s">
        <v>222</v>
      </c>
      <c r="E325" s="29">
        <v>423099</v>
      </c>
      <c r="F325" s="29">
        <v>3664</v>
      </c>
      <c r="G325" s="29">
        <v>483</v>
      </c>
      <c r="H325" s="29">
        <v>0</v>
      </c>
      <c r="I325" s="30">
        <v>46022</v>
      </c>
      <c r="J325" s="28" t="s">
        <v>223</v>
      </c>
      <c r="K325" s="28" t="s">
        <v>1116</v>
      </c>
      <c r="L325" s="31">
        <v>25</v>
      </c>
      <c r="M325" s="31">
        <v>5</v>
      </c>
      <c r="N325" s="31">
        <v>30</v>
      </c>
      <c r="O325" s="28"/>
      <c r="P325" s="32"/>
      <c r="Q325" s="31">
        <v>30</v>
      </c>
      <c r="R325" s="28"/>
      <c r="S325" s="31">
        <v>0</v>
      </c>
      <c r="T325" s="28"/>
      <c r="U325" s="29"/>
      <c r="V325" s="28"/>
      <c r="W325" s="29"/>
      <c r="X325" s="29"/>
      <c r="Y325" s="29"/>
      <c r="Z325" s="31">
        <v>0</v>
      </c>
      <c r="AA325" s="31">
        <v>0</v>
      </c>
      <c r="AB325" s="31">
        <v>0</v>
      </c>
      <c r="AC325" s="28"/>
      <c r="AD325" s="28" t="s">
        <v>225</v>
      </c>
      <c r="AE325" s="28" t="s">
        <v>226</v>
      </c>
      <c r="AF325" s="28" t="s">
        <v>31</v>
      </c>
      <c r="AG325" s="28" t="s">
        <v>42</v>
      </c>
      <c r="AH325" s="28" t="s">
        <v>228</v>
      </c>
      <c r="AI325" s="28" t="s">
        <v>31</v>
      </c>
      <c r="AJ325" s="28"/>
      <c r="AK325" s="28" t="s">
        <v>235</v>
      </c>
      <c r="AL325" s="28" t="s">
        <v>331</v>
      </c>
      <c r="AM325" s="28" t="s">
        <v>231</v>
      </c>
      <c r="AN325" s="28" t="s">
        <v>232</v>
      </c>
      <c r="AO325" s="28" t="s">
        <v>231</v>
      </c>
      <c r="AP325" s="28" t="s">
        <v>232</v>
      </c>
      <c r="AQ325" s="28"/>
      <c r="AR325" s="28"/>
      <c r="AS325" s="28"/>
      <c r="AT325" s="28"/>
      <c r="AU325" s="28"/>
      <c r="AV325" s="28"/>
      <c r="AW325" s="29"/>
      <c r="AX325" s="33"/>
      <c r="AY325" s="31"/>
      <c r="AZ325" s="33"/>
      <c r="BA325" s="31"/>
      <c r="BB325" s="28" t="s">
        <v>1117</v>
      </c>
      <c r="BC325" s="28"/>
      <c r="BD325" s="28"/>
      <c r="BE325" s="28"/>
      <c r="BF325" s="29"/>
      <c r="BG325" s="29"/>
      <c r="BH325" s="28"/>
      <c r="BI325" s="29">
        <v>0</v>
      </c>
      <c r="BJ325" s="29">
        <v>0</v>
      </c>
      <c r="BK325" s="30"/>
      <c r="BL325" s="30"/>
      <c r="BM325" s="28"/>
      <c r="BN325" s="30"/>
      <c r="BO325" s="30">
        <v>46072</v>
      </c>
      <c r="BP325" s="31">
        <v>0</v>
      </c>
      <c r="BQ325" s="30">
        <v>46071</v>
      </c>
    </row>
    <row r="326" spans="1:69" ht="22.5" hidden="1" customHeight="1" x14ac:dyDescent="0.2">
      <c r="A326" s="22" t="s">
        <v>1085</v>
      </c>
      <c r="B326" s="22" t="s">
        <v>483</v>
      </c>
      <c r="C326" s="22" t="s">
        <v>221</v>
      </c>
      <c r="D326" s="22" t="s">
        <v>222</v>
      </c>
      <c r="E326" s="23">
        <v>423102</v>
      </c>
      <c r="F326" s="23">
        <v>3665</v>
      </c>
      <c r="G326" s="23">
        <v>483</v>
      </c>
      <c r="H326" s="23">
        <v>0</v>
      </c>
      <c r="I326" s="24">
        <v>46022</v>
      </c>
      <c r="J326" s="22" t="s">
        <v>223</v>
      </c>
      <c r="K326" s="22" t="s">
        <v>1118</v>
      </c>
      <c r="L326" s="25">
        <v>25</v>
      </c>
      <c r="M326" s="25">
        <v>5</v>
      </c>
      <c r="N326" s="25">
        <v>30</v>
      </c>
      <c r="O326" s="22"/>
      <c r="P326" s="26"/>
      <c r="Q326" s="25">
        <v>30</v>
      </c>
      <c r="R326" s="22"/>
      <c r="S326" s="25">
        <v>0</v>
      </c>
      <c r="T326" s="22"/>
      <c r="U326" s="23"/>
      <c r="V326" s="22"/>
      <c r="W326" s="23"/>
      <c r="X326" s="23"/>
      <c r="Y326" s="23"/>
      <c r="Z326" s="25">
        <v>0</v>
      </c>
      <c r="AA326" s="25">
        <v>0</v>
      </c>
      <c r="AB326" s="25">
        <v>0</v>
      </c>
      <c r="AC326" s="22"/>
      <c r="AD326" s="22" t="s">
        <v>225</v>
      </c>
      <c r="AE326" s="22" t="s">
        <v>226</v>
      </c>
      <c r="AF326" s="22" t="s">
        <v>31</v>
      </c>
      <c r="AG326" s="22" t="s">
        <v>42</v>
      </c>
      <c r="AH326" s="22" t="s">
        <v>228</v>
      </c>
      <c r="AI326" s="22" t="s">
        <v>31</v>
      </c>
      <c r="AJ326" s="22"/>
      <c r="AK326" s="22" t="s">
        <v>235</v>
      </c>
      <c r="AL326" s="22" t="s">
        <v>331</v>
      </c>
      <c r="AM326" s="22" t="s">
        <v>231</v>
      </c>
      <c r="AN326" s="22" t="s">
        <v>232</v>
      </c>
      <c r="AO326" s="22" t="s">
        <v>231</v>
      </c>
      <c r="AP326" s="22" t="s">
        <v>232</v>
      </c>
      <c r="AQ326" s="22"/>
      <c r="AR326" s="22"/>
      <c r="AS326" s="22"/>
      <c r="AT326" s="22"/>
      <c r="AU326" s="22"/>
      <c r="AV326" s="22"/>
      <c r="AW326" s="23"/>
      <c r="AX326" s="27"/>
      <c r="AY326" s="25"/>
      <c r="AZ326" s="27"/>
      <c r="BA326" s="25"/>
      <c r="BB326" s="22" t="s">
        <v>1119</v>
      </c>
      <c r="BC326" s="22"/>
      <c r="BD326" s="22"/>
      <c r="BE326" s="22"/>
      <c r="BF326" s="23"/>
      <c r="BG326" s="23"/>
      <c r="BH326" s="22"/>
      <c r="BI326" s="23">
        <v>0</v>
      </c>
      <c r="BJ326" s="23">
        <v>0</v>
      </c>
      <c r="BK326" s="24"/>
      <c r="BL326" s="24"/>
      <c r="BM326" s="22"/>
      <c r="BN326" s="24"/>
      <c r="BO326" s="24">
        <v>46072</v>
      </c>
      <c r="BP326" s="25">
        <v>0</v>
      </c>
      <c r="BQ326" s="24">
        <v>46071</v>
      </c>
    </row>
    <row r="327" spans="1:69" ht="22.5" hidden="1" customHeight="1" x14ac:dyDescent="0.2">
      <c r="A327" s="28" t="s">
        <v>1085</v>
      </c>
      <c r="B327" s="28" t="s">
        <v>483</v>
      </c>
      <c r="C327" s="28" t="s">
        <v>221</v>
      </c>
      <c r="D327" s="28" t="s">
        <v>222</v>
      </c>
      <c r="E327" s="29">
        <v>423105</v>
      </c>
      <c r="F327" s="29">
        <v>3666</v>
      </c>
      <c r="G327" s="29">
        <v>483</v>
      </c>
      <c r="H327" s="29">
        <v>0</v>
      </c>
      <c r="I327" s="30">
        <v>46022</v>
      </c>
      <c r="J327" s="28" t="s">
        <v>223</v>
      </c>
      <c r="K327" s="28" t="s">
        <v>1120</v>
      </c>
      <c r="L327" s="31">
        <v>25</v>
      </c>
      <c r="M327" s="31">
        <v>5</v>
      </c>
      <c r="N327" s="31">
        <v>30</v>
      </c>
      <c r="O327" s="28"/>
      <c r="P327" s="32"/>
      <c r="Q327" s="31">
        <v>30</v>
      </c>
      <c r="R327" s="28"/>
      <c r="S327" s="31">
        <v>0</v>
      </c>
      <c r="T327" s="28"/>
      <c r="U327" s="29"/>
      <c r="V327" s="28"/>
      <c r="W327" s="29"/>
      <c r="X327" s="29"/>
      <c r="Y327" s="29"/>
      <c r="Z327" s="31">
        <v>0</v>
      </c>
      <c r="AA327" s="31">
        <v>0</v>
      </c>
      <c r="AB327" s="31">
        <v>0</v>
      </c>
      <c r="AC327" s="28"/>
      <c r="AD327" s="28" t="s">
        <v>225</v>
      </c>
      <c r="AE327" s="28" t="s">
        <v>226</v>
      </c>
      <c r="AF327" s="28" t="s">
        <v>31</v>
      </c>
      <c r="AG327" s="28" t="s">
        <v>42</v>
      </c>
      <c r="AH327" s="28" t="s">
        <v>228</v>
      </c>
      <c r="AI327" s="28" t="s">
        <v>31</v>
      </c>
      <c r="AJ327" s="28"/>
      <c r="AK327" s="28" t="s">
        <v>235</v>
      </c>
      <c r="AL327" s="28" t="s">
        <v>331</v>
      </c>
      <c r="AM327" s="28" t="s">
        <v>231</v>
      </c>
      <c r="AN327" s="28" t="s">
        <v>232</v>
      </c>
      <c r="AO327" s="28" t="s">
        <v>231</v>
      </c>
      <c r="AP327" s="28" t="s">
        <v>232</v>
      </c>
      <c r="AQ327" s="28"/>
      <c r="AR327" s="28"/>
      <c r="AS327" s="28"/>
      <c r="AT327" s="28"/>
      <c r="AU327" s="28"/>
      <c r="AV327" s="28"/>
      <c r="AW327" s="29"/>
      <c r="AX327" s="33"/>
      <c r="AY327" s="31"/>
      <c r="AZ327" s="33"/>
      <c r="BA327" s="31"/>
      <c r="BB327" s="28" t="s">
        <v>1121</v>
      </c>
      <c r="BC327" s="28"/>
      <c r="BD327" s="28"/>
      <c r="BE327" s="28"/>
      <c r="BF327" s="29"/>
      <c r="BG327" s="29"/>
      <c r="BH327" s="28"/>
      <c r="BI327" s="29">
        <v>0</v>
      </c>
      <c r="BJ327" s="29">
        <v>0</v>
      </c>
      <c r="BK327" s="30"/>
      <c r="BL327" s="30"/>
      <c r="BM327" s="28"/>
      <c r="BN327" s="30"/>
      <c r="BO327" s="30">
        <v>46072</v>
      </c>
      <c r="BP327" s="31">
        <v>0</v>
      </c>
      <c r="BQ327" s="30">
        <v>46071</v>
      </c>
    </row>
    <row r="328" spans="1:69" ht="22.5" hidden="1" customHeight="1" x14ac:dyDescent="0.2">
      <c r="A328" s="22" t="s">
        <v>1085</v>
      </c>
      <c r="B328" s="22" t="s">
        <v>483</v>
      </c>
      <c r="C328" s="22" t="s">
        <v>221</v>
      </c>
      <c r="D328" s="22" t="s">
        <v>222</v>
      </c>
      <c r="E328" s="23">
        <v>423108</v>
      </c>
      <c r="F328" s="23">
        <v>3667</v>
      </c>
      <c r="G328" s="23">
        <v>483</v>
      </c>
      <c r="H328" s="23">
        <v>0</v>
      </c>
      <c r="I328" s="24">
        <v>46022</v>
      </c>
      <c r="J328" s="22" t="s">
        <v>223</v>
      </c>
      <c r="K328" s="22" t="s">
        <v>1122</v>
      </c>
      <c r="L328" s="25">
        <v>25</v>
      </c>
      <c r="M328" s="25">
        <v>5</v>
      </c>
      <c r="N328" s="25">
        <v>30</v>
      </c>
      <c r="O328" s="22"/>
      <c r="P328" s="26"/>
      <c r="Q328" s="25">
        <v>30</v>
      </c>
      <c r="R328" s="22"/>
      <c r="S328" s="25">
        <v>0</v>
      </c>
      <c r="T328" s="22"/>
      <c r="U328" s="23"/>
      <c r="V328" s="22"/>
      <c r="W328" s="23"/>
      <c r="X328" s="23"/>
      <c r="Y328" s="23"/>
      <c r="Z328" s="25">
        <v>0</v>
      </c>
      <c r="AA328" s="25">
        <v>0</v>
      </c>
      <c r="AB328" s="25">
        <v>0</v>
      </c>
      <c r="AC328" s="22"/>
      <c r="AD328" s="22" t="s">
        <v>225</v>
      </c>
      <c r="AE328" s="22" t="s">
        <v>226</v>
      </c>
      <c r="AF328" s="22" t="s">
        <v>31</v>
      </c>
      <c r="AG328" s="22" t="s">
        <v>42</v>
      </c>
      <c r="AH328" s="22" t="s">
        <v>228</v>
      </c>
      <c r="AI328" s="22" t="s">
        <v>31</v>
      </c>
      <c r="AJ328" s="22"/>
      <c r="AK328" s="22" t="s">
        <v>235</v>
      </c>
      <c r="AL328" s="22" t="s">
        <v>331</v>
      </c>
      <c r="AM328" s="22" t="s">
        <v>231</v>
      </c>
      <c r="AN328" s="22" t="s">
        <v>232</v>
      </c>
      <c r="AO328" s="22" t="s">
        <v>231</v>
      </c>
      <c r="AP328" s="22" t="s">
        <v>232</v>
      </c>
      <c r="AQ328" s="22"/>
      <c r="AR328" s="22"/>
      <c r="AS328" s="22"/>
      <c r="AT328" s="22"/>
      <c r="AU328" s="22"/>
      <c r="AV328" s="22"/>
      <c r="AW328" s="23"/>
      <c r="AX328" s="27"/>
      <c r="AY328" s="25"/>
      <c r="AZ328" s="27"/>
      <c r="BA328" s="25"/>
      <c r="BB328" s="22" t="s">
        <v>1123</v>
      </c>
      <c r="BC328" s="22"/>
      <c r="BD328" s="22"/>
      <c r="BE328" s="22"/>
      <c r="BF328" s="23"/>
      <c r="BG328" s="23"/>
      <c r="BH328" s="22"/>
      <c r="BI328" s="23">
        <v>0</v>
      </c>
      <c r="BJ328" s="23">
        <v>0</v>
      </c>
      <c r="BK328" s="24"/>
      <c r="BL328" s="24"/>
      <c r="BM328" s="22"/>
      <c r="BN328" s="24"/>
      <c r="BO328" s="24">
        <v>46072</v>
      </c>
      <c r="BP328" s="25">
        <v>0</v>
      </c>
      <c r="BQ328" s="24">
        <v>46071</v>
      </c>
    </row>
    <row r="329" spans="1:69" ht="22.5" hidden="1" customHeight="1" x14ac:dyDescent="0.2">
      <c r="A329" s="28" t="s">
        <v>1085</v>
      </c>
      <c r="B329" s="28" t="s">
        <v>483</v>
      </c>
      <c r="C329" s="28" t="s">
        <v>221</v>
      </c>
      <c r="D329" s="28" t="s">
        <v>222</v>
      </c>
      <c r="E329" s="29">
        <v>423111</v>
      </c>
      <c r="F329" s="29">
        <v>3668</v>
      </c>
      <c r="G329" s="29">
        <v>483</v>
      </c>
      <c r="H329" s="29">
        <v>0</v>
      </c>
      <c r="I329" s="30">
        <v>46022</v>
      </c>
      <c r="J329" s="28" t="s">
        <v>223</v>
      </c>
      <c r="K329" s="28" t="s">
        <v>1124</v>
      </c>
      <c r="L329" s="31">
        <v>66.67</v>
      </c>
      <c r="M329" s="31">
        <v>13.33</v>
      </c>
      <c r="N329" s="31">
        <v>80</v>
      </c>
      <c r="O329" s="28"/>
      <c r="P329" s="32"/>
      <c r="Q329" s="31">
        <v>80</v>
      </c>
      <c r="R329" s="28"/>
      <c r="S329" s="31">
        <v>0</v>
      </c>
      <c r="T329" s="28"/>
      <c r="U329" s="29"/>
      <c r="V329" s="28"/>
      <c r="W329" s="29"/>
      <c r="X329" s="29"/>
      <c r="Y329" s="29"/>
      <c r="Z329" s="31">
        <v>0</v>
      </c>
      <c r="AA329" s="31">
        <v>0</v>
      </c>
      <c r="AB329" s="31">
        <v>0</v>
      </c>
      <c r="AC329" s="28"/>
      <c r="AD329" s="28" t="s">
        <v>225</v>
      </c>
      <c r="AE329" s="28" t="s">
        <v>226</v>
      </c>
      <c r="AF329" s="28" t="s">
        <v>31</v>
      </c>
      <c r="AG329" s="28" t="s">
        <v>42</v>
      </c>
      <c r="AH329" s="28" t="s">
        <v>228</v>
      </c>
      <c r="AI329" s="28" t="s">
        <v>31</v>
      </c>
      <c r="AJ329" s="28"/>
      <c r="AK329" s="28" t="s">
        <v>235</v>
      </c>
      <c r="AL329" s="28" t="s">
        <v>331</v>
      </c>
      <c r="AM329" s="28" t="s">
        <v>231</v>
      </c>
      <c r="AN329" s="28" t="s">
        <v>232</v>
      </c>
      <c r="AO329" s="28" t="s">
        <v>231</v>
      </c>
      <c r="AP329" s="28" t="s">
        <v>232</v>
      </c>
      <c r="AQ329" s="28"/>
      <c r="AR329" s="28"/>
      <c r="AS329" s="28"/>
      <c r="AT329" s="28"/>
      <c r="AU329" s="28"/>
      <c r="AV329" s="28"/>
      <c r="AW329" s="29"/>
      <c r="AX329" s="33"/>
      <c r="AY329" s="31"/>
      <c r="AZ329" s="33"/>
      <c r="BA329" s="31"/>
      <c r="BB329" s="28" t="s">
        <v>1125</v>
      </c>
      <c r="BC329" s="28"/>
      <c r="BD329" s="28"/>
      <c r="BE329" s="28"/>
      <c r="BF329" s="29"/>
      <c r="BG329" s="29"/>
      <c r="BH329" s="28"/>
      <c r="BI329" s="29">
        <v>0</v>
      </c>
      <c r="BJ329" s="29">
        <v>0</v>
      </c>
      <c r="BK329" s="30"/>
      <c r="BL329" s="30"/>
      <c r="BM329" s="28"/>
      <c r="BN329" s="30"/>
      <c r="BO329" s="30">
        <v>46072</v>
      </c>
      <c r="BP329" s="31">
        <v>0</v>
      </c>
      <c r="BQ329" s="30">
        <v>46071</v>
      </c>
    </row>
    <row r="330" spans="1:69" ht="22.5" hidden="1" customHeight="1" x14ac:dyDescent="0.2">
      <c r="A330" s="22" t="s">
        <v>1085</v>
      </c>
      <c r="B330" s="22" t="s">
        <v>483</v>
      </c>
      <c r="C330" s="22" t="s">
        <v>221</v>
      </c>
      <c r="D330" s="22" t="s">
        <v>222</v>
      </c>
      <c r="E330" s="23">
        <v>423114</v>
      </c>
      <c r="F330" s="23">
        <v>3669</v>
      </c>
      <c r="G330" s="23">
        <v>483</v>
      </c>
      <c r="H330" s="23">
        <v>0</v>
      </c>
      <c r="I330" s="24">
        <v>46022</v>
      </c>
      <c r="J330" s="22" t="s">
        <v>223</v>
      </c>
      <c r="K330" s="22" t="s">
        <v>1126</v>
      </c>
      <c r="L330" s="25">
        <v>66.67</v>
      </c>
      <c r="M330" s="25">
        <v>13.33</v>
      </c>
      <c r="N330" s="25">
        <v>80</v>
      </c>
      <c r="O330" s="22"/>
      <c r="P330" s="26"/>
      <c r="Q330" s="25">
        <v>80</v>
      </c>
      <c r="R330" s="22"/>
      <c r="S330" s="25">
        <v>0</v>
      </c>
      <c r="T330" s="22"/>
      <c r="U330" s="23"/>
      <c r="V330" s="22"/>
      <c r="W330" s="23"/>
      <c r="X330" s="23"/>
      <c r="Y330" s="23"/>
      <c r="Z330" s="25">
        <v>0</v>
      </c>
      <c r="AA330" s="25">
        <v>0</v>
      </c>
      <c r="AB330" s="25">
        <v>0</v>
      </c>
      <c r="AC330" s="22"/>
      <c r="AD330" s="22" t="s">
        <v>225</v>
      </c>
      <c r="AE330" s="22" t="s">
        <v>226</v>
      </c>
      <c r="AF330" s="22" t="s">
        <v>31</v>
      </c>
      <c r="AG330" s="22" t="s">
        <v>42</v>
      </c>
      <c r="AH330" s="22" t="s">
        <v>228</v>
      </c>
      <c r="AI330" s="22" t="s">
        <v>31</v>
      </c>
      <c r="AJ330" s="22"/>
      <c r="AK330" s="22" t="s">
        <v>235</v>
      </c>
      <c r="AL330" s="22" t="s">
        <v>331</v>
      </c>
      <c r="AM330" s="22" t="s">
        <v>231</v>
      </c>
      <c r="AN330" s="22" t="s">
        <v>232</v>
      </c>
      <c r="AO330" s="22" t="s">
        <v>231</v>
      </c>
      <c r="AP330" s="22" t="s">
        <v>232</v>
      </c>
      <c r="AQ330" s="22"/>
      <c r="AR330" s="22"/>
      <c r="AS330" s="22"/>
      <c r="AT330" s="22"/>
      <c r="AU330" s="22"/>
      <c r="AV330" s="22"/>
      <c r="AW330" s="23"/>
      <c r="AX330" s="27"/>
      <c r="AY330" s="25"/>
      <c r="AZ330" s="27"/>
      <c r="BA330" s="25"/>
      <c r="BB330" s="22" t="s">
        <v>1127</v>
      </c>
      <c r="BC330" s="22"/>
      <c r="BD330" s="22"/>
      <c r="BE330" s="22"/>
      <c r="BF330" s="23"/>
      <c r="BG330" s="23"/>
      <c r="BH330" s="22"/>
      <c r="BI330" s="23">
        <v>0</v>
      </c>
      <c r="BJ330" s="23">
        <v>0</v>
      </c>
      <c r="BK330" s="24"/>
      <c r="BL330" s="24"/>
      <c r="BM330" s="22"/>
      <c r="BN330" s="24"/>
      <c r="BO330" s="24">
        <v>46072</v>
      </c>
      <c r="BP330" s="25">
        <v>0</v>
      </c>
      <c r="BQ330" s="24">
        <v>46071</v>
      </c>
    </row>
    <row r="331" spans="1:69" ht="22.5" hidden="1" customHeight="1" x14ac:dyDescent="0.2">
      <c r="A331" s="28" t="s">
        <v>1085</v>
      </c>
      <c r="B331" s="28" t="s">
        <v>483</v>
      </c>
      <c r="C331" s="28" t="s">
        <v>221</v>
      </c>
      <c r="D331" s="28" t="s">
        <v>222</v>
      </c>
      <c r="E331" s="29">
        <v>423117</v>
      </c>
      <c r="F331" s="29">
        <v>3670</v>
      </c>
      <c r="G331" s="29">
        <v>483</v>
      </c>
      <c r="H331" s="29">
        <v>0</v>
      </c>
      <c r="I331" s="30">
        <v>46022</v>
      </c>
      <c r="J331" s="28" t="s">
        <v>223</v>
      </c>
      <c r="K331" s="28" t="s">
        <v>1128</v>
      </c>
      <c r="L331" s="31">
        <v>83.33</v>
      </c>
      <c r="M331" s="31">
        <v>16.670000000000002</v>
      </c>
      <c r="N331" s="31">
        <v>100</v>
      </c>
      <c r="O331" s="28"/>
      <c r="P331" s="32"/>
      <c r="Q331" s="31">
        <v>100</v>
      </c>
      <c r="R331" s="28"/>
      <c r="S331" s="31">
        <v>0</v>
      </c>
      <c r="T331" s="28"/>
      <c r="U331" s="29"/>
      <c r="V331" s="28"/>
      <c r="W331" s="29"/>
      <c r="X331" s="29"/>
      <c r="Y331" s="29"/>
      <c r="Z331" s="31">
        <v>0</v>
      </c>
      <c r="AA331" s="31">
        <v>0</v>
      </c>
      <c r="AB331" s="31">
        <v>0</v>
      </c>
      <c r="AC331" s="28"/>
      <c r="AD331" s="28" t="s">
        <v>225</v>
      </c>
      <c r="AE331" s="28" t="s">
        <v>226</v>
      </c>
      <c r="AF331" s="28" t="s">
        <v>31</v>
      </c>
      <c r="AG331" s="28" t="s">
        <v>42</v>
      </c>
      <c r="AH331" s="28" t="s">
        <v>228</v>
      </c>
      <c r="AI331" s="28" t="s">
        <v>31</v>
      </c>
      <c r="AJ331" s="28"/>
      <c r="AK331" s="28" t="s">
        <v>235</v>
      </c>
      <c r="AL331" s="28" t="s">
        <v>331</v>
      </c>
      <c r="AM331" s="28" t="s">
        <v>231</v>
      </c>
      <c r="AN331" s="28" t="s">
        <v>232</v>
      </c>
      <c r="AO331" s="28" t="s">
        <v>231</v>
      </c>
      <c r="AP331" s="28" t="s">
        <v>232</v>
      </c>
      <c r="AQ331" s="28"/>
      <c r="AR331" s="28"/>
      <c r="AS331" s="28"/>
      <c r="AT331" s="28"/>
      <c r="AU331" s="28"/>
      <c r="AV331" s="28"/>
      <c r="AW331" s="29"/>
      <c r="AX331" s="33"/>
      <c r="AY331" s="31"/>
      <c r="AZ331" s="33"/>
      <c r="BA331" s="31"/>
      <c r="BB331" s="28" t="s">
        <v>1129</v>
      </c>
      <c r="BC331" s="28"/>
      <c r="BD331" s="28"/>
      <c r="BE331" s="28"/>
      <c r="BF331" s="29"/>
      <c r="BG331" s="29"/>
      <c r="BH331" s="28"/>
      <c r="BI331" s="29">
        <v>0</v>
      </c>
      <c r="BJ331" s="29">
        <v>0</v>
      </c>
      <c r="BK331" s="30"/>
      <c r="BL331" s="30"/>
      <c r="BM331" s="28"/>
      <c r="BN331" s="30"/>
      <c r="BO331" s="30">
        <v>46072</v>
      </c>
      <c r="BP331" s="31">
        <v>0</v>
      </c>
      <c r="BQ331" s="30">
        <v>46071</v>
      </c>
    </row>
    <row r="332" spans="1:69" ht="22.5" hidden="1" customHeight="1" x14ac:dyDescent="0.2">
      <c r="A332" s="22" t="s">
        <v>1085</v>
      </c>
      <c r="B332" s="22" t="s">
        <v>483</v>
      </c>
      <c r="C332" s="22" t="s">
        <v>221</v>
      </c>
      <c r="D332" s="22" t="s">
        <v>222</v>
      </c>
      <c r="E332" s="23">
        <v>423120</v>
      </c>
      <c r="F332" s="23">
        <v>3671</v>
      </c>
      <c r="G332" s="23">
        <v>483</v>
      </c>
      <c r="H332" s="23">
        <v>0</v>
      </c>
      <c r="I332" s="24">
        <v>46022</v>
      </c>
      <c r="J332" s="22" t="s">
        <v>223</v>
      </c>
      <c r="K332" s="22" t="s">
        <v>1130</v>
      </c>
      <c r="L332" s="25">
        <v>83.33</v>
      </c>
      <c r="M332" s="25">
        <v>16.670000000000002</v>
      </c>
      <c r="N332" s="25">
        <v>100</v>
      </c>
      <c r="O332" s="22"/>
      <c r="P332" s="26"/>
      <c r="Q332" s="25">
        <v>100</v>
      </c>
      <c r="R332" s="22"/>
      <c r="S332" s="25">
        <v>0</v>
      </c>
      <c r="T332" s="22"/>
      <c r="U332" s="23"/>
      <c r="V332" s="22"/>
      <c r="W332" s="23"/>
      <c r="X332" s="23"/>
      <c r="Y332" s="23"/>
      <c r="Z332" s="25">
        <v>0</v>
      </c>
      <c r="AA332" s="25">
        <v>0</v>
      </c>
      <c r="AB332" s="25">
        <v>0</v>
      </c>
      <c r="AC332" s="22"/>
      <c r="AD332" s="22" t="s">
        <v>225</v>
      </c>
      <c r="AE332" s="22" t="s">
        <v>226</v>
      </c>
      <c r="AF332" s="22" t="s">
        <v>31</v>
      </c>
      <c r="AG332" s="22" t="s">
        <v>42</v>
      </c>
      <c r="AH332" s="22" t="s">
        <v>228</v>
      </c>
      <c r="AI332" s="22" t="s">
        <v>31</v>
      </c>
      <c r="AJ332" s="22"/>
      <c r="AK332" s="22" t="s">
        <v>235</v>
      </c>
      <c r="AL332" s="22" t="s">
        <v>236</v>
      </c>
      <c r="AM332" s="22" t="s">
        <v>231</v>
      </c>
      <c r="AN332" s="22" t="s">
        <v>232</v>
      </c>
      <c r="AO332" s="22" t="s">
        <v>231</v>
      </c>
      <c r="AP332" s="22" t="s">
        <v>232</v>
      </c>
      <c r="AQ332" s="22"/>
      <c r="AR332" s="22"/>
      <c r="AS332" s="22"/>
      <c r="AT332" s="22"/>
      <c r="AU332" s="22"/>
      <c r="AV332" s="22"/>
      <c r="AW332" s="23"/>
      <c r="AX332" s="27"/>
      <c r="AY332" s="25"/>
      <c r="AZ332" s="27"/>
      <c r="BA332" s="25"/>
      <c r="BB332" s="22" t="s">
        <v>1131</v>
      </c>
      <c r="BC332" s="22"/>
      <c r="BD332" s="22"/>
      <c r="BE332" s="22"/>
      <c r="BF332" s="23"/>
      <c r="BG332" s="23"/>
      <c r="BH332" s="22"/>
      <c r="BI332" s="23">
        <v>0</v>
      </c>
      <c r="BJ332" s="23">
        <v>0</v>
      </c>
      <c r="BK332" s="24"/>
      <c r="BL332" s="24"/>
      <c r="BM332" s="22"/>
      <c r="BN332" s="24"/>
      <c r="BO332" s="24">
        <v>46072</v>
      </c>
      <c r="BP332" s="25">
        <v>0</v>
      </c>
      <c r="BQ332" s="24">
        <v>46071</v>
      </c>
    </row>
    <row r="333" spans="1:69" ht="22.5" hidden="1" customHeight="1" x14ac:dyDescent="0.2">
      <c r="A333" s="28" t="s">
        <v>1085</v>
      </c>
      <c r="B333" s="28" t="s">
        <v>483</v>
      </c>
      <c r="C333" s="28" t="s">
        <v>221</v>
      </c>
      <c r="D333" s="28" t="s">
        <v>222</v>
      </c>
      <c r="E333" s="29">
        <v>423165</v>
      </c>
      <c r="F333" s="29">
        <v>3672</v>
      </c>
      <c r="G333" s="29">
        <v>483</v>
      </c>
      <c r="H333" s="29">
        <v>0</v>
      </c>
      <c r="I333" s="30">
        <v>46022</v>
      </c>
      <c r="J333" s="28" t="s">
        <v>223</v>
      </c>
      <c r="K333" s="28" t="s">
        <v>1132</v>
      </c>
      <c r="L333" s="31">
        <v>125</v>
      </c>
      <c r="M333" s="31">
        <v>25</v>
      </c>
      <c r="N333" s="31">
        <v>150</v>
      </c>
      <c r="O333" s="28"/>
      <c r="P333" s="32"/>
      <c r="Q333" s="31">
        <v>150</v>
      </c>
      <c r="R333" s="28"/>
      <c r="S333" s="31">
        <v>0</v>
      </c>
      <c r="T333" s="28"/>
      <c r="U333" s="29"/>
      <c r="V333" s="28"/>
      <c r="W333" s="29"/>
      <c r="X333" s="29"/>
      <c r="Y333" s="29"/>
      <c r="Z333" s="31">
        <v>0</v>
      </c>
      <c r="AA333" s="31">
        <v>0</v>
      </c>
      <c r="AB333" s="31">
        <v>0</v>
      </c>
      <c r="AC333" s="28"/>
      <c r="AD333" s="28" t="s">
        <v>225</v>
      </c>
      <c r="AE333" s="28" t="s">
        <v>226</v>
      </c>
      <c r="AF333" s="28" t="s">
        <v>31</v>
      </c>
      <c r="AG333" s="28" t="s">
        <v>42</v>
      </c>
      <c r="AH333" s="28" t="s">
        <v>228</v>
      </c>
      <c r="AI333" s="28" t="s">
        <v>31</v>
      </c>
      <c r="AJ333" s="28"/>
      <c r="AK333" s="28" t="s">
        <v>235</v>
      </c>
      <c r="AL333" s="28" t="s">
        <v>331</v>
      </c>
      <c r="AM333" s="28" t="s">
        <v>231</v>
      </c>
      <c r="AN333" s="28" t="s">
        <v>232</v>
      </c>
      <c r="AO333" s="28" t="s">
        <v>231</v>
      </c>
      <c r="AP333" s="28" t="s">
        <v>232</v>
      </c>
      <c r="AQ333" s="28"/>
      <c r="AR333" s="28"/>
      <c r="AS333" s="28"/>
      <c r="AT333" s="28"/>
      <c r="AU333" s="28"/>
      <c r="AV333" s="28"/>
      <c r="AW333" s="29"/>
      <c r="AX333" s="33"/>
      <c r="AY333" s="31"/>
      <c r="AZ333" s="33"/>
      <c r="BA333" s="31"/>
      <c r="BB333" s="28" t="s">
        <v>1133</v>
      </c>
      <c r="BC333" s="28"/>
      <c r="BD333" s="28"/>
      <c r="BE333" s="28"/>
      <c r="BF333" s="29"/>
      <c r="BG333" s="29"/>
      <c r="BH333" s="28"/>
      <c r="BI333" s="29">
        <v>0</v>
      </c>
      <c r="BJ333" s="29">
        <v>0</v>
      </c>
      <c r="BK333" s="30"/>
      <c r="BL333" s="30"/>
      <c r="BM333" s="28"/>
      <c r="BN333" s="30"/>
      <c r="BO333" s="30">
        <v>46072</v>
      </c>
      <c r="BP333" s="31">
        <v>0</v>
      </c>
      <c r="BQ333" s="30">
        <v>46071</v>
      </c>
    </row>
    <row r="334" spans="1:69" ht="22.5" hidden="1" customHeight="1" x14ac:dyDescent="0.2">
      <c r="A334" s="22" t="s">
        <v>1085</v>
      </c>
      <c r="B334" s="22" t="s">
        <v>483</v>
      </c>
      <c r="C334" s="22" t="s">
        <v>221</v>
      </c>
      <c r="D334" s="22" t="s">
        <v>222</v>
      </c>
      <c r="E334" s="23">
        <v>423168</v>
      </c>
      <c r="F334" s="23">
        <v>3673</v>
      </c>
      <c r="G334" s="23">
        <v>483</v>
      </c>
      <c r="H334" s="23">
        <v>0</v>
      </c>
      <c r="I334" s="24">
        <v>46022</v>
      </c>
      <c r="J334" s="22" t="s">
        <v>223</v>
      </c>
      <c r="K334" s="22" t="s">
        <v>1134</v>
      </c>
      <c r="L334" s="25">
        <v>83.33</v>
      </c>
      <c r="M334" s="25">
        <v>16.670000000000002</v>
      </c>
      <c r="N334" s="25">
        <v>100</v>
      </c>
      <c r="O334" s="22"/>
      <c r="P334" s="26"/>
      <c r="Q334" s="25">
        <v>100</v>
      </c>
      <c r="R334" s="22"/>
      <c r="S334" s="25">
        <v>0</v>
      </c>
      <c r="T334" s="22"/>
      <c r="U334" s="23"/>
      <c r="V334" s="22"/>
      <c r="W334" s="23"/>
      <c r="X334" s="23"/>
      <c r="Y334" s="23"/>
      <c r="Z334" s="25">
        <v>0</v>
      </c>
      <c r="AA334" s="25">
        <v>0</v>
      </c>
      <c r="AB334" s="25">
        <v>0</v>
      </c>
      <c r="AC334" s="22"/>
      <c r="AD334" s="22" t="s">
        <v>225</v>
      </c>
      <c r="AE334" s="22" t="s">
        <v>226</v>
      </c>
      <c r="AF334" s="22" t="s">
        <v>31</v>
      </c>
      <c r="AG334" s="22" t="s">
        <v>42</v>
      </c>
      <c r="AH334" s="22" t="s">
        <v>228</v>
      </c>
      <c r="AI334" s="22" t="s">
        <v>31</v>
      </c>
      <c r="AJ334" s="22"/>
      <c r="AK334" s="22" t="s">
        <v>235</v>
      </c>
      <c r="AL334" s="22" t="s">
        <v>331</v>
      </c>
      <c r="AM334" s="22" t="s">
        <v>231</v>
      </c>
      <c r="AN334" s="22" t="s">
        <v>232</v>
      </c>
      <c r="AO334" s="22" t="s">
        <v>231</v>
      </c>
      <c r="AP334" s="22" t="s">
        <v>232</v>
      </c>
      <c r="AQ334" s="22"/>
      <c r="AR334" s="22"/>
      <c r="AS334" s="22"/>
      <c r="AT334" s="22"/>
      <c r="AU334" s="22"/>
      <c r="AV334" s="22"/>
      <c r="AW334" s="23"/>
      <c r="AX334" s="27"/>
      <c r="AY334" s="25"/>
      <c r="AZ334" s="27"/>
      <c r="BA334" s="25"/>
      <c r="BB334" s="22" t="s">
        <v>1135</v>
      </c>
      <c r="BC334" s="22"/>
      <c r="BD334" s="22"/>
      <c r="BE334" s="22"/>
      <c r="BF334" s="23"/>
      <c r="BG334" s="23"/>
      <c r="BH334" s="22"/>
      <c r="BI334" s="23">
        <v>0</v>
      </c>
      <c r="BJ334" s="23">
        <v>0</v>
      </c>
      <c r="BK334" s="24"/>
      <c r="BL334" s="24"/>
      <c r="BM334" s="22"/>
      <c r="BN334" s="24"/>
      <c r="BO334" s="24">
        <v>46072</v>
      </c>
      <c r="BP334" s="25">
        <v>0</v>
      </c>
      <c r="BQ334" s="24">
        <v>46071</v>
      </c>
    </row>
    <row r="335" spans="1:69" ht="22.5" hidden="1" customHeight="1" x14ac:dyDescent="0.2">
      <c r="A335" s="28" t="s">
        <v>1085</v>
      </c>
      <c r="B335" s="28" t="s">
        <v>483</v>
      </c>
      <c r="C335" s="28" t="s">
        <v>221</v>
      </c>
      <c r="D335" s="28" t="s">
        <v>222</v>
      </c>
      <c r="E335" s="29">
        <v>423195</v>
      </c>
      <c r="F335" s="29">
        <v>3674</v>
      </c>
      <c r="G335" s="29">
        <v>483</v>
      </c>
      <c r="H335" s="29">
        <v>0</v>
      </c>
      <c r="I335" s="30">
        <v>46022</v>
      </c>
      <c r="J335" s="28" t="s">
        <v>223</v>
      </c>
      <c r="K335" s="28" t="s">
        <v>1136</v>
      </c>
      <c r="L335" s="31">
        <v>11.37</v>
      </c>
      <c r="M335" s="31">
        <v>2.27</v>
      </c>
      <c r="N335" s="31">
        <v>13.64</v>
      </c>
      <c r="O335" s="28"/>
      <c r="P335" s="32"/>
      <c r="Q335" s="31">
        <v>13.64</v>
      </c>
      <c r="R335" s="28"/>
      <c r="S335" s="31">
        <v>0</v>
      </c>
      <c r="T335" s="28"/>
      <c r="U335" s="29"/>
      <c r="V335" s="28"/>
      <c r="W335" s="29"/>
      <c r="X335" s="29"/>
      <c r="Y335" s="29"/>
      <c r="Z335" s="31">
        <v>0</v>
      </c>
      <c r="AA335" s="31">
        <v>0</v>
      </c>
      <c r="AB335" s="31">
        <v>0</v>
      </c>
      <c r="AC335" s="28"/>
      <c r="AD335" s="28" t="s">
        <v>225</v>
      </c>
      <c r="AE335" s="28" t="s">
        <v>226</v>
      </c>
      <c r="AF335" s="28" t="s">
        <v>31</v>
      </c>
      <c r="AG335" s="28" t="s">
        <v>288</v>
      </c>
      <c r="AH335" s="28" t="s">
        <v>228</v>
      </c>
      <c r="AI335" s="28" t="s">
        <v>31</v>
      </c>
      <c r="AJ335" s="28"/>
      <c r="AK335" s="28" t="s">
        <v>289</v>
      </c>
      <c r="AL335" s="28" t="s">
        <v>31</v>
      </c>
      <c r="AM335" s="28" t="s">
        <v>231</v>
      </c>
      <c r="AN335" s="28" t="s">
        <v>232</v>
      </c>
      <c r="AO335" s="28" t="s">
        <v>231</v>
      </c>
      <c r="AP335" s="28" t="s">
        <v>232</v>
      </c>
      <c r="AQ335" s="28"/>
      <c r="AR335" s="28"/>
      <c r="AS335" s="28"/>
      <c r="AT335" s="28"/>
      <c r="AU335" s="28"/>
      <c r="AV335" s="28"/>
      <c r="AW335" s="29"/>
      <c r="AX335" s="33"/>
      <c r="AY335" s="31"/>
      <c r="AZ335" s="33"/>
      <c r="BA335" s="31"/>
      <c r="BB335" s="28" t="s">
        <v>1137</v>
      </c>
      <c r="BC335" s="28"/>
      <c r="BD335" s="28"/>
      <c r="BE335" s="28"/>
      <c r="BF335" s="29"/>
      <c r="BG335" s="29"/>
      <c r="BH335" s="28"/>
      <c r="BI335" s="29">
        <v>0</v>
      </c>
      <c r="BJ335" s="29">
        <v>0</v>
      </c>
      <c r="BK335" s="30"/>
      <c r="BL335" s="30"/>
      <c r="BM335" s="28"/>
      <c r="BN335" s="30"/>
      <c r="BO335" s="30">
        <v>46072</v>
      </c>
      <c r="BP335" s="31">
        <v>0</v>
      </c>
      <c r="BQ335" s="30">
        <v>46071</v>
      </c>
    </row>
    <row r="336" spans="1:69" ht="22.5" hidden="1" customHeight="1" x14ac:dyDescent="0.2">
      <c r="A336" s="22" t="s">
        <v>1085</v>
      </c>
      <c r="B336" s="22" t="s">
        <v>483</v>
      </c>
      <c r="C336" s="22" t="s">
        <v>221</v>
      </c>
      <c r="D336" s="22" t="s">
        <v>222</v>
      </c>
      <c r="E336" s="23">
        <v>423204</v>
      </c>
      <c r="F336" s="23">
        <v>3675</v>
      </c>
      <c r="G336" s="23">
        <v>483</v>
      </c>
      <c r="H336" s="23">
        <v>0</v>
      </c>
      <c r="I336" s="24">
        <v>46022</v>
      </c>
      <c r="J336" s="22" t="s">
        <v>223</v>
      </c>
      <c r="K336" s="22" t="s">
        <v>1138</v>
      </c>
      <c r="L336" s="25">
        <v>625</v>
      </c>
      <c r="M336" s="25">
        <v>125</v>
      </c>
      <c r="N336" s="25">
        <v>750</v>
      </c>
      <c r="O336" s="22"/>
      <c r="P336" s="26"/>
      <c r="Q336" s="25">
        <v>750</v>
      </c>
      <c r="R336" s="22"/>
      <c r="S336" s="25">
        <v>0</v>
      </c>
      <c r="T336" s="22"/>
      <c r="U336" s="23"/>
      <c r="V336" s="22"/>
      <c r="W336" s="23"/>
      <c r="X336" s="23"/>
      <c r="Y336" s="23"/>
      <c r="Z336" s="25">
        <v>0</v>
      </c>
      <c r="AA336" s="25">
        <v>0</v>
      </c>
      <c r="AB336" s="25">
        <v>0</v>
      </c>
      <c r="AC336" s="22"/>
      <c r="AD336" s="22" t="s">
        <v>225</v>
      </c>
      <c r="AE336" s="22" t="s">
        <v>226</v>
      </c>
      <c r="AF336" s="22" t="s">
        <v>31</v>
      </c>
      <c r="AG336" s="22" t="s">
        <v>288</v>
      </c>
      <c r="AH336" s="22" t="s">
        <v>228</v>
      </c>
      <c r="AI336" s="22" t="s">
        <v>31</v>
      </c>
      <c r="AJ336" s="22"/>
      <c r="AK336" s="22" t="s">
        <v>289</v>
      </c>
      <c r="AL336" s="22" t="s">
        <v>31</v>
      </c>
      <c r="AM336" s="22" t="s">
        <v>231</v>
      </c>
      <c r="AN336" s="22" t="s">
        <v>232</v>
      </c>
      <c r="AO336" s="22" t="s">
        <v>231</v>
      </c>
      <c r="AP336" s="22" t="s">
        <v>232</v>
      </c>
      <c r="AQ336" s="22"/>
      <c r="AR336" s="22"/>
      <c r="AS336" s="22"/>
      <c r="AT336" s="22"/>
      <c r="AU336" s="22"/>
      <c r="AV336" s="22"/>
      <c r="AW336" s="23"/>
      <c r="AX336" s="27"/>
      <c r="AY336" s="25"/>
      <c r="AZ336" s="27"/>
      <c r="BA336" s="25"/>
      <c r="BB336" s="22" t="s">
        <v>1139</v>
      </c>
      <c r="BC336" s="22"/>
      <c r="BD336" s="22"/>
      <c r="BE336" s="22"/>
      <c r="BF336" s="23"/>
      <c r="BG336" s="23"/>
      <c r="BH336" s="22"/>
      <c r="BI336" s="23">
        <v>0</v>
      </c>
      <c r="BJ336" s="23">
        <v>0</v>
      </c>
      <c r="BK336" s="24"/>
      <c r="BL336" s="24"/>
      <c r="BM336" s="22"/>
      <c r="BN336" s="24"/>
      <c r="BO336" s="24">
        <v>46072</v>
      </c>
      <c r="BP336" s="25">
        <v>0</v>
      </c>
      <c r="BQ336" s="24">
        <v>46071</v>
      </c>
    </row>
    <row r="337" spans="1:69" ht="22.5" hidden="1" customHeight="1" x14ac:dyDescent="0.2">
      <c r="A337" s="28" t="s">
        <v>1085</v>
      </c>
      <c r="B337" s="28" t="s">
        <v>483</v>
      </c>
      <c r="C337" s="28" t="s">
        <v>221</v>
      </c>
      <c r="D337" s="28" t="s">
        <v>222</v>
      </c>
      <c r="E337" s="29">
        <v>423213</v>
      </c>
      <c r="F337" s="29">
        <v>3676</v>
      </c>
      <c r="G337" s="29">
        <v>483</v>
      </c>
      <c r="H337" s="29">
        <v>0</v>
      </c>
      <c r="I337" s="30">
        <v>46022</v>
      </c>
      <c r="J337" s="28" t="s">
        <v>223</v>
      </c>
      <c r="K337" s="28" t="s">
        <v>1140</v>
      </c>
      <c r="L337" s="31">
        <v>50</v>
      </c>
      <c r="M337" s="31">
        <v>10</v>
      </c>
      <c r="N337" s="31">
        <v>60</v>
      </c>
      <c r="O337" s="28"/>
      <c r="P337" s="32"/>
      <c r="Q337" s="31">
        <v>60</v>
      </c>
      <c r="R337" s="28"/>
      <c r="S337" s="31">
        <v>0</v>
      </c>
      <c r="T337" s="28"/>
      <c r="U337" s="29"/>
      <c r="V337" s="28"/>
      <c r="W337" s="29"/>
      <c r="X337" s="29"/>
      <c r="Y337" s="29"/>
      <c r="Z337" s="31">
        <v>0</v>
      </c>
      <c r="AA337" s="31">
        <v>0</v>
      </c>
      <c r="AB337" s="31">
        <v>0</v>
      </c>
      <c r="AC337" s="28"/>
      <c r="AD337" s="28" t="s">
        <v>225</v>
      </c>
      <c r="AE337" s="28" t="s">
        <v>226</v>
      </c>
      <c r="AF337" s="28" t="s">
        <v>31</v>
      </c>
      <c r="AG337" s="28" t="s">
        <v>288</v>
      </c>
      <c r="AH337" s="28" t="s">
        <v>228</v>
      </c>
      <c r="AI337" s="28" t="s">
        <v>31</v>
      </c>
      <c r="AJ337" s="28"/>
      <c r="AK337" s="28" t="s">
        <v>289</v>
      </c>
      <c r="AL337" s="28" t="s">
        <v>31</v>
      </c>
      <c r="AM337" s="28" t="s">
        <v>231</v>
      </c>
      <c r="AN337" s="28" t="s">
        <v>232</v>
      </c>
      <c r="AO337" s="28" t="s">
        <v>231</v>
      </c>
      <c r="AP337" s="28" t="s">
        <v>232</v>
      </c>
      <c r="AQ337" s="28"/>
      <c r="AR337" s="28"/>
      <c r="AS337" s="28"/>
      <c r="AT337" s="28"/>
      <c r="AU337" s="28"/>
      <c r="AV337" s="28"/>
      <c r="AW337" s="29"/>
      <c r="AX337" s="33"/>
      <c r="AY337" s="31"/>
      <c r="AZ337" s="33"/>
      <c r="BA337" s="31"/>
      <c r="BB337" s="28" t="s">
        <v>1141</v>
      </c>
      <c r="BC337" s="28"/>
      <c r="BD337" s="28"/>
      <c r="BE337" s="28"/>
      <c r="BF337" s="29"/>
      <c r="BG337" s="29"/>
      <c r="BH337" s="28"/>
      <c r="BI337" s="29">
        <v>0</v>
      </c>
      <c r="BJ337" s="29">
        <v>0</v>
      </c>
      <c r="BK337" s="30"/>
      <c r="BL337" s="30"/>
      <c r="BM337" s="28"/>
      <c r="BN337" s="30"/>
      <c r="BO337" s="30">
        <v>46072</v>
      </c>
      <c r="BP337" s="31">
        <v>0</v>
      </c>
      <c r="BQ337" s="30">
        <v>46071</v>
      </c>
    </row>
    <row r="338" spans="1:69" ht="22.5" hidden="1" customHeight="1" x14ac:dyDescent="0.2">
      <c r="A338" s="22" t="s">
        <v>1085</v>
      </c>
      <c r="B338" s="22" t="s">
        <v>483</v>
      </c>
      <c r="C338" s="22" t="s">
        <v>221</v>
      </c>
      <c r="D338" s="22" t="s">
        <v>222</v>
      </c>
      <c r="E338" s="23">
        <v>423372</v>
      </c>
      <c r="F338" s="23">
        <v>3677</v>
      </c>
      <c r="G338" s="23">
        <v>483</v>
      </c>
      <c r="H338" s="23">
        <v>0</v>
      </c>
      <c r="I338" s="24">
        <v>46022</v>
      </c>
      <c r="J338" s="22" t="s">
        <v>223</v>
      </c>
      <c r="K338" s="22" t="s">
        <v>1142</v>
      </c>
      <c r="L338" s="25">
        <v>13.13</v>
      </c>
      <c r="M338" s="25">
        <v>2.62</v>
      </c>
      <c r="N338" s="25">
        <v>15.75</v>
      </c>
      <c r="O338" s="22"/>
      <c r="P338" s="26"/>
      <c r="Q338" s="25">
        <v>15.75</v>
      </c>
      <c r="R338" s="22"/>
      <c r="S338" s="25">
        <v>0</v>
      </c>
      <c r="T338" s="22"/>
      <c r="U338" s="23"/>
      <c r="V338" s="22"/>
      <c r="W338" s="23"/>
      <c r="X338" s="23"/>
      <c r="Y338" s="23"/>
      <c r="Z338" s="25">
        <v>0</v>
      </c>
      <c r="AA338" s="25">
        <v>0</v>
      </c>
      <c r="AB338" s="25">
        <v>0</v>
      </c>
      <c r="AC338" s="22"/>
      <c r="AD338" s="22" t="s">
        <v>225</v>
      </c>
      <c r="AE338" s="22" t="s">
        <v>226</v>
      </c>
      <c r="AF338" s="22" t="s">
        <v>31</v>
      </c>
      <c r="AG338" s="22" t="s">
        <v>53</v>
      </c>
      <c r="AH338" s="22" t="s">
        <v>228</v>
      </c>
      <c r="AI338" s="22" t="s">
        <v>31</v>
      </c>
      <c r="AJ338" s="22"/>
      <c r="AK338" s="22" t="s">
        <v>239</v>
      </c>
      <c r="AL338" s="22" t="s">
        <v>457</v>
      </c>
      <c r="AM338" s="22" t="s">
        <v>231</v>
      </c>
      <c r="AN338" s="22" t="s">
        <v>232</v>
      </c>
      <c r="AO338" s="22" t="s">
        <v>231</v>
      </c>
      <c r="AP338" s="22" t="s">
        <v>232</v>
      </c>
      <c r="AQ338" s="22"/>
      <c r="AR338" s="22"/>
      <c r="AS338" s="22"/>
      <c r="AT338" s="22"/>
      <c r="AU338" s="22"/>
      <c r="AV338" s="22"/>
      <c r="AW338" s="23"/>
      <c r="AX338" s="27"/>
      <c r="AY338" s="25"/>
      <c r="AZ338" s="27"/>
      <c r="BA338" s="25"/>
      <c r="BB338" s="22" t="s">
        <v>1143</v>
      </c>
      <c r="BC338" s="22"/>
      <c r="BD338" s="22"/>
      <c r="BE338" s="22"/>
      <c r="BF338" s="23"/>
      <c r="BG338" s="23"/>
      <c r="BH338" s="22"/>
      <c r="BI338" s="23">
        <v>0</v>
      </c>
      <c r="BJ338" s="23">
        <v>0</v>
      </c>
      <c r="BK338" s="24"/>
      <c r="BL338" s="24"/>
      <c r="BM338" s="22"/>
      <c r="BN338" s="24"/>
      <c r="BO338" s="24">
        <v>46072</v>
      </c>
      <c r="BP338" s="25">
        <v>0</v>
      </c>
      <c r="BQ338" s="24">
        <v>46071</v>
      </c>
    </row>
    <row r="339" spans="1:69" ht="22.5" hidden="1" customHeight="1" x14ac:dyDescent="0.2">
      <c r="A339" s="28" t="s">
        <v>1085</v>
      </c>
      <c r="B339" s="28" t="s">
        <v>483</v>
      </c>
      <c r="C339" s="28" t="s">
        <v>221</v>
      </c>
      <c r="D339" s="28" t="s">
        <v>222</v>
      </c>
      <c r="E339" s="29">
        <v>423387</v>
      </c>
      <c r="F339" s="29">
        <v>3678</v>
      </c>
      <c r="G339" s="29">
        <v>483</v>
      </c>
      <c r="H339" s="29">
        <v>0</v>
      </c>
      <c r="I339" s="30">
        <v>46022</v>
      </c>
      <c r="J339" s="28" t="s">
        <v>223</v>
      </c>
      <c r="K339" s="28" t="s">
        <v>1144</v>
      </c>
      <c r="L339" s="31">
        <v>25</v>
      </c>
      <c r="M339" s="31">
        <v>5</v>
      </c>
      <c r="N339" s="31">
        <v>30</v>
      </c>
      <c r="O339" s="28"/>
      <c r="P339" s="32"/>
      <c r="Q339" s="31">
        <v>30</v>
      </c>
      <c r="R339" s="28"/>
      <c r="S339" s="31">
        <v>0</v>
      </c>
      <c r="T339" s="28"/>
      <c r="U339" s="29"/>
      <c r="V339" s="28"/>
      <c r="W339" s="29"/>
      <c r="X339" s="29"/>
      <c r="Y339" s="29"/>
      <c r="Z339" s="31">
        <v>0</v>
      </c>
      <c r="AA339" s="31">
        <v>0</v>
      </c>
      <c r="AB339" s="31">
        <v>0</v>
      </c>
      <c r="AC339" s="28"/>
      <c r="AD339" s="28" t="s">
        <v>225</v>
      </c>
      <c r="AE339" s="28" t="s">
        <v>226</v>
      </c>
      <c r="AF339" s="28" t="s">
        <v>31</v>
      </c>
      <c r="AG339" s="28" t="s">
        <v>53</v>
      </c>
      <c r="AH339" s="28" t="s">
        <v>228</v>
      </c>
      <c r="AI339" s="28" t="s">
        <v>31</v>
      </c>
      <c r="AJ339" s="28"/>
      <c r="AK339" s="28" t="s">
        <v>239</v>
      </c>
      <c r="AL339" s="28" t="s">
        <v>240</v>
      </c>
      <c r="AM339" s="28" t="s">
        <v>231</v>
      </c>
      <c r="AN339" s="28" t="s">
        <v>232</v>
      </c>
      <c r="AO339" s="28" t="s">
        <v>231</v>
      </c>
      <c r="AP339" s="28" t="s">
        <v>232</v>
      </c>
      <c r="AQ339" s="28"/>
      <c r="AR339" s="28"/>
      <c r="AS339" s="28"/>
      <c r="AT339" s="28"/>
      <c r="AU339" s="28"/>
      <c r="AV339" s="28"/>
      <c r="AW339" s="29"/>
      <c r="AX339" s="33"/>
      <c r="AY339" s="31"/>
      <c r="AZ339" s="33"/>
      <c r="BA339" s="31"/>
      <c r="BB339" s="28" t="s">
        <v>1145</v>
      </c>
      <c r="BC339" s="28"/>
      <c r="BD339" s="28"/>
      <c r="BE339" s="28"/>
      <c r="BF339" s="29"/>
      <c r="BG339" s="29"/>
      <c r="BH339" s="28"/>
      <c r="BI339" s="29">
        <v>0</v>
      </c>
      <c r="BJ339" s="29">
        <v>0</v>
      </c>
      <c r="BK339" s="30"/>
      <c r="BL339" s="30"/>
      <c r="BM339" s="28"/>
      <c r="BN339" s="30"/>
      <c r="BO339" s="30">
        <v>46072</v>
      </c>
      <c r="BP339" s="31">
        <v>0</v>
      </c>
      <c r="BQ339" s="30">
        <v>46071</v>
      </c>
    </row>
    <row r="340" spans="1:69" ht="22.5" hidden="1" customHeight="1" x14ac:dyDescent="0.2">
      <c r="A340" s="22" t="s">
        <v>1085</v>
      </c>
      <c r="B340" s="22" t="s">
        <v>483</v>
      </c>
      <c r="C340" s="22" t="s">
        <v>221</v>
      </c>
      <c r="D340" s="22" t="s">
        <v>222</v>
      </c>
      <c r="E340" s="23">
        <v>423390</v>
      </c>
      <c r="F340" s="23">
        <v>3679</v>
      </c>
      <c r="G340" s="23">
        <v>483</v>
      </c>
      <c r="H340" s="23">
        <v>0</v>
      </c>
      <c r="I340" s="24">
        <v>46022</v>
      </c>
      <c r="J340" s="22" t="s">
        <v>223</v>
      </c>
      <c r="K340" s="22" t="s">
        <v>1146</v>
      </c>
      <c r="L340" s="25">
        <v>25</v>
      </c>
      <c r="M340" s="25">
        <v>5</v>
      </c>
      <c r="N340" s="25">
        <v>30</v>
      </c>
      <c r="O340" s="22"/>
      <c r="P340" s="26"/>
      <c r="Q340" s="25">
        <v>30</v>
      </c>
      <c r="R340" s="22"/>
      <c r="S340" s="25">
        <v>0</v>
      </c>
      <c r="T340" s="22"/>
      <c r="U340" s="23"/>
      <c r="V340" s="22"/>
      <c r="W340" s="23"/>
      <c r="X340" s="23"/>
      <c r="Y340" s="23"/>
      <c r="Z340" s="25">
        <v>0</v>
      </c>
      <c r="AA340" s="25">
        <v>0</v>
      </c>
      <c r="AB340" s="25">
        <v>0</v>
      </c>
      <c r="AC340" s="22"/>
      <c r="AD340" s="22" t="s">
        <v>225</v>
      </c>
      <c r="AE340" s="22" t="s">
        <v>226</v>
      </c>
      <c r="AF340" s="22" t="s">
        <v>31</v>
      </c>
      <c r="AG340" s="22" t="s">
        <v>53</v>
      </c>
      <c r="AH340" s="22" t="s">
        <v>228</v>
      </c>
      <c r="AI340" s="22" t="s">
        <v>31</v>
      </c>
      <c r="AJ340" s="22"/>
      <c r="AK340" s="22" t="s">
        <v>239</v>
      </c>
      <c r="AL340" s="22" t="s">
        <v>240</v>
      </c>
      <c r="AM340" s="22" t="s">
        <v>231</v>
      </c>
      <c r="AN340" s="22" t="s">
        <v>232</v>
      </c>
      <c r="AO340" s="22" t="s">
        <v>231</v>
      </c>
      <c r="AP340" s="22" t="s">
        <v>232</v>
      </c>
      <c r="AQ340" s="22"/>
      <c r="AR340" s="22"/>
      <c r="AS340" s="22"/>
      <c r="AT340" s="22"/>
      <c r="AU340" s="22"/>
      <c r="AV340" s="22"/>
      <c r="AW340" s="23"/>
      <c r="AX340" s="27"/>
      <c r="AY340" s="25"/>
      <c r="AZ340" s="27"/>
      <c r="BA340" s="25"/>
      <c r="BB340" s="22" t="s">
        <v>1147</v>
      </c>
      <c r="BC340" s="22"/>
      <c r="BD340" s="22"/>
      <c r="BE340" s="22"/>
      <c r="BF340" s="23"/>
      <c r="BG340" s="23"/>
      <c r="BH340" s="22"/>
      <c r="BI340" s="23">
        <v>0</v>
      </c>
      <c r="BJ340" s="23">
        <v>0</v>
      </c>
      <c r="BK340" s="24"/>
      <c r="BL340" s="24"/>
      <c r="BM340" s="22"/>
      <c r="BN340" s="24"/>
      <c r="BO340" s="24">
        <v>46072</v>
      </c>
      <c r="BP340" s="25">
        <v>0</v>
      </c>
      <c r="BQ340" s="24">
        <v>46071</v>
      </c>
    </row>
    <row r="341" spans="1:69" ht="22.5" hidden="1" customHeight="1" x14ac:dyDescent="0.2">
      <c r="A341" s="28" t="s">
        <v>1085</v>
      </c>
      <c r="B341" s="28" t="s">
        <v>483</v>
      </c>
      <c r="C341" s="28" t="s">
        <v>221</v>
      </c>
      <c r="D341" s="28" t="s">
        <v>222</v>
      </c>
      <c r="E341" s="29">
        <v>423393</v>
      </c>
      <c r="F341" s="29">
        <v>3680</v>
      </c>
      <c r="G341" s="29">
        <v>483</v>
      </c>
      <c r="H341" s="29">
        <v>0</v>
      </c>
      <c r="I341" s="30">
        <v>46022</v>
      </c>
      <c r="J341" s="28" t="s">
        <v>223</v>
      </c>
      <c r="K341" s="28" t="s">
        <v>1148</v>
      </c>
      <c r="L341" s="31">
        <v>125</v>
      </c>
      <c r="M341" s="31">
        <v>25</v>
      </c>
      <c r="N341" s="31">
        <v>150</v>
      </c>
      <c r="O341" s="28"/>
      <c r="P341" s="32"/>
      <c r="Q341" s="31">
        <v>150</v>
      </c>
      <c r="R341" s="28"/>
      <c r="S341" s="31">
        <v>0</v>
      </c>
      <c r="T341" s="28"/>
      <c r="U341" s="29"/>
      <c r="V341" s="28"/>
      <c r="W341" s="29"/>
      <c r="X341" s="29"/>
      <c r="Y341" s="29"/>
      <c r="Z341" s="31">
        <v>0</v>
      </c>
      <c r="AA341" s="31">
        <v>0</v>
      </c>
      <c r="AB341" s="31">
        <v>0</v>
      </c>
      <c r="AC341" s="28"/>
      <c r="AD341" s="28" t="s">
        <v>225</v>
      </c>
      <c r="AE341" s="28" t="s">
        <v>226</v>
      </c>
      <c r="AF341" s="28" t="s">
        <v>31</v>
      </c>
      <c r="AG341" s="28" t="s">
        <v>53</v>
      </c>
      <c r="AH341" s="28" t="s">
        <v>228</v>
      </c>
      <c r="AI341" s="28" t="s">
        <v>31</v>
      </c>
      <c r="AJ341" s="28"/>
      <c r="AK341" s="28" t="s">
        <v>239</v>
      </c>
      <c r="AL341" s="28" t="s">
        <v>240</v>
      </c>
      <c r="AM341" s="28" t="s">
        <v>231</v>
      </c>
      <c r="AN341" s="28" t="s">
        <v>232</v>
      </c>
      <c r="AO341" s="28" t="s">
        <v>231</v>
      </c>
      <c r="AP341" s="28" t="s">
        <v>232</v>
      </c>
      <c r="AQ341" s="28"/>
      <c r="AR341" s="28"/>
      <c r="AS341" s="28"/>
      <c r="AT341" s="28"/>
      <c r="AU341" s="28"/>
      <c r="AV341" s="28"/>
      <c r="AW341" s="29"/>
      <c r="AX341" s="33"/>
      <c r="AY341" s="31"/>
      <c r="AZ341" s="33"/>
      <c r="BA341" s="31"/>
      <c r="BB341" s="28" t="s">
        <v>1149</v>
      </c>
      <c r="BC341" s="28"/>
      <c r="BD341" s="28"/>
      <c r="BE341" s="28"/>
      <c r="BF341" s="29"/>
      <c r="BG341" s="29"/>
      <c r="BH341" s="28"/>
      <c r="BI341" s="29">
        <v>0</v>
      </c>
      <c r="BJ341" s="29">
        <v>0</v>
      </c>
      <c r="BK341" s="30"/>
      <c r="BL341" s="30"/>
      <c r="BM341" s="28"/>
      <c r="BN341" s="30"/>
      <c r="BO341" s="30">
        <v>46072</v>
      </c>
      <c r="BP341" s="31">
        <v>0</v>
      </c>
      <c r="BQ341" s="30">
        <v>46071</v>
      </c>
    </row>
    <row r="342" spans="1:69" ht="22.5" hidden="1" customHeight="1" x14ac:dyDescent="0.2">
      <c r="A342" s="22" t="s">
        <v>1085</v>
      </c>
      <c r="B342" s="22" t="s">
        <v>483</v>
      </c>
      <c r="C342" s="22" t="s">
        <v>221</v>
      </c>
      <c r="D342" s="22" t="s">
        <v>222</v>
      </c>
      <c r="E342" s="23">
        <v>423396</v>
      </c>
      <c r="F342" s="23">
        <v>3681</v>
      </c>
      <c r="G342" s="23">
        <v>483</v>
      </c>
      <c r="H342" s="23">
        <v>0</v>
      </c>
      <c r="I342" s="24">
        <v>46022</v>
      </c>
      <c r="J342" s="22" t="s">
        <v>223</v>
      </c>
      <c r="K342" s="22" t="s">
        <v>1150</v>
      </c>
      <c r="L342" s="25">
        <v>83.33</v>
      </c>
      <c r="M342" s="25">
        <v>16.670000000000002</v>
      </c>
      <c r="N342" s="25">
        <v>100</v>
      </c>
      <c r="O342" s="22"/>
      <c r="P342" s="26"/>
      <c r="Q342" s="25">
        <v>100</v>
      </c>
      <c r="R342" s="22"/>
      <c r="S342" s="25">
        <v>0</v>
      </c>
      <c r="T342" s="22"/>
      <c r="U342" s="23"/>
      <c r="V342" s="22"/>
      <c r="W342" s="23"/>
      <c r="X342" s="23"/>
      <c r="Y342" s="23"/>
      <c r="Z342" s="25">
        <v>0</v>
      </c>
      <c r="AA342" s="25">
        <v>0</v>
      </c>
      <c r="AB342" s="25">
        <v>0</v>
      </c>
      <c r="AC342" s="22"/>
      <c r="AD342" s="22" t="s">
        <v>225</v>
      </c>
      <c r="AE342" s="22" t="s">
        <v>226</v>
      </c>
      <c r="AF342" s="22" t="s">
        <v>31</v>
      </c>
      <c r="AG342" s="22" t="s">
        <v>53</v>
      </c>
      <c r="AH342" s="22" t="s">
        <v>228</v>
      </c>
      <c r="AI342" s="22" t="s">
        <v>31</v>
      </c>
      <c r="AJ342" s="22"/>
      <c r="AK342" s="22" t="s">
        <v>239</v>
      </c>
      <c r="AL342" s="22" t="s">
        <v>240</v>
      </c>
      <c r="AM342" s="22" t="s">
        <v>231</v>
      </c>
      <c r="AN342" s="22" t="s">
        <v>232</v>
      </c>
      <c r="AO342" s="22" t="s">
        <v>231</v>
      </c>
      <c r="AP342" s="22" t="s">
        <v>232</v>
      </c>
      <c r="AQ342" s="22"/>
      <c r="AR342" s="22"/>
      <c r="AS342" s="22"/>
      <c r="AT342" s="22"/>
      <c r="AU342" s="22"/>
      <c r="AV342" s="22"/>
      <c r="AW342" s="23"/>
      <c r="AX342" s="27"/>
      <c r="AY342" s="25"/>
      <c r="AZ342" s="27"/>
      <c r="BA342" s="25"/>
      <c r="BB342" s="22" t="s">
        <v>1151</v>
      </c>
      <c r="BC342" s="22"/>
      <c r="BD342" s="22"/>
      <c r="BE342" s="22"/>
      <c r="BF342" s="23"/>
      <c r="BG342" s="23"/>
      <c r="BH342" s="22"/>
      <c r="BI342" s="23">
        <v>0</v>
      </c>
      <c r="BJ342" s="23">
        <v>0</v>
      </c>
      <c r="BK342" s="24"/>
      <c r="BL342" s="24"/>
      <c r="BM342" s="22"/>
      <c r="BN342" s="24"/>
      <c r="BO342" s="24">
        <v>46072</v>
      </c>
      <c r="BP342" s="25">
        <v>0</v>
      </c>
      <c r="BQ342" s="24">
        <v>46071</v>
      </c>
    </row>
    <row r="343" spans="1:69" ht="22.5" hidden="1" customHeight="1" x14ac:dyDescent="0.2">
      <c r="A343" s="28" t="s">
        <v>1085</v>
      </c>
      <c r="B343" s="28" t="s">
        <v>483</v>
      </c>
      <c r="C343" s="28" t="s">
        <v>221</v>
      </c>
      <c r="D343" s="28" t="s">
        <v>222</v>
      </c>
      <c r="E343" s="29">
        <v>423399</v>
      </c>
      <c r="F343" s="29">
        <v>3682</v>
      </c>
      <c r="G343" s="29">
        <v>483</v>
      </c>
      <c r="H343" s="29">
        <v>0</v>
      </c>
      <c r="I343" s="30">
        <v>46022</v>
      </c>
      <c r="J343" s="28" t="s">
        <v>223</v>
      </c>
      <c r="K343" s="28" t="s">
        <v>1152</v>
      </c>
      <c r="L343" s="31">
        <v>83.33</v>
      </c>
      <c r="M343" s="31">
        <v>16.670000000000002</v>
      </c>
      <c r="N343" s="31">
        <v>100</v>
      </c>
      <c r="O343" s="28"/>
      <c r="P343" s="32"/>
      <c r="Q343" s="31">
        <v>100</v>
      </c>
      <c r="R343" s="28"/>
      <c r="S343" s="31">
        <v>0</v>
      </c>
      <c r="T343" s="28"/>
      <c r="U343" s="29"/>
      <c r="V343" s="28"/>
      <c r="W343" s="29"/>
      <c r="X343" s="29"/>
      <c r="Y343" s="29"/>
      <c r="Z343" s="31">
        <v>0</v>
      </c>
      <c r="AA343" s="31">
        <v>0</v>
      </c>
      <c r="AB343" s="31">
        <v>0</v>
      </c>
      <c r="AC343" s="28"/>
      <c r="AD343" s="28" t="s">
        <v>225</v>
      </c>
      <c r="AE343" s="28" t="s">
        <v>226</v>
      </c>
      <c r="AF343" s="28" t="s">
        <v>31</v>
      </c>
      <c r="AG343" s="28" t="s">
        <v>53</v>
      </c>
      <c r="AH343" s="28" t="s">
        <v>228</v>
      </c>
      <c r="AI343" s="28" t="s">
        <v>31</v>
      </c>
      <c r="AJ343" s="28"/>
      <c r="AK343" s="28" t="s">
        <v>239</v>
      </c>
      <c r="AL343" s="28" t="s">
        <v>240</v>
      </c>
      <c r="AM343" s="28" t="s">
        <v>231</v>
      </c>
      <c r="AN343" s="28" t="s">
        <v>232</v>
      </c>
      <c r="AO343" s="28" t="s">
        <v>231</v>
      </c>
      <c r="AP343" s="28" t="s">
        <v>232</v>
      </c>
      <c r="AQ343" s="28"/>
      <c r="AR343" s="28"/>
      <c r="AS343" s="28"/>
      <c r="AT343" s="28"/>
      <c r="AU343" s="28"/>
      <c r="AV343" s="28"/>
      <c r="AW343" s="29"/>
      <c r="AX343" s="33"/>
      <c r="AY343" s="31"/>
      <c r="AZ343" s="33"/>
      <c r="BA343" s="31"/>
      <c r="BB343" s="28" t="s">
        <v>1153</v>
      </c>
      <c r="BC343" s="28"/>
      <c r="BD343" s="28"/>
      <c r="BE343" s="28"/>
      <c r="BF343" s="29"/>
      <c r="BG343" s="29"/>
      <c r="BH343" s="28"/>
      <c r="BI343" s="29">
        <v>0</v>
      </c>
      <c r="BJ343" s="29">
        <v>0</v>
      </c>
      <c r="BK343" s="30"/>
      <c r="BL343" s="30"/>
      <c r="BM343" s="28"/>
      <c r="BN343" s="30"/>
      <c r="BO343" s="30">
        <v>46072</v>
      </c>
      <c r="BP343" s="31">
        <v>0</v>
      </c>
      <c r="BQ343" s="30">
        <v>46071</v>
      </c>
    </row>
    <row r="344" spans="1:69" ht="22.5" hidden="1" customHeight="1" x14ac:dyDescent="0.2">
      <c r="A344" s="22" t="s">
        <v>1085</v>
      </c>
      <c r="B344" s="22" t="s">
        <v>483</v>
      </c>
      <c r="C344" s="22" t="s">
        <v>221</v>
      </c>
      <c r="D344" s="22" t="s">
        <v>222</v>
      </c>
      <c r="E344" s="23">
        <v>423402</v>
      </c>
      <c r="F344" s="23">
        <v>3683</v>
      </c>
      <c r="G344" s="23">
        <v>483</v>
      </c>
      <c r="H344" s="23">
        <v>0</v>
      </c>
      <c r="I344" s="24">
        <v>46022</v>
      </c>
      <c r="J344" s="22" t="s">
        <v>223</v>
      </c>
      <c r="K344" s="22" t="s">
        <v>1154</v>
      </c>
      <c r="L344" s="25">
        <v>41.67</v>
      </c>
      <c r="M344" s="25">
        <v>8.33</v>
      </c>
      <c r="N344" s="25">
        <v>50</v>
      </c>
      <c r="O344" s="22"/>
      <c r="P344" s="26"/>
      <c r="Q344" s="25">
        <v>50</v>
      </c>
      <c r="R344" s="22"/>
      <c r="S344" s="25">
        <v>0</v>
      </c>
      <c r="T344" s="22"/>
      <c r="U344" s="23"/>
      <c r="V344" s="22"/>
      <c r="W344" s="23"/>
      <c r="X344" s="23"/>
      <c r="Y344" s="23"/>
      <c r="Z344" s="25">
        <v>0</v>
      </c>
      <c r="AA344" s="25">
        <v>0</v>
      </c>
      <c r="AB344" s="25">
        <v>0</v>
      </c>
      <c r="AC344" s="22"/>
      <c r="AD344" s="22" t="s">
        <v>225</v>
      </c>
      <c r="AE344" s="22" t="s">
        <v>226</v>
      </c>
      <c r="AF344" s="22" t="s">
        <v>31</v>
      </c>
      <c r="AG344" s="22" t="s">
        <v>53</v>
      </c>
      <c r="AH344" s="22" t="s">
        <v>228</v>
      </c>
      <c r="AI344" s="22" t="s">
        <v>31</v>
      </c>
      <c r="AJ344" s="22"/>
      <c r="AK344" s="22" t="s">
        <v>239</v>
      </c>
      <c r="AL344" s="22" t="s">
        <v>240</v>
      </c>
      <c r="AM344" s="22" t="s">
        <v>231</v>
      </c>
      <c r="AN344" s="22" t="s">
        <v>232</v>
      </c>
      <c r="AO344" s="22" t="s">
        <v>231</v>
      </c>
      <c r="AP344" s="22" t="s">
        <v>232</v>
      </c>
      <c r="AQ344" s="22"/>
      <c r="AR344" s="22"/>
      <c r="AS344" s="22"/>
      <c r="AT344" s="22"/>
      <c r="AU344" s="22"/>
      <c r="AV344" s="22"/>
      <c r="AW344" s="23"/>
      <c r="AX344" s="27"/>
      <c r="AY344" s="25"/>
      <c r="AZ344" s="27"/>
      <c r="BA344" s="25"/>
      <c r="BB344" s="22" t="s">
        <v>1155</v>
      </c>
      <c r="BC344" s="22"/>
      <c r="BD344" s="22"/>
      <c r="BE344" s="22"/>
      <c r="BF344" s="23"/>
      <c r="BG344" s="23"/>
      <c r="BH344" s="22"/>
      <c r="BI344" s="23">
        <v>0</v>
      </c>
      <c r="BJ344" s="23">
        <v>0</v>
      </c>
      <c r="BK344" s="24"/>
      <c r="BL344" s="24"/>
      <c r="BM344" s="22"/>
      <c r="BN344" s="24"/>
      <c r="BO344" s="24">
        <v>46072</v>
      </c>
      <c r="BP344" s="25">
        <v>0</v>
      </c>
      <c r="BQ344" s="24">
        <v>46071</v>
      </c>
    </row>
    <row r="345" spans="1:69" ht="22.5" hidden="1" customHeight="1" x14ac:dyDescent="0.2">
      <c r="A345" s="28" t="s">
        <v>1085</v>
      </c>
      <c r="B345" s="28" t="s">
        <v>483</v>
      </c>
      <c r="C345" s="28" t="s">
        <v>221</v>
      </c>
      <c r="D345" s="28" t="s">
        <v>222</v>
      </c>
      <c r="E345" s="29">
        <v>423405</v>
      </c>
      <c r="F345" s="29">
        <v>3684</v>
      </c>
      <c r="G345" s="29">
        <v>483</v>
      </c>
      <c r="H345" s="29">
        <v>0</v>
      </c>
      <c r="I345" s="30">
        <v>46022</v>
      </c>
      <c r="J345" s="28" t="s">
        <v>223</v>
      </c>
      <c r="K345" s="28" t="s">
        <v>1154</v>
      </c>
      <c r="L345" s="31">
        <v>41.67</v>
      </c>
      <c r="M345" s="31">
        <v>8.33</v>
      </c>
      <c r="N345" s="31">
        <v>50</v>
      </c>
      <c r="O345" s="28"/>
      <c r="P345" s="32"/>
      <c r="Q345" s="31">
        <v>50</v>
      </c>
      <c r="R345" s="28"/>
      <c r="S345" s="31">
        <v>0</v>
      </c>
      <c r="T345" s="28"/>
      <c r="U345" s="29"/>
      <c r="V345" s="28"/>
      <c r="W345" s="29"/>
      <c r="X345" s="29"/>
      <c r="Y345" s="29"/>
      <c r="Z345" s="31">
        <v>0</v>
      </c>
      <c r="AA345" s="31">
        <v>0</v>
      </c>
      <c r="AB345" s="31">
        <v>0</v>
      </c>
      <c r="AC345" s="28"/>
      <c r="AD345" s="28" t="s">
        <v>225</v>
      </c>
      <c r="AE345" s="28" t="s">
        <v>226</v>
      </c>
      <c r="AF345" s="28" t="s">
        <v>31</v>
      </c>
      <c r="AG345" s="28" t="s">
        <v>53</v>
      </c>
      <c r="AH345" s="28" t="s">
        <v>228</v>
      </c>
      <c r="AI345" s="28" t="s">
        <v>31</v>
      </c>
      <c r="AJ345" s="28"/>
      <c r="AK345" s="28" t="s">
        <v>239</v>
      </c>
      <c r="AL345" s="28" t="s">
        <v>240</v>
      </c>
      <c r="AM345" s="28" t="s">
        <v>231</v>
      </c>
      <c r="AN345" s="28" t="s">
        <v>232</v>
      </c>
      <c r="AO345" s="28" t="s">
        <v>231</v>
      </c>
      <c r="AP345" s="28" t="s">
        <v>232</v>
      </c>
      <c r="AQ345" s="28"/>
      <c r="AR345" s="28"/>
      <c r="AS345" s="28"/>
      <c r="AT345" s="28"/>
      <c r="AU345" s="28"/>
      <c r="AV345" s="28"/>
      <c r="AW345" s="29"/>
      <c r="AX345" s="33"/>
      <c r="AY345" s="31"/>
      <c r="AZ345" s="33"/>
      <c r="BA345" s="31"/>
      <c r="BB345" s="28" t="s">
        <v>1155</v>
      </c>
      <c r="BC345" s="28"/>
      <c r="BD345" s="28"/>
      <c r="BE345" s="28"/>
      <c r="BF345" s="29"/>
      <c r="BG345" s="29"/>
      <c r="BH345" s="28"/>
      <c r="BI345" s="29">
        <v>0</v>
      </c>
      <c r="BJ345" s="29">
        <v>0</v>
      </c>
      <c r="BK345" s="30"/>
      <c r="BL345" s="30"/>
      <c r="BM345" s="28"/>
      <c r="BN345" s="30"/>
      <c r="BO345" s="30">
        <v>46072</v>
      </c>
      <c r="BP345" s="31">
        <v>0</v>
      </c>
      <c r="BQ345" s="30">
        <v>46071</v>
      </c>
    </row>
    <row r="346" spans="1:69" ht="22.5" hidden="1" customHeight="1" x14ac:dyDescent="0.2">
      <c r="A346" s="22" t="s">
        <v>1085</v>
      </c>
      <c r="B346" s="22" t="s">
        <v>483</v>
      </c>
      <c r="C346" s="22" t="s">
        <v>221</v>
      </c>
      <c r="D346" s="22" t="s">
        <v>222</v>
      </c>
      <c r="E346" s="23">
        <v>423408</v>
      </c>
      <c r="F346" s="23">
        <v>3685</v>
      </c>
      <c r="G346" s="23">
        <v>483</v>
      </c>
      <c r="H346" s="23">
        <v>0</v>
      </c>
      <c r="I346" s="24">
        <v>46022</v>
      </c>
      <c r="J346" s="22" t="s">
        <v>223</v>
      </c>
      <c r="K346" s="22" t="s">
        <v>1156</v>
      </c>
      <c r="L346" s="25">
        <v>124.45</v>
      </c>
      <c r="M346" s="25">
        <v>24.89</v>
      </c>
      <c r="N346" s="25">
        <v>149.34</v>
      </c>
      <c r="O346" s="22"/>
      <c r="P346" s="26"/>
      <c r="Q346" s="25">
        <v>149.34</v>
      </c>
      <c r="R346" s="22"/>
      <c r="S346" s="25">
        <v>0</v>
      </c>
      <c r="T346" s="22"/>
      <c r="U346" s="23"/>
      <c r="V346" s="22"/>
      <c r="W346" s="23"/>
      <c r="X346" s="23"/>
      <c r="Y346" s="23"/>
      <c r="Z346" s="25">
        <v>0</v>
      </c>
      <c r="AA346" s="25">
        <v>0</v>
      </c>
      <c r="AB346" s="25">
        <v>0</v>
      </c>
      <c r="AC346" s="22"/>
      <c r="AD346" s="22" t="s">
        <v>225</v>
      </c>
      <c r="AE346" s="22" t="s">
        <v>226</v>
      </c>
      <c r="AF346" s="22" t="s">
        <v>31</v>
      </c>
      <c r="AG346" s="22" t="s">
        <v>53</v>
      </c>
      <c r="AH346" s="22" t="s">
        <v>228</v>
      </c>
      <c r="AI346" s="22" t="s">
        <v>31</v>
      </c>
      <c r="AJ346" s="22"/>
      <c r="AK346" s="22" t="s">
        <v>239</v>
      </c>
      <c r="AL346" s="22" t="s">
        <v>240</v>
      </c>
      <c r="AM346" s="22" t="s">
        <v>231</v>
      </c>
      <c r="AN346" s="22" t="s">
        <v>232</v>
      </c>
      <c r="AO346" s="22" t="s">
        <v>231</v>
      </c>
      <c r="AP346" s="22" t="s">
        <v>232</v>
      </c>
      <c r="AQ346" s="22"/>
      <c r="AR346" s="22"/>
      <c r="AS346" s="22"/>
      <c r="AT346" s="22"/>
      <c r="AU346" s="22"/>
      <c r="AV346" s="22"/>
      <c r="AW346" s="23"/>
      <c r="AX346" s="27"/>
      <c r="AY346" s="25"/>
      <c r="AZ346" s="27"/>
      <c r="BA346" s="25"/>
      <c r="BB346" s="22" t="s">
        <v>1157</v>
      </c>
      <c r="BC346" s="22"/>
      <c r="BD346" s="22"/>
      <c r="BE346" s="22"/>
      <c r="BF346" s="23"/>
      <c r="BG346" s="23"/>
      <c r="BH346" s="22"/>
      <c r="BI346" s="23">
        <v>0</v>
      </c>
      <c r="BJ346" s="23">
        <v>0</v>
      </c>
      <c r="BK346" s="24"/>
      <c r="BL346" s="24"/>
      <c r="BM346" s="22"/>
      <c r="BN346" s="24"/>
      <c r="BO346" s="24">
        <v>46072</v>
      </c>
      <c r="BP346" s="25">
        <v>0</v>
      </c>
      <c r="BQ346" s="24">
        <v>46071</v>
      </c>
    </row>
    <row r="347" spans="1:69" ht="22.5" hidden="1" customHeight="1" x14ac:dyDescent="0.2">
      <c r="A347" s="22" t="s">
        <v>1085</v>
      </c>
      <c r="B347" s="22" t="s">
        <v>483</v>
      </c>
      <c r="C347" s="22" t="s">
        <v>221</v>
      </c>
      <c r="D347" s="22" t="s">
        <v>222</v>
      </c>
      <c r="E347" s="23">
        <v>423432</v>
      </c>
      <c r="F347" s="23">
        <v>3686</v>
      </c>
      <c r="G347" s="23">
        <v>483</v>
      </c>
      <c r="H347" s="23">
        <v>0</v>
      </c>
      <c r="I347" s="24">
        <v>46022</v>
      </c>
      <c r="J347" s="22" t="s">
        <v>223</v>
      </c>
      <c r="K347" s="22" t="s">
        <v>1158</v>
      </c>
      <c r="L347" s="25">
        <v>41.67</v>
      </c>
      <c r="M347" s="25">
        <v>8.33</v>
      </c>
      <c r="N347" s="25">
        <v>50</v>
      </c>
      <c r="O347" s="22"/>
      <c r="P347" s="26"/>
      <c r="Q347" s="25">
        <v>50</v>
      </c>
      <c r="R347" s="22"/>
      <c r="S347" s="25">
        <v>0</v>
      </c>
      <c r="T347" s="22"/>
      <c r="U347" s="23"/>
      <c r="V347" s="22"/>
      <c r="W347" s="23"/>
      <c r="X347" s="23"/>
      <c r="Y347" s="23"/>
      <c r="Z347" s="25">
        <v>0</v>
      </c>
      <c r="AA347" s="25">
        <v>0</v>
      </c>
      <c r="AB347" s="25">
        <v>0</v>
      </c>
      <c r="AC347" s="22"/>
      <c r="AD347" s="22" t="s">
        <v>225</v>
      </c>
      <c r="AE347" s="22" t="s">
        <v>226</v>
      </c>
      <c r="AF347" s="22" t="s">
        <v>31</v>
      </c>
      <c r="AG347" s="22" t="s">
        <v>53</v>
      </c>
      <c r="AH347" s="22" t="s">
        <v>228</v>
      </c>
      <c r="AI347" s="22" t="s">
        <v>31</v>
      </c>
      <c r="AJ347" s="22"/>
      <c r="AK347" s="22" t="s">
        <v>239</v>
      </c>
      <c r="AL347" s="22" t="s">
        <v>240</v>
      </c>
      <c r="AM347" s="22" t="s">
        <v>231</v>
      </c>
      <c r="AN347" s="22" t="s">
        <v>232</v>
      </c>
      <c r="AO347" s="22" t="s">
        <v>231</v>
      </c>
      <c r="AP347" s="22" t="s">
        <v>232</v>
      </c>
      <c r="AQ347" s="22"/>
      <c r="AR347" s="22"/>
      <c r="AS347" s="22"/>
      <c r="AT347" s="22"/>
      <c r="AU347" s="22"/>
      <c r="AV347" s="22"/>
      <c r="AW347" s="23"/>
      <c r="AX347" s="27"/>
      <c r="AY347" s="25"/>
      <c r="AZ347" s="27"/>
      <c r="BA347" s="25"/>
      <c r="BB347" s="22" t="s">
        <v>1159</v>
      </c>
      <c r="BC347" s="22"/>
      <c r="BD347" s="22"/>
      <c r="BE347" s="22"/>
      <c r="BF347" s="23"/>
      <c r="BG347" s="23"/>
      <c r="BH347" s="22"/>
      <c r="BI347" s="23">
        <v>0</v>
      </c>
      <c r="BJ347" s="23">
        <v>0</v>
      </c>
      <c r="BK347" s="24"/>
      <c r="BL347" s="24"/>
      <c r="BM347" s="22"/>
      <c r="BN347" s="24"/>
      <c r="BO347" s="24">
        <v>46072</v>
      </c>
      <c r="BP347" s="25">
        <v>0</v>
      </c>
      <c r="BQ347" s="24">
        <v>46071</v>
      </c>
    </row>
    <row r="348" spans="1:69" ht="22.5" hidden="1" customHeight="1" x14ac:dyDescent="0.2">
      <c r="A348" s="28" t="s">
        <v>1085</v>
      </c>
      <c r="B348" s="28" t="s">
        <v>483</v>
      </c>
      <c r="C348" s="28" t="s">
        <v>221</v>
      </c>
      <c r="D348" s="28" t="s">
        <v>222</v>
      </c>
      <c r="E348" s="29">
        <v>423435</v>
      </c>
      <c r="F348" s="29">
        <v>3687</v>
      </c>
      <c r="G348" s="29">
        <v>483</v>
      </c>
      <c r="H348" s="29">
        <v>0</v>
      </c>
      <c r="I348" s="30">
        <v>46022</v>
      </c>
      <c r="J348" s="28" t="s">
        <v>223</v>
      </c>
      <c r="K348" s="28" t="s">
        <v>1160</v>
      </c>
      <c r="L348" s="31">
        <v>25</v>
      </c>
      <c r="M348" s="31">
        <v>5</v>
      </c>
      <c r="N348" s="31">
        <v>30</v>
      </c>
      <c r="O348" s="28"/>
      <c r="P348" s="32"/>
      <c r="Q348" s="31">
        <v>30</v>
      </c>
      <c r="R348" s="28"/>
      <c r="S348" s="31">
        <v>0</v>
      </c>
      <c r="T348" s="28"/>
      <c r="U348" s="29"/>
      <c r="V348" s="28"/>
      <c r="W348" s="29"/>
      <c r="X348" s="29"/>
      <c r="Y348" s="29"/>
      <c r="Z348" s="31">
        <v>0</v>
      </c>
      <c r="AA348" s="31">
        <v>0</v>
      </c>
      <c r="AB348" s="31">
        <v>0</v>
      </c>
      <c r="AC348" s="28"/>
      <c r="AD348" s="28" t="s">
        <v>225</v>
      </c>
      <c r="AE348" s="28" t="s">
        <v>226</v>
      </c>
      <c r="AF348" s="28" t="s">
        <v>31</v>
      </c>
      <c r="AG348" s="28" t="s">
        <v>53</v>
      </c>
      <c r="AH348" s="28" t="s">
        <v>228</v>
      </c>
      <c r="AI348" s="28" t="s">
        <v>31</v>
      </c>
      <c r="AJ348" s="28"/>
      <c r="AK348" s="28" t="s">
        <v>239</v>
      </c>
      <c r="AL348" s="28" t="s">
        <v>240</v>
      </c>
      <c r="AM348" s="28" t="s">
        <v>231</v>
      </c>
      <c r="AN348" s="28" t="s">
        <v>232</v>
      </c>
      <c r="AO348" s="28" t="s">
        <v>231</v>
      </c>
      <c r="AP348" s="28" t="s">
        <v>232</v>
      </c>
      <c r="AQ348" s="28"/>
      <c r="AR348" s="28"/>
      <c r="AS348" s="28"/>
      <c r="AT348" s="28"/>
      <c r="AU348" s="28"/>
      <c r="AV348" s="28"/>
      <c r="AW348" s="29"/>
      <c r="AX348" s="33"/>
      <c r="AY348" s="31"/>
      <c r="AZ348" s="33"/>
      <c r="BA348" s="31"/>
      <c r="BB348" s="28" t="s">
        <v>1161</v>
      </c>
      <c r="BC348" s="28"/>
      <c r="BD348" s="28"/>
      <c r="BE348" s="28"/>
      <c r="BF348" s="29"/>
      <c r="BG348" s="29"/>
      <c r="BH348" s="28"/>
      <c r="BI348" s="29">
        <v>0</v>
      </c>
      <c r="BJ348" s="29">
        <v>0</v>
      </c>
      <c r="BK348" s="30"/>
      <c r="BL348" s="30"/>
      <c r="BM348" s="28"/>
      <c r="BN348" s="30"/>
      <c r="BO348" s="30">
        <v>46072</v>
      </c>
      <c r="BP348" s="31">
        <v>0</v>
      </c>
      <c r="BQ348" s="30">
        <v>46071</v>
      </c>
    </row>
    <row r="349" spans="1:69" ht="22.5" hidden="1" customHeight="1" x14ac:dyDescent="0.2">
      <c r="A349" s="22" t="s">
        <v>1085</v>
      </c>
      <c r="B349" s="22" t="s">
        <v>483</v>
      </c>
      <c r="C349" s="22" t="s">
        <v>221</v>
      </c>
      <c r="D349" s="22" t="s">
        <v>222</v>
      </c>
      <c r="E349" s="23">
        <v>423438</v>
      </c>
      <c r="F349" s="23">
        <v>3688</v>
      </c>
      <c r="G349" s="23">
        <v>483</v>
      </c>
      <c r="H349" s="23">
        <v>0</v>
      </c>
      <c r="I349" s="24">
        <v>46022</v>
      </c>
      <c r="J349" s="22" t="s">
        <v>223</v>
      </c>
      <c r="K349" s="22" t="s">
        <v>1162</v>
      </c>
      <c r="L349" s="25">
        <v>41.67</v>
      </c>
      <c r="M349" s="25">
        <v>8.33</v>
      </c>
      <c r="N349" s="25">
        <v>50</v>
      </c>
      <c r="O349" s="22"/>
      <c r="P349" s="26"/>
      <c r="Q349" s="25">
        <v>50</v>
      </c>
      <c r="R349" s="22"/>
      <c r="S349" s="25">
        <v>0</v>
      </c>
      <c r="T349" s="22"/>
      <c r="U349" s="23"/>
      <c r="V349" s="22"/>
      <c r="W349" s="23"/>
      <c r="X349" s="23"/>
      <c r="Y349" s="23"/>
      <c r="Z349" s="25">
        <v>0</v>
      </c>
      <c r="AA349" s="25">
        <v>0</v>
      </c>
      <c r="AB349" s="25">
        <v>0</v>
      </c>
      <c r="AC349" s="22"/>
      <c r="AD349" s="22" t="s">
        <v>225</v>
      </c>
      <c r="AE349" s="22" t="s">
        <v>226</v>
      </c>
      <c r="AF349" s="22" t="s">
        <v>31</v>
      </c>
      <c r="AG349" s="22" t="s">
        <v>53</v>
      </c>
      <c r="AH349" s="22" t="s">
        <v>228</v>
      </c>
      <c r="AI349" s="22" t="s">
        <v>31</v>
      </c>
      <c r="AJ349" s="22"/>
      <c r="AK349" s="22" t="s">
        <v>239</v>
      </c>
      <c r="AL349" s="22" t="s">
        <v>240</v>
      </c>
      <c r="AM349" s="22" t="s">
        <v>231</v>
      </c>
      <c r="AN349" s="22" t="s">
        <v>232</v>
      </c>
      <c r="AO349" s="22" t="s">
        <v>231</v>
      </c>
      <c r="AP349" s="22" t="s">
        <v>232</v>
      </c>
      <c r="AQ349" s="22"/>
      <c r="AR349" s="22"/>
      <c r="AS349" s="22"/>
      <c r="AT349" s="22"/>
      <c r="AU349" s="22"/>
      <c r="AV349" s="22"/>
      <c r="AW349" s="23"/>
      <c r="AX349" s="27"/>
      <c r="AY349" s="25"/>
      <c r="AZ349" s="27"/>
      <c r="BA349" s="25"/>
      <c r="BB349" s="22" t="s">
        <v>1163</v>
      </c>
      <c r="BC349" s="22"/>
      <c r="BD349" s="22"/>
      <c r="BE349" s="22"/>
      <c r="BF349" s="23"/>
      <c r="BG349" s="23"/>
      <c r="BH349" s="22"/>
      <c r="BI349" s="23">
        <v>0</v>
      </c>
      <c r="BJ349" s="23">
        <v>0</v>
      </c>
      <c r="BK349" s="24"/>
      <c r="BL349" s="24"/>
      <c r="BM349" s="22"/>
      <c r="BN349" s="24"/>
      <c r="BO349" s="24">
        <v>46072</v>
      </c>
      <c r="BP349" s="25">
        <v>0</v>
      </c>
      <c r="BQ349" s="24">
        <v>46071</v>
      </c>
    </row>
    <row r="350" spans="1:69" ht="22.5" hidden="1" customHeight="1" x14ac:dyDescent="0.2">
      <c r="A350" s="28" t="s">
        <v>1085</v>
      </c>
      <c r="B350" s="28" t="s">
        <v>483</v>
      </c>
      <c r="C350" s="28" t="s">
        <v>221</v>
      </c>
      <c r="D350" s="28" t="s">
        <v>222</v>
      </c>
      <c r="E350" s="29">
        <v>423453</v>
      </c>
      <c r="F350" s="29">
        <v>3689</v>
      </c>
      <c r="G350" s="29">
        <v>483</v>
      </c>
      <c r="H350" s="29">
        <v>0</v>
      </c>
      <c r="I350" s="30">
        <v>46022</v>
      </c>
      <c r="J350" s="28" t="s">
        <v>223</v>
      </c>
      <c r="K350" s="28" t="s">
        <v>1164</v>
      </c>
      <c r="L350" s="31">
        <v>25</v>
      </c>
      <c r="M350" s="31">
        <v>5</v>
      </c>
      <c r="N350" s="31">
        <v>30</v>
      </c>
      <c r="O350" s="28"/>
      <c r="P350" s="32"/>
      <c r="Q350" s="31">
        <v>30</v>
      </c>
      <c r="R350" s="28"/>
      <c r="S350" s="31">
        <v>0</v>
      </c>
      <c r="T350" s="28"/>
      <c r="U350" s="29"/>
      <c r="V350" s="28"/>
      <c r="W350" s="29"/>
      <c r="X350" s="29"/>
      <c r="Y350" s="29"/>
      <c r="Z350" s="31">
        <v>0</v>
      </c>
      <c r="AA350" s="31">
        <v>0</v>
      </c>
      <c r="AB350" s="31">
        <v>0</v>
      </c>
      <c r="AC350" s="28"/>
      <c r="AD350" s="28" t="s">
        <v>225</v>
      </c>
      <c r="AE350" s="28" t="s">
        <v>226</v>
      </c>
      <c r="AF350" s="28" t="s">
        <v>31</v>
      </c>
      <c r="AG350" s="28" t="s">
        <v>53</v>
      </c>
      <c r="AH350" s="28" t="s">
        <v>228</v>
      </c>
      <c r="AI350" s="28" t="s">
        <v>31</v>
      </c>
      <c r="AJ350" s="28"/>
      <c r="AK350" s="28" t="s">
        <v>239</v>
      </c>
      <c r="AL350" s="28" t="s">
        <v>243</v>
      </c>
      <c r="AM350" s="28" t="s">
        <v>231</v>
      </c>
      <c r="AN350" s="28" t="s">
        <v>232</v>
      </c>
      <c r="AO350" s="28" t="s">
        <v>231</v>
      </c>
      <c r="AP350" s="28" t="s">
        <v>232</v>
      </c>
      <c r="AQ350" s="28"/>
      <c r="AR350" s="28"/>
      <c r="AS350" s="28"/>
      <c r="AT350" s="28"/>
      <c r="AU350" s="28"/>
      <c r="AV350" s="28"/>
      <c r="AW350" s="29"/>
      <c r="AX350" s="33"/>
      <c r="AY350" s="31"/>
      <c r="AZ350" s="33"/>
      <c r="BA350" s="31"/>
      <c r="BB350" s="28" t="s">
        <v>1165</v>
      </c>
      <c r="BC350" s="28"/>
      <c r="BD350" s="28"/>
      <c r="BE350" s="28"/>
      <c r="BF350" s="29"/>
      <c r="BG350" s="29"/>
      <c r="BH350" s="28"/>
      <c r="BI350" s="29">
        <v>0</v>
      </c>
      <c r="BJ350" s="29">
        <v>0</v>
      </c>
      <c r="BK350" s="30"/>
      <c r="BL350" s="30"/>
      <c r="BM350" s="28"/>
      <c r="BN350" s="30"/>
      <c r="BO350" s="30">
        <v>46072</v>
      </c>
      <c r="BP350" s="31">
        <v>0</v>
      </c>
      <c r="BQ350" s="30">
        <v>46071</v>
      </c>
    </row>
    <row r="351" spans="1:69" ht="22.5" hidden="1" customHeight="1" x14ac:dyDescent="0.2">
      <c r="A351" s="22" t="s">
        <v>1085</v>
      </c>
      <c r="B351" s="22" t="s">
        <v>483</v>
      </c>
      <c r="C351" s="22" t="s">
        <v>221</v>
      </c>
      <c r="D351" s="22" t="s">
        <v>222</v>
      </c>
      <c r="E351" s="23">
        <v>423456</v>
      </c>
      <c r="F351" s="23">
        <v>3690</v>
      </c>
      <c r="G351" s="23">
        <v>483</v>
      </c>
      <c r="H351" s="23">
        <v>0</v>
      </c>
      <c r="I351" s="24">
        <v>46022</v>
      </c>
      <c r="J351" s="22" t="s">
        <v>223</v>
      </c>
      <c r="K351" s="22" t="s">
        <v>1166</v>
      </c>
      <c r="L351" s="25">
        <v>291.67</v>
      </c>
      <c r="M351" s="25">
        <v>58.33</v>
      </c>
      <c r="N351" s="25">
        <v>350</v>
      </c>
      <c r="O351" s="22"/>
      <c r="P351" s="26"/>
      <c r="Q351" s="25">
        <v>350</v>
      </c>
      <c r="R351" s="22"/>
      <c r="S351" s="25">
        <v>0</v>
      </c>
      <c r="T351" s="22"/>
      <c r="U351" s="23"/>
      <c r="V351" s="22"/>
      <c r="W351" s="23"/>
      <c r="X351" s="23"/>
      <c r="Y351" s="23"/>
      <c r="Z351" s="25">
        <v>0</v>
      </c>
      <c r="AA351" s="25">
        <v>0</v>
      </c>
      <c r="AB351" s="25">
        <v>0</v>
      </c>
      <c r="AC351" s="22"/>
      <c r="AD351" s="22" t="s">
        <v>225</v>
      </c>
      <c r="AE351" s="22" t="s">
        <v>226</v>
      </c>
      <c r="AF351" s="22" t="s">
        <v>31</v>
      </c>
      <c r="AG351" s="22" t="s">
        <v>53</v>
      </c>
      <c r="AH351" s="22" t="s">
        <v>228</v>
      </c>
      <c r="AI351" s="22" t="s">
        <v>31</v>
      </c>
      <c r="AJ351" s="22"/>
      <c r="AK351" s="22" t="s">
        <v>239</v>
      </c>
      <c r="AL351" s="22" t="s">
        <v>243</v>
      </c>
      <c r="AM351" s="22" t="s">
        <v>231</v>
      </c>
      <c r="AN351" s="22" t="s">
        <v>232</v>
      </c>
      <c r="AO351" s="22" t="s">
        <v>231</v>
      </c>
      <c r="AP351" s="22" t="s">
        <v>232</v>
      </c>
      <c r="AQ351" s="22"/>
      <c r="AR351" s="22"/>
      <c r="AS351" s="22"/>
      <c r="AT351" s="22"/>
      <c r="AU351" s="22"/>
      <c r="AV351" s="22"/>
      <c r="AW351" s="23"/>
      <c r="AX351" s="27"/>
      <c r="AY351" s="25"/>
      <c r="AZ351" s="27"/>
      <c r="BA351" s="25"/>
      <c r="BB351" s="22" t="s">
        <v>1167</v>
      </c>
      <c r="BC351" s="22"/>
      <c r="BD351" s="22"/>
      <c r="BE351" s="22"/>
      <c r="BF351" s="23"/>
      <c r="BG351" s="23"/>
      <c r="BH351" s="22"/>
      <c r="BI351" s="23">
        <v>0</v>
      </c>
      <c r="BJ351" s="23">
        <v>0</v>
      </c>
      <c r="BK351" s="24"/>
      <c r="BL351" s="24"/>
      <c r="BM351" s="22"/>
      <c r="BN351" s="24"/>
      <c r="BO351" s="24">
        <v>46072</v>
      </c>
      <c r="BP351" s="25">
        <v>0</v>
      </c>
      <c r="BQ351" s="24">
        <v>46071</v>
      </c>
    </row>
    <row r="352" spans="1:69" ht="22.5" hidden="1" customHeight="1" x14ac:dyDescent="0.2">
      <c r="A352" s="22" t="s">
        <v>1085</v>
      </c>
      <c r="B352" s="22" t="s">
        <v>483</v>
      </c>
      <c r="C352" s="22" t="s">
        <v>221</v>
      </c>
      <c r="D352" s="22" t="s">
        <v>222</v>
      </c>
      <c r="E352" s="23">
        <v>423468</v>
      </c>
      <c r="F352" s="23">
        <v>3691</v>
      </c>
      <c r="G352" s="23">
        <v>483</v>
      </c>
      <c r="H352" s="23">
        <v>0</v>
      </c>
      <c r="I352" s="24">
        <v>46022</v>
      </c>
      <c r="J352" s="22" t="s">
        <v>223</v>
      </c>
      <c r="K352" s="22" t="s">
        <v>1168</v>
      </c>
      <c r="L352" s="25">
        <v>208.33</v>
      </c>
      <c r="M352" s="25">
        <v>41.67</v>
      </c>
      <c r="N352" s="25">
        <v>250</v>
      </c>
      <c r="O352" s="22"/>
      <c r="P352" s="26"/>
      <c r="Q352" s="25">
        <v>250</v>
      </c>
      <c r="R352" s="22"/>
      <c r="S352" s="25">
        <v>0</v>
      </c>
      <c r="T352" s="22"/>
      <c r="U352" s="23"/>
      <c r="V352" s="22"/>
      <c r="W352" s="23"/>
      <c r="X352" s="23"/>
      <c r="Y352" s="23"/>
      <c r="Z352" s="25">
        <v>0</v>
      </c>
      <c r="AA352" s="25">
        <v>0</v>
      </c>
      <c r="AB352" s="25">
        <v>0</v>
      </c>
      <c r="AC352" s="22"/>
      <c r="AD352" s="22" t="s">
        <v>225</v>
      </c>
      <c r="AE352" s="22" t="s">
        <v>226</v>
      </c>
      <c r="AF352" s="22" t="s">
        <v>31</v>
      </c>
      <c r="AG352" s="22" t="s">
        <v>53</v>
      </c>
      <c r="AH352" s="22" t="s">
        <v>228</v>
      </c>
      <c r="AI352" s="22" t="s">
        <v>31</v>
      </c>
      <c r="AJ352" s="22"/>
      <c r="AK352" s="22" t="s">
        <v>239</v>
      </c>
      <c r="AL352" s="22" t="s">
        <v>243</v>
      </c>
      <c r="AM352" s="22" t="s">
        <v>231</v>
      </c>
      <c r="AN352" s="22" t="s">
        <v>232</v>
      </c>
      <c r="AO352" s="22" t="s">
        <v>231</v>
      </c>
      <c r="AP352" s="22" t="s">
        <v>232</v>
      </c>
      <c r="AQ352" s="22"/>
      <c r="AR352" s="22"/>
      <c r="AS352" s="22"/>
      <c r="AT352" s="22"/>
      <c r="AU352" s="22"/>
      <c r="AV352" s="22"/>
      <c r="AW352" s="23"/>
      <c r="AX352" s="27"/>
      <c r="AY352" s="25"/>
      <c r="AZ352" s="27"/>
      <c r="BA352" s="25"/>
      <c r="BB352" s="22" t="s">
        <v>1169</v>
      </c>
      <c r="BC352" s="22"/>
      <c r="BD352" s="22"/>
      <c r="BE352" s="22"/>
      <c r="BF352" s="23"/>
      <c r="BG352" s="23"/>
      <c r="BH352" s="22"/>
      <c r="BI352" s="23">
        <v>0</v>
      </c>
      <c r="BJ352" s="23">
        <v>0</v>
      </c>
      <c r="BK352" s="24"/>
      <c r="BL352" s="24"/>
      <c r="BM352" s="22"/>
      <c r="BN352" s="24"/>
      <c r="BO352" s="24">
        <v>46072</v>
      </c>
      <c r="BP352" s="25">
        <v>0</v>
      </c>
      <c r="BQ352" s="24">
        <v>46071</v>
      </c>
    </row>
    <row r="353" spans="1:69" ht="22.5" hidden="1" customHeight="1" x14ac:dyDescent="0.2">
      <c r="A353" s="22" t="s">
        <v>1085</v>
      </c>
      <c r="B353" s="22" t="s">
        <v>483</v>
      </c>
      <c r="C353" s="22" t="s">
        <v>221</v>
      </c>
      <c r="D353" s="22" t="s">
        <v>222</v>
      </c>
      <c r="E353" s="23">
        <v>423504</v>
      </c>
      <c r="F353" s="23">
        <v>3692</v>
      </c>
      <c r="G353" s="23">
        <v>483</v>
      </c>
      <c r="H353" s="23">
        <v>0</v>
      </c>
      <c r="I353" s="24">
        <v>46022</v>
      </c>
      <c r="J353" s="22" t="s">
        <v>223</v>
      </c>
      <c r="K353" s="22" t="s">
        <v>1170</v>
      </c>
      <c r="L353" s="25">
        <v>703.48</v>
      </c>
      <c r="M353" s="25">
        <v>38.69</v>
      </c>
      <c r="N353" s="25">
        <v>742.17</v>
      </c>
      <c r="O353" s="22"/>
      <c r="P353" s="26"/>
      <c r="Q353" s="25">
        <v>742.17</v>
      </c>
      <c r="R353" s="22"/>
      <c r="S353" s="25">
        <v>0</v>
      </c>
      <c r="T353" s="22"/>
      <c r="U353" s="23"/>
      <c r="V353" s="22"/>
      <c r="W353" s="23"/>
      <c r="X353" s="23"/>
      <c r="Y353" s="23"/>
      <c r="Z353" s="25">
        <v>0</v>
      </c>
      <c r="AA353" s="25">
        <v>0</v>
      </c>
      <c r="AB353" s="25">
        <v>0</v>
      </c>
      <c r="AC353" s="22"/>
      <c r="AD353" s="22" t="s">
        <v>225</v>
      </c>
      <c r="AE353" s="22" t="s">
        <v>226</v>
      </c>
      <c r="AF353" s="22" t="s">
        <v>31</v>
      </c>
      <c r="AG353" s="22" t="s">
        <v>57</v>
      </c>
      <c r="AH353" s="22" t="s">
        <v>228</v>
      </c>
      <c r="AI353" s="22" t="s">
        <v>31</v>
      </c>
      <c r="AJ353" s="22"/>
      <c r="AK353" s="22" t="s">
        <v>58</v>
      </c>
      <c r="AL353" s="22" t="s">
        <v>59</v>
      </c>
      <c r="AM353" s="22" t="s">
        <v>231</v>
      </c>
      <c r="AN353" s="22" t="s">
        <v>232</v>
      </c>
      <c r="AO353" s="22" t="s">
        <v>231</v>
      </c>
      <c r="AP353" s="22" t="s">
        <v>232</v>
      </c>
      <c r="AQ353" s="22"/>
      <c r="AR353" s="22"/>
      <c r="AS353" s="22"/>
      <c r="AT353" s="22"/>
      <c r="AU353" s="22"/>
      <c r="AV353" s="22"/>
      <c r="AW353" s="23"/>
      <c r="AX353" s="27"/>
      <c r="AY353" s="25"/>
      <c r="AZ353" s="27"/>
      <c r="BA353" s="25"/>
      <c r="BB353" s="22" t="s">
        <v>1171</v>
      </c>
      <c r="BC353" s="22"/>
      <c r="BD353" s="22"/>
      <c r="BE353" s="22"/>
      <c r="BF353" s="23"/>
      <c r="BG353" s="23"/>
      <c r="BH353" s="22"/>
      <c r="BI353" s="23">
        <v>0</v>
      </c>
      <c r="BJ353" s="23">
        <v>0</v>
      </c>
      <c r="BK353" s="24"/>
      <c r="BL353" s="24"/>
      <c r="BM353" s="22"/>
      <c r="BN353" s="24"/>
      <c r="BO353" s="24">
        <v>46072</v>
      </c>
      <c r="BP353" s="25">
        <v>0</v>
      </c>
      <c r="BQ353" s="24">
        <v>46071</v>
      </c>
    </row>
    <row r="354" spans="1:69" ht="22.5" customHeight="1" x14ac:dyDescent="0.2">
      <c r="A354" s="22" t="s">
        <v>1085</v>
      </c>
      <c r="B354" s="22" t="s">
        <v>483</v>
      </c>
      <c r="C354" s="22" t="s">
        <v>221</v>
      </c>
      <c r="D354" s="22" t="s">
        <v>222</v>
      </c>
      <c r="E354" s="23">
        <v>423534</v>
      </c>
      <c r="F354" s="23">
        <v>3693</v>
      </c>
      <c r="G354" s="23">
        <v>483</v>
      </c>
      <c r="H354" s="23">
        <v>0</v>
      </c>
      <c r="I354" s="24">
        <v>46022</v>
      </c>
      <c r="J354" s="22" t="s">
        <v>223</v>
      </c>
      <c r="K354" s="22" t="s">
        <v>1172</v>
      </c>
      <c r="L354" s="25">
        <v>668.44</v>
      </c>
      <c r="M354" s="25">
        <v>133.69999999999999</v>
      </c>
      <c r="N354" s="25">
        <v>802.14</v>
      </c>
      <c r="O354" s="22"/>
      <c r="P354" s="26"/>
      <c r="Q354" s="25">
        <v>802.14</v>
      </c>
      <c r="R354" s="22"/>
      <c r="S354" s="25">
        <v>0</v>
      </c>
      <c r="T354" s="22"/>
      <c r="U354" s="23"/>
      <c r="V354" s="22"/>
      <c r="W354" s="23"/>
      <c r="X354" s="23"/>
      <c r="Y354" s="23"/>
      <c r="Z354" s="25">
        <v>0</v>
      </c>
      <c r="AA354" s="25">
        <v>0</v>
      </c>
      <c r="AB354" s="25">
        <v>0</v>
      </c>
      <c r="AC354" s="22"/>
      <c r="AD354" s="22" t="s">
        <v>225</v>
      </c>
      <c r="AE354" s="22" t="s">
        <v>226</v>
      </c>
      <c r="AF354" s="22" t="s">
        <v>31</v>
      </c>
      <c r="AG354" s="22" t="s">
        <v>32</v>
      </c>
      <c r="AH354" s="22" t="s">
        <v>228</v>
      </c>
      <c r="AI354" s="22" t="s">
        <v>31</v>
      </c>
      <c r="AJ354" s="22"/>
      <c r="AK354" s="22" t="s">
        <v>34</v>
      </c>
      <c r="AL354" s="22" t="s">
        <v>31</v>
      </c>
      <c r="AM354" s="22" t="s">
        <v>231</v>
      </c>
      <c r="AN354" s="22" t="s">
        <v>232</v>
      </c>
      <c r="AO354" s="22" t="s">
        <v>231</v>
      </c>
      <c r="AP354" s="22" t="s">
        <v>232</v>
      </c>
      <c r="AQ354" s="22"/>
      <c r="AR354" s="22"/>
      <c r="AS354" s="22"/>
      <c r="AT354" s="22"/>
      <c r="AU354" s="22"/>
      <c r="AV354" s="22"/>
      <c r="AW354" s="23"/>
      <c r="AX354" s="27"/>
      <c r="AY354" s="25"/>
      <c r="AZ354" s="27"/>
      <c r="BA354" s="25"/>
      <c r="BB354" s="22" t="s">
        <v>1173</v>
      </c>
      <c r="BC354" s="22"/>
      <c r="BD354" s="22"/>
      <c r="BE354" s="22"/>
      <c r="BF354" s="23"/>
      <c r="BG354" s="23"/>
      <c r="BH354" s="22"/>
      <c r="BI354" s="23">
        <v>0</v>
      </c>
      <c r="BJ354" s="23">
        <v>0</v>
      </c>
      <c r="BK354" s="24"/>
      <c r="BL354" s="24"/>
      <c r="BM354" s="22"/>
      <c r="BN354" s="24"/>
      <c r="BO354" s="24">
        <v>46072</v>
      </c>
      <c r="BP354" s="25">
        <v>0</v>
      </c>
      <c r="BQ354" s="24">
        <v>46071</v>
      </c>
    </row>
    <row r="355" spans="1:69" ht="22.5" customHeight="1" x14ac:dyDescent="0.2">
      <c r="A355" s="28" t="s">
        <v>1085</v>
      </c>
      <c r="B355" s="28" t="s">
        <v>483</v>
      </c>
      <c r="C355" s="28" t="s">
        <v>221</v>
      </c>
      <c r="D355" s="28" t="s">
        <v>222</v>
      </c>
      <c r="E355" s="29">
        <v>423537</v>
      </c>
      <c r="F355" s="29">
        <v>3694</v>
      </c>
      <c r="G355" s="29">
        <v>483</v>
      </c>
      <c r="H355" s="29">
        <v>0</v>
      </c>
      <c r="I355" s="30">
        <v>46022</v>
      </c>
      <c r="J355" s="28" t="s">
        <v>223</v>
      </c>
      <c r="K355" s="28" t="s">
        <v>1174</v>
      </c>
      <c r="L355" s="31">
        <v>27.84</v>
      </c>
      <c r="M355" s="31">
        <v>5.58</v>
      </c>
      <c r="N355" s="31">
        <v>33.42</v>
      </c>
      <c r="O355" s="28"/>
      <c r="P355" s="32"/>
      <c r="Q355" s="31">
        <v>33.42</v>
      </c>
      <c r="R355" s="28"/>
      <c r="S355" s="31">
        <v>0</v>
      </c>
      <c r="T355" s="28"/>
      <c r="U355" s="29"/>
      <c r="V355" s="28"/>
      <c r="W355" s="29"/>
      <c r="X355" s="29"/>
      <c r="Y355" s="29"/>
      <c r="Z355" s="31">
        <v>0</v>
      </c>
      <c r="AA355" s="31">
        <v>0</v>
      </c>
      <c r="AB355" s="31">
        <v>0</v>
      </c>
      <c r="AC355" s="28"/>
      <c r="AD355" s="28" t="s">
        <v>225</v>
      </c>
      <c r="AE355" s="28" t="s">
        <v>226</v>
      </c>
      <c r="AF355" s="28" t="s">
        <v>31</v>
      </c>
      <c r="AG355" s="28" t="s">
        <v>42</v>
      </c>
      <c r="AH355" s="28" t="s">
        <v>228</v>
      </c>
      <c r="AI355" s="28" t="s">
        <v>31</v>
      </c>
      <c r="AJ355" s="28"/>
      <c r="AK355" s="28" t="s">
        <v>34</v>
      </c>
      <c r="AL355" s="28" t="s">
        <v>50</v>
      </c>
      <c r="AM355" s="28" t="s">
        <v>231</v>
      </c>
      <c r="AN355" s="28" t="s">
        <v>232</v>
      </c>
      <c r="AO355" s="28" t="s">
        <v>231</v>
      </c>
      <c r="AP355" s="28" t="s">
        <v>232</v>
      </c>
      <c r="AQ355" s="28"/>
      <c r="AR355" s="28"/>
      <c r="AS355" s="28"/>
      <c r="AT355" s="28"/>
      <c r="AU355" s="28"/>
      <c r="AV355" s="28"/>
      <c r="AW355" s="29"/>
      <c r="AX355" s="33"/>
      <c r="AY355" s="31"/>
      <c r="AZ355" s="33"/>
      <c r="BA355" s="31"/>
      <c r="BB355" s="28" t="s">
        <v>1175</v>
      </c>
      <c r="BC355" s="28"/>
      <c r="BD355" s="28"/>
      <c r="BE355" s="28"/>
      <c r="BF355" s="29"/>
      <c r="BG355" s="29"/>
      <c r="BH355" s="28"/>
      <c r="BI355" s="29">
        <v>0</v>
      </c>
      <c r="BJ355" s="29">
        <v>0</v>
      </c>
      <c r="BK355" s="30"/>
      <c r="BL355" s="30"/>
      <c r="BM355" s="28"/>
      <c r="BN355" s="30"/>
      <c r="BO355" s="30">
        <v>46072</v>
      </c>
      <c r="BP355" s="31">
        <v>0</v>
      </c>
      <c r="BQ355" s="30">
        <v>46071</v>
      </c>
    </row>
    <row r="356" spans="1:69" ht="22.5" customHeight="1" x14ac:dyDescent="0.2">
      <c r="A356" s="22" t="s">
        <v>1085</v>
      </c>
      <c r="B356" s="22" t="s">
        <v>483</v>
      </c>
      <c r="C356" s="22" t="s">
        <v>221</v>
      </c>
      <c r="D356" s="22" t="s">
        <v>222</v>
      </c>
      <c r="E356" s="23">
        <v>423540</v>
      </c>
      <c r="F356" s="23">
        <v>3695</v>
      </c>
      <c r="G356" s="23">
        <v>483</v>
      </c>
      <c r="H356" s="23">
        <v>0</v>
      </c>
      <c r="I356" s="24">
        <v>46022</v>
      </c>
      <c r="J356" s="22" t="s">
        <v>223</v>
      </c>
      <c r="K356" s="22" t="s">
        <v>1176</v>
      </c>
      <c r="L356" s="25">
        <v>34.79</v>
      </c>
      <c r="M356" s="25">
        <v>6.98</v>
      </c>
      <c r="N356" s="25">
        <v>41.77</v>
      </c>
      <c r="O356" s="22"/>
      <c r="P356" s="26"/>
      <c r="Q356" s="25">
        <v>41.77</v>
      </c>
      <c r="R356" s="22"/>
      <c r="S356" s="25">
        <v>0</v>
      </c>
      <c r="T356" s="22"/>
      <c r="U356" s="23"/>
      <c r="V356" s="22"/>
      <c r="W356" s="23"/>
      <c r="X356" s="23"/>
      <c r="Y356" s="23"/>
      <c r="Z356" s="25">
        <v>0</v>
      </c>
      <c r="AA356" s="25">
        <v>0</v>
      </c>
      <c r="AB356" s="25">
        <v>0</v>
      </c>
      <c r="AC356" s="22"/>
      <c r="AD356" s="22" t="s">
        <v>225</v>
      </c>
      <c r="AE356" s="22" t="s">
        <v>226</v>
      </c>
      <c r="AF356" s="22" t="s">
        <v>31</v>
      </c>
      <c r="AG356" s="22" t="s">
        <v>42</v>
      </c>
      <c r="AH356" s="22" t="s">
        <v>228</v>
      </c>
      <c r="AI356" s="22" t="s">
        <v>31</v>
      </c>
      <c r="AJ356" s="22"/>
      <c r="AK356" s="22" t="s">
        <v>34</v>
      </c>
      <c r="AL356" s="22" t="s">
        <v>43</v>
      </c>
      <c r="AM356" s="22" t="s">
        <v>231</v>
      </c>
      <c r="AN356" s="22" t="s">
        <v>232</v>
      </c>
      <c r="AO356" s="22" t="s">
        <v>231</v>
      </c>
      <c r="AP356" s="22" t="s">
        <v>232</v>
      </c>
      <c r="AQ356" s="22"/>
      <c r="AR356" s="22"/>
      <c r="AS356" s="22"/>
      <c r="AT356" s="22"/>
      <c r="AU356" s="22"/>
      <c r="AV356" s="22"/>
      <c r="AW356" s="23"/>
      <c r="AX356" s="27"/>
      <c r="AY356" s="25"/>
      <c r="AZ356" s="27"/>
      <c r="BA356" s="25"/>
      <c r="BB356" s="22" t="s">
        <v>1177</v>
      </c>
      <c r="BC356" s="22"/>
      <c r="BD356" s="22"/>
      <c r="BE356" s="22"/>
      <c r="BF356" s="23"/>
      <c r="BG356" s="23"/>
      <c r="BH356" s="22"/>
      <c r="BI356" s="23">
        <v>0</v>
      </c>
      <c r="BJ356" s="23">
        <v>0</v>
      </c>
      <c r="BK356" s="24"/>
      <c r="BL356" s="24"/>
      <c r="BM356" s="22"/>
      <c r="BN356" s="24"/>
      <c r="BO356" s="24">
        <v>46072</v>
      </c>
      <c r="BP356" s="25">
        <v>0</v>
      </c>
      <c r="BQ356" s="24">
        <v>46071</v>
      </c>
    </row>
    <row r="357" spans="1:69" ht="22.5" customHeight="1" x14ac:dyDescent="0.2">
      <c r="A357" s="28" t="s">
        <v>1085</v>
      </c>
      <c r="B357" s="28" t="s">
        <v>483</v>
      </c>
      <c r="C357" s="28" t="s">
        <v>221</v>
      </c>
      <c r="D357" s="28" t="s">
        <v>222</v>
      </c>
      <c r="E357" s="29">
        <v>423543</v>
      </c>
      <c r="F357" s="29">
        <v>3696</v>
      </c>
      <c r="G357" s="29">
        <v>483</v>
      </c>
      <c r="H357" s="29">
        <v>0</v>
      </c>
      <c r="I357" s="30">
        <v>46022</v>
      </c>
      <c r="J357" s="28" t="s">
        <v>223</v>
      </c>
      <c r="K357" s="28" t="s">
        <v>1178</v>
      </c>
      <c r="L357" s="31">
        <v>27.93</v>
      </c>
      <c r="M357" s="31">
        <v>5.59</v>
      </c>
      <c r="N357" s="31">
        <v>33.520000000000003</v>
      </c>
      <c r="O357" s="28"/>
      <c r="P357" s="32"/>
      <c r="Q357" s="31">
        <v>33.520000000000003</v>
      </c>
      <c r="R357" s="28"/>
      <c r="S357" s="31">
        <v>0</v>
      </c>
      <c r="T357" s="28"/>
      <c r="U357" s="29"/>
      <c r="V357" s="28"/>
      <c r="W357" s="29"/>
      <c r="X357" s="29"/>
      <c r="Y357" s="29"/>
      <c r="Z357" s="31">
        <v>0</v>
      </c>
      <c r="AA357" s="31">
        <v>0</v>
      </c>
      <c r="AB357" s="31">
        <v>0</v>
      </c>
      <c r="AC357" s="28"/>
      <c r="AD357" s="28" t="s">
        <v>225</v>
      </c>
      <c r="AE357" s="28" t="s">
        <v>226</v>
      </c>
      <c r="AF357" s="28" t="s">
        <v>31</v>
      </c>
      <c r="AG357" s="28" t="s">
        <v>42</v>
      </c>
      <c r="AH357" s="28" t="s">
        <v>228</v>
      </c>
      <c r="AI357" s="28" t="s">
        <v>31</v>
      </c>
      <c r="AJ357" s="28"/>
      <c r="AK357" s="28" t="s">
        <v>34</v>
      </c>
      <c r="AL357" s="28" t="s">
        <v>250</v>
      </c>
      <c r="AM357" s="28" t="s">
        <v>231</v>
      </c>
      <c r="AN357" s="28" t="s">
        <v>232</v>
      </c>
      <c r="AO357" s="28" t="s">
        <v>231</v>
      </c>
      <c r="AP357" s="28" t="s">
        <v>232</v>
      </c>
      <c r="AQ357" s="28"/>
      <c r="AR357" s="28"/>
      <c r="AS357" s="28"/>
      <c r="AT357" s="28"/>
      <c r="AU357" s="28"/>
      <c r="AV357" s="28"/>
      <c r="AW357" s="29"/>
      <c r="AX357" s="33"/>
      <c r="AY357" s="31"/>
      <c r="AZ357" s="33"/>
      <c r="BA357" s="31"/>
      <c r="BB357" s="28" t="s">
        <v>1179</v>
      </c>
      <c r="BC357" s="28"/>
      <c r="BD357" s="28"/>
      <c r="BE357" s="28"/>
      <c r="BF357" s="29"/>
      <c r="BG357" s="29"/>
      <c r="BH357" s="28"/>
      <c r="BI357" s="29">
        <v>0</v>
      </c>
      <c r="BJ357" s="29">
        <v>0</v>
      </c>
      <c r="BK357" s="30"/>
      <c r="BL357" s="30"/>
      <c r="BM357" s="28"/>
      <c r="BN357" s="30"/>
      <c r="BO357" s="30">
        <v>46072</v>
      </c>
      <c r="BP357" s="31">
        <v>0</v>
      </c>
      <c r="BQ357" s="30">
        <v>46071</v>
      </c>
    </row>
    <row r="358" spans="1:69" ht="22.5" customHeight="1" x14ac:dyDescent="0.2">
      <c r="A358" s="22" t="s">
        <v>1085</v>
      </c>
      <c r="B358" s="22" t="s">
        <v>483</v>
      </c>
      <c r="C358" s="22" t="s">
        <v>221</v>
      </c>
      <c r="D358" s="22" t="s">
        <v>222</v>
      </c>
      <c r="E358" s="23">
        <v>423546</v>
      </c>
      <c r="F358" s="23">
        <v>3697</v>
      </c>
      <c r="G358" s="23">
        <v>483</v>
      </c>
      <c r="H358" s="23">
        <v>0</v>
      </c>
      <c r="I358" s="24">
        <v>46022</v>
      </c>
      <c r="J358" s="22" t="s">
        <v>223</v>
      </c>
      <c r="K358" s="22" t="s">
        <v>1180</v>
      </c>
      <c r="L358" s="25">
        <v>5.54</v>
      </c>
      <c r="M358" s="25">
        <v>1.1100000000000001</v>
      </c>
      <c r="N358" s="25">
        <v>6.65</v>
      </c>
      <c r="O358" s="22"/>
      <c r="P358" s="26"/>
      <c r="Q358" s="25">
        <v>6.65</v>
      </c>
      <c r="R358" s="22"/>
      <c r="S358" s="25">
        <v>0</v>
      </c>
      <c r="T358" s="22"/>
      <c r="U358" s="23"/>
      <c r="V358" s="22"/>
      <c r="W358" s="23"/>
      <c r="X358" s="23"/>
      <c r="Y358" s="23"/>
      <c r="Z358" s="25">
        <v>0</v>
      </c>
      <c r="AA358" s="25">
        <v>0</v>
      </c>
      <c r="AB358" s="25">
        <v>0</v>
      </c>
      <c r="AC358" s="22"/>
      <c r="AD358" s="22" t="s">
        <v>225</v>
      </c>
      <c r="AE358" s="22" t="s">
        <v>226</v>
      </c>
      <c r="AF358" s="22" t="s">
        <v>31</v>
      </c>
      <c r="AG358" s="22" t="s">
        <v>46</v>
      </c>
      <c r="AH358" s="22" t="s">
        <v>228</v>
      </c>
      <c r="AI358" s="22" t="s">
        <v>31</v>
      </c>
      <c r="AJ358" s="22"/>
      <c r="AK358" s="22" t="s">
        <v>34</v>
      </c>
      <c r="AL358" s="22" t="s">
        <v>47</v>
      </c>
      <c r="AM358" s="22" t="s">
        <v>231</v>
      </c>
      <c r="AN358" s="22" t="s">
        <v>232</v>
      </c>
      <c r="AO358" s="22" t="s">
        <v>231</v>
      </c>
      <c r="AP358" s="22" t="s">
        <v>232</v>
      </c>
      <c r="AQ358" s="22"/>
      <c r="AR358" s="22"/>
      <c r="AS358" s="22"/>
      <c r="AT358" s="22"/>
      <c r="AU358" s="22"/>
      <c r="AV358" s="22"/>
      <c r="AW358" s="23"/>
      <c r="AX358" s="27"/>
      <c r="AY358" s="25"/>
      <c r="AZ358" s="27"/>
      <c r="BA358" s="25"/>
      <c r="BB358" s="22" t="s">
        <v>1181</v>
      </c>
      <c r="BC358" s="22"/>
      <c r="BD358" s="22"/>
      <c r="BE358" s="22"/>
      <c r="BF358" s="23"/>
      <c r="BG358" s="23"/>
      <c r="BH358" s="22"/>
      <c r="BI358" s="23">
        <v>0</v>
      </c>
      <c r="BJ358" s="23">
        <v>0</v>
      </c>
      <c r="BK358" s="24"/>
      <c r="BL358" s="24"/>
      <c r="BM358" s="22"/>
      <c r="BN358" s="24"/>
      <c r="BO358" s="24">
        <v>46072</v>
      </c>
      <c r="BP358" s="25">
        <v>0</v>
      </c>
      <c r="BQ358" s="24">
        <v>46071</v>
      </c>
    </row>
    <row r="359" spans="1:69" ht="22.5" customHeight="1" x14ac:dyDescent="0.2">
      <c r="A359" s="28" t="s">
        <v>1085</v>
      </c>
      <c r="B359" s="28" t="s">
        <v>483</v>
      </c>
      <c r="C359" s="28" t="s">
        <v>221</v>
      </c>
      <c r="D359" s="28" t="s">
        <v>222</v>
      </c>
      <c r="E359" s="29">
        <v>423597</v>
      </c>
      <c r="F359" s="29">
        <v>3698</v>
      </c>
      <c r="G359" s="29">
        <v>483</v>
      </c>
      <c r="H359" s="29">
        <v>0</v>
      </c>
      <c r="I359" s="30">
        <v>46022</v>
      </c>
      <c r="J359" s="28" t="s">
        <v>223</v>
      </c>
      <c r="K359" s="28" t="s">
        <v>1182</v>
      </c>
      <c r="L359" s="31">
        <v>21.66</v>
      </c>
      <c r="M359" s="31">
        <v>4.34</v>
      </c>
      <c r="N359" s="31">
        <v>26</v>
      </c>
      <c r="O359" s="28"/>
      <c r="P359" s="32"/>
      <c r="Q359" s="31">
        <v>26</v>
      </c>
      <c r="R359" s="28"/>
      <c r="S359" s="31">
        <v>0</v>
      </c>
      <c r="T359" s="28"/>
      <c r="U359" s="29"/>
      <c r="V359" s="28"/>
      <c r="W359" s="29"/>
      <c r="X359" s="29"/>
      <c r="Y359" s="29"/>
      <c r="Z359" s="31">
        <v>0</v>
      </c>
      <c r="AA359" s="31">
        <v>0</v>
      </c>
      <c r="AB359" s="31">
        <v>0</v>
      </c>
      <c r="AC359" s="28"/>
      <c r="AD359" s="28" t="s">
        <v>225</v>
      </c>
      <c r="AE359" s="28" t="s">
        <v>226</v>
      </c>
      <c r="AF359" s="28" t="s">
        <v>31</v>
      </c>
      <c r="AG359" s="28" t="s">
        <v>46</v>
      </c>
      <c r="AH359" s="28" t="s">
        <v>228</v>
      </c>
      <c r="AI359" s="28" t="s">
        <v>31</v>
      </c>
      <c r="AJ359" s="28"/>
      <c r="AK359" s="28" t="s">
        <v>34</v>
      </c>
      <c r="AL359" s="28" t="s">
        <v>47</v>
      </c>
      <c r="AM359" s="28" t="s">
        <v>231</v>
      </c>
      <c r="AN359" s="28" t="s">
        <v>232</v>
      </c>
      <c r="AO359" s="28" t="s">
        <v>231</v>
      </c>
      <c r="AP359" s="28" t="s">
        <v>232</v>
      </c>
      <c r="AQ359" s="28"/>
      <c r="AR359" s="28"/>
      <c r="AS359" s="28"/>
      <c r="AT359" s="28"/>
      <c r="AU359" s="28"/>
      <c r="AV359" s="28"/>
      <c r="AW359" s="29"/>
      <c r="AX359" s="33"/>
      <c r="AY359" s="31"/>
      <c r="AZ359" s="33"/>
      <c r="BA359" s="31"/>
      <c r="BB359" s="28" t="s">
        <v>1183</v>
      </c>
      <c r="BC359" s="28"/>
      <c r="BD359" s="28"/>
      <c r="BE359" s="28"/>
      <c r="BF359" s="29"/>
      <c r="BG359" s="29"/>
      <c r="BH359" s="28"/>
      <c r="BI359" s="29">
        <v>0</v>
      </c>
      <c r="BJ359" s="29">
        <v>0</v>
      </c>
      <c r="BK359" s="30"/>
      <c r="BL359" s="30"/>
      <c r="BM359" s="28"/>
      <c r="BN359" s="30"/>
      <c r="BO359" s="30">
        <v>46072</v>
      </c>
      <c r="BP359" s="31">
        <v>0</v>
      </c>
      <c r="BQ359" s="30">
        <v>46071</v>
      </c>
    </row>
    <row r="360" spans="1:69" ht="22.5" hidden="1" customHeight="1" x14ac:dyDescent="0.2">
      <c r="A360" s="22" t="s">
        <v>1085</v>
      </c>
      <c r="B360" s="22" t="s">
        <v>483</v>
      </c>
      <c r="C360" s="22" t="s">
        <v>221</v>
      </c>
      <c r="D360" s="22" t="s">
        <v>222</v>
      </c>
      <c r="E360" s="23">
        <v>423660</v>
      </c>
      <c r="F360" s="23">
        <v>3699</v>
      </c>
      <c r="G360" s="23">
        <v>483</v>
      </c>
      <c r="H360" s="23">
        <v>0</v>
      </c>
      <c r="I360" s="24">
        <v>46022</v>
      </c>
      <c r="J360" s="22" t="s">
        <v>223</v>
      </c>
      <c r="K360" s="22" t="s">
        <v>1184</v>
      </c>
      <c r="L360" s="25">
        <v>477.73</v>
      </c>
      <c r="M360" s="25">
        <v>26.27</v>
      </c>
      <c r="N360" s="25">
        <v>504</v>
      </c>
      <c r="O360" s="22"/>
      <c r="P360" s="26"/>
      <c r="Q360" s="25">
        <v>504</v>
      </c>
      <c r="R360" s="22"/>
      <c r="S360" s="25">
        <v>0</v>
      </c>
      <c r="T360" s="22"/>
      <c r="U360" s="23"/>
      <c r="V360" s="22"/>
      <c r="W360" s="23"/>
      <c r="X360" s="23"/>
      <c r="Y360" s="23"/>
      <c r="Z360" s="25">
        <v>0</v>
      </c>
      <c r="AA360" s="25">
        <v>0</v>
      </c>
      <c r="AB360" s="25">
        <v>0</v>
      </c>
      <c r="AC360" s="22"/>
      <c r="AD360" s="22" t="s">
        <v>225</v>
      </c>
      <c r="AE360" s="22" t="s">
        <v>226</v>
      </c>
      <c r="AF360" s="22" t="s">
        <v>31</v>
      </c>
      <c r="AG360" s="22" t="s">
        <v>259</v>
      </c>
      <c r="AH360" s="22" t="s">
        <v>228</v>
      </c>
      <c r="AI360" s="22" t="s">
        <v>31</v>
      </c>
      <c r="AJ360" s="22"/>
      <c r="AK360" s="22" t="s">
        <v>260</v>
      </c>
      <c r="AL360" s="22" t="s">
        <v>31</v>
      </c>
      <c r="AM360" s="22" t="s">
        <v>231</v>
      </c>
      <c r="AN360" s="22" t="s">
        <v>232</v>
      </c>
      <c r="AO360" s="22" t="s">
        <v>231</v>
      </c>
      <c r="AP360" s="22" t="s">
        <v>232</v>
      </c>
      <c r="AQ360" s="22"/>
      <c r="AR360" s="22"/>
      <c r="AS360" s="22"/>
      <c r="AT360" s="22"/>
      <c r="AU360" s="22"/>
      <c r="AV360" s="22"/>
      <c r="AW360" s="23"/>
      <c r="AX360" s="27"/>
      <c r="AY360" s="25"/>
      <c r="AZ360" s="27"/>
      <c r="BA360" s="25"/>
      <c r="BB360" s="22" t="s">
        <v>1185</v>
      </c>
      <c r="BC360" s="22"/>
      <c r="BD360" s="22"/>
      <c r="BE360" s="22"/>
      <c r="BF360" s="23"/>
      <c r="BG360" s="23"/>
      <c r="BH360" s="22"/>
      <c r="BI360" s="23">
        <v>0</v>
      </c>
      <c r="BJ360" s="23">
        <v>0</v>
      </c>
      <c r="BK360" s="24"/>
      <c r="BL360" s="24"/>
      <c r="BM360" s="22"/>
      <c r="BN360" s="24"/>
      <c r="BO360" s="24">
        <v>46072</v>
      </c>
      <c r="BP360" s="25">
        <v>0</v>
      </c>
      <c r="BQ360" s="24">
        <v>46071</v>
      </c>
    </row>
  </sheetData>
  <autoFilter ref="A1:BQ360" xr:uid="{CD3777B3-879B-4E39-AC83-7FFD98E1D4FB}">
    <filterColumn colId="36">
      <filters>
        <filter val="2-RE"/>
      </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3D33-F920-4531-B1B2-8CD848592E04}">
  <sheetPr codeName="Feuil4"/>
  <dimension ref="A1:AKN1036131"/>
  <sheetViews>
    <sheetView zoomScale="115" zoomScaleNormal="115" workbookViewId="0">
      <selection activeCell="T12" sqref="T12"/>
    </sheetView>
  </sheetViews>
  <sheetFormatPr baseColWidth="10" defaultRowHeight="16.5" x14ac:dyDescent="0.25"/>
  <cols>
    <col min="1" max="1" width="19.28515625" style="368" customWidth="1"/>
    <col min="2" max="2" width="21.5703125" style="368" customWidth="1"/>
    <col min="3" max="4" width="18.28515625" style="368" customWidth="1"/>
    <col min="5" max="5" width="20.140625" style="368" customWidth="1"/>
    <col min="6" max="9" width="11.42578125" style="368"/>
    <col min="10" max="10" width="15.140625" style="368" customWidth="1"/>
    <col min="11" max="11" width="117.42578125" style="368" customWidth="1"/>
    <col min="12" max="13" width="11.42578125" style="368"/>
    <col min="14" max="14" width="23.85546875" style="442" customWidth="1"/>
    <col min="15" max="21" width="11.42578125" style="368"/>
    <col min="22" max="22" width="12.5703125" style="368" customWidth="1"/>
    <col min="23" max="24" width="11.42578125" style="368"/>
    <col min="25" max="25" width="44.28515625" style="368" customWidth="1"/>
    <col min="26" max="28" width="11.42578125" style="368"/>
    <col min="29" max="29" width="17.28515625" style="368" customWidth="1"/>
    <col min="30" max="30" width="11.42578125" style="368"/>
    <col min="31" max="31" width="33.140625" style="368" customWidth="1"/>
    <col min="32" max="35" width="11.42578125" style="368"/>
    <col min="36" max="36" width="42.7109375" style="368" customWidth="1"/>
    <col min="37" max="37" width="24.28515625" style="368" customWidth="1"/>
    <col min="38" max="38" width="23.5703125" style="368" customWidth="1"/>
    <col min="39" max="39" width="21.5703125" style="368" customWidth="1"/>
    <col min="40" max="40" width="24.28515625" style="368" customWidth="1"/>
    <col min="41" max="41" width="25.140625" style="368" customWidth="1"/>
    <col min="42" max="42" width="28" style="368" customWidth="1"/>
    <col min="43" max="43" width="21.140625" style="368" customWidth="1"/>
    <col min="44" max="16384" width="11.42578125" style="368"/>
  </cols>
  <sheetData>
    <row r="1" spans="1:976" ht="28.7" customHeight="1" thickBot="1" x14ac:dyDescent="0.25">
      <c r="A1" s="365" t="s">
        <v>168</v>
      </c>
      <c r="B1" s="365" t="s">
        <v>169</v>
      </c>
      <c r="C1" s="365" t="s">
        <v>170</v>
      </c>
      <c r="D1" s="365" t="s">
        <v>171</v>
      </c>
      <c r="E1" s="365" t="s">
        <v>172</v>
      </c>
      <c r="F1" s="365" t="s">
        <v>173</v>
      </c>
      <c r="G1" s="365" t="s">
        <v>1</v>
      </c>
      <c r="H1" s="365" t="s">
        <v>174</v>
      </c>
      <c r="I1" s="366" t="s">
        <v>175</v>
      </c>
      <c r="J1" s="365" t="s">
        <v>12</v>
      </c>
      <c r="K1" s="365" t="s">
        <v>3</v>
      </c>
      <c r="L1" s="367" t="s">
        <v>5</v>
      </c>
      <c r="M1" s="367" t="s">
        <v>6</v>
      </c>
      <c r="N1" s="440" t="s">
        <v>7</v>
      </c>
      <c r="O1" s="365" t="s">
        <v>23</v>
      </c>
      <c r="P1" s="365" t="s">
        <v>176</v>
      </c>
      <c r="Q1" s="367" t="s">
        <v>177</v>
      </c>
      <c r="R1" s="365" t="s">
        <v>10</v>
      </c>
      <c r="S1" s="367" t="s">
        <v>178</v>
      </c>
      <c r="T1" s="367" t="s">
        <v>183</v>
      </c>
      <c r="U1" s="367" t="s">
        <v>184</v>
      </c>
      <c r="V1" s="367" t="s">
        <v>185</v>
      </c>
      <c r="W1" s="365" t="s">
        <v>186</v>
      </c>
      <c r="X1" s="365" t="s">
        <v>187</v>
      </c>
      <c r="Y1" s="365" t="s">
        <v>188</v>
      </c>
      <c r="Z1" s="365" t="s">
        <v>15</v>
      </c>
      <c r="AA1" s="365" t="s">
        <v>16</v>
      </c>
      <c r="AB1" s="365" t="s">
        <v>18</v>
      </c>
      <c r="AC1" s="365" t="s">
        <v>19</v>
      </c>
      <c r="AD1" s="365" t="s">
        <v>190</v>
      </c>
      <c r="AE1" s="365" t="s">
        <v>191</v>
      </c>
      <c r="AF1" s="365" t="s">
        <v>192</v>
      </c>
      <c r="AG1" s="365" t="s">
        <v>193</v>
      </c>
      <c r="AH1" s="365" t="s">
        <v>194</v>
      </c>
      <c r="AI1" s="365" t="s">
        <v>195</v>
      </c>
      <c r="AJ1" s="365" t="s">
        <v>204</v>
      </c>
      <c r="AK1" s="365" t="s">
        <v>210</v>
      </c>
      <c r="AL1" s="365" t="s">
        <v>211</v>
      </c>
      <c r="AM1" s="365" t="s">
        <v>212</v>
      </c>
      <c r="AN1" s="366" t="s">
        <v>216</v>
      </c>
      <c r="AO1" s="366" t="s">
        <v>217</v>
      </c>
      <c r="AP1" s="367" t="s">
        <v>218</v>
      </c>
      <c r="AQ1" s="366" t="s">
        <v>219</v>
      </c>
    </row>
    <row r="2" spans="1:976" s="357" customFormat="1" ht="22.5" customHeight="1" x14ac:dyDescent="0.2">
      <c r="A2" s="413" t="s">
        <v>262</v>
      </c>
      <c r="B2" s="413"/>
      <c r="C2" s="413" t="s">
        <v>221</v>
      </c>
      <c r="D2" s="413" t="s">
        <v>222</v>
      </c>
      <c r="E2" s="414">
        <v>401938</v>
      </c>
      <c r="F2" s="414">
        <v>65</v>
      </c>
      <c r="G2" s="414">
        <v>11</v>
      </c>
      <c r="H2" s="414">
        <v>0</v>
      </c>
      <c r="I2" s="415">
        <v>45698</v>
      </c>
      <c r="J2" s="413" t="s">
        <v>263</v>
      </c>
      <c r="K2" s="413" t="s">
        <v>264</v>
      </c>
      <c r="L2" s="416">
        <v>28.16</v>
      </c>
      <c r="M2" s="416">
        <v>1.55</v>
      </c>
      <c r="N2" s="446">
        <v>29.71</v>
      </c>
      <c r="O2" s="413"/>
      <c r="P2" s="417">
        <v>45701</v>
      </c>
      <c r="Q2" s="416">
        <v>29.71</v>
      </c>
      <c r="R2" s="413" t="s">
        <v>265</v>
      </c>
      <c r="S2" s="416">
        <v>0</v>
      </c>
      <c r="T2" s="416">
        <v>0</v>
      </c>
      <c r="U2" s="416">
        <v>0</v>
      </c>
      <c r="V2" s="416">
        <v>0</v>
      </c>
      <c r="W2" s="413"/>
      <c r="X2" s="413" t="s">
        <v>266</v>
      </c>
      <c r="Y2" s="413" t="s">
        <v>267</v>
      </c>
      <c r="Z2" s="413" t="s">
        <v>42</v>
      </c>
      <c r="AA2" s="413" t="s">
        <v>228</v>
      </c>
      <c r="AB2" s="413" t="s">
        <v>34</v>
      </c>
      <c r="AC2" s="413" t="s">
        <v>50</v>
      </c>
      <c r="AD2" s="413" t="s">
        <v>231</v>
      </c>
      <c r="AE2" s="413" t="s">
        <v>232</v>
      </c>
      <c r="AF2" s="413" t="s">
        <v>231</v>
      </c>
      <c r="AG2" s="413" t="s">
        <v>232</v>
      </c>
      <c r="AH2" s="413"/>
      <c r="AI2" s="413"/>
      <c r="AJ2" s="413" t="s">
        <v>253</v>
      </c>
      <c r="AK2" s="413" t="s">
        <v>268</v>
      </c>
      <c r="AL2" s="414">
        <v>1</v>
      </c>
      <c r="AM2" s="414">
        <v>0</v>
      </c>
      <c r="AN2" s="415">
        <v>45701</v>
      </c>
      <c r="AO2" s="415">
        <v>45701</v>
      </c>
      <c r="AP2" s="416">
        <v>29.71</v>
      </c>
      <c r="AQ2" s="415">
        <v>45700</v>
      </c>
      <c r="AR2" s="368"/>
      <c r="AS2" s="368"/>
      <c r="AT2" s="368"/>
      <c r="AU2" s="368"/>
      <c r="AV2" s="368"/>
      <c r="AW2" s="368"/>
      <c r="AX2" s="368"/>
      <c r="AY2" s="368"/>
      <c r="AZ2" s="368"/>
      <c r="BA2" s="368"/>
      <c r="BB2" s="368"/>
      <c r="BC2" s="368"/>
      <c r="BD2" s="368"/>
      <c r="BE2" s="368"/>
      <c r="BF2" s="368"/>
      <c r="BG2" s="368"/>
      <c r="BH2" s="368"/>
      <c r="BI2" s="368"/>
      <c r="BJ2" s="368"/>
      <c r="BK2" s="368"/>
      <c r="BL2" s="368"/>
      <c r="BM2" s="368"/>
      <c r="BN2" s="368"/>
      <c r="BO2" s="368"/>
      <c r="BP2" s="368"/>
      <c r="BQ2" s="368"/>
      <c r="BR2" s="368"/>
      <c r="BS2" s="368"/>
      <c r="BT2" s="368"/>
      <c r="BU2" s="368"/>
      <c r="BV2" s="368"/>
      <c r="BW2" s="368"/>
      <c r="BX2" s="368"/>
      <c r="BY2" s="368"/>
      <c r="BZ2" s="368"/>
      <c r="CA2" s="368"/>
      <c r="CB2" s="368"/>
      <c r="CC2" s="368"/>
      <c r="CD2" s="368"/>
      <c r="CE2" s="368"/>
      <c r="CF2" s="368"/>
      <c r="CG2" s="368"/>
      <c r="CH2" s="368"/>
      <c r="CI2" s="368"/>
      <c r="CJ2" s="368"/>
      <c r="CK2" s="368"/>
      <c r="CL2" s="368"/>
      <c r="CM2" s="368"/>
      <c r="CN2" s="368"/>
      <c r="CO2" s="368"/>
      <c r="CP2" s="368"/>
      <c r="CQ2" s="368"/>
      <c r="CR2" s="368"/>
      <c r="CS2" s="368"/>
      <c r="CT2" s="368"/>
      <c r="CU2" s="368"/>
      <c r="CV2" s="368"/>
      <c r="CW2" s="368"/>
      <c r="CX2" s="368"/>
      <c r="CY2" s="368"/>
      <c r="CZ2" s="368"/>
      <c r="DA2" s="368"/>
      <c r="DB2" s="368"/>
      <c r="DC2" s="368"/>
      <c r="DD2" s="368"/>
      <c r="DE2" s="368"/>
      <c r="DF2" s="368"/>
      <c r="DG2" s="368"/>
      <c r="DH2" s="368"/>
      <c r="DI2" s="368"/>
      <c r="DJ2" s="368"/>
      <c r="DK2" s="368"/>
      <c r="DL2" s="368"/>
      <c r="DM2" s="368"/>
      <c r="DN2" s="368"/>
      <c r="DO2" s="368"/>
      <c r="DP2" s="368"/>
      <c r="DQ2" s="368"/>
      <c r="DR2" s="368"/>
      <c r="DS2" s="368"/>
      <c r="DT2" s="368"/>
      <c r="DU2" s="368"/>
      <c r="DV2" s="368"/>
      <c r="DW2" s="368"/>
      <c r="DX2" s="368"/>
      <c r="DY2" s="368"/>
      <c r="DZ2" s="368"/>
      <c r="EA2" s="368"/>
      <c r="EB2" s="368"/>
      <c r="EC2" s="368"/>
      <c r="ED2" s="368"/>
      <c r="EE2" s="368"/>
      <c r="EF2" s="368"/>
      <c r="EG2" s="368"/>
      <c r="EH2" s="368"/>
      <c r="EI2" s="368"/>
      <c r="EJ2" s="368"/>
      <c r="EK2" s="368"/>
      <c r="EL2" s="368"/>
      <c r="EM2" s="368"/>
      <c r="EN2" s="368"/>
      <c r="EO2" s="368"/>
      <c r="EP2" s="368"/>
      <c r="EQ2" s="368"/>
      <c r="ER2" s="368"/>
      <c r="ES2" s="368"/>
      <c r="ET2" s="368"/>
      <c r="EU2" s="368"/>
      <c r="EV2" s="368"/>
      <c r="EW2" s="368"/>
      <c r="EX2" s="368"/>
      <c r="EY2" s="368"/>
      <c r="EZ2" s="368"/>
      <c r="FA2" s="368"/>
      <c r="FB2" s="368"/>
      <c r="FC2" s="368"/>
      <c r="FD2" s="368"/>
      <c r="FE2" s="368"/>
      <c r="FF2" s="368"/>
      <c r="FG2" s="368"/>
      <c r="FH2" s="368"/>
      <c r="FI2" s="368"/>
      <c r="FJ2" s="368"/>
      <c r="FK2" s="368"/>
      <c r="FL2" s="368"/>
      <c r="FM2" s="368"/>
      <c r="FN2" s="368"/>
      <c r="FO2" s="368"/>
      <c r="FP2" s="368"/>
      <c r="FQ2" s="368"/>
      <c r="FR2" s="368"/>
      <c r="FS2" s="368"/>
      <c r="FT2" s="368"/>
      <c r="FU2" s="368"/>
      <c r="FV2" s="368"/>
      <c r="FW2" s="368"/>
      <c r="FX2" s="368"/>
      <c r="FY2" s="368"/>
      <c r="FZ2" s="368"/>
      <c r="GA2" s="368"/>
      <c r="GB2" s="368"/>
      <c r="GC2" s="368"/>
      <c r="GD2" s="368"/>
      <c r="GE2" s="368"/>
      <c r="GF2" s="368"/>
      <c r="GG2" s="368"/>
      <c r="GH2" s="368"/>
      <c r="GI2" s="368"/>
      <c r="GJ2" s="368"/>
      <c r="GK2" s="368"/>
      <c r="GL2" s="368"/>
      <c r="GM2" s="368"/>
      <c r="GN2" s="368"/>
      <c r="GO2" s="368"/>
      <c r="GP2" s="368"/>
      <c r="GQ2" s="368"/>
      <c r="GR2" s="368"/>
      <c r="GS2" s="368"/>
      <c r="GT2" s="368"/>
      <c r="GU2" s="368"/>
      <c r="GV2" s="368"/>
      <c r="GW2" s="368"/>
      <c r="GX2" s="368"/>
      <c r="GY2" s="368"/>
      <c r="GZ2" s="368"/>
      <c r="HA2" s="368"/>
      <c r="HB2" s="368"/>
      <c r="HC2" s="368"/>
      <c r="HD2" s="368"/>
      <c r="HE2" s="368"/>
      <c r="HF2" s="368"/>
      <c r="HG2" s="368"/>
      <c r="HH2" s="368"/>
      <c r="HI2" s="368"/>
      <c r="HJ2" s="368"/>
      <c r="HK2" s="368"/>
      <c r="HL2" s="368"/>
      <c r="HM2" s="368"/>
      <c r="HN2" s="368"/>
      <c r="HO2" s="368"/>
      <c r="HP2" s="368"/>
      <c r="HQ2" s="368"/>
      <c r="HR2" s="368"/>
      <c r="HS2" s="368"/>
      <c r="HT2" s="368"/>
      <c r="HU2" s="368"/>
      <c r="HV2" s="368"/>
      <c r="HW2" s="368"/>
      <c r="HX2" s="368"/>
      <c r="HY2" s="368"/>
      <c r="HZ2" s="368"/>
      <c r="IA2" s="368"/>
      <c r="IB2" s="368"/>
      <c r="IC2" s="368"/>
      <c r="ID2" s="368"/>
      <c r="IE2" s="368"/>
      <c r="IF2" s="368"/>
      <c r="IG2" s="368"/>
      <c r="IH2" s="368"/>
      <c r="II2" s="368"/>
      <c r="IJ2" s="368"/>
      <c r="IK2" s="368"/>
      <c r="IL2" s="368"/>
      <c r="IM2" s="368"/>
      <c r="IN2" s="368"/>
      <c r="IO2" s="368"/>
      <c r="IP2" s="368"/>
      <c r="IQ2" s="368"/>
      <c r="IR2" s="368"/>
      <c r="IS2" s="368"/>
      <c r="IT2" s="368"/>
      <c r="IU2" s="368"/>
      <c r="IV2" s="368"/>
      <c r="IW2" s="368"/>
      <c r="IX2" s="368"/>
      <c r="IY2" s="368"/>
      <c r="IZ2" s="368"/>
      <c r="JA2" s="368"/>
      <c r="JB2" s="368"/>
      <c r="JC2" s="368"/>
      <c r="JD2" s="368"/>
      <c r="JE2" s="368"/>
      <c r="JF2" s="368"/>
      <c r="JG2" s="368"/>
      <c r="JH2" s="368"/>
      <c r="JI2" s="368"/>
      <c r="JJ2" s="368"/>
      <c r="JK2" s="368"/>
      <c r="JL2" s="368"/>
      <c r="JM2" s="368"/>
      <c r="JN2" s="368"/>
      <c r="JO2" s="368"/>
      <c r="JP2" s="368"/>
      <c r="JQ2" s="368"/>
      <c r="JR2" s="368"/>
      <c r="JS2" s="368"/>
      <c r="JT2" s="368"/>
      <c r="JU2" s="368"/>
      <c r="JV2" s="368"/>
      <c r="JW2" s="368"/>
      <c r="JX2" s="368"/>
      <c r="JY2" s="368"/>
      <c r="JZ2" s="368"/>
      <c r="KA2" s="368"/>
      <c r="KB2" s="368"/>
      <c r="KC2" s="368"/>
      <c r="KD2" s="368"/>
      <c r="KE2" s="368"/>
      <c r="KF2" s="368"/>
      <c r="KG2" s="368"/>
      <c r="KH2" s="368"/>
      <c r="KI2" s="368"/>
      <c r="KJ2" s="368"/>
      <c r="KK2" s="368"/>
      <c r="KL2" s="368"/>
      <c r="KM2" s="368"/>
      <c r="KN2" s="368"/>
      <c r="KO2" s="368"/>
      <c r="KP2" s="368"/>
      <c r="KQ2" s="368"/>
      <c r="KR2" s="368"/>
      <c r="KS2" s="368"/>
      <c r="KT2" s="368"/>
      <c r="KU2" s="368"/>
      <c r="KV2" s="368"/>
      <c r="KW2" s="368"/>
      <c r="KX2" s="368"/>
      <c r="KY2" s="368"/>
      <c r="KZ2" s="368"/>
      <c r="LA2" s="368"/>
      <c r="LB2" s="368"/>
      <c r="LC2" s="368"/>
      <c r="LD2" s="368"/>
      <c r="LE2" s="368"/>
      <c r="LF2" s="368"/>
      <c r="LG2" s="368"/>
      <c r="LH2" s="368"/>
      <c r="LI2" s="368"/>
      <c r="LJ2" s="368"/>
      <c r="LK2" s="368"/>
      <c r="LL2" s="368"/>
      <c r="LM2" s="368"/>
      <c r="LN2" s="368"/>
      <c r="LO2" s="368"/>
      <c r="LP2" s="368"/>
      <c r="LQ2" s="368"/>
      <c r="LR2" s="368"/>
      <c r="LS2" s="368"/>
      <c r="LT2" s="368"/>
      <c r="LU2" s="368"/>
      <c r="LV2" s="368"/>
      <c r="LW2" s="368"/>
      <c r="LX2" s="368"/>
      <c r="LY2" s="368"/>
      <c r="LZ2" s="368"/>
      <c r="MA2" s="368"/>
      <c r="MB2" s="368"/>
      <c r="MC2" s="368"/>
      <c r="MD2" s="368"/>
      <c r="ME2" s="368"/>
      <c r="MF2" s="368"/>
      <c r="MG2" s="368"/>
      <c r="MH2" s="368"/>
      <c r="MI2" s="368"/>
      <c r="MJ2" s="368"/>
      <c r="MK2" s="368"/>
      <c r="ML2" s="368"/>
      <c r="MM2" s="368"/>
      <c r="MN2" s="368"/>
      <c r="MO2" s="368"/>
      <c r="MP2" s="368"/>
      <c r="MQ2" s="368"/>
      <c r="MR2" s="368"/>
      <c r="MS2" s="368"/>
      <c r="MT2" s="368"/>
      <c r="MU2" s="368"/>
      <c r="MV2" s="368"/>
      <c r="MW2" s="368"/>
      <c r="MX2" s="368"/>
      <c r="MY2" s="368"/>
      <c r="MZ2" s="368"/>
      <c r="NA2" s="368"/>
      <c r="NB2" s="368"/>
      <c r="NC2" s="368"/>
      <c r="ND2" s="368"/>
      <c r="NE2" s="368"/>
      <c r="NF2" s="368"/>
      <c r="NG2" s="368"/>
      <c r="NH2" s="368"/>
      <c r="NI2" s="368"/>
      <c r="NJ2" s="368"/>
      <c r="NK2" s="368"/>
      <c r="NL2" s="368"/>
      <c r="NM2" s="368"/>
      <c r="NN2" s="368"/>
      <c r="NO2" s="368"/>
      <c r="NP2" s="368"/>
      <c r="NQ2" s="368"/>
      <c r="NR2" s="368"/>
      <c r="NS2" s="368"/>
      <c r="NT2" s="368"/>
      <c r="NU2" s="368"/>
      <c r="NV2" s="368"/>
      <c r="NW2" s="368"/>
      <c r="NX2" s="368"/>
      <c r="NY2" s="368"/>
      <c r="NZ2" s="368"/>
      <c r="OA2" s="368"/>
      <c r="OB2" s="368"/>
      <c r="OC2" s="368"/>
      <c r="OD2" s="368"/>
      <c r="OE2" s="368"/>
      <c r="OF2" s="368"/>
      <c r="OG2" s="368"/>
      <c r="OH2" s="368"/>
      <c r="OI2" s="368"/>
      <c r="OJ2" s="368"/>
      <c r="OK2" s="368"/>
      <c r="OL2" s="368"/>
      <c r="OM2" s="368"/>
      <c r="ON2" s="368"/>
      <c r="OO2" s="368"/>
      <c r="OP2" s="368"/>
      <c r="OQ2" s="368"/>
      <c r="OR2" s="368"/>
      <c r="OS2" s="368"/>
      <c r="OT2" s="368"/>
      <c r="OU2" s="368"/>
      <c r="OV2" s="368"/>
      <c r="OW2" s="368"/>
      <c r="OX2" s="368"/>
      <c r="OY2" s="368"/>
      <c r="OZ2" s="368"/>
      <c r="PA2" s="368"/>
      <c r="PB2" s="368"/>
      <c r="PC2" s="368"/>
      <c r="PD2" s="368"/>
      <c r="PE2" s="368"/>
      <c r="PF2" s="368"/>
      <c r="PG2" s="368"/>
      <c r="PH2" s="368"/>
      <c r="PI2" s="368"/>
      <c r="PJ2" s="368"/>
      <c r="PK2" s="368"/>
      <c r="PL2" s="368"/>
      <c r="PM2" s="368"/>
      <c r="PN2" s="368"/>
      <c r="PO2" s="368"/>
      <c r="PP2" s="368"/>
      <c r="PQ2" s="368"/>
      <c r="PR2" s="368"/>
      <c r="PS2" s="368"/>
      <c r="PT2" s="368"/>
      <c r="PU2" s="368"/>
      <c r="PV2" s="368"/>
      <c r="PW2" s="368"/>
      <c r="PX2" s="368"/>
      <c r="PY2" s="368"/>
      <c r="PZ2" s="368"/>
      <c r="QA2" s="368"/>
      <c r="QB2" s="368"/>
      <c r="QC2" s="368"/>
      <c r="QD2" s="368"/>
      <c r="QE2" s="368"/>
      <c r="QF2" s="368"/>
      <c r="QG2" s="368"/>
      <c r="QH2" s="368"/>
      <c r="QI2" s="368"/>
      <c r="QJ2" s="368"/>
      <c r="QK2" s="368"/>
      <c r="QL2" s="368"/>
      <c r="QM2" s="368"/>
      <c r="QN2" s="368"/>
      <c r="QO2" s="368"/>
      <c r="QP2" s="368"/>
      <c r="QQ2" s="368"/>
      <c r="QR2" s="368"/>
      <c r="QS2" s="368"/>
      <c r="QT2" s="368"/>
      <c r="QU2" s="368"/>
      <c r="QV2" s="368"/>
      <c r="QW2" s="368"/>
      <c r="QX2" s="368"/>
      <c r="QY2" s="368"/>
      <c r="QZ2" s="368"/>
      <c r="RA2" s="368"/>
      <c r="RB2" s="368"/>
      <c r="RC2" s="368"/>
      <c r="RD2" s="368"/>
      <c r="RE2" s="368"/>
      <c r="RF2" s="368"/>
      <c r="RG2" s="368"/>
      <c r="RH2" s="368"/>
      <c r="RI2" s="368"/>
      <c r="RJ2" s="368"/>
      <c r="RK2" s="368"/>
      <c r="RL2" s="368"/>
      <c r="RM2" s="368"/>
      <c r="RN2" s="368"/>
      <c r="RO2" s="368"/>
      <c r="RP2" s="368"/>
      <c r="RQ2" s="368"/>
      <c r="RR2" s="368"/>
      <c r="RS2" s="368"/>
      <c r="RT2" s="368"/>
      <c r="RU2" s="368"/>
      <c r="RV2" s="368"/>
      <c r="RW2" s="368"/>
      <c r="RX2" s="368"/>
      <c r="RY2" s="368"/>
      <c r="RZ2" s="368"/>
      <c r="SA2" s="368"/>
      <c r="SB2" s="368"/>
      <c r="SC2" s="368"/>
      <c r="SD2" s="368"/>
      <c r="SE2" s="368"/>
      <c r="SF2" s="368"/>
      <c r="SG2" s="368"/>
      <c r="SH2" s="368"/>
      <c r="SI2" s="368"/>
      <c r="SJ2" s="368"/>
      <c r="SK2" s="368"/>
      <c r="SL2" s="368"/>
      <c r="SM2" s="368"/>
      <c r="SN2" s="368"/>
      <c r="SO2" s="368"/>
      <c r="SP2" s="368"/>
      <c r="SQ2" s="368"/>
      <c r="SR2" s="368"/>
      <c r="SS2" s="368"/>
      <c r="ST2" s="368"/>
      <c r="SU2" s="368"/>
      <c r="SV2" s="368"/>
      <c r="SW2" s="368"/>
      <c r="SX2" s="368"/>
      <c r="SY2" s="368"/>
      <c r="SZ2" s="368"/>
      <c r="TA2" s="368"/>
      <c r="TB2" s="368"/>
      <c r="TC2" s="368"/>
      <c r="TD2" s="368"/>
      <c r="TE2" s="368"/>
      <c r="TF2" s="368"/>
      <c r="TG2" s="368"/>
      <c r="TH2" s="368"/>
      <c r="TI2" s="368"/>
      <c r="TJ2" s="368"/>
      <c r="TK2" s="368"/>
      <c r="TL2" s="368"/>
      <c r="TM2" s="368"/>
      <c r="TN2" s="368"/>
      <c r="TO2" s="368"/>
      <c r="TP2" s="368"/>
      <c r="TQ2" s="368"/>
      <c r="TR2" s="368"/>
      <c r="TS2" s="368"/>
      <c r="TT2" s="368"/>
      <c r="TU2" s="368"/>
      <c r="TV2" s="368"/>
      <c r="TW2" s="368"/>
      <c r="TX2" s="368"/>
      <c r="TY2" s="368"/>
      <c r="TZ2" s="368"/>
      <c r="UA2" s="368"/>
      <c r="UB2" s="368"/>
      <c r="UC2" s="368"/>
      <c r="UD2" s="368"/>
      <c r="UE2" s="368"/>
      <c r="UF2" s="368"/>
      <c r="UG2" s="368"/>
      <c r="UH2" s="368"/>
      <c r="UI2" s="368"/>
      <c r="UJ2" s="368"/>
      <c r="UK2" s="368"/>
      <c r="UL2" s="368"/>
      <c r="UM2" s="368"/>
      <c r="UN2" s="368"/>
      <c r="UO2" s="368"/>
      <c r="UP2" s="368"/>
      <c r="UQ2" s="368"/>
      <c r="UR2" s="368"/>
      <c r="US2" s="368"/>
      <c r="UT2" s="368"/>
      <c r="UU2" s="368"/>
      <c r="UV2" s="368"/>
      <c r="UW2" s="368"/>
      <c r="UX2" s="368"/>
      <c r="UY2" s="368"/>
      <c r="UZ2" s="368"/>
      <c r="VA2" s="368"/>
      <c r="VB2" s="368"/>
      <c r="VC2" s="368"/>
      <c r="VD2" s="368"/>
      <c r="VE2" s="368"/>
      <c r="VF2" s="368"/>
      <c r="VG2" s="368"/>
      <c r="VH2" s="368"/>
      <c r="VI2" s="368"/>
      <c r="VJ2" s="368"/>
      <c r="VK2" s="368"/>
      <c r="VL2" s="368"/>
      <c r="VM2" s="368"/>
      <c r="VN2" s="368"/>
      <c r="VO2" s="368"/>
      <c r="VP2" s="368"/>
      <c r="VQ2" s="368"/>
      <c r="VR2" s="368"/>
      <c r="VS2" s="368"/>
      <c r="VT2" s="368"/>
      <c r="VU2" s="368"/>
      <c r="VV2" s="368"/>
      <c r="VW2" s="368"/>
      <c r="VX2" s="368"/>
      <c r="VY2" s="368"/>
      <c r="VZ2" s="368"/>
      <c r="WA2" s="368"/>
      <c r="WB2" s="368"/>
      <c r="WC2" s="368"/>
      <c r="WD2" s="368"/>
      <c r="WE2" s="368"/>
      <c r="WF2" s="368"/>
      <c r="WG2" s="368"/>
      <c r="WH2" s="368"/>
      <c r="WI2" s="368"/>
      <c r="WJ2" s="368"/>
      <c r="WK2" s="368"/>
      <c r="WL2" s="368"/>
      <c r="WM2" s="368"/>
      <c r="WN2" s="368"/>
      <c r="WO2" s="368"/>
      <c r="WP2" s="368"/>
      <c r="WQ2" s="368"/>
      <c r="WR2" s="368"/>
      <c r="WS2" s="368"/>
      <c r="WT2" s="368"/>
      <c r="WU2" s="368"/>
      <c r="WV2" s="368"/>
      <c r="WW2" s="368"/>
      <c r="WX2" s="368"/>
      <c r="WY2" s="368"/>
      <c r="WZ2" s="368"/>
      <c r="XA2" s="368"/>
      <c r="XB2" s="368"/>
      <c r="XC2" s="368"/>
      <c r="XD2" s="368"/>
      <c r="XE2" s="368"/>
      <c r="XF2" s="368"/>
      <c r="XG2" s="368"/>
      <c r="XH2" s="368"/>
      <c r="XI2" s="368"/>
      <c r="XJ2" s="368"/>
      <c r="XK2" s="368"/>
      <c r="XL2" s="368"/>
      <c r="XM2" s="368"/>
      <c r="XN2" s="368"/>
      <c r="XO2" s="368"/>
      <c r="XP2" s="368"/>
      <c r="XQ2" s="368"/>
      <c r="XR2" s="368"/>
      <c r="XS2" s="368"/>
      <c r="XT2" s="368"/>
      <c r="XU2" s="368"/>
      <c r="XV2" s="368"/>
      <c r="XW2" s="368"/>
      <c r="XX2" s="368"/>
      <c r="XY2" s="368"/>
      <c r="XZ2" s="368"/>
      <c r="YA2" s="368"/>
      <c r="YB2" s="368"/>
      <c r="YC2" s="368"/>
      <c r="YD2" s="368"/>
      <c r="YE2" s="368"/>
      <c r="YF2" s="368"/>
      <c r="YG2" s="368"/>
      <c r="YH2" s="368"/>
      <c r="YI2" s="368"/>
      <c r="YJ2" s="368"/>
      <c r="YK2" s="368"/>
      <c r="YL2" s="368"/>
      <c r="YM2" s="368"/>
      <c r="YN2" s="368"/>
      <c r="YO2" s="368"/>
      <c r="YP2" s="368"/>
      <c r="YQ2" s="368"/>
      <c r="YR2" s="368"/>
      <c r="YS2" s="368"/>
      <c r="YT2" s="368"/>
      <c r="YU2" s="368"/>
      <c r="YV2" s="368"/>
      <c r="YW2" s="368"/>
      <c r="YX2" s="368"/>
      <c r="YY2" s="368"/>
      <c r="YZ2" s="368"/>
      <c r="ZA2" s="368"/>
      <c r="ZB2" s="368"/>
      <c r="ZC2" s="368"/>
      <c r="ZD2" s="368"/>
      <c r="ZE2" s="368"/>
      <c r="ZF2" s="368"/>
      <c r="ZG2" s="368"/>
      <c r="ZH2" s="368"/>
      <c r="ZI2" s="368"/>
      <c r="ZJ2" s="368"/>
      <c r="ZK2" s="368"/>
      <c r="ZL2" s="368"/>
      <c r="ZM2" s="368"/>
      <c r="ZN2" s="368"/>
      <c r="ZO2" s="368"/>
      <c r="ZP2" s="368"/>
      <c r="ZQ2" s="368"/>
      <c r="ZR2" s="368"/>
      <c r="ZS2" s="368"/>
      <c r="ZT2" s="368"/>
      <c r="ZU2" s="368"/>
      <c r="ZV2" s="368"/>
      <c r="ZW2" s="368"/>
      <c r="ZX2" s="368"/>
      <c r="ZY2" s="368"/>
      <c r="ZZ2" s="368"/>
      <c r="AAA2" s="368"/>
      <c r="AAB2" s="368"/>
      <c r="AAC2" s="368"/>
      <c r="AAD2" s="368"/>
      <c r="AAE2" s="368"/>
      <c r="AAF2" s="368"/>
      <c r="AAG2" s="368"/>
      <c r="AAH2" s="368"/>
      <c r="AAI2" s="368"/>
      <c r="AAJ2" s="368"/>
      <c r="AAK2" s="368"/>
      <c r="AAL2" s="368"/>
      <c r="AAM2" s="368"/>
      <c r="AAN2" s="368"/>
      <c r="AAO2" s="368"/>
      <c r="AAP2" s="368"/>
      <c r="AAQ2" s="368"/>
      <c r="AAR2" s="368"/>
      <c r="AAS2" s="368"/>
      <c r="AAT2" s="368"/>
      <c r="AAU2" s="368"/>
      <c r="AAV2" s="368"/>
      <c r="AAW2" s="368"/>
      <c r="AAX2" s="368"/>
      <c r="AAY2" s="368"/>
      <c r="AAZ2" s="368"/>
      <c r="ABA2" s="368"/>
      <c r="ABB2" s="368"/>
      <c r="ABC2" s="368"/>
      <c r="ABD2" s="368"/>
      <c r="ABE2" s="368"/>
      <c r="ABF2" s="368"/>
      <c r="ABG2" s="368"/>
      <c r="ABH2" s="368"/>
      <c r="ABI2" s="368"/>
      <c r="ABJ2" s="368"/>
      <c r="ABK2" s="368"/>
      <c r="ABL2" s="368"/>
      <c r="ABM2" s="368"/>
      <c r="ABN2" s="368"/>
      <c r="ABO2" s="368"/>
      <c r="ABP2" s="368"/>
      <c r="ABQ2" s="368"/>
      <c r="ABR2" s="368"/>
      <c r="ABS2" s="368"/>
      <c r="ABT2" s="368"/>
      <c r="ABU2" s="368"/>
      <c r="ABV2" s="368"/>
      <c r="ABW2" s="368"/>
      <c r="ABX2" s="368"/>
      <c r="ABY2" s="368"/>
      <c r="ABZ2" s="368"/>
      <c r="ACA2" s="368"/>
      <c r="ACB2" s="368"/>
      <c r="ACC2" s="368"/>
      <c r="ACD2" s="368"/>
      <c r="ACE2" s="368"/>
      <c r="ACF2" s="368"/>
      <c r="ACG2" s="368"/>
      <c r="ACH2" s="368"/>
      <c r="ACI2" s="368"/>
      <c r="ACJ2" s="368"/>
      <c r="ACK2" s="368"/>
      <c r="ACL2" s="368"/>
      <c r="ACM2" s="368"/>
      <c r="ACN2" s="368"/>
      <c r="ACO2" s="368"/>
      <c r="ACP2" s="368"/>
      <c r="ACQ2" s="368"/>
      <c r="ACR2" s="368"/>
      <c r="ACS2" s="368"/>
      <c r="ACT2" s="368"/>
      <c r="ACU2" s="368"/>
      <c r="ACV2" s="368"/>
      <c r="ACW2" s="368"/>
      <c r="ACX2" s="368"/>
      <c r="ACY2" s="368"/>
      <c r="ACZ2" s="368"/>
      <c r="ADA2" s="368"/>
      <c r="ADB2" s="368"/>
      <c r="ADC2" s="368"/>
      <c r="ADD2" s="368"/>
      <c r="ADE2" s="368"/>
      <c r="ADF2" s="368"/>
      <c r="ADG2" s="368"/>
      <c r="ADH2" s="368"/>
      <c r="ADI2" s="368"/>
      <c r="ADJ2" s="368"/>
      <c r="ADK2" s="368"/>
      <c r="ADL2" s="368"/>
      <c r="ADM2" s="368"/>
      <c r="ADN2" s="368"/>
      <c r="ADO2" s="368"/>
      <c r="ADP2" s="368"/>
      <c r="ADQ2" s="368"/>
      <c r="ADR2" s="368"/>
      <c r="ADS2" s="368"/>
      <c r="ADT2" s="368"/>
      <c r="ADU2" s="368"/>
      <c r="ADV2" s="368"/>
      <c r="ADW2" s="368"/>
      <c r="ADX2" s="368"/>
      <c r="ADY2" s="368"/>
      <c r="ADZ2" s="368"/>
      <c r="AEA2" s="368"/>
      <c r="AEB2" s="368"/>
      <c r="AEC2" s="368"/>
      <c r="AED2" s="368"/>
      <c r="AEE2" s="368"/>
      <c r="AEF2" s="368"/>
      <c r="AEG2" s="368"/>
      <c r="AEH2" s="368"/>
      <c r="AEI2" s="368"/>
      <c r="AEJ2" s="368"/>
      <c r="AEK2" s="368"/>
      <c r="AEL2" s="368"/>
      <c r="AEM2" s="368"/>
      <c r="AEN2" s="368"/>
      <c r="AEO2" s="368"/>
      <c r="AEP2" s="368"/>
      <c r="AEQ2" s="368"/>
      <c r="AER2" s="368"/>
      <c r="AES2" s="368"/>
      <c r="AET2" s="368"/>
      <c r="AEU2" s="368"/>
      <c r="AEV2" s="368"/>
      <c r="AEW2" s="368"/>
      <c r="AEX2" s="368"/>
      <c r="AEY2" s="368"/>
      <c r="AEZ2" s="368"/>
      <c r="AFA2" s="368"/>
      <c r="AFB2" s="368"/>
      <c r="AFC2" s="368"/>
      <c r="AFD2" s="368"/>
      <c r="AFE2" s="368"/>
      <c r="AFF2" s="368"/>
      <c r="AFG2" s="368"/>
      <c r="AFH2" s="368"/>
      <c r="AFI2" s="368"/>
      <c r="AFJ2" s="368"/>
      <c r="AFK2" s="368"/>
      <c r="AFL2" s="368"/>
      <c r="AFM2" s="368"/>
      <c r="AFN2" s="368"/>
      <c r="AFO2" s="368"/>
      <c r="AFP2" s="368"/>
      <c r="AFQ2" s="368"/>
      <c r="AFR2" s="368"/>
      <c r="AFS2" s="368"/>
      <c r="AFT2" s="368"/>
      <c r="AFU2" s="368"/>
      <c r="AFV2" s="368"/>
      <c r="AFW2" s="368"/>
      <c r="AFX2" s="368"/>
      <c r="AFY2" s="368"/>
      <c r="AFZ2" s="368"/>
      <c r="AGA2" s="368"/>
      <c r="AGB2" s="368"/>
      <c r="AGC2" s="368"/>
      <c r="AGD2" s="368"/>
      <c r="AGE2" s="368"/>
      <c r="AGF2" s="368"/>
      <c r="AGG2" s="368"/>
      <c r="AGH2" s="368"/>
      <c r="AGI2" s="368"/>
      <c r="AGJ2" s="368"/>
      <c r="AGK2" s="368"/>
      <c r="AGL2" s="368"/>
      <c r="AGM2" s="368"/>
      <c r="AGN2" s="368"/>
      <c r="AGO2" s="368"/>
      <c r="AGP2" s="368"/>
      <c r="AGQ2" s="368"/>
      <c r="AGR2" s="368"/>
      <c r="AGS2" s="368"/>
      <c r="AGT2" s="368"/>
      <c r="AGU2" s="368"/>
      <c r="AGV2" s="368"/>
      <c r="AGW2" s="368"/>
      <c r="AGX2" s="368"/>
      <c r="AGY2" s="368"/>
      <c r="AGZ2" s="368"/>
      <c r="AHA2" s="368"/>
      <c r="AHB2" s="368"/>
      <c r="AHC2" s="368"/>
      <c r="AHD2" s="368"/>
      <c r="AHE2" s="368"/>
      <c r="AHF2" s="368"/>
      <c r="AHG2" s="368"/>
      <c r="AHH2" s="368"/>
      <c r="AHI2" s="368"/>
      <c r="AHJ2" s="368"/>
      <c r="AHK2" s="368"/>
      <c r="AHL2" s="368"/>
      <c r="AHM2" s="368"/>
      <c r="AHN2" s="368"/>
      <c r="AHO2" s="368"/>
      <c r="AHP2" s="368"/>
      <c r="AHQ2" s="368"/>
      <c r="AHR2" s="368"/>
      <c r="AHS2" s="368"/>
      <c r="AHT2" s="368"/>
      <c r="AHU2" s="368"/>
      <c r="AHV2" s="368"/>
      <c r="AHW2" s="368"/>
      <c r="AHX2" s="368"/>
      <c r="AHY2" s="368"/>
      <c r="AHZ2" s="368"/>
      <c r="AIA2" s="368"/>
      <c r="AIB2" s="368"/>
      <c r="AIC2" s="368"/>
      <c r="AID2" s="368"/>
      <c r="AIE2" s="368"/>
      <c r="AIF2" s="368"/>
      <c r="AIG2" s="368"/>
      <c r="AIH2" s="368"/>
      <c r="AII2" s="368"/>
      <c r="AIJ2" s="368"/>
      <c r="AIK2" s="368"/>
      <c r="AIL2" s="368"/>
      <c r="AIM2" s="368"/>
      <c r="AIN2" s="368"/>
      <c r="AIO2" s="368"/>
      <c r="AIP2" s="368"/>
      <c r="AIQ2" s="368"/>
      <c r="AIR2" s="368"/>
      <c r="AIS2" s="368"/>
      <c r="AIT2" s="368"/>
      <c r="AIU2" s="368"/>
      <c r="AIV2" s="368"/>
      <c r="AIW2" s="368"/>
      <c r="AIX2" s="368"/>
      <c r="AIY2" s="368"/>
      <c r="AIZ2" s="368"/>
      <c r="AJA2" s="368"/>
      <c r="AJB2" s="368"/>
      <c r="AJC2" s="368"/>
      <c r="AJD2" s="368"/>
      <c r="AJE2" s="368"/>
      <c r="AJF2" s="368"/>
      <c r="AJG2" s="368"/>
      <c r="AJH2" s="368"/>
      <c r="AJI2" s="368"/>
      <c r="AJJ2" s="368"/>
      <c r="AJK2" s="368"/>
      <c r="AJL2" s="368"/>
      <c r="AJM2" s="368"/>
      <c r="AJN2" s="368"/>
      <c r="AJO2" s="368"/>
      <c r="AJP2" s="368"/>
      <c r="AJQ2" s="368"/>
      <c r="AJR2" s="368"/>
      <c r="AJS2" s="368"/>
      <c r="AJT2" s="368"/>
      <c r="AJU2" s="368"/>
      <c r="AJV2" s="368"/>
      <c r="AJW2" s="368"/>
      <c r="AJX2" s="368"/>
      <c r="AJY2" s="368"/>
      <c r="AJZ2" s="368"/>
      <c r="AKA2" s="368"/>
      <c r="AKB2" s="368"/>
      <c r="AKC2" s="368"/>
      <c r="AKD2" s="368"/>
      <c r="AKE2" s="368"/>
      <c r="AKF2" s="368"/>
      <c r="AKG2" s="368"/>
      <c r="AKH2" s="368"/>
      <c r="AKI2" s="368"/>
      <c r="AKJ2" s="368"/>
      <c r="AKK2" s="368"/>
      <c r="AKL2" s="368"/>
      <c r="AKM2" s="368"/>
      <c r="AKN2" s="368"/>
    </row>
    <row r="3" spans="1:976" s="364" customFormat="1" ht="22.5" customHeight="1" x14ac:dyDescent="0.2">
      <c r="A3" s="347" t="s">
        <v>262</v>
      </c>
      <c r="B3" s="347"/>
      <c r="C3" s="347" t="s">
        <v>221</v>
      </c>
      <c r="D3" s="347" t="s">
        <v>222</v>
      </c>
      <c r="E3" s="348">
        <v>401939</v>
      </c>
      <c r="F3" s="348">
        <v>64</v>
      </c>
      <c r="G3" s="348">
        <v>11</v>
      </c>
      <c r="H3" s="348">
        <v>0</v>
      </c>
      <c r="I3" s="349">
        <v>45698</v>
      </c>
      <c r="J3" s="347" t="s">
        <v>263</v>
      </c>
      <c r="K3" s="347" t="s">
        <v>269</v>
      </c>
      <c r="L3" s="344">
        <v>19.36</v>
      </c>
      <c r="M3" s="344">
        <v>1.06</v>
      </c>
      <c r="N3" s="447">
        <v>20.420000000000002</v>
      </c>
      <c r="O3" s="347"/>
      <c r="P3" s="350">
        <v>45701</v>
      </c>
      <c r="Q3" s="344">
        <v>20.420000000000002</v>
      </c>
      <c r="R3" s="347" t="s">
        <v>270</v>
      </c>
      <c r="S3" s="344">
        <v>0</v>
      </c>
      <c r="T3" s="344">
        <v>0</v>
      </c>
      <c r="U3" s="344">
        <v>0</v>
      </c>
      <c r="V3" s="344">
        <v>0</v>
      </c>
      <c r="W3" s="347"/>
      <c r="X3" s="347" t="s">
        <v>266</v>
      </c>
      <c r="Y3" s="347" t="s">
        <v>267</v>
      </c>
      <c r="Z3" s="347" t="s">
        <v>46</v>
      </c>
      <c r="AA3" s="347" t="s">
        <v>228</v>
      </c>
      <c r="AB3" s="347" t="s">
        <v>34</v>
      </c>
      <c r="AC3" s="347" t="s">
        <v>47</v>
      </c>
      <c r="AD3" s="347" t="s">
        <v>231</v>
      </c>
      <c r="AE3" s="347" t="s">
        <v>232</v>
      </c>
      <c r="AF3" s="347" t="s">
        <v>231</v>
      </c>
      <c r="AG3" s="347" t="s">
        <v>232</v>
      </c>
      <c r="AH3" s="347"/>
      <c r="AI3" s="347"/>
      <c r="AJ3" s="347" t="s">
        <v>246</v>
      </c>
      <c r="AK3" s="347" t="s">
        <v>271</v>
      </c>
      <c r="AL3" s="348">
        <v>1</v>
      </c>
      <c r="AM3" s="348">
        <v>0</v>
      </c>
      <c r="AN3" s="349">
        <v>45701</v>
      </c>
      <c r="AO3" s="349">
        <v>45701</v>
      </c>
      <c r="AP3" s="344">
        <v>20.420000000000002</v>
      </c>
      <c r="AQ3" s="349">
        <v>45700</v>
      </c>
      <c r="AR3" s="368"/>
      <c r="AS3" s="368"/>
      <c r="AT3" s="368"/>
      <c r="AU3" s="368"/>
      <c r="AV3" s="368"/>
      <c r="AW3" s="368"/>
      <c r="AX3" s="368"/>
      <c r="AY3" s="368"/>
      <c r="AZ3" s="368"/>
      <c r="BA3" s="368"/>
      <c r="BB3" s="368"/>
      <c r="BC3" s="368"/>
      <c r="BD3" s="368"/>
      <c r="BE3" s="368"/>
      <c r="BF3" s="368"/>
      <c r="BG3" s="368"/>
      <c r="BH3" s="368"/>
      <c r="BI3" s="368"/>
      <c r="BJ3" s="368"/>
      <c r="BK3" s="368"/>
      <c r="BL3" s="368"/>
      <c r="BM3" s="368"/>
      <c r="BN3" s="368"/>
      <c r="BO3" s="368"/>
      <c r="BP3" s="368"/>
      <c r="BQ3" s="368"/>
      <c r="BR3" s="368"/>
      <c r="BS3" s="368"/>
      <c r="BT3" s="368"/>
      <c r="BU3" s="368"/>
      <c r="BV3" s="368"/>
      <c r="BW3" s="368"/>
      <c r="BX3" s="368"/>
      <c r="BY3" s="368"/>
      <c r="BZ3" s="368"/>
      <c r="CA3" s="368"/>
      <c r="CB3" s="368"/>
      <c r="CC3" s="368"/>
      <c r="CD3" s="368"/>
      <c r="CE3" s="368"/>
      <c r="CF3" s="368"/>
      <c r="CG3" s="368"/>
      <c r="CH3" s="368"/>
      <c r="CI3" s="368"/>
      <c r="CJ3" s="368"/>
      <c r="CK3" s="368"/>
      <c r="CL3" s="368"/>
      <c r="CM3" s="368"/>
      <c r="CN3" s="368"/>
      <c r="CO3" s="368"/>
      <c r="CP3" s="368"/>
      <c r="CQ3" s="368"/>
      <c r="CR3" s="368"/>
      <c r="CS3" s="368"/>
      <c r="CT3" s="368"/>
      <c r="CU3" s="368"/>
      <c r="CV3" s="368"/>
      <c r="CW3" s="368"/>
      <c r="CX3" s="368"/>
      <c r="CY3" s="368"/>
      <c r="CZ3" s="368"/>
      <c r="DA3" s="368"/>
      <c r="DB3" s="368"/>
      <c r="DC3" s="368"/>
      <c r="DD3" s="368"/>
      <c r="DE3" s="368"/>
      <c r="DF3" s="368"/>
      <c r="DG3" s="368"/>
      <c r="DH3" s="368"/>
      <c r="DI3" s="368"/>
      <c r="DJ3" s="368"/>
      <c r="DK3" s="368"/>
      <c r="DL3" s="368"/>
      <c r="DM3" s="368"/>
      <c r="DN3" s="368"/>
      <c r="DO3" s="368"/>
      <c r="DP3" s="368"/>
      <c r="DQ3" s="368"/>
      <c r="DR3" s="368"/>
      <c r="DS3" s="368"/>
      <c r="DT3" s="368"/>
      <c r="DU3" s="368"/>
      <c r="DV3" s="368"/>
      <c r="DW3" s="368"/>
      <c r="DX3" s="368"/>
      <c r="DY3" s="368"/>
      <c r="DZ3" s="368"/>
      <c r="EA3" s="368"/>
      <c r="EB3" s="368"/>
      <c r="EC3" s="368"/>
      <c r="ED3" s="368"/>
      <c r="EE3" s="368"/>
      <c r="EF3" s="368"/>
      <c r="EG3" s="368"/>
      <c r="EH3" s="368"/>
      <c r="EI3" s="368"/>
      <c r="EJ3" s="368"/>
      <c r="EK3" s="368"/>
      <c r="EL3" s="368"/>
      <c r="EM3" s="368"/>
      <c r="EN3" s="368"/>
      <c r="EO3" s="368"/>
      <c r="EP3" s="368"/>
      <c r="EQ3" s="368"/>
      <c r="ER3" s="368"/>
      <c r="ES3" s="368"/>
      <c r="ET3" s="368"/>
      <c r="EU3" s="368"/>
      <c r="EV3" s="368"/>
      <c r="EW3" s="368"/>
      <c r="EX3" s="368"/>
      <c r="EY3" s="368"/>
      <c r="EZ3" s="368"/>
      <c r="FA3" s="368"/>
      <c r="FB3" s="368"/>
      <c r="FC3" s="368"/>
      <c r="FD3" s="368"/>
      <c r="FE3" s="368"/>
      <c r="FF3" s="368"/>
      <c r="FG3" s="368"/>
      <c r="FH3" s="368"/>
      <c r="FI3" s="368"/>
      <c r="FJ3" s="368"/>
      <c r="FK3" s="368"/>
      <c r="FL3" s="368"/>
      <c r="FM3" s="368"/>
      <c r="FN3" s="368"/>
      <c r="FO3" s="368"/>
      <c r="FP3" s="368"/>
      <c r="FQ3" s="368"/>
      <c r="FR3" s="368"/>
      <c r="FS3" s="368"/>
      <c r="FT3" s="368"/>
      <c r="FU3" s="368"/>
      <c r="FV3" s="368"/>
      <c r="FW3" s="368"/>
      <c r="FX3" s="368"/>
      <c r="FY3" s="368"/>
      <c r="FZ3" s="368"/>
      <c r="GA3" s="368"/>
      <c r="GB3" s="368"/>
      <c r="GC3" s="368"/>
      <c r="GD3" s="368"/>
      <c r="GE3" s="368"/>
      <c r="GF3" s="368"/>
      <c r="GG3" s="368"/>
      <c r="GH3" s="368"/>
      <c r="GI3" s="368"/>
      <c r="GJ3" s="368"/>
      <c r="GK3" s="368"/>
      <c r="GL3" s="368"/>
      <c r="GM3" s="368"/>
      <c r="GN3" s="368"/>
      <c r="GO3" s="368"/>
      <c r="GP3" s="368"/>
      <c r="GQ3" s="368"/>
      <c r="GR3" s="368"/>
      <c r="GS3" s="368"/>
      <c r="GT3" s="368"/>
      <c r="GU3" s="368"/>
      <c r="GV3" s="368"/>
      <c r="GW3" s="368"/>
      <c r="GX3" s="368"/>
      <c r="GY3" s="368"/>
      <c r="GZ3" s="368"/>
      <c r="HA3" s="368"/>
      <c r="HB3" s="368"/>
      <c r="HC3" s="368"/>
      <c r="HD3" s="368"/>
      <c r="HE3" s="368"/>
      <c r="HF3" s="368"/>
      <c r="HG3" s="368"/>
      <c r="HH3" s="368"/>
      <c r="HI3" s="368"/>
      <c r="HJ3" s="368"/>
      <c r="HK3" s="368"/>
      <c r="HL3" s="368"/>
      <c r="HM3" s="368"/>
      <c r="HN3" s="368"/>
      <c r="HO3" s="368"/>
      <c r="HP3" s="368"/>
      <c r="HQ3" s="368"/>
      <c r="HR3" s="368"/>
      <c r="HS3" s="368"/>
      <c r="HT3" s="368"/>
      <c r="HU3" s="368"/>
      <c r="HV3" s="368"/>
      <c r="HW3" s="368"/>
      <c r="HX3" s="368"/>
      <c r="HY3" s="368"/>
      <c r="HZ3" s="368"/>
      <c r="IA3" s="368"/>
      <c r="IB3" s="368"/>
      <c r="IC3" s="368"/>
      <c r="ID3" s="368"/>
      <c r="IE3" s="368"/>
      <c r="IF3" s="368"/>
      <c r="IG3" s="368"/>
      <c r="IH3" s="368"/>
      <c r="II3" s="368"/>
      <c r="IJ3" s="368"/>
      <c r="IK3" s="368"/>
      <c r="IL3" s="368"/>
      <c r="IM3" s="368"/>
      <c r="IN3" s="368"/>
      <c r="IO3" s="368"/>
      <c r="IP3" s="368"/>
      <c r="IQ3" s="368"/>
      <c r="IR3" s="368"/>
      <c r="IS3" s="368"/>
      <c r="IT3" s="368"/>
      <c r="IU3" s="368"/>
      <c r="IV3" s="368"/>
      <c r="IW3" s="368"/>
      <c r="IX3" s="368"/>
      <c r="IY3" s="368"/>
      <c r="IZ3" s="368"/>
      <c r="JA3" s="368"/>
      <c r="JB3" s="368"/>
      <c r="JC3" s="368"/>
      <c r="JD3" s="368"/>
      <c r="JE3" s="368"/>
      <c r="JF3" s="368"/>
      <c r="JG3" s="368"/>
      <c r="JH3" s="368"/>
      <c r="JI3" s="368"/>
      <c r="JJ3" s="368"/>
      <c r="JK3" s="368"/>
      <c r="JL3" s="368"/>
      <c r="JM3" s="368"/>
      <c r="JN3" s="368"/>
      <c r="JO3" s="368"/>
      <c r="JP3" s="368"/>
      <c r="JQ3" s="368"/>
      <c r="JR3" s="368"/>
      <c r="JS3" s="368"/>
      <c r="JT3" s="368"/>
      <c r="JU3" s="368"/>
      <c r="JV3" s="368"/>
      <c r="JW3" s="368"/>
      <c r="JX3" s="368"/>
      <c r="JY3" s="368"/>
      <c r="JZ3" s="368"/>
      <c r="KA3" s="368"/>
      <c r="KB3" s="368"/>
      <c r="KC3" s="368"/>
      <c r="KD3" s="368"/>
      <c r="KE3" s="368"/>
      <c r="KF3" s="368"/>
      <c r="KG3" s="368"/>
      <c r="KH3" s="368"/>
      <c r="KI3" s="368"/>
      <c r="KJ3" s="368"/>
      <c r="KK3" s="368"/>
      <c r="KL3" s="368"/>
      <c r="KM3" s="368"/>
      <c r="KN3" s="368"/>
      <c r="KO3" s="368"/>
      <c r="KP3" s="368"/>
      <c r="KQ3" s="368"/>
      <c r="KR3" s="368"/>
      <c r="KS3" s="368"/>
      <c r="KT3" s="368"/>
      <c r="KU3" s="368"/>
      <c r="KV3" s="368"/>
      <c r="KW3" s="368"/>
      <c r="KX3" s="368"/>
      <c r="KY3" s="368"/>
      <c r="KZ3" s="368"/>
      <c r="LA3" s="368"/>
      <c r="LB3" s="368"/>
      <c r="LC3" s="368"/>
      <c r="LD3" s="368"/>
      <c r="LE3" s="368"/>
      <c r="LF3" s="368"/>
      <c r="LG3" s="368"/>
      <c r="LH3" s="368"/>
      <c r="LI3" s="368"/>
      <c r="LJ3" s="368"/>
      <c r="LK3" s="368"/>
      <c r="LL3" s="368"/>
      <c r="LM3" s="368"/>
      <c r="LN3" s="368"/>
      <c r="LO3" s="368"/>
      <c r="LP3" s="368"/>
      <c r="LQ3" s="368"/>
      <c r="LR3" s="368"/>
      <c r="LS3" s="368"/>
      <c r="LT3" s="368"/>
      <c r="LU3" s="368"/>
      <c r="LV3" s="368"/>
      <c r="LW3" s="368"/>
      <c r="LX3" s="368"/>
      <c r="LY3" s="368"/>
      <c r="LZ3" s="368"/>
      <c r="MA3" s="368"/>
      <c r="MB3" s="368"/>
      <c r="MC3" s="368"/>
      <c r="MD3" s="368"/>
      <c r="ME3" s="368"/>
      <c r="MF3" s="368"/>
      <c r="MG3" s="368"/>
      <c r="MH3" s="368"/>
      <c r="MI3" s="368"/>
      <c r="MJ3" s="368"/>
      <c r="MK3" s="368"/>
      <c r="ML3" s="368"/>
      <c r="MM3" s="368"/>
      <c r="MN3" s="368"/>
      <c r="MO3" s="368"/>
      <c r="MP3" s="368"/>
      <c r="MQ3" s="368"/>
      <c r="MR3" s="368"/>
      <c r="MS3" s="368"/>
      <c r="MT3" s="368"/>
      <c r="MU3" s="368"/>
      <c r="MV3" s="368"/>
      <c r="MW3" s="368"/>
      <c r="MX3" s="368"/>
      <c r="MY3" s="368"/>
      <c r="MZ3" s="368"/>
      <c r="NA3" s="368"/>
      <c r="NB3" s="368"/>
      <c r="NC3" s="368"/>
      <c r="ND3" s="368"/>
      <c r="NE3" s="368"/>
      <c r="NF3" s="368"/>
      <c r="NG3" s="368"/>
      <c r="NH3" s="368"/>
      <c r="NI3" s="368"/>
      <c r="NJ3" s="368"/>
      <c r="NK3" s="368"/>
      <c r="NL3" s="368"/>
      <c r="NM3" s="368"/>
      <c r="NN3" s="368"/>
      <c r="NO3" s="368"/>
      <c r="NP3" s="368"/>
      <c r="NQ3" s="368"/>
      <c r="NR3" s="368"/>
      <c r="NS3" s="368"/>
      <c r="NT3" s="368"/>
      <c r="NU3" s="368"/>
      <c r="NV3" s="368"/>
      <c r="NW3" s="368"/>
      <c r="NX3" s="368"/>
      <c r="NY3" s="368"/>
      <c r="NZ3" s="368"/>
      <c r="OA3" s="368"/>
      <c r="OB3" s="368"/>
      <c r="OC3" s="368"/>
      <c r="OD3" s="368"/>
      <c r="OE3" s="368"/>
      <c r="OF3" s="368"/>
      <c r="OG3" s="368"/>
      <c r="OH3" s="368"/>
      <c r="OI3" s="368"/>
      <c r="OJ3" s="368"/>
      <c r="OK3" s="368"/>
      <c r="OL3" s="368"/>
      <c r="OM3" s="368"/>
      <c r="ON3" s="368"/>
      <c r="OO3" s="368"/>
      <c r="OP3" s="368"/>
      <c r="OQ3" s="368"/>
      <c r="OR3" s="368"/>
      <c r="OS3" s="368"/>
      <c r="OT3" s="368"/>
      <c r="OU3" s="368"/>
      <c r="OV3" s="368"/>
      <c r="OW3" s="368"/>
      <c r="OX3" s="368"/>
      <c r="OY3" s="368"/>
      <c r="OZ3" s="368"/>
      <c r="PA3" s="368"/>
      <c r="PB3" s="368"/>
      <c r="PC3" s="368"/>
      <c r="PD3" s="368"/>
      <c r="PE3" s="368"/>
      <c r="PF3" s="368"/>
      <c r="PG3" s="368"/>
      <c r="PH3" s="368"/>
      <c r="PI3" s="368"/>
      <c r="PJ3" s="368"/>
      <c r="PK3" s="368"/>
      <c r="PL3" s="368"/>
      <c r="PM3" s="368"/>
      <c r="PN3" s="368"/>
      <c r="PO3" s="368"/>
      <c r="PP3" s="368"/>
      <c r="PQ3" s="368"/>
      <c r="PR3" s="368"/>
      <c r="PS3" s="368"/>
      <c r="PT3" s="368"/>
      <c r="PU3" s="368"/>
      <c r="PV3" s="368"/>
      <c r="PW3" s="368"/>
      <c r="PX3" s="368"/>
      <c r="PY3" s="368"/>
      <c r="PZ3" s="368"/>
      <c r="QA3" s="368"/>
      <c r="QB3" s="368"/>
      <c r="QC3" s="368"/>
      <c r="QD3" s="368"/>
      <c r="QE3" s="368"/>
      <c r="QF3" s="368"/>
      <c r="QG3" s="368"/>
      <c r="QH3" s="368"/>
      <c r="QI3" s="368"/>
      <c r="QJ3" s="368"/>
      <c r="QK3" s="368"/>
      <c r="QL3" s="368"/>
      <c r="QM3" s="368"/>
      <c r="QN3" s="368"/>
      <c r="QO3" s="368"/>
      <c r="QP3" s="368"/>
      <c r="QQ3" s="368"/>
      <c r="QR3" s="368"/>
      <c r="QS3" s="368"/>
      <c r="QT3" s="368"/>
      <c r="QU3" s="368"/>
      <c r="QV3" s="368"/>
      <c r="QW3" s="368"/>
      <c r="QX3" s="368"/>
      <c r="QY3" s="368"/>
      <c r="QZ3" s="368"/>
      <c r="RA3" s="368"/>
      <c r="RB3" s="368"/>
      <c r="RC3" s="368"/>
      <c r="RD3" s="368"/>
      <c r="RE3" s="368"/>
      <c r="RF3" s="368"/>
      <c r="RG3" s="368"/>
      <c r="RH3" s="368"/>
      <c r="RI3" s="368"/>
      <c r="RJ3" s="368"/>
      <c r="RK3" s="368"/>
      <c r="RL3" s="368"/>
      <c r="RM3" s="368"/>
      <c r="RN3" s="368"/>
      <c r="RO3" s="368"/>
      <c r="RP3" s="368"/>
      <c r="RQ3" s="368"/>
      <c r="RR3" s="368"/>
      <c r="RS3" s="368"/>
      <c r="RT3" s="368"/>
      <c r="RU3" s="368"/>
      <c r="RV3" s="368"/>
      <c r="RW3" s="368"/>
      <c r="RX3" s="368"/>
      <c r="RY3" s="368"/>
      <c r="RZ3" s="368"/>
      <c r="SA3" s="368"/>
      <c r="SB3" s="368"/>
      <c r="SC3" s="368"/>
      <c r="SD3" s="368"/>
      <c r="SE3" s="368"/>
      <c r="SF3" s="368"/>
      <c r="SG3" s="368"/>
      <c r="SH3" s="368"/>
      <c r="SI3" s="368"/>
      <c r="SJ3" s="368"/>
      <c r="SK3" s="368"/>
      <c r="SL3" s="368"/>
      <c r="SM3" s="368"/>
      <c r="SN3" s="368"/>
      <c r="SO3" s="368"/>
      <c r="SP3" s="368"/>
      <c r="SQ3" s="368"/>
      <c r="SR3" s="368"/>
      <c r="SS3" s="368"/>
      <c r="ST3" s="368"/>
      <c r="SU3" s="368"/>
      <c r="SV3" s="368"/>
      <c r="SW3" s="368"/>
      <c r="SX3" s="368"/>
      <c r="SY3" s="368"/>
      <c r="SZ3" s="368"/>
      <c r="TA3" s="368"/>
      <c r="TB3" s="368"/>
      <c r="TC3" s="368"/>
      <c r="TD3" s="368"/>
      <c r="TE3" s="368"/>
      <c r="TF3" s="368"/>
      <c r="TG3" s="368"/>
      <c r="TH3" s="368"/>
      <c r="TI3" s="368"/>
      <c r="TJ3" s="368"/>
      <c r="TK3" s="368"/>
      <c r="TL3" s="368"/>
      <c r="TM3" s="368"/>
      <c r="TN3" s="368"/>
      <c r="TO3" s="368"/>
      <c r="TP3" s="368"/>
      <c r="TQ3" s="368"/>
      <c r="TR3" s="368"/>
      <c r="TS3" s="368"/>
      <c r="TT3" s="368"/>
      <c r="TU3" s="368"/>
      <c r="TV3" s="368"/>
      <c r="TW3" s="368"/>
      <c r="TX3" s="368"/>
      <c r="TY3" s="368"/>
      <c r="TZ3" s="368"/>
      <c r="UA3" s="368"/>
      <c r="UB3" s="368"/>
      <c r="UC3" s="368"/>
      <c r="UD3" s="368"/>
      <c r="UE3" s="368"/>
      <c r="UF3" s="368"/>
      <c r="UG3" s="368"/>
      <c r="UH3" s="368"/>
      <c r="UI3" s="368"/>
      <c r="UJ3" s="368"/>
      <c r="UK3" s="368"/>
      <c r="UL3" s="368"/>
      <c r="UM3" s="368"/>
      <c r="UN3" s="368"/>
      <c r="UO3" s="368"/>
      <c r="UP3" s="368"/>
      <c r="UQ3" s="368"/>
      <c r="UR3" s="368"/>
      <c r="US3" s="368"/>
      <c r="UT3" s="368"/>
      <c r="UU3" s="368"/>
      <c r="UV3" s="368"/>
      <c r="UW3" s="368"/>
      <c r="UX3" s="368"/>
      <c r="UY3" s="368"/>
      <c r="UZ3" s="368"/>
      <c r="VA3" s="368"/>
      <c r="VB3" s="368"/>
      <c r="VC3" s="368"/>
      <c r="VD3" s="368"/>
      <c r="VE3" s="368"/>
      <c r="VF3" s="368"/>
      <c r="VG3" s="368"/>
      <c r="VH3" s="368"/>
      <c r="VI3" s="368"/>
      <c r="VJ3" s="368"/>
      <c r="VK3" s="368"/>
      <c r="VL3" s="368"/>
      <c r="VM3" s="368"/>
      <c r="VN3" s="368"/>
      <c r="VO3" s="368"/>
      <c r="VP3" s="368"/>
      <c r="VQ3" s="368"/>
      <c r="VR3" s="368"/>
      <c r="VS3" s="368"/>
      <c r="VT3" s="368"/>
      <c r="VU3" s="368"/>
      <c r="VV3" s="368"/>
      <c r="VW3" s="368"/>
      <c r="VX3" s="368"/>
      <c r="VY3" s="368"/>
      <c r="VZ3" s="368"/>
      <c r="WA3" s="368"/>
      <c r="WB3" s="368"/>
      <c r="WC3" s="368"/>
      <c r="WD3" s="368"/>
      <c r="WE3" s="368"/>
      <c r="WF3" s="368"/>
      <c r="WG3" s="368"/>
      <c r="WH3" s="368"/>
      <c r="WI3" s="368"/>
      <c r="WJ3" s="368"/>
      <c r="WK3" s="368"/>
      <c r="WL3" s="368"/>
      <c r="WM3" s="368"/>
      <c r="WN3" s="368"/>
      <c r="WO3" s="368"/>
      <c r="WP3" s="368"/>
      <c r="WQ3" s="368"/>
      <c r="WR3" s="368"/>
      <c r="WS3" s="368"/>
      <c r="WT3" s="368"/>
      <c r="WU3" s="368"/>
      <c r="WV3" s="368"/>
      <c r="WW3" s="368"/>
      <c r="WX3" s="368"/>
      <c r="WY3" s="368"/>
      <c r="WZ3" s="368"/>
      <c r="XA3" s="368"/>
      <c r="XB3" s="368"/>
      <c r="XC3" s="368"/>
      <c r="XD3" s="368"/>
      <c r="XE3" s="368"/>
      <c r="XF3" s="368"/>
      <c r="XG3" s="368"/>
      <c r="XH3" s="368"/>
      <c r="XI3" s="368"/>
      <c r="XJ3" s="368"/>
      <c r="XK3" s="368"/>
      <c r="XL3" s="368"/>
      <c r="XM3" s="368"/>
      <c r="XN3" s="368"/>
      <c r="XO3" s="368"/>
      <c r="XP3" s="368"/>
      <c r="XQ3" s="368"/>
      <c r="XR3" s="368"/>
      <c r="XS3" s="368"/>
      <c r="XT3" s="368"/>
      <c r="XU3" s="368"/>
      <c r="XV3" s="368"/>
      <c r="XW3" s="368"/>
      <c r="XX3" s="368"/>
      <c r="XY3" s="368"/>
      <c r="XZ3" s="368"/>
      <c r="YA3" s="368"/>
      <c r="YB3" s="368"/>
      <c r="YC3" s="368"/>
      <c r="YD3" s="368"/>
      <c r="YE3" s="368"/>
      <c r="YF3" s="368"/>
      <c r="YG3" s="368"/>
      <c r="YH3" s="368"/>
      <c r="YI3" s="368"/>
      <c r="YJ3" s="368"/>
      <c r="YK3" s="368"/>
      <c r="YL3" s="368"/>
      <c r="YM3" s="368"/>
      <c r="YN3" s="368"/>
      <c r="YO3" s="368"/>
      <c r="YP3" s="368"/>
      <c r="YQ3" s="368"/>
      <c r="YR3" s="368"/>
      <c r="YS3" s="368"/>
      <c r="YT3" s="368"/>
      <c r="YU3" s="368"/>
      <c r="YV3" s="368"/>
      <c r="YW3" s="368"/>
      <c r="YX3" s="368"/>
      <c r="YY3" s="368"/>
      <c r="YZ3" s="368"/>
      <c r="ZA3" s="368"/>
      <c r="ZB3" s="368"/>
      <c r="ZC3" s="368"/>
      <c r="ZD3" s="368"/>
      <c r="ZE3" s="368"/>
      <c r="ZF3" s="368"/>
      <c r="ZG3" s="368"/>
      <c r="ZH3" s="368"/>
      <c r="ZI3" s="368"/>
      <c r="ZJ3" s="368"/>
      <c r="ZK3" s="368"/>
      <c r="ZL3" s="368"/>
      <c r="ZM3" s="368"/>
      <c r="ZN3" s="368"/>
      <c r="ZO3" s="368"/>
      <c r="ZP3" s="368"/>
      <c r="ZQ3" s="368"/>
      <c r="ZR3" s="368"/>
      <c r="ZS3" s="368"/>
      <c r="ZT3" s="368"/>
      <c r="ZU3" s="368"/>
      <c r="ZV3" s="368"/>
      <c r="ZW3" s="368"/>
      <c r="ZX3" s="368"/>
      <c r="ZY3" s="368"/>
      <c r="ZZ3" s="368"/>
      <c r="AAA3" s="368"/>
      <c r="AAB3" s="368"/>
      <c r="AAC3" s="368"/>
      <c r="AAD3" s="368"/>
      <c r="AAE3" s="368"/>
      <c r="AAF3" s="368"/>
      <c r="AAG3" s="368"/>
      <c r="AAH3" s="368"/>
      <c r="AAI3" s="368"/>
      <c r="AAJ3" s="368"/>
      <c r="AAK3" s="368"/>
      <c r="AAL3" s="368"/>
      <c r="AAM3" s="368"/>
      <c r="AAN3" s="368"/>
      <c r="AAO3" s="368"/>
      <c r="AAP3" s="368"/>
      <c r="AAQ3" s="368"/>
      <c r="AAR3" s="368"/>
      <c r="AAS3" s="368"/>
      <c r="AAT3" s="368"/>
      <c r="AAU3" s="368"/>
      <c r="AAV3" s="368"/>
      <c r="AAW3" s="368"/>
      <c r="AAX3" s="368"/>
      <c r="AAY3" s="368"/>
      <c r="AAZ3" s="368"/>
      <c r="ABA3" s="368"/>
      <c r="ABB3" s="368"/>
      <c r="ABC3" s="368"/>
      <c r="ABD3" s="368"/>
      <c r="ABE3" s="368"/>
      <c r="ABF3" s="368"/>
      <c r="ABG3" s="368"/>
      <c r="ABH3" s="368"/>
      <c r="ABI3" s="368"/>
      <c r="ABJ3" s="368"/>
      <c r="ABK3" s="368"/>
      <c r="ABL3" s="368"/>
      <c r="ABM3" s="368"/>
      <c r="ABN3" s="368"/>
      <c r="ABO3" s="368"/>
      <c r="ABP3" s="368"/>
      <c r="ABQ3" s="368"/>
      <c r="ABR3" s="368"/>
      <c r="ABS3" s="368"/>
      <c r="ABT3" s="368"/>
      <c r="ABU3" s="368"/>
      <c r="ABV3" s="368"/>
      <c r="ABW3" s="368"/>
      <c r="ABX3" s="368"/>
      <c r="ABY3" s="368"/>
      <c r="ABZ3" s="368"/>
      <c r="ACA3" s="368"/>
      <c r="ACB3" s="368"/>
      <c r="ACC3" s="368"/>
      <c r="ACD3" s="368"/>
      <c r="ACE3" s="368"/>
      <c r="ACF3" s="368"/>
      <c r="ACG3" s="368"/>
      <c r="ACH3" s="368"/>
      <c r="ACI3" s="368"/>
      <c r="ACJ3" s="368"/>
      <c r="ACK3" s="368"/>
      <c r="ACL3" s="368"/>
      <c r="ACM3" s="368"/>
      <c r="ACN3" s="368"/>
      <c r="ACO3" s="368"/>
      <c r="ACP3" s="368"/>
      <c r="ACQ3" s="368"/>
      <c r="ACR3" s="368"/>
      <c r="ACS3" s="368"/>
      <c r="ACT3" s="368"/>
      <c r="ACU3" s="368"/>
      <c r="ACV3" s="368"/>
      <c r="ACW3" s="368"/>
      <c r="ACX3" s="368"/>
      <c r="ACY3" s="368"/>
      <c r="ACZ3" s="368"/>
      <c r="ADA3" s="368"/>
      <c r="ADB3" s="368"/>
      <c r="ADC3" s="368"/>
      <c r="ADD3" s="368"/>
      <c r="ADE3" s="368"/>
      <c r="ADF3" s="368"/>
      <c r="ADG3" s="368"/>
      <c r="ADH3" s="368"/>
      <c r="ADI3" s="368"/>
      <c r="ADJ3" s="368"/>
      <c r="ADK3" s="368"/>
      <c r="ADL3" s="368"/>
      <c r="ADM3" s="368"/>
      <c r="ADN3" s="368"/>
      <c r="ADO3" s="368"/>
      <c r="ADP3" s="368"/>
      <c r="ADQ3" s="368"/>
      <c r="ADR3" s="368"/>
      <c r="ADS3" s="368"/>
      <c r="ADT3" s="368"/>
      <c r="ADU3" s="368"/>
      <c r="ADV3" s="368"/>
      <c r="ADW3" s="368"/>
      <c r="ADX3" s="368"/>
      <c r="ADY3" s="368"/>
      <c r="ADZ3" s="368"/>
      <c r="AEA3" s="368"/>
      <c r="AEB3" s="368"/>
      <c r="AEC3" s="368"/>
      <c r="AED3" s="368"/>
      <c r="AEE3" s="368"/>
      <c r="AEF3" s="368"/>
      <c r="AEG3" s="368"/>
      <c r="AEH3" s="368"/>
      <c r="AEI3" s="368"/>
      <c r="AEJ3" s="368"/>
      <c r="AEK3" s="368"/>
      <c r="AEL3" s="368"/>
      <c r="AEM3" s="368"/>
      <c r="AEN3" s="368"/>
      <c r="AEO3" s="368"/>
      <c r="AEP3" s="368"/>
      <c r="AEQ3" s="368"/>
      <c r="AER3" s="368"/>
      <c r="AES3" s="368"/>
      <c r="AET3" s="368"/>
      <c r="AEU3" s="368"/>
      <c r="AEV3" s="368"/>
      <c r="AEW3" s="368"/>
      <c r="AEX3" s="368"/>
      <c r="AEY3" s="368"/>
      <c r="AEZ3" s="368"/>
      <c r="AFA3" s="368"/>
      <c r="AFB3" s="368"/>
      <c r="AFC3" s="368"/>
      <c r="AFD3" s="368"/>
      <c r="AFE3" s="368"/>
      <c r="AFF3" s="368"/>
      <c r="AFG3" s="368"/>
      <c r="AFH3" s="368"/>
      <c r="AFI3" s="368"/>
      <c r="AFJ3" s="368"/>
      <c r="AFK3" s="368"/>
      <c r="AFL3" s="368"/>
      <c r="AFM3" s="368"/>
      <c r="AFN3" s="368"/>
      <c r="AFO3" s="368"/>
      <c r="AFP3" s="368"/>
      <c r="AFQ3" s="368"/>
      <c r="AFR3" s="368"/>
      <c r="AFS3" s="368"/>
      <c r="AFT3" s="368"/>
      <c r="AFU3" s="368"/>
      <c r="AFV3" s="368"/>
      <c r="AFW3" s="368"/>
      <c r="AFX3" s="368"/>
      <c r="AFY3" s="368"/>
      <c r="AFZ3" s="368"/>
      <c r="AGA3" s="368"/>
      <c r="AGB3" s="368"/>
      <c r="AGC3" s="368"/>
      <c r="AGD3" s="368"/>
      <c r="AGE3" s="368"/>
      <c r="AGF3" s="368"/>
      <c r="AGG3" s="368"/>
      <c r="AGH3" s="368"/>
      <c r="AGI3" s="368"/>
      <c r="AGJ3" s="368"/>
      <c r="AGK3" s="368"/>
      <c r="AGL3" s="368"/>
      <c r="AGM3" s="368"/>
      <c r="AGN3" s="368"/>
      <c r="AGO3" s="368"/>
      <c r="AGP3" s="368"/>
      <c r="AGQ3" s="368"/>
      <c r="AGR3" s="368"/>
      <c r="AGS3" s="368"/>
      <c r="AGT3" s="368"/>
      <c r="AGU3" s="368"/>
      <c r="AGV3" s="368"/>
      <c r="AGW3" s="368"/>
      <c r="AGX3" s="368"/>
      <c r="AGY3" s="368"/>
      <c r="AGZ3" s="368"/>
      <c r="AHA3" s="368"/>
      <c r="AHB3" s="368"/>
      <c r="AHC3" s="368"/>
      <c r="AHD3" s="368"/>
      <c r="AHE3" s="368"/>
      <c r="AHF3" s="368"/>
      <c r="AHG3" s="368"/>
      <c r="AHH3" s="368"/>
      <c r="AHI3" s="368"/>
      <c r="AHJ3" s="368"/>
      <c r="AHK3" s="368"/>
      <c r="AHL3" s="368"/>
      <c r="AHM3" s="368"/>
      <c r="AHN3" s="368"/>
      <c r="AHO3" s="368"/>
      <c r="AHP3" s="368"/>
      <c r="AHQ3" s="368"/>
      <c r="AHR3" s="368"/>
      <c r="AHS3" s="368"/>
      <c r="AHT3" s="368"/>
      <c r="AHU3" s="368"/>
      <c r="AHV3" s="368"/>
      <c r="AHW3" s="368"/>
      <c r="AHX3" s="368"/>
      <c r="AHY3" s="368"/>
      <c r="AHZ3" s="368"/>
      <c r="AIA3" s="368"/>
      <c r="AIB3" s="368"/>
      <c r="AIC3" s="368"/>
      <c r="AID3" s="368"/>
      <c r="AIE3" s="368"/>
      <c r="AIF3" s="368"/>
      <c r="AIG3" s="368"/>
      <c r="AIH3" s="368"/>
      <c r="AII3" s="368"/>
      <c r="AIJ3" s="368"/>
      <c r="AIK3" s="368"/>
      <c r="AIL3" s="368"/>
      <c r="AIM3" s="368"/>
      <c r="AIN3" s="368"/>
      <c r="AIO3" s="368"/>
      <c r="AIP3" s="368"/>
      <c r="AIQ3" s="368"/>
      <c r="AIR3" s="368"/>
      <c r="AIS3" s="368"/>
      <c r="AIT3" s="368"/>
      <c r="AIU3" s="368"/>
      <c r="AIV3" s="368"/>
      <c r="AIW3" s="368"/>
      <c r="AIX3" s="368"/>
      <c r="AIY3" s="368"/>
      <c r="AIZ3" s="368"/>
      <c r="AJA3" s="368"/>
      <c r="AJB3" s="368"/>
      <c r="AJC3" s="368"/>
      <c r="AJD3" s="368"/>
      <c r="AJE3" s="368"/>
      <c r="AJF3" s="368"/>
      <c r="AJG3" s="368"/>
      <c r="AJH3" s="368"/>
      <c r="AJI3" s="368"/>
      <c r="AJJ3" s="368"/>
      <c r="AJK3" s="368"/>
      <c r="AJL3" s="368"/>
      <c r="AJM3" s="368"/>
      <c r="AJN3" s="368"/>
      <c r="AJO3" s="368"/>
      <c r="AJP3" s="368"/>
      <c r="AJQ3" s="368"/>
      <c r="AJR3" s="368"/>
      <c r="AJS3" s="368"/>
      <c r="AJT3" s="368"/>
      <c r="AJU3" s="368"/>
      <c r="AJV3" s="368"/>
      <c r="AJW3" s="368"/>
      <c r="AJX3" s="368"/>
      <c r="AJY3" s="368"/>
      <c r="AJZ3" s="368"/>
      <c r="AKA3" s="368"/>
      <c r="AKB3" s="368"/>
      <c r="AKC3" s="368"/>
      <c r="AKD3" s="368"/>
      <c r="AKE3" s="368"/>
      <c r="AKF3" s="368"/>
      <c r="AKG3" s="368"/>
      <c r="AKH3" s="368"/>
      <c r="AKI3" s="368"/>
      <c r="AKJ3" s="368"/>
      <c r="AKK3" s="368"/>
      <c r="AKL3" s="368"/>
      <c r="AKM3" s="368"/>
      <c r="AKN3" s="368"/>
    </row>
    <row r="4" spans="1:976" s="363" customFormat="1" ht="22.5" customHeight="1" x14ac:dyDescent="0.2">
      <c r="A4" s="358" t="s">
        <v>262</v>
      </c>
      <c r="B4" s="358"/>
      <c r="C4" s="358" t="s">
        <v>221</v>
      </c>
      <c r="D4" s="358" t="s">
        <v>222</v>
      </c>
      <c r="E4" s="359">
        <v>401940</v>
      </c>
      <c r="F4" s="359">
        <v>63</v>
      </c>
      <c r="G4" s="359">
        <v>11</v>
      </c>
      <c r="H4" s="359">
        <v>0</v>
      </c>
      <c r="I4" s="360">
        <v>45698</v>
      </c>
      <c r="J4" s="358" t="s">
        <v>263</v>
      </c>
      <c r="K4" s="358" t="s">
        <v>272</v>
      </c>
      <c r="L4" s="361">
        <v>696.96</v>
      </c>
      <c r="M4" s="361">
        <v>38.33</v>
      </c>
      <c r="N4" s="448">
        <v>735.29</v>
      </c>
      <c r="O4" s="358"/>
      <c r="P4" s="362">
        <v>45701</v>
      </c>
      <c r="Q4" s="361">
        <v>735.29</v>
      </c>
      <c r="R4" s="358" t="s">
        <v>273</v>
      </c>
      <c r="S4" s="361">
        <v>0</v>
      </c>
      <c r="T4" s="361">
        <v>0</v>
      </c>
      <c r="U4" s="361">
        <v>0</v>
      </c>
      <c r="V4" s="361">
        <v>0</v>
      </c>
      <c r="W4" s="358"/>
      <c r="X4" s="358" t="s">
        <v>266</v>
      </c>
      <c r="Y4" s="358" t="s">
        <v>267</v>
      </c>
      <c r="Z4" s="358" t="s">
        <v>32</v>
      </c>
      <c r="AA4" s="358" t="s">
        <v>228</v>
      </c>
      <c r="AB4" s="358" t="s">
        <v>34</v>
      </c>
      <c r="AC4" s="358" t="s">
        <v>31</v>
      </c>
      <c r="AD4" s="358" t="s">
        <v>231</v>
      </c>
      <c r="AE4" s="358" t="s">
        <v>232</v>
      </c>
      <c r="AF4" s="358" t="s">
        <v>231</v>
      </c>
      <c r="AG4" s="358" t="s">
        <v>232</v>
      </c>
      <c r="AH4" s="358"/>
      <c r="AI4" s="358"/>
      <c r="AJ4" s="358" t="s">
        <v>248</v>
      </c>
      <c r="AK4" s="358" t="s">
        <v>274</v>
      </c>
      <c r="AL4" s="359">
        <v>1</v>
      </c>
      <c r="AM4" s="359">
        <v>0</v>
      </c>
      <c r="AN4" s="360">
        <v>45701</v>
      </c>
      <c r="AO4" s="360">
        <v>45701</v>
      </c>
      <c r="AP4" s="361">
        <v>735.29</v>
      </c>
      <c r="AQ4" s="360">
        <v>45700</v>
      </c>
      <c r="AR4" s="368"/>
      <c r="AS4" s="368"/>
      <c r="AT4" s="368"/>
      <c r="AU4" s="368"/>
      <c r="AV4" s="368"/>
      <c r="AW4" s="368"/>
      <c r="AX4" s="368"/>
      <c r="AY4" s="368"/>
      <c r="AZ4" s="368"/>
      <c r="BA4" s="368"/>
      <c r="BB4" s="368"/>
      <c r="BC4" s="368"/>
      <c r="BD4" s="368"/>
      <c r="BE4" s="368"/>
      <c r="BF4" s="368"/>
      <c r="BG4" s="368"/>
      <c r="BH4" s="368"/>
      <c r="BI4" s="368"/>
      <c r="BJ4" s="368"/>
      <c r="BK4" s="368"/>
      <c r="BL4" s="368"/>
      <c r="BM4" s="368"/>
      <c r="BN4" s="368"/>
      <c r="BO4" s="368"/>
      <c r="BP4" s="368"/>
      <c r="BQ4" s="368"/>
      <c r="BR4" s="368"/>
      <c r="BS4" s="368"/>
      <c r="BT4" s="368"/>
      <c r="BU4" s="368"/>
      <c r="BV4" s="368"/>
      <c r="BW4" s="368"/>
      <c r="BX4" s="368"/>
      <c r="BY4" s="368"/>
      <c r="BZ4" s="368"/>
      <c r="CA4" s="368"/>
      <c r="CB4" s="368"/>
      <c r="CC4" s="368"/>
      <c r="CD4" s="368"/>
      <c r="CE4" s="368"/>
      <c r="CF4" s="368"/>
      <c r="CG4" s="368"/>
      <c r="CH4" s="368"/>
      <c r="CI4" s="368"/>
      <c r="CJ4" s="368"/>
      <c r="CK4" s="368"/>
      <c r="CL4" s="368"/>
      <c r="CM4" s="368"/>
      <c r="CN4" s="368"/>
      <c r="CO4" s="368"/>
      <c r="CP4" s="368"/>
      <c r="CQ4" s="368"/>
      <c r="CR4" s="368"/>
      <c r="CS4" s="368"/>
      <c r="CT4" s="368"/>
      <c r="CU4" s="368"/>
      <c r="CV4" s="368"/>
      <c r="CW4" s="368"/>
      <c r="CX4" s="368"/>
      <c r="CY4" s="368"/>
      <c r="CZ4" s="368"/>
      <c r="DA4" s="368"/>
      <c r="DB4" s="368"/>
      <c r="DC4" s="368"/>
      <c r="DD4" s="368"/>
      <c r="DE4" s="368"/>
      <c r="DF4" s="368"/>
      <c r="DG4" s="368"/>
      <c r="DH4" s="368"/>
      <c r="DI4" s="368"/>
      <c r="DJ4" s="368"/>
      <c r="DK4" s="368"/>
      <c r="DL4" s="368"/>
      <c r="DM4" s="368"/>
      <c r="DN4" s="368"/>
      <c r="DO4" s="368"/>
      <c r="DP4" s="368"/>
      <c r="DQ4" s="368"/>
      <c r="DR4" s="368"/>
      <c r="DS4" s="368"/>
      <c r="DT4" s="368"/>
      <c r="DU4" s="368"/>
      <c r="DV4" s="368"/>
      <c r="DW4" s="368"/>
      <c r="DX4" s="368"/>
      <c r="DY4" s="368"/>
      <c r="DZ4" s="368"/>
      <c r="EA4" s="368"/>
      <c r="EB4" s="368"/>
      <c r="EC4" s="368"/>
      <c r="ED4" s="368"/>
      <c r="EE4" s="368"/>
      <c r="EF4" s="368"/>
      <c r="EG4" s="368"/>
      <c r="EH4" s="368"/>
      <c r="EI4" s="368"/>
      <c r="EJ4" s="368"/>
      <c r="EK4" s="368"/>
      <c r="EL4" s="368"/>
      <c r="EM4" s="368"/>
      <c r="EN4" s="368"/>
      <c r="EO4" s="368"/>
      <c r="EP4" s="368"/>
      <c r="EQ4" s="368"/>
      <c r="ER4" s="368"/>
      <c r="ES4" s="368"/>
      <c r="ET4" s="368"/>
      <c r="EU4" s="368"/>
      <c r="EV4" s="368"/>
      <c r="EW4" s="368"/>
      <c r="EX4" s="368"/>
      <c r="EY4" s="368"/>
      <c r="EZ4" s="368"/>
      <c r="FA4" s="368"/>
      <c r="FB4" s="368"/>
      <c r="FC4" s="368"/>
      <c r="FD4" s="368"/>
      <c r="FE4" s="368"/>
      <c r="FF4" s="368"/>
      <c r="FG4" s="368"/>
      <c r="FH4" s="368"/>
      <c r="FI4" s="368"/>
      <c r="FJ4" s="368"/>
      <c r="FK4" s="368"/>
      <c r="FL4" s="368"/>
      <c r="FM4" s="368"/>
      <c r="FN4" s="368"/>
      <c r="FO4" s="368"/>
      <c r="FP4" s="368"/>
      <c r="FQ4" s="368"/>
      <c r="FR4" s="368"/>
      <c r="FS4" s="368"/>
      <c r="FT4" s="368"/>
      <c r="FU4" s="368"/>
      <c r="FV4" s="368"/>
      <c r="FW4" s="368"/>
      <c r="FX4" s="368"/>
      <c r="FY4" s="368"/>
      <c r="FZ4" s="368"/>
      <c r="GA4" s="368"/>
      <c r="GB4" s="368"/>
      <c r="GC4" s="368"/>
      <c r="GD4" s="368"/>
      <c r="GE4" s="368"/>
      <c r="GF4" s="368"/>
      <c r="GG4" s="368"/>
      <c r="GH4" s="368"/>
      <c r="GI4" s="368"/>
      <c r="GJ4" s="368"/>
      <c r="GK4" s="368"/>
      <c r="GL4" s="368"/>
      <c r="GM4" s="368"/>
      <c r="GN4" s="368"/>
      <c r="GO4" s="368"/>
      <c r="GP4" s="368"/>
      <c r="GQ4" s="368"/>
      <c r="GR4" s="368"/>
      <c r="GS4" s="368"/>
      <c r="GT4" s="368"/>
      <c r="GU4" s="368"/>
      <c r="GV4" s="368"/>
      <c r="GW4" s="368"/>
      <c r="GX4" s="368"/>
      <c r="GY4" s="368"/>
      <c r="GZ4" s="368"/>
      <c r="HA4" s="368"/>
      <c r="HB4" s="368"/>
      <c r="HC4" s="368"/>
      <c r="HD4" s="368"/>
      <c r="HE4" s="368"/>
      <c r="HF4" s="368"/>
      <c r="HG4" s="368"/>
      <c r="HH4" s="368"/>
      <c r="HI4" s="368"/>
      <c r="HJ4" s="368"/>
      <c r="HK4" s="368"/>
      <c r="HL4" s="368"/>
      <c r="HM4" s="368"/>
      <c r="HN4" s="368"/>
      <c r="HO4" s="368"/>
      <c r="HP4" s="368"/>
      <c r="HQ4" s="368"/>
      <c r="HR4" s="368"/>
      <c r="HS4" s="368"/>
      <c r="HT4" s="368"/>
      <c r="HU4" s="368"/>
      <c r="HV4" s="368"/>
      <c r="HW4" s="368"/>
      <c r="HX4" s="368"/>
      <c r="HY4" s="368"/>
      <c r="HZ4" s="368"/>
      <c r="IA4" s="368"/>
      <c r="IB4" s="368"/>
      <c r="IC4" s="368"/>
      <c r="ID4" s="368"/>
      <c r="IE4" s="368"/>
      <c r="IF4" s="368"/>
      <c r="IG4" s="368"/>
      <c r="IH4" s="368"/>
      <c r="II4" s="368"/>
      <c r="IJ4" s="368"/>
      <c r="IK4" s="368"/>
      <c r="IL4" s="368"/>
      <c r="IM4" s="368"/>
      <c r="IN4" s="368"/>
      <c r="IO4" s="368"/>
      <c r="IP4" s="368"/>
      <c r="IQ4" s="368"/>
      <c r="IR4" s="368"/>
      <c r="IS4" s="368"/>
      <c r="IT4" s="368"/>
      <c r="IU4" s="368"/>
      <c r="IV4" s="368"/>
      <c r="IW4" s="368"/>
      <c r="IX4" s="368"/>
      <c r="IY4" s="368"/>
      <c r="IZ4" s="368"/>
      <c r="JA4" s="368"/>
      <c r="JB4" s="368"/>
      <c r="JC4" s="368"/>
      <c r="JD4" s="368"/>
      <c r="JE4" s="368"/>
      <c r="JF4" s="368"/>
      <c r="JG4" s="368"/>
      <c r="JH4" s="368"/>
      <c r="JI4" s="368"/>
      <c r="JJ4" s="368"/>
      <c r="JK4" s="368"/>
      <c r="JL4" s="368"/>
      <c r="JM4" s="368"/>
      <c r="JN4" s="368"/>
      <c r="JO4" s="368"/>
      <c r="JP4" s="368"/>
      <c r="JQ4" s="368"/>
      <c r="JR4" s="368"/>
      <c r="JS4" s="368"/>
      <c r="JT4" s="368"/>
      <c r="JU4" s="368"/>
      <c r="JV4" s="368"/>
      <c r="JW4" s="368"/>
      <c r="JX4" s="368"/>
      <c r="JY4" s="368"/>
      <c r="JZ4" s="368"/>
      <c r="KA4" s="368"/>
      <c r="KB4" s="368"/>
      <c r="KC4" s="368"/>
      <c r="KD4" s="368"/>
      <c r="KE4" s="368"/>
      <c r="KF4" s="368"/>
      <c r="KG4" s="368"/>
      <c r="KH4" s="368"/>
      <c r="KI4" s="368"/>
      <c r="KJ4" s="368"/>
      <c r="KK4" s="368"/>
      <c r="KL4" s="368"/>
      <c r="KM4" s="368"/>
      <c r="KN4" s="368"/>
      <c r="KO4" s="368"/>
      <c r="KP4" s="368"/>
      <c r="KQ4" s="368"/>
      <c r="KR4" s="368"/>
      <c r="KS4" s="368"/>
      <c r="KT4" s="368"/>
      <c r="KU4" s="368"/>
      <c r="KV4" s="368"/>
      <c r="KW4" s="368"/>
      <c r="KX4" s="368"/>
      <c r="KY4" s="368"/>
      <c r="KZ4" s="368"/>
      <c r="LA4" s="368"/>
      <c r="LB4" s="368"/>
      <c r="LC4" s="368"/>
      <c r="LD4" s="368"/>
      <c r="LE4" s="368"/>
      <c r="LF4" s="368"/>
      <c r="LG4" s="368"/>
      <c r="LH4" s="368"/>
      <c r="LI4" s="368"/>
      <c r="LJ4" s="368"/>
      <c r="LK4" s="368"/>
      <c r="LL4" s="368"/>
      <c r="LM4" s="368"/>
      <c r="LN4" s="368"/>
      <c r="LO4" s="368"/>
      <c r="LP4" s="368"/>
      <c r="LQ4" s="368"/>
      <c r="LR4" s="368"/>
      <c r="LS4" s="368"/>
      <c r="LT4" s="368"/>
      <c r="LU4" s="368"/>
      <c r="LV4" s="368"/>
      <c r="LW4" s="368"/>
      <c r="LX4" s="368"/>
      <c r="LY4" s="368"/>
      <c r="LZ4" s="368"/>
      <c r="MA4" s="368"/>
      <c r="MB4" s="368"/>
      <c r="MC4" s="368"/>
      <c r="MD4" s="368"/>
      <c r="ME4" s="368"/>
      <c r="MF4" s="368"/>
      <c r="MG4" s="368"/>
      <c r="MH4" s="368"/>
      <c r="MI4" s="368"/>
      <c r="MJ4" s="368"/>
      <c r="MK4" s="368"/>
      <c r="ML4" s="368"/>
      <c r="MM4" s="368"/>
      <c r="MN4" s="368"/>
      <c r="MO4" s="368"/>
      <c r="MP4" s="368"/>
      <c r="MQ4" s="368"/>
      <c r="MR4" s="368"/>
      <c r="MS4" s="368"/>
      <c r="MT4" s="368"/>
      <c r="MU4" s="368"/>
      <c r="MV4" s="368"/>
      <c r="MW4" s="368"/>
      <c r="MX4" s="368"/>
      <c r="MY4" s="368"/>
      <c r="MZ4" s="368"/>
      <c r="NA4" s="368"/>
      <c r="NB4" s="368"/>
      <c r="NC4" s="368"/>
      <c r="ND4" s="368"/>
      <c r="NE4" s="368"/>
      <c r="NF4" s="368"/>
      <c r="NG4" s="368"/>
      <c r="NH4" s="368"/>
      <c r="NI4" s="368"/>
      <c r="NJ4" s="368"/>
      <c r="NK4" s="368"/>
      <c r="NL4" s="368"/>
      <c r="NM4" s="368"/>
      <c r="NN4" s="368"/>
      <c r="NO4" s="368"/>
      <c r="NP4" s="368"/>
      <c r="NQ4" s="368"/>
      <c r="NR4" s="368"/>
      <c r="NS4" s="368"/>
      <c r="NT4" s="368"/>
      <c r="NU4" s="368"/>
      <c r="NV4" s="368"/>
      <c r="NW4" s="368"/>
      <c r="NX4" s="368"/>
      <c r="NY4" s="368"/>
      <c r="NZ4" s="368"/>
      <c r="OA4" s="368"/>
      <c r="OB4" s="368"/>
      <c r="OC4" s="368"/>
      <c r="OD4" s="368"/>
      <c r="OE4" s="368"/>
      <c r="OF4" s="368"/>
      <c r="OG4" s="368"/>
      <c r="OH4" s="368"/>
      <c r="OI4" s="368"/>
      <c r="OJ4" s="368"/>
      <c r="OK4" s="368"/>
      <c r="OL4" s="368"/>
      <c r="OM4" s="368"/>
      <c r="ON4" s="368"/>
      <c r="OO4" s="368"/>
      <c r="OP4" s="368"/>
      <c r="OQ4" s="368"/>
      <c r="OR4" s="368"/>
      <c r="OS4" s="368"/>
      <c r="OT4" s="368"/>
      <c r="OU4" s="368"/>
      <c r="OV4" s="368"/>
      <c r="OW4" s="368"/>
      <c r="OX4" s="368"/>
      <c r="OY4" s="368"/>
      <c r="OZ4" s="368"/>
      <c r="PA4" s="368"/>
      <c r="PB4" s="368"/>
      <c r="PC4" s="368"/>
      <c r="PD4" s="368"/>
      <c r="PE4" s="368"/>
      <c r="PF4" s="368"/>
      <c r="PG4" s="368"/>
      <c r="PH4" s="368"/>
      <c r="PI4" s="368"/>
      <c r="PJ4" s="368"/>
      <c r="PK4" s="368"/>
      <c r="PL4" s="368"/>
      <c r="PM4" s="368"/>
      <c r="PN4" s="368"/>
      <c r="PO4" s="368"/>
      <c r="PP4" s="368"/>
      <c r="PQ4" s="368"/>
      <c r="PR4" s="368"/>
      <c r="PS4" s="368"/>
      <c r="PT4" s="368"/>
      <c r="PU4" s="368"/>
      <c r="PV4" s="368"/>
      <c r="PW4" s="368"/>
      <c r="PX4" s="368"/>
      <c r="PY4" s="368"/>
      <c r="PZ4" s="368"/>
      <c r="QA4" s="368"/>
      <c r="QB4" s="368"/>
      <c r="QC4" s="368"/>
      <c r="QD4" s="368"/>
      <c r="QE4" s="368"/>
      <c r="QF4" s="368"/>
      <c r="QG4" s="368"/>
      <c r="QH4" s="368"/>
      <c r="QI4" s="368"/>
      <c r="QJ4" s="368"/>
      <c r="QK4" s="368"/>
      <c r="QL4" s="368"/>
      <c r="QM4" s="368"/>
      <c r="QN4" s="368"/>
      <c r="QO4" s="368"/>
      <c r="QP4" s="368"/>
      <c r="QQ4" s="368"/>
      <c r="QR4" s="368"/>
      <c r="QS4" s="368"/>
      <c r="QT4" s="368"/>
      <c r="QU4" s="368"/>
      <c r="QV4" s="368"/>
      <c r="QW4" s="368"/>
      <c r="QX4" s="368"/>
      <c r="QY4" s="368"/>
      <c r="QZ4" s="368"/>
      <c r="RA4" s="368"/>
      <c r="RB4" s="368"/>
      <c r="RC4" s="368"/>
      <c r="RD4" s="368"/>
      <c r="RE4" s="368"/>
      <c r="RF4" s="368"/>
      <c r="RG4" s="368"/>
      <c r="RH4" s="368"/>
      <c r="RI4" s="368"/>
      <c r="RJ4" s="368"/>
      <c r="RK4" s="368"/>
      <c r="RL4" s="368"/>
      <c r="RM4" s="368"/>
      <c r="RN4" s="368"/>
      <c r="RO4" s="368"/>
      <c r="RP4" s="368"/>
      <c r="RQ4" s="368"/>
      <c r="RR4" s="368"/>
      <c r="RS4" s="368"/>
      <c r="RT4" s="368"/>
      <c r="RU4" s="368"/>
      <c r="RV4" s="368"/>
      <c r="RW4" s="368"/>
      <c r="RX4" s="368"/>
      <c r="RY4" s="368"/>
      <c r="RZ4" s="368"/>
      <c r="SA4" s="368"/>
      <c r="SB4" s="368"/>
      <c r="SC4" s="368"/>
      <c r="SD4" s="368"/>
      <c r="SE4" s="368"/>
      <c r="SF4" s="368"/>
      <c r="SG4" s="368"/>
      <c r="SH4" s="368"/>
      <c r="SI4" s="368"/>
      <c r="SJ4" s="368"/>
      <c r="SK4" s="368"/>
      <c r="SL4" s="368"/>
      <c r="SM4" s="368"/>
      <c r="SN4" s="368"/>
      <c r="SO4" s="368"/>
      <c r="SP4" s="368"/>
      <c r="SQ4" s="368"/>
      <c r="SR4" s="368"/>
      <c r="SS4" s="368"/>
      <c r="ST4" s="368"/>
      <c r="SU4" s="368"/>
      <c r="SV4" s="368"/>
      <c r="SW4" s="368"/>
      <c r="SX4" s="368"/>
      <c r="SY4" s="368"/>
      <c r="SZ4" s="368"/>
      <c r="TA4" s="368"/>
      <c r="TB4" s="368"/>
      <c r="TC4" s="368"/>
      <c r="TD4" s="368"/>
      <c r="TE4" s="368"/>
      <c r="TF4" s="368"/>
      <c r="TG4" s="368"/>
      <c r="TH4" s="368"/>
      <c r="TI4" s="368"/>
      <c r="TJ4" s="368"/>
      <c r="TK4" s="368"/>
      <c r="TL4" s="368"/>
      <c r="TM4" s="368"/>
      <c r="TN4" s="368"/>
      <c r="TO4" s="368"/>
      <c r="TP4" s="368"/>
      <c r="TQ4" s="368"/>
      <c r="TR4" s="368"/>
      <c r="TS4" s="368"/>
      <c r="TT4" s="368"/>
      <c r="TU4" s="368"/>
      <c r="TV4" s="368"/>
      <c r="TW4" s="368"/>
      <c r="TX4" s="368"/>
      <c r="TY4" s="368"/>
      <c r="TZ4" s="368"/>
      <c r="UA4" s="368"/>
      <c r="UB4" s="368"/>
      <c r="UC4" s="368"/>
      <c r="UD4" s="368"/>
      <c r="UE4" s="368"/>
      <c r="UF4" s="368"/>
      <c r="UG4" s="368"/>
      <c r="UH4" s="368"/>
      <c r="UI4" s="368"/>
      <c r="UJ4" s="368"/>
      <c r="UK4" s="368"/>
      <c r="UL4" s="368"/>
      <c r="UM4" s="368"/>
      <c r="UN4" s="368"/>
      <c r="UO4" s="368"/>
      <c r="UP4" s="368"/>
      <c r="UQ4" s="368"/>
      <c r="UR4" s="368"/>
      <c r="US4" s="368"/>
      <c r="UT4" s="368"/>
      <c r="UU4" s="368"/>
      <c r="UV4" s="368"/>
      <c r="UW4" s="368"/>
      <c r="UX4" s="368"/>
      <c r="UY4" s="368"/>
      <c r="UZ4" s="368"/>
      <c r="VA4" s="368"/>
      <c r="VB4" s="368"/>
      <c r="VC4" s="368"/>
      <c r="VD4" s="368"/>
      <c r="VE4" s="368"/>
      <c r="VF4" s="368"/>
      <c r="VG4" s="368"/>
      <c r="VH4" s="368"/>
      <c r="VI4" s="368"/>
      <c r="VJ4" s="368"/>
      <c r="VK4" s="368"/>
      <c r="VL4" s="368"/>
      <c r="VM4" s="368"/>
      <c r="VN4" s="368"/>
      <c r="VO4" s="368"/>
      <c r="VP4" s="368"/>
      <c r="VQ4" s="368"/>
      <c r="VR4" s="368"/>
      <c r="VS4" s="368"/>
      <c r="VT4" s="368"/>
      <c r="VU4" s="368"/>
      <c r="VV4" s="368"/>
      <c r="VW4" s="368"/>
      <c r="VX4" s="368"/>
      <c r="VY4" s="368"/>
      <c r="VZ4" s="368"/>
      <c r="WA4" s="368"/>
      <c r="WB4" s="368"/>
      <c r="WC4" s="368"/>
      <c r="WD4" s="368"/>
      <c r="WE4" s="368"/>
      <c r="WF4" s="368"/>
      <c r="WG4" s="368"/>
      <c r="WH4" s="368"/>
      <c r="WI4" s="368"/>
      <c r="WJ4" s="368"/>
      <c r="WK4" s="368"/>
      <c r="WL4" s="368"/>
      <c r="WM4" s="368"/>
      <c r="WN4" s="368"/>
      <c r="WO4" s="368"/>
      <c r="WP4" s="368"/>
      <c r="WQ4" s="368"/>
      <c r="WR4" s="368"/>
      <c r="WS4" s="368"/>
      <c r="WT4" s="368"/>
      <c r="WU4" s="368"/>
      <c r="WV4" s="368"/>
      <c r="WW4" s="368"/>
      <c r="WX4" s="368"/>
      <c r="WY4" s="368"/>
      <c r="WZ4" s="368"/>
      <c r="XA4" s="368"/>
      <c r="XB4" s="368"/>
      <c r="XC4" s="368"/>
      <c r="XD4" s="368"/>
      <c r="XE4" s="368"/>
      <c r="XF4" s="368"/>
      <c r="XG4" s="368"/>
      <c r="XH4" s="368"/>
      <c r="XI4" s="368"/>
      <c r="XJ4" s="368"/>
      <c r="XK4" s="368"/>
      <c r="XL4" s="368"/>
      <c r="XM4" s="368"/>
      <c r="XN4" s="368"/>
      <c r="XO4" s="368"/>
      <c r="XP4" s="368"/>
      <c r="XQ4" s="368"/>
      <c r="XR4" s="368"/>
      <c r="XS4" s="368"/>
      <c r="XT4" s="368"/>
      <c r="XU4" s="368"/>
      <c r="XV4" s="368"/>
      <c r="XW4" s="368"/>
      <c r="XX4" s="368"/>
      <c r="XY4" s="368"/>
      <c r="XZ4" s="368"/>
      <c r="YA4" s="368"/>
      <c r="YB4" s="368"/>
      <c r="YC4" s="368"/>
      <c r="YD4" s="368"/>
      <c r="YE4" s="368"/>
      <c r="YF4" s="368"/>
      <c r="YG4" s="368"/>
      <c r="YH4" s="368"/>
      <c r="YI4" s="368"/>
      <c r="YJ4" s="368"/>
      <c r="YK4" s="368"/>
      <c r="YL4" s="368"/>
      <c r="YM4" s="368"/>
      <c r="YN4" s="368"/>
      <c r="YO4" s="368"/>
      <c r="YP4" s="368"/>
      <c r="YQ4" s="368"/>
      <c r="YR4" s="368"/>
      <c r="YS4" s="368"/>
      <c r="YT4" s="368"/>
      <c r="YU4" s="368"/>
      <c r="YV4" s="368"/>
      <c r="YW4" s="368"/>
      <c r="YX4" s="368"/>
      <c r="YY4" s="368"/>
      <c r="YZ4" s="368"/>
      <c r="ZA4" s="368"/>
      <c r="ZB4" s="368"/>
      <c r="ZC4" s="368"/>
      <c r="ZD4" s="368"/>
      <c r="ZE4" s="368"/>
      <c r="ZF4" s="368"/>
      <c r="ZG4" s="368"/>
      <c r="ZH4" s="368"/>
      <c r="ZI4" s="368"/>
      <c r="ZJ4" s="368"/>
      <c r="ZK4" s="368"/>
      <c r="ZL4" s="368"/>
      <c r="ZM4" s="368"/>
      <c r="ZN4" s="368"/>
      <c r="ZO4" s="368"/>
      <c r="ZP4" s="368"/>
      <c r="ZQ4" s="368"/>
      <c r="ZR4" s="368"/>
      <c r="ZS4" s="368"/>
      <c r="ZT4" s="368"/>
      <c r="ZU4" s="368"/>
      <c r="ZV4" s="368"/>
      <c r="ZW4" s="368"/>
      <c r="ZX4" s="368"/>
      <c r="ZY4" s="368"/>
      <c r="ZZ4" s="368"/>
      <c r="AAA4" s="368"/>
      <c r="AAB4" s="368"/>
      <c r="AAC4" s="368"/>
      <c r="AAD4" s="368"/>
      <c r="AAE4" s="368"/>
      <c r="AAF4" s="368"/>
      <c r="AAG4" s="368"/>
      <c r="AAH4" s="368"/>
      <c r="AAI4" s="368"/>
      <c r="AAJ4" s="368"/>
      <c r="AAK4" s="368"/>
      <c r="AAL4" s="368"/>
      <c r="AAM4" s="368"/>
      <c r="AAN4" s="368"/>
      <c r="AAO4" s="368"/>
      <c r="AAP4" s="368"/>
      <c r="AAQ4" s="368"/>
      <c r="AAR4" s="368"/>
      <c r="AAS4" s="368"/>
      <c r="AAT4" s="368"/>
      <c r="AAU4" s="368"/>
      <c r="AAV4" s="368"/>
      <c r="AAW4" s="368"/>
      <c r="AAX4" s="368"/>
      <c r="AAY4" s="368"/>
      <c r="AAZ4" s="368"/>
      <c r="ABA4" s="368"/>
      <c r="ABB4" s="368"/>
      <c r="ABC4" s="368"/>
      <c r="ABD4" s="368"/>
      <c r="ABE4" s="368"/>
      <c r="ABF4" s="368"/>
      <c r="ABG4" s="368"/>
      <c r="ABH4" s="368"/>
      <c r="ABI4" s="368"/>
      <c r="ABJ4" s="368"/>
      <c r="ABK4" s="368"/>
      <c r="ABL4" s="368"/>
      <c r="ABM4" s="368"/>
      <c r="ABN4" s="368"/>
      <c r="ABO4" s="368"/>
      <c r="ABP4" s="368"/>
      <c r="ABQ4" s="368"/>
      <c r="ABR4" s="368"/>
      <c r="ABS4" s="368"/>
      <c r="ABT4" s="368"/>
      <c r="ABU4" s="368"/>
      <c r="ABV4" s="368"/>
      <c r="ABW4" s="368"/>
      <c r="ABX4" s="368"/>
      <c r="ABY4" s="368"/>
      <c r="ABZ4" s="368"/>
      <c r="ACA4" s="368"/>
      <c r="ACB4" s="368"/>
      <c r="ACC4" s="368"/>
      <c r="ACD4" s="368"/>
      <c r="ACE4" s="368"/>
      <c r="ACF4" s="368"/>
      <c r="ACG4" s="368"/>
      <c r="ACH4" s="368"/>
      <c r="ACI4" s="368"/>
      <c r="ACJ4" s="368"/>
      <c r="ACK4" s="368"/>
      <c r="ACL4" s="368"/>
      <c r="ACM4" s="368"/>
      <c r="ACN4" s="368"/>
      <c r="ACO4" s="368"/>
      <c r="ACP4" s="368"/>
      <c r="ACQ4" s="368"/>
      <c r="ACR4" s="368"/>
      <c r="ACS4" s="368"/>
      <c r="ACT4" s="368"/>
      <c r="ACU4" s="368"/>
      <c r="ACV4" s="368"/>
      <c r="ACW4" s="368"/>
      <c r="ACX4" s="368"/>
      <c r="ACY4" s="368"/>
      <c r="ACZ4" s="368"/>
      <c r="ADA4" s="368"/>
      <c r="ADB4" s="368"/>
      <c r="ADC4" s="368"/>
      <c r="ADD4" s="368"/>
      <c r="ADE4" s="368"/>
      <c r="ADF4" s="368"/>
      <c r="ADG4" s="368"/>
      <c r="ADH4" s="368"/>
      <c r="ADI4" s="368"/>
      <c r="ADJ4" s="368"/>
      <c r="ADK4" s="368"/>
      <c r="ADL4" s="368"/>
      <c r="ADM4" s="368"/>
      <c r="ADN4" s="368"/>
      <c r="ADO4" s="368"/>
      <c r="ADP4" s="368"/>
      <c r="ADQ4" s="368"/>
      <c r="ADR4" s="368"/>
      <c r="ADS4" s="368"/>
      <c r="ADT4" s="368"/>
      <c r="ADU4" s="368"/>
      <c r="ADV4" s="368"/>
      <c r="ADW4" s="368"/>
      <c r="ADX4" s="368"/>
      <c r="ADY4" s="368"/>
      <c r="ADZ4" s="368"/>
      <c r="AEA4" s="368"/>
      <c r="AEB4" s="368"/>
      <c r="AEC4" s="368"/>
      <c r="AED4" s="368"/>
      <c r="AEE4" s="368"/>
      <c r="AEF4" s="368"/>
      <c r="AEG4" s="368"/>
      <c r="AEH4" s="368"/>
      <c r="AEI4" s="368"/>
      <c r="AEJ4" s="368"/>
      <c r="AEK4" s="368"/>
      <c r="AEL4" s="368"/>
      <c r="AEM4" s="368"/>
      <c r="AEN4" s="368"/>
      <c r="AEO4" s="368"/>
      <c r="AEP4" s="368"/>
      <c r="AEQ4" s="368"/>
      <c r="AER4" s="368"/>
      <c r="AES4" s="368"/>
      <c r="AET4" s="368"/>
      <c r="AEU4" s="368"/>
      <c r="AEV4" s="368"/>
      <c r="AEW4" s="368"/>
      <c r="AEX4" s="368"/>
      <c r="AEY4" s="368"/>
      <c r="AEZ4" s="368"/>
      <c r="AFA4" s="368"/>
      <c r="AFB4" s="368"/>
      <c r="AFC4" s="368"/>
      <c r="AFD4" s="368"/>
      <c r="AFE4" s="368"/>
      <c r="AFF4" s="368"/>
      <c r="AFG4" s="368"/>
      <c r="AFH4" s="368"/>
      <c r="AFI4" s="368"/>
      <c r="AFJ4" s="368"/>
      <c r="AFK4" s="368"/>
      <c r="AFL4" s="368"/>
      <c r="AFM4" s="368"/>
      <c r="AFN4" s="368"/>
      <c r="AFO4" s="368"/>
      <c r="AFP4" s="368"/>
      <c r="AFQ4" s="368"/>
      <c r="AFR4" s="368"/>
      <c r="AFS4" s="368"/>
      <c r="AFT4" s="368"/>
      <c r="AFU4" s="368"/>
      <c r="AFV4" s="368"/>
      <c r="AFW4" s="368"/>
      <c r="AFX4" s="368"/>
      <c r="AFY4" s="368"/>
      <c r="AFZ4" s="368"/>
      <c r="AGA4" s="368"/>
      <c r="AGB4" s="368"/>
      <c r="AGC4" s="368"/>
      <c r="AGD4" s="368"/>
      <c r="AGE4" s="368"/>
      <c r="AGF4" s="368"/>
      <c r="AGG4" s="368"/>
      <c r="AGH4" s="368"/>
      <c r="AGI4" s="368"/>
      <c r="AGJ4" s="368"/>
      <c r="AGK4" s="368"/>
      <c r="AGL4" s="368"/>
      <c r="AGM4" s="368"/>
      <c r="AGN4" s="368"/>
      <c r="AGO4" s="368"/>
      <c r="AGP4" s="368"/>
      <c r="AGQ4" s="368"/>
      <c r="AGR4" s="368"/>
      <c r="AGS4" s="368"/>
      <c r="AGT4" s="368"/>
      <c r="AGU4" s="368"/>
      <c r="AGV4" s="368"/>
      <c r="AGW4" s="368"/>
      <c r="AGX4" s="368"/>
      <c r="AGY4" s="368"/>
      <c r="AGZ4" s="368"/>
      <c r="AHA4" s="368"/>
      <c r="AHB4" s="368"/>
      <c r="AHC4" s="368"/>
      <c r="AHD4" s="368"/>
      <c r="AHE4" s="368"/>
      <c r="AHF4" s="368"/>
      <c r="AHG4" s="368"/>
      <c r="AHH4" s="368"/>
      <c r="AHI4" s="368"/>
      <c r="AHJ4" s="368"/>
      <c r="AHK4" s="368"/>
      <c r="AHL4" s="368"/>
      <c r="AHM4" s="368"/>
      <c r="AHN4" s="368"/>
      <c r="AHO4" s="368"/>
      <c r="AHP4" s="368"/>
      <c r="AHQ4" s="368"/>
      <c r="AHR4" s="368"/>
      <c r="AHS4" s="368"/>
      <c r="AHT4" s="368"/>
      <c r="AHU4" s="368"/>
      <c r="AHV4" s="368"/>
      <c r="AHW4" s="368"/>
      <c r="AHX4" s="368"/>
      <c r="AHY4" s="368"/>
      <c r="AHZ4" s="368"/>
      <c r="AIA4" s="368"/>
      <c r="AIB4" s="368"/>
      <c r="AIC4" s="368"/>
      <c r="AID4" s="368"/>
      <c r="AIE4" s="368"/>
      <c r="AIF4" s="368"/>
      <c r="AIG4" s="368"/>
      <c r="AIH4" s="368"/>
      <c r="AII4" s="368"/>
      <c r="AIJ4" s="368"/>
      <c r="AIK4" s="368"/>
      <c r="AIL4" s="368"/>
      <c r="AIM4" s="368"/>
      <c r="AIN4" s="368"/>
      <c r="AIO4" s="368"/>
      <c r="AIP4" s="368"/>
      <c r="AIQ4" s="368"/>
      <c r="AIR4" s="368"/>
      <c r="AIS4" s="368"/>
      <c r="AIT4" s="368"/>
      <c r="AIU4" s="368"/>
      <c r="AIV4" s="368"/>
      <c r="AIW4" s="368"/>
      <c r="AIX4" s="368"/>
      <c r="AIY4" s="368"/>
      <c r="AIZ4" s="368"/>
      <c r="AJA4" s="368"/>
      <c r="AJB4" s="368"/>
      <c r="AJC4" s="368"/>
      <c r="AJD4" s="368"/>
      <c r="AJE4" s="368"/>
      <c r="AJF4" s="368"/>
      <c r="AJG4" s="368"/>
      <c r="AJH4" s="368"/>
      <c r="AJI4" s="368"/>
      <c r="AJJ4" s="368"/>
      <c r="AJK4" s="368"/>
      <c r="AJL4" s="368"/>
      <c r="AJM4" s="368"/>
      <c r="AJN4" s="368"/>
      <c r="AJO4" s="368"/>
      <c r="AJP4" s="368"/>
      <c r="AJQ4" s="368"/>
      <c r="AJR4" s="368"/>
      <c r="AJS4" s="368"/>
      <c r="AJT4" s="368"/>
      <c r="AJU4" s="368"/>
      <c r="AJV4" s="368"/>
      <c r="AJW4" s="368"/>
      <c r="AJX4" s="368"/>
      <c r="AJY4" s="368"/>
      <c r="AJZ4" s="368"/>
      <c r="AKA4" s="368"/>
      <c r="AKB4" s="368"/>
      <c r="AKC4" s="368"/>
      <c r="AKD4" s="368"/>
      <c r="AKE4" s="368"/>
      <c r="AKF4" s="368"/>
      <c r="AKG4" s="368"/>
      <c r="AKH4" s="368"/>
      <c r="AKI4" s="368"/>
      <c r="AKJ4" s="368"/>
      <c r="AKK4" s="368"/>
      <c r="AKL4" s="368"/>
      <c r="AKM4" s="368"/>
      <c r="AKN4" s="368"/>
    </row>
    <row r="5" spans="1:976" s="351" customFormat="1" ht="22.5" customHeight="1" x14ac:dyDescent="0.2">
      <c r="A5" s="418" t="s">
        <v>262</v>
      </c>
      <c r="B5" s="418"/>
      <c r="C5" s="418" t="s">
        <v>221</v>
      </c>
      <c r="D5" s="418" t="s">
        <v>222</v>
      </c>
      <c r="E5" s="419">
        <v>401942</v>
      </c>
      <c r="F5" s="419">
        <v>62</v>
      </c>
      <c r="G5" s="419">
        <v>11</v>
      </c>
      <c r="H5" s="419">
        <v>0</v>
      </c>
      <c r="I5" s="420">
        <v>45698</v>
      </c>
      <c r="J5" s="418" t="s">
        <v>263</v>
      </c>
      <c r="K5" s="418" t="s">
        <v>275</v>
      </c>
      <c r="L5" s="421">
        <v>28.16</v>
      </c>
      <c r="M5" s="421">
        <v>1.55</v>
      </c>
      <c r="N5" s="443">
        <v>29.71</v>
      </c>
      <c r="O5" s="418"/>
      <c r="P5" s="422">
        <v>45701</v>
      </c>
      <c r="Q5" s="421">
        <v>29.71</v>
      </c>
      <c r="R5" s="418" t="s">
        <v>276</v>
      </c>
      <c r="S5" s="421">
        <v>0</v>
      </c>
      <c r="T5" s="421">
        <v>0</v>
      </c>
      <c r="U5" s="421">
        <v>0</v>
      </c>
      <c r="V5" s="421">
        <v>0</v>
      </c>
      <c r="W5" s="418"/>
      <c r="X5" s="418" t="s">
        <v>266</v>
      </c>
      <c r="Y5" s="418" t="s">
        <v>267</v>
      </c>
      <c r="Z5" s="418" t="s">
        <v>42</v>
      </c>
      <c r="AA5" s="418" t="s">
        <v>228</v>
      </c>
      <c r="AB5" s="418" t="s">
        <v>34</v>
      </c>
      <c r="AC5" s="418" t="s">
        <v>250</v>
      </c>
      <c r="AD5" s="418" t="s">
        <v>231</v>
      </c>
      <c r="AE5" s="418" t="s">
        <v>232</v>
      </c>
      <c r="AF5" s="418" t="s">
        <v>231</v>
      </c>
      <c r="AG5" s="418" t="s">
        <v>232</v>
      </c>
      <c r="AH5" s="418"/>
      <c r="AI5" s="418"/>
      <c r="AJ5" s="418" t="s">
        <v>251</v>
      </c>
      <c r="AK5" s="418" t="s">
        <v>277</v>
      </c>
      <c r="AL5" s="419">
        <v>1</v>
      </c>
      <c r="AM5" s="419">
        <v>0</v>
      </c>
      <c r="AN5" s="420">
        <v>45701</v>
      </c>
      <c r="AO5" s="420">
        <v>45701</v>
      </c>
      <c r="AP5" s="421">
        <v>29.71</v>
      </c>
      <c r="AQ5" s="420">
        <v>45700</v>
      </c>
      <c r="AR5" s="368"/>
      <c r="AS5" s="368"/>
      <c r="AT5" s="368"/>
      <c r="AU5" s="368"/>
      <c r="AV5" s="368"/>
      <c r="AW5" s="368"/>
      <c r="AX5" s="368"/>
      <c r="AY5" s="368"/>
      <c r="AZ5" s="368"/>
      <c r="BA5" s="368"/>
      <c r="BB5" s="368"/>
      <c r="BC5" s="368"/>
      <c r="BD5" s="368"/>
      <c r="BE5" s="368"/>
      <c r="BF5" s="368"/>
      <c r="BG5" s="368"/>
      <c r="BH5" s="368"/>
      <c r="BI5" s="368"/>
      <c r="BJ5" s="368"/>
      <c r="BK5" s="368"/>
      <c r="BL5" s="368"/>
      <c r="BM5" s="368"/>
      <c r="BN5" s="368"/>
      <c r="BO5" s="368"/>
      <c r="BP5" s="368"/>
      <c r="BQ5" s="368"/>
      <c r="BR5" s="368"/>
      <c r="BS5" s="368"/>
      <c r="BT5" s="368"/>
      <c r="BU5" s="368"/>
      <c r="BV5" s="368"/>
      <c r="BW5" s="368"/>
      <c r="BX5" s="368"/>
      <c r="BY5" s="368"/>
      <c r="BZ5" s="368"/>
      <c r="CA5" s="368"/>
      <c r="CB5" s="368"/>
      <c r="CC5" s="368"/>
      <c r="CD5" s="368"/>
      <c r="CE5" s="368"/>
      <c r="CF5" s="368"/>
      <c r="CG5" s="368"/>
      <c r="CH5" s="368"/>
      <c r="CI5" s="368"/>
      <c r="CJ5" s="368"/>
      <c r="CK5" s="368"/>
      <c r="CL5" s="368"/>
      <c r="CM5" s="368"/>
      <c r="CN5" s="368"/>
      <c r="CO5" s="368"/>
      <c r="CP5" s="368"/>
      <c r="CQ5" s="368"/>
      <c r="CR5" s="368"/>
      <c r="CS5" s="368"/>
      <c r="CT5" s="368"/>
      <c r="CU5" s="368"/>
      <c r="CV5" s="368"/>
      <c r="CW5" s="368"/>
      <c r="CX5" s="368"/>
      <c r="CY5" s="368"/>
      <c r="CZ5" s="368"/>
      <c r="DA5" s="368"/>
      <c r="DB5" s="368"/>
      <c r="DC5" s="368"/>
      <c r="DD5" s="368"/>
      <c r="DE5" s="368"/>
      <c r="DF5" s="368"/>
      <c r="DG5" s="368"/>
      <c r="DH5" s="368"/>
      <c r="DI5" s="368"/>
      <c r="DJ5" s="368"/>
      <c r="DK5" s="368"/>
      <c r="DL5" s="368"/>
      <c r="DM5" s="368"/>
      <c r="DN5" s="368"/>
      <c r="DO5" s="368"/>
      <c r="DP5" s="368"/>
      <c r="DQ5" s="368"/>
      <c r="DR5" s="368"/>
      <c r="DS5" s="368"/>
      <c r="DT5" s="368"/>
      <c r="DU5" s="368"/>
      <c r="DV5" s="368"/>
      <c r="DW5" s="368"/>
      <c r="DX5" s="368"/>
      <c r="DY5" s="368"/>
      <c r="DZ5" s="368"/>
      <c r="EA5" s="368"/>
      <c r="EB5" s="368"/>
      <c r="EC5" s="368"/>
      <c r="ED5" s="368"/>
      <c r="EE5" s="368"/>
      <c r="EF5" s="368"/>
      <c r="EG5" s="368"/>
      <c r="EH5" s="368"/>
      <c r="EI5" s="368"/>
      <c r="EJ5" s="368"/>
      <c r="EK5" s="368"/>
      <c r="EL5" s="368"/>
      <c r="EM5" s="368"/>
      <c r="EN5" s="368"/>
      <c r="EO5" s="368"/>
      <c r="EP5" s="368"/>
      <c r="EQ5" s="368"/>
      <c r="ER5" s="368"/>
      <c r="ES5" s="368"/>
      <c r="ET5" s="368"/>
      <c r="EU5" s="368"/>
      <c r="EV5" s="368"/>
      <c r="EW5" s="368"/>
      <c r="EX5" s="368"/>
      <c r="EY5" s="368"/>
      <c r="EZ5" s="368"/>
      <c r="FA5" s="368"/>
      <c r="FB5" s="368"/>
      <c r="FC5" s="368"/>
      <c r="FD5" s="368"/>
      <c r="FE5" s="368"/>
      <c r="FF5" s="368"/>
      <c r="FG5" s="368"/>
      <c r="FH5" s="368"/>
      <c r="FI5" s="368"/>
      <c r="FJ5" s="368"/>
      <c r="FK5" s="368"/>
      <c r="FL5" s="368"/>
      <c r="FM5" s="368"/>
      <c r="FN5" s="368"/>
      <c r="FO5" s="368"/>
      <c r="FP5" s="368"/>
      <c r="FQ5" s="368"/>
      <c r="FR5" s="368"/>
      <c r="FS5" s="368"/>
      <c r="FT5" s="368"/>
      <c r="FU5" s="368"/>
      <c r="FV5" s="368"/>
      <c r="FW5" s="368"/>
      <c r="FX5" s="368"/>
      <c r="FY5" s="368"/>
      <c r="FZ5" s="368"/>
      <c r="GA5" s="368"/>
      <c r="GB5" s="368"/>
      <c r="GC5" s="368"/>
      <c r="GD5" s="368"/>
      <c r="GE5" s="368"/>
      <c r="GF5" s="368"/>
      <c r="GG5" s="368"/>
      <c r="GH5" s="368"/>
      <c r="GI5" s="368"/>
      <c r="GJ5" s="368"/>
      <c r="GK5" s="368"/>
      <c r="GL5" s="368"/>
      <c r="GM5" s="368"/>
      <c r="GN5" s="368"/>
      <c r="GO5" s="368"/>
      <c r="GP5" s="368"/>
      <c r="GQ5" s="368"/>
      <c r="GR5" s="368"/>
      <c r="GS5" s="368"/>
      <c r="GT5" s="368"/>
      <c r="GU5" s="368"/>
      <c r="GV5" s="368"/>
      <c r="GW5" s="368"/>
      <c r="GX5" s="368"/>
      <c r="GY5" s="368"/>
      <c r="GZ5" s="368"/>
      <c r="HA5" s="368"/>
      <c r="HB5" s="368"/>
      <c r="HC5" s="368"/>
      <c r="HD5" s="368"/>
      <c r="HE5" s="368"/>
      <c r="HF5" s="368"/>
      <c r="HG5" s="368"/>
      <c r="HH5" s="368"/>
      <c r="HI5" s="368"/>
      <c r="HJ5" s="368"/>
      <c r="HK5" s="368"/>
      <c r="HL5" s="368"/>
      <c r="HM5" s="368"/>
      <c r="HN5" s="368"/>
      <c r="HO5" s="368"/>
      <c r="HP5" s="368"/>
      <c r="HQ5" s="368"/>
      <c r="HR5" s="368"/>
      <c r="HS5" s="368"/>
      <c r="HT5" s="368"/>
      <c r="HU5" s="368"/>
      <c r="HV5" s="368"/>
      <c r="HW5" s="368"/>
      <c r="HX5" s="368"/>
      <c r="HY5" s="368"/>
      <c r="HZ5" s="368"/>
      <c r="IA5" s="368"/>
      <c r="IB5" s="368"/>
      <c r="IC5" s="368"/>
      <c r="ID5" s="368"/>
      <c r="IE5" s="368"/>
      <c r="IF5" s="368"/>
      <c r="IG5" s="368"/>
      <c r="IH5" s="368"/>
      <c r="II5" s="368"/>
      <c r="IJ5" s="368"/>
      <c r="IK5" s="368"/>
      <c r="IL5" s="368"/>
      <c r="IM5" s="368"/>
      <c r="IN5" s="368"/>
      <c r="IO5" s="368"/>
      <c r="IP5" s="368"/>
      <c r="IQ5" s="368"/>
      <c r="IR5" s="368"/>
      <c r="IS5" s="368"/>
      <c r="IT5" s="368"/>
      <c r="IU5" s="368"/>
      <c r="IV5" s="368"/>
      <c r="IW5" s="368"/>
      <c r="IX5" s="368"/>
      <c r="IY5" s="368"/>
      <c r="IZ5" s="368"/>
      <c r="JA5" s="368"/>
      <c r="JB5" s="368"/>
      <c r="JC5" s="368"/>
      <c r="JD5" s="368"/>
      <c r="JE5" s="368"/>
      <c r="JF5" s="368"/>
      <c r="JG5" s="368"/>
      <c r="JH5" s="368"/>
      <c r="JI5" s="368"/>
      <c r="JJ5" s="368"/>
      <c r="JK5" s="368"/>
      <c r="JL5" s="368"/>
      <c r="JM5" s="368"/>
      <c r="JN5" s="368"/>
      <c r="JO5" s="368"/>
      <c r="JP5" s="368"/>
      <c r="JQ5" s="368"/>
      <c r="JR5" s="368"/>
      <c r="JS5" s="368"/>
      <c r="JT5" s="368"/>
      <c r="JU5" s="368"/>
      <c r="JV5" s="368"/>
      <c r="JW5" s="368"/>
      <c r="JX5" s="368"/>
      <c r="JY5" s="368"/>
      <c r="JZ5" s="368"/>
      <c r="KA5" s="368"/>
      <c r="KB5" s="368"/>
      <c r="KC5" s="368"/>
      <c r="KD5" s="368"/>
      <c r="KE5" s="368"/>
      <c r="KF5" s="368"/>
      <c r="KG5" s="368"/>
      <c r="KH5" s="368"/>
      <c r="KI5" s="368"/>
      <c r="KJ5" s="368"/>
      <c r="KK5" s="368"/>
      <c r="KL5" s="368"/>
      <c r="KM5" s="368"/>
      <c r="KN5" s="368"/>
      <c r="KO5" s="368"/>
      <c r="KP5" s="368"/>
      <c r="KQ5" s="368"/>
      <c r="KR5" s="368"/>
      <c r="KS5" s="368"/>
      <c r="KT5" s="368"/>
      <c r="KU5" s="368"/>
      <c r="KV5" s="368"/>
      <c r="KW5" s="368"/>
      <c r="KX5" s="368"/>
      <c r="KY5" s="368"/>
      <c r="KZ5" s="368"/>
      <c r="LA5" s="368"/>
      <c r="LB5" s="368"/>
      <c r="LC5" s="368"/>
      <c r="LD5" s="368"/>
      <c r="LE5" s="368"/>
      <c r="LF5" s="368"/>
      <c r="LG5" s="368"/>
      <c r="LH5" s="368"/>
      <c r="LI5" s="368"/>
      <c r="LJ5" s="368"/>
      <c r="LK5" s="368"/>
      <c r="LL5" s="368"/>
      <c r="LM5" s="368"/>
      <c r="LN5" s="368"/>
      <c r="LO5" s="368"/>
      <c r="LP5" s="368"/>
      <c r="LQ5" s="368"/>
      <c r="LR5" s="368"/>
      <c r="LS5" s="368"/>
      <c r="LT5" s="368"/>
      <c r="LU5" s="368"/>
      <c r="LV5" s="368"/>
      <c r="LW5" s="368"/>
      <c r="LX5" s="368"/>
      <c r="LY5" s="368"/>
      <c r="LZ5" s="368"/>
      <c r="MA5" s="368"/>
      <c r="MB5" s="368"/>
      <c r="MC5" s="368"/>
      <c r="MD5" s="368"/>
      <c r="ME5" s="368"/>
      <c r="MF5" s="368"/>
      <c r="MG5" s="368"/>
      <c r="MH5" s="368"/>
      <c r="MI5" s="368"/>
      <c r="MJ5" s="368"/>
      <c r="MK5" s="368"/>
      <c r="ML5" s="368"/>
      <c r="MM5" s="368"/>
      <c r="MN5" s="368"/>
      <c r="MO5" s="368"/>
      <c r="MP5" s="368"/>
      <c r="MQ5" s="368"/>
      <c r="MR5" s="368"/>
      <c r="MS5" s="368"/>
      <c r="MT5" s="368"/>
      <c r="MU5" s="368"/>
      <c r="MV5" s="368"/>
      <c r="MW5" s="368"/>
      <c r="MX5" s="368"/>
      <c r="MY5" s="368"/>
      <c r="MZ5" s="368"/>
      <c r="NA5" s="368"/>
      <c r="NB5" s="368"/>
      <c r="NC5" s="368"/>
      <c r="ND5" s="368"/>
      <c r="NE5" s="368"/>
      <c r="NF5" s="368"/>
      <c r="NG5" s="368"/>
      <c r="NH5" s="368"/>
      <c r="NI5" s="368"/>
      <c r="NJ5" s="368"/>
      <c r="NK5" s="368"/>
      <c r="NL5" s="368"/>
      <c r="NM5" s="368"/>
      <c r="NN5" s="368"/>
      <c r="NO5" s="368"/>
      <c r="NP5" s="368"/>
      <c r="NQ5" s="368"/>
      <c r="NR5" s="368"/>
      <c r="NS5" s="368"/>
      <c r="NT5" s="368"/>
      <c r="NU5" s="368"/>
      <c r="NV5" s="368"/>
      <c r="NW5" s="368"/>
      <c r="NX5" s="368"/>
      <c r="NY5" s="368"/>
      <c r="NZ5" s="368"/>
      <c r="OA5" s="368"/>
      <c r="OB5" s="368"/>
      <c r="OC5" s="368"/>
      <c r="OD5" s="368"/>
      <c r="OE5" s="368"/>
      <c r="OF5" s="368"/>
      <c r="OG5" s="368"/>
      <c r="OH5" s="368"/>
      <c r="OI5" s="368"/>
      <c r="OJ5" s="368"/>
      <c r="OK5" s="368"/>
      <c r="OL5" s="368"/>
      <c r="OM5" s="368"/>
      <c r="ON5" s="368"/>
      <c r="OO5" s="368"/>
      <c r="OP5" s="368"/>
      <c r="OQ5" s="368"/>
      <c r="OR5" s="368"/>
      <c r="OS5" s="368"/>
      <c r="OT5" s="368"/>
      <c r="OU5" s="368"/>
      <c r="OV5" s="368"/>
      <c r="OW5" s="368"/>
      <c r="OX5" s="368"/>
      <c r="OY5" s="368"/>
      <c r="OZ5" s="368"/>
      <c r="PA5" s="368"/>
      <c r="PB5" s="368"/>
      <c r="PC5" s="368"/>
      <c r="PD5" s="368"/>
      <c r="PE5" s="368"/>
      <c r="PF5" s="368"/>
      <c r="PG5" s="368"/>
      <c r="PH5" s="368"/>
      <c r="PI5" s="368"/>
      <c r="PJ5" s="368"/>
      <c r="PK5" s="368"/>
      <c r="PL5" s="368"/>
      <c r="PM5" s="368"/>
      <c r="PN5" s="368"/>
      <c r="PO5" s="368"/>
      <c r="PP5" s="368"/>
      <c r="PQ5" s="368"/>
      <c r="PR5" s="368"/>
      <c r="PS5" s="368"/>
      <c r="PT5" s="368"/>
      <c r="PU5" s="368"/>
      <c r="PV5" s="368"/>
      <c r="PW5" s="368"/>
      <c r="PX5" s="368"/>
      <c r="PY5" s="368"/>
      <c r="PZ5" s="368"/>
      <c r="QA5" s="368"/>
      <c r="QB5" s="368"/>
      <c r="QC5" s="368"/>
      <c r="QD5" s="368"/>
      <c r="QE5" s="368"/>
      <c r="QF5" s="368"/>
      <c r="QG5" s="368"/>
      <c r="QH5" s="368"/>
      <c r="QI5" s="368"/>
      <c r="QJ5" s="368"/>
      <c r="QK5" s="368"/>
      <c r="QL5" s="368"/>
      <c r="QM5" s="368"/>
      <c r="QN5" s="368"/>
      <c r="QO5" s="368"/>
      <c r="QP5" s="368"/>
      <c r="QQ5" s="368"/>
      <c r="QR5" s="368"/>
      <c r="QS5" s="368"/>
      <c r="QT5" s="368"/>
      <c r="QU5" s="368"/>
      <c r="QV5" s="368"/>
      <c r="QW5" s="368"/>
      <c r="QX5" s="368"/>
      <c r="QY5" s="368"/>
      <c r="QZ5" s="368"/>
      <c r="RA5" s="368"/>
      <c r="RB5" s="368"/>
      <c r="RC5" s="368"/>
      <c r="RD5" s="368"/>
      <c r="RE5" s="368"/>
      <c r="RF5" s="368"/>
      <c r="RG5" s="368"/>
      <c r="RH5" s="368"/>
      <c r="RI5" s="368"/>
      <c r="RJ5" s="368"/>
      <c r="RK5" s="368"/>
      <c r="RL5" s="368"/>
      <c r="RM5" s="368"/>
      <c r="RN5" s="368"/>
      <c r="RO5" s="368"/>
      <c r="RP5" s="368"/>
      <c r="RQ5" s="368"/>
      <c r="RR5" s="368"/>
      <c r="RS5" s="368"/>
      <c r="RT5" s="368"/>
      <c r="RU5" s="368"/>
      <c r="RV5" s="368"/>
      <c r="RW5" s="368"/>
      <c r="RX5" s="368"/>
      <c r="RY5" s="368"/>
      <c r="RZ5" s="368"/>
      <c r="SA5" s="368"/>
      <c r="SB5" s="368"/>
      <c r="SC5" s="368"/>
      <c r="SD5" s="368"/>
      <c r="SE5" s="368"/>
      <c r="SF5" s="368"/>
      <c r="SG5" s="368"/>
      <c r="SH5" s="368"/>
      <c r="SI5" s="368"/>
      <c r="SJ5" s="368"/>
      <c r="SK5" s="368"/>
      <c r="SL5" s="368"/>
      <c r="SM5" s="368"/>
      <c r="SN5" s="368"/>
      <c r="SO5" s="368"/>
      <c r="SP5" s="368"/>
      <c r="SQ5" s="368"/>
      <c r="SR5" s="368"/>
      <c r="SS5" s="368"/>
      <c r="ST5" s="368"/>
      <c r="SU5" s="368"/>
      <c r="SV5" s="368"/>
      <c r="SW5" s="368"/>
      <c r="SX5" s="368"/>
      <c r="SY5" s="368"/>
      <c r="SZ5" s="368"/>
      <c r="TA5" s="368"/>
      <c r="TB5" s="368"/>
      <c r="TC5" s="368"/>
      <c r="TD5" s="368"/>
      <c r="TE5" s="368"/>
      <c r="TF5" s="368"/>
      <c r="TG5" s="368"/>
      <c r="TH5" s="368"/>
      <c r="TI5" s="368"/>
      <c r="TJ5" s="368"/>
      <c r="TK5" s="368"/>
      <c r="TL5" s="368"/>
      <c r="TM5" s="368"/>
      <c r="TN5" s="368"/>
      <c r="TO5" s="368"/>
      <c r="TP5" s="368"/>
      <c r="TQ5" s="368"/>
      <c r="TR5" s="368"/>
      <c r="TS5" s="368"/>
      <c r="TT5" s="368"/>
      <c r="TU5" s="368"/>
      <c r="TV5" s="368"/>
      <c r="TW5" s="368"/>
      <c r="TX5" s="368"/>
      <c r="TY5" s="368"/>
      <c r="TZ5" s="368"/>
      <c r="UA5" s="368"/>
      <c r="UB5" s="368"/>
      <c r="UC5" s="368"/>
      <c r="UD5" s="368"/>
      <c r="UE5" s="368"/>
      <c r="UF5" s="368"/>
      <c r="UG5" s="368"/>
      <c r="UH5" s="368"/>
      <c r="UI5" s="368"/>
      <c r="UJ5" s="368"/>
      <c r="UK5" s="368"/>
      <c r="UL5" s="368"/>
      <c r="UM5" s="368"/>
      <c r="UN5" s="368"/>
      <c r="UO5" s="368"/>
      <c r="UP5" s="368"/>
      <c r="UQ5" s="368"/>
      <c r="UR5" s="368"/>
      <c r="US5" s="368"/>
      <c r="UT5" s="368"/>
      <c r="UU5" s="368"/>
      <c r="UV5" s="368"/>
      <c r="UW5" s="368"/>
      <c r="UX5" s="368"/>
      <c r="UY5" s="368"/>
      <c r="UZ5" s="368"/>
      <c r="VA5" s="368"/>
      <c r="VB5" s="368"/>
      <c r="VC5" s="368"/>
      <c r="VD5" s="368"/>
      <c r="VE5" s="368"/>
      <c r="VF5" s="368"/>
      <c r="VG5" s="368"/>
      <c r="VH5" s="368"/>
      <c r="VI5" s="368"/>
      <c r="VJ5" s="368"/>
      <c r="VK5" s="368"/>
      <c r="VL5" s="368"/>
      <c r="VM5" s="368"/>
      <c r="VN5" s="368"/>
      <c r="VO5" s="368"/>
      <c r="VP5" s="368"/>
      <c r="VQ5" s="368"/>
      <c r="VR5" s="368"/>
      <c r="VS5" s="368"/>
      <c r="VT5" s="368"/>
      <c r="VU5" s="368"/>
      <c r="VV5" s="368"/>
      <c r="VW5" s="368"/>
      <c r="VX5" s="368"/>
      <c r="VY5" s="368"/>
      <c r="VZ5" s="368"/>
      <c r="WA5" s="368"/>
      <c r="WB5" s="368"/>
      <c r="WC5" s="368"/>
      <c r="WD5" s="368"/>
      <c r="WE5" s="368"/>
      <c r="WF5" s="368"/>
      <c r="WG5" s="368"/>
      <c r="WH5" s="368"/>
      <c r="WI5" s="368"/>
      <c r="WJ5" s="368"/>
      <c r="WK5" s="368"/>
      <c r="WL5" s="368"/>
      <c r="WM5" s="368"/>
      <c r="WN5" s="368"/>
      <c r="WO5" s="368"/>
      <c r="WP5" s="368"/>
      <c r="WQ5" s="368"/>
      <c r="WR5" s="368"/>
      <c r="WS5" s="368"/>
      <c r="WT5" s="368"/>
      <c r="WU5" s="368"/>
      <c r="WV5" s="368"/>
      <c r="WW5" s="368"/>
      <c r="WX5" s="368"/>
      <c r="WY5" s="368"/>
      <c r="WZ5" s="368"/>
      <c r="XA5" s="368"/>
      <c r="XB5" s="368"/>
      <c r="XC5" s="368"/>
      <c r="XD5" s="368"/>
      <c r="XE5" s="368"/>
      <c r="XF5" s="368"/>
      <c r="XG5" s="368"/>
      <c r="XH5" s="368"/>
      <c r="XI5" s="368"/>
      <c r="XJ5" s="368"/>
      <c r="XK5" s="368"/>
      <c r="XL5" s="368"/>
      <c r="XM5" s="368"/>
      <c r="XN5" s="368"/>
      <c r="XO5" s="368"/>
      <c r="XP5" s="368"/>
      <c r="XQ5" s="368"/>
      <c r="XR5" s="368"/>
      <c r="XS5" s="368"/>
      <c r="XT5" s="368"/>
      <c r="XU5" s="368"/>
      <c r="XV5" s="368"/>
      <c r="XW5" s="368"/>
      <c r="XX5" s="368"/>
      <c r="XY5" s="368"/>
      <c r="XZ5" s="368"/>
      <c r="YA5" s="368"/>
      <c r="YB5" s="368"/>
      <c r="YC5" s="368"/>
      <c r="YD5" s="368"/>
      <c r="YE5" s="368"/>
      <c r="YF5" s="368"/>
      <c r="YG5" s="368"/>
      <c r="YH5" s="368"/>
      <c r="YI5" s="368"/>
      <c r="YJ5" s="368"/>
      <c r="YK5" s="368"/>
      <c r="YL5" s="368"/>
      <c r="YM5" s="368"/>
      <c r="YN5" s="368"/>
      <c r="YO5" s="368"/>
      <c r="YP5" s="368"/>
      <c r="YQ5" s="368"/>
      <c r="YR5" s="368"/>
      <c r="YS5" s="368"/>
      <c r="YT5" s="368"/>
      <c r="YU5" s="368"/>
      <c r="YV5" s="368"/>
      <c r="YW5" s="368"/>
      <c r="YX5" s="368"/>
      <c r="YY5" s="368"/>
      <c r="YZ5" s="368"/>
      <c r="ZA5" s="368"/>
      <c r="ZB5" s="368"/>
      <c r="ZC5" s="368"/>
      <c r="ZD5" s="368"/>
      <c r="ZE5" s="368"/>
      <c r="ZF5" s="368"/>
      <c r="ZG5" s="368"/>
      <c r="ZH5" s="368"/>
      <c r="ZI5" s="368"/>
      <c r="ZJ5" s="368"/>
      <c r="ZK5" s="368"/>
      <c r="ZL5" s="368"/>
      <c r="ZM5" s="368"/>
      <c r="ZN5" s="368"/>
      <c r="ZO5" s="368"/>
      <c r="ZP5" s="368"/>
      <c r="ZQ5" s="368"/>
      <c r="ZR5" s="368"/>
      <c r="ZS5" s="368"/>
      <c r="ZT5" s="368"/>
      <c r="ZU5" s="368"/>
      <c r="ZV5" s="368"/>
      <c r="ZW5" s="368"/>
      <c r="ZX5" s="368"/>
      <c r="ZY5" s="368"/>
      <c r="ZZ5" s="368"/>
      <c r="AAA5" s="368"/>
      <c r="AAB5" s="368"/>
      <c r="AAC5" s="368"/>
      <c r="AAD5" s="368"/>
      <c r="AAE5" s="368"/>
      <c r="AAF5" s="368"/>
      <c r="AAG5" s="368"/>
      <c r="AAH5" s="368"/>
      <c r="AAI5" s="368"/>
      <c r="AAJ5" s="368"/>
      <c r="AAK5" s="368"/>
      <c r="AAL5" s="368"/>
      <c r="AAM5" s="368"/>
      <c r="AAN5" s="368"/>
      <c r="AAO5" s="368"/>
      <c r="AAP5" s="368"/>
      <c r="AAQ5" s="368"/>
      <c r="AAR5" s="368"/>
      <c r="AAS5" s="368"/>
      <c r="AAT5" s="368"/>
      <c r="AAU5" s="368"/>
      <c r="AAV5" s="368"/>
      <c r="AAW5" s="368"/>
      <c r="AAX5" s="368"/>
      <c r="AAY5" s="368"/>
      <c r="AAZ5" s="368"/>
      <c r="ABA5" s="368"/>
      <c r="ABB5" s="368"/>
      <c r="ABC5" s="368"/>
      <c r="ABD5" s="368"/>
      <c r="ABE5" s="368"/>
      <c r="ABF5" s="368"/>
      <c r="ABG5" s="368"/>
      <c r="ABH5" s="368"/>
      <c r="ABI5" s="368"/>
      <c r="ABJ5" s="368"/>
      <c r="ABK5" s="368"/>
      <c r="ABL5" s="368"/>
      <c r="ABM5" s="368"/>
      <c r="ABN5" s="368"/>
      <c r="ABO5" s="368"/>
      <c r="ABP5" s="368"/>
      <c r="ABQ5" s="368"/>
      <c r="ABR5" s="368"/>
      <c r="ABS5" s="368"/>
      <c r="ABT5" s="368"/>
      <c r="ABU5" s="368"/>
      <c r="ABV5" s="368"/>
      <c r="ABW5" s="368"/>
      <c r="ABX5" s="368"/>
      <c r="ABY5" s="368"/>
      <c r="ABZ5" s="368"/>
      <c r="ACA5" s="368"/>
      <c r="ACB5" s="368"/>
      <c r="ACC5" s="368"/>
      <c r="ACD5" s="368"/>
      <c r="ACE5" s="368"/>
      <c r="ACF5" s="368"/>
      <c r="ACG5" s="368"/>
      <c r="ACH5" s="368"/>
      <c r="ACI5" s="368"/>
      <c r="ACJ5" s="368"/>
      <c r="ACK5" s="368"/>
      <c r="ACL5" s="368"/>
      <c r="ACM5" s="368"/>
      <c r="ACN5" s="368"/>
      <c r="ACO5" s="368"/>
      <c r="ACP5" s="368"/>
      <c r="ACQ5" s="368"/>
      <c r="ACR5" s="368"/>
      <c r="ACS5" s="368"/>
      <c r="ACT5" s="368"/>
      <c r="ACU5" s="368"/>
      <c r="ACV5" s="368"/>
      <c r="ACW5" s="368"/>
      <c r="ACX5" s="368"/>
      <c r="ACY5" s="368"/>
      <c r="ACZ5" s="368"/>
      <c r="ADA5" s="368"/>
      <c r="ADB5" s="368"/>
      <c r="ADC5" s="368"/>
      <c r="ADD5" s="368"/>
      <c r="ADE5" s="368"/>
      <c r="ADF5" s="368"/>
      <c r="ADG5" s="368"/>
      <c r="ADH5" s="368"/>
      <c r="ADI5" s="368"/>
      <c r="ADJ5" s="368"/>
      <c r="ADK5" s="368"/>
      <c r="ADL5" s="368"/>
      <c r="ADM5" s="368"/>
      <c r="ADN5" s="368"/>
      <c r="ADO5" s="368"/>
      <c r="ADP5" s="368"/>
      <c r="ADQ5" s="368"/>
      <c r="ADR5" s="368"/>
      <c r="ADS5" s="368"/>
      <c r="ADT5" s="368"/>
      <c r="ADU5" s="368"/>
      <c r="ADV5" s="368"/>
      <c r="ADW5" s="368"/>
      <c r="ADX5" s="368"/>
      <c r="ADY5" s="368"/>
      <c r="ADZ5" s="368"/>
      <c r="AEA5" s="368"/>
      <c r="AEB5" s="368"/>
      <c r="AEC5" s="368"/>
      <c r="AED5" s="368"/>
      <c r="AEE5" s="368"/>
      <c r="AEF5" s="368"/>
      <c r="AEG5" s="368"/>
      <c r="AEH5" s="368"/>
      <c r="AEI5" s="368"/>
      <c r="AEJ5" s="368"/>
      <c r="AEK5" s="368"/>
      <c r="AEL5" s="368"/>
      <c r="AEM5" s="368"/>
      <c r="AEN5" s="368"/>
      <c r="AEO5" s="368"/>
      <c r="AEP5" s="368"/>
      <c r="AEQ5" s="368"/>
      <c r="AER5" s="368"/>
      <c r="AES5" s="368"/>
      <c r="AET5" s="368"/>
      <c r="AEU5" s="368"/>
      <c r="AEV5" s="368"/>
      <c r="AEW5" s="368"/>
      <c r="AEX5" s="368"/>
      <c r="AEY5" s="368"/>
      <c r="AEZ5" s="368"/>
      <c r="AFA5" s="368"/>
      <c r="AFB5" s="368"/>
      <c r="AFC5" s="368"/>
      <c r="AFD5" s="368"/>
      <c r="AFE5" s="368"/>
      <c r="AFF5" s="368"/>
      <c r="AFG5" s="368"/>
      <c r="AFH5" s="368"/>
      <c r="AFI5" s="368"/>
      <c r="AFJ5" s="368"/>
      <c r="AFK5" s="368"/>
      <c r="AFL5" s="368"/>
      <c r="AFM5" s="368"/>
      <c r="AFN5" s="368"/>
      <c r="AFO5" s="368"/>
      <c r="AFP5" s="368"/>
      <c r="AFQ5" s="368"/>
      <c r="AFR5" s="368"/>
      <c r="AFS5" s="368"/>
      <c r="AFT5" s="368"/>
      <c r="AFU5" s="368"/>
      <c r="AFV5" s="368"/>
      <c r="AFW5" s="368"/>
      <c r="AFX5" s="368"/>
      <c r="AFY5" s="368"/>
      <c r="AFZ5" s="368"/>
      <c r="AGA5" s="368"/>
      <c r="AGB5" s="368"/>
      <c r="AGC5" s="368"/>
      <c r="AGD5" s="368"/>
      <c r="AGE5" s="368"/>
      <c r="AGF5" s="368"/>
      <c r="AGG5" s="368"/>
      <c r="AGH5" s="368"/>
      <c r="AGI5" s="368"/>
      <c r="AGJ5" s="368"/>
      <c r="AGK5" s="368"/>
      <c r="AGL5" s="368"/>
      <c r="AGM5" s="368"/>
      <c r="AGN5" s="368"/>
      <c r="AGO5" s="368"/>
      <c r="AGP5" s="368"/>
      <c r="AGQ5" s="368"/>
      <c r="AGR5" s="368"/>
      <c r="AGS5" s="368"/>
      <c r="AGT5" s="368"/>
      <c r="AGU5" s="368"/>
      <c r="AGV5" s="368"/>
      <c r="AGW5" s="368"/>
      <c r="AGX5" s="368"/>
      <c r="AGY5" s="368"/>
      <c r="AGZ5" s="368"/>
      <c r="AHA5" s="368"/>
      <c r="AHB5" s="368"/>
      <c r="AHC5" s="368"/>
      <c r="AHD5" s="368"/>
      <c r="AHE5" s="368"/>
      <c r="AHF5" s="368"/>
      <c r="AHG5" s="368"/>
      <c r="AHH5" s="368"/>
      <c r="AHI5" s="368"/>
      <c r="AHJ5" s="368"/>
      <c r="AHK5" s="368"/>
      <c r="AHL5" s="368"/>
      <c r="AHM5" s="368"/>
      <c r="AHN5" s="368"/>
      <c r="AHO5" s="368"/>
      <c r="AHP5" s="368"/>
      <c r="AHQ5" s="368"/>
      <c r="AHR5" s="368"/>
      <c r="AHS5" s="368"/>
      <c r="AHT5" s="368"/>
      <c r="AHU5" s="368"/>
      <c r="AHV5" s="368"/>
      <c r="AHW5" s="368"/>
      <c r="AHX5" s="368"/>
      <c r="AHY5" s="368"/>
      <c r="AHZ5" s="368"/>
      <c r="AIA5" s="368"/>
      <c r="AIB5" s="368"/>
      <c r="AIC5" s="368"/>
      <c r="AID5" s="368"/>
      <c r="AIE5" s="368"/>
      <c r="AIF5" s="368"/>
      <c r="AIG5" s="368"/>
      <c r="AIH5" s="368"/>
      <c r="AII5" s="368"/>
      <c r="AIJ5" s="368"/>
      <c r="AIK5" s="368"/>
      <c r="AIL5" s="368"/>
      <c r="AIM5" s="368"/>
      <c r="AIN5" s="368"/>
      <c r="AIO5" s="368"/>
      <c r="AIP5" s="368"/>
      <c r="AIQ5" s="368"/>
      <c r="AIR5" s="368"/>
      <c r="AIS5" s="368"/>
      <c r="AIT5" s="368"/>
      <c r="AIU5" s="368"/>
      <c r="AIV5" s="368"/>
      <c r="AIW5" s="368"/>
      <c r="AIX5" s="368"/>
      <c r="AIY5" s="368"/>
      <c r="AIZ5" s="368"/>
      <c r="AJA5" s="368"/>
      <c r="AJB5" s="368"/>
      <c r="AJC5" s="368"/>
      <c r="AJD5" s="368"/>
      <c r="AJE5" s="368"/>
      <c r="AJF5" s="368"/>
      <c r="AJG5" s="368"/>
      <c r="AJH5" s="368"/>
      <c r="AJI5" s="368"/>
      <c r="AJJ5" s="368"/>
      <c r="AJK5" s="368"/>
      <c r="AJL5" s="368"/>
      <c r="AJM5" s="368"/>
      <c r="AJN5" s="368"/>
      <c r="AJO5" s="368"/>
      <c r="AJP5" s="368"/>
      <c r="AJQ5" s="368"/>
      <c r="AJR5" s="368"/>
      <c r="AJS5" s="368"/>
      <c r="AJT5" s="368"/>
      <c r="AJU5" s="368"/>
      <c r="AJV5" s="368"/>
      <c r="AJW5" s="368"/>
      <c r="AJX5" s="368"/>
      <c r="AJY5" s="368"/>
      <c r="AJZ5" s="368"/>
      <c r="AKA5" s="368"/>
      <c r="AKB5" s="368"/>
      <c r="AKC5" s="368"/>
      <c r="AKD5" s="368"/>
      <c r="AKE5" s="368"/>
      <c r="AKF5" s="368"/>
      <c r="AKG5" s="368"/>
      <c r="AKH5" s="368"/>
      <c r="AKI5" s="368"/>
      <c r="AKJ5" s="368"/>
      <c r="AKK5" s="368"/>
      <c r="AKL5" s="368"/>
      <c r="AKM5" s="368"/>
      <c r="AKN5" s="368"/>
    </row>
    <row r="6" spans="1:976" s="369" customFormat="1" ht="22.5" customHeight="1" x14ac:dyDescent="0.2">
      <c r="A6" s="352" t="s">
        <v>262</v>
      </c>
      <c r="B6" s="352"/>
      <c r="C6" s="352" t="s">
        <v>221</v>
      </c>
      <c r="D6" s="352" t="s">
        <v>222</v>
      </c>
      <c r="E6" s="353">
        <v>401943</v>
      </c>
      <c r="F6" s="353">
        <v>61</v>
      </c>
      <c r="G6" s="353">
        <v>11</v>
      </c>
      <c r="H6" s="353">
        <v>0</v>
      </c>
      <c r="I6" s="354">
        <v>45698</v>
      </c>
      <c r="J6" s="352" t="s">
        <v>263</v>
      </c>
      <c r="K6" s="352" t="s">
        <v>278</v>
      </c>
      <c r="L6" s="355">
        <v>41.36</v>
      </c>
      <c r="M6" s="355">
        <v>2.27</v>
      </c>
      <c r="N6" s="449">
        <v>43.63</v>
      </c>
      <c r="O6" s="352"/>
      <c r="P6" s="356">
        <v>45701</v>
      </c>
      <c r="Q6" s="355">
        <v>43.63</v>
      </c>
      <c r="R6" s="352" t="s">
        <v>279</v>
      </c>
      <c r="S6" s="355">
        <v>0</v>
      </c>
      <c r="T6" s="355">
        <v>0</v>
      </c>
      <c r="U6" s="355">
        <v>0</v>
      </c>
      <c r="V6" s="355">
        <v>0</v>
      </c>
      <c r="W6" s="352"/>
      <c r="X6" s="352" t="s">
        <v>266</v>
      </c>
      <c r="Y6" s="352" t="s">
        <v>267</v>
      </c>
      <c r="Z6" s="352" t="s">
        <v>42</v>
      </c>
      <c r="AA6" s="352" t="s">
        <v>228</v>
      </c>
      <c r="AB6" s="352" t="s">
        <v>34</v>
      </c>
      <c r="AC6" s="352" t="s">
        <v>43</v>
      </c>
      <c r="AD6" s="352" t="s">
        <v>231</v>
      </c>
      <c r="AE6" s="352" t="s">
        <v>232</v>
      </c>
      <c r="AF6" s="352" t="s">
        <v>231</v>
      </c>
      <c r="AG6" s="352" t="s">
        <v>232</v>
      </c>
      <c r="AH6" s="352"/>
      <c r="AI6" s="352"/>
      <c r="AJ6" s="352" t="s">
        <v>255</v>
      </c>
      <c r="AK6" s="352" t="s">
        <v>280</v>
      </c>
      <c r="AL6" s="353">
        <v>1</v>
      </c>
      <c r="AM6" s="353">
        <v>0</v>
      </c>
      <c r="AN6" s="354">
        <v>45701</v>
      </c>
      <c r="AO6" s="354">
        <v>45701</v>
      </c>
      <c r="AP6" s="355">
        <v>43.63</v>
      </c>
      <c r="AQ6" s="354">
        <v>45700</v>
      </c>
      <c r="AR6" s="368"/>
      <c r="AS6" s="368"/>
      <c r="AT6" s="368"/>
      <c r="AU6" s="368"/>
      <c r="AV6" s="368"/>
      <c r="AW6" s="368"/>
      <c r="AX6" s="368"/>
      <c r="AY6" s="368"/>
      <c r="AZ6" s="368"/>
      <c r="BA6" s="368"/>
      <c r="BB6" s="368"/>
      <c r="BC6" s="368"/>
      <c r="BD6" s="368"/>
      <c r="BE6" s="368"/>
      <c r="BF6" s="368"/>
      <c r="BG6" s="368"/>
      <c r="BH6" s="368"/>
      <c r="BI6" s="368"/>
      <c r="BJ6" s="368"/>
      <c r="BK6" s="368"/>
      <c r="BL6" s="368"/>
      <c r="BM6" s="368"/>
      <c r="BN6" s="368"/>
      <c r="BO6" s="368"/>
      <c r="BP6" s="368"/>
      <c r="BQ6" s="368"/>
      <c r="BR6" s="368"/>
      <c r="BS6" s="368"/>
      <c r="BT6" s="368"/>
      <c r="BU6" s="368"/>
      <c r="BV6" s="368"/>
      <c r="BW6" s="368"/>
      <c r="BX6" s="368"/>
      <c r="BY6" s="368"/>
      <c r="BZ6" s="368"/>
      <c r="CA6" s="368"/>
      <c r="CB6" s="368"/>
      <c r="CC6" s="368"/>
      <c r="CD6" s="368"/>
      <c r="CE6" s="368"/>
      <c r="CF6" s="368"/>
      <c r="CG6" s="368"/>
      <c r="CH6" s="368"/>
      <c r="CI6" s="368"/>
      <c r="CJ6" s="368"/>
      <c r="CK6" s="368"/>
      <c r="CL6" s="368"/>
      <c r="CM6" s="368"/>
      <c r="CN6" s="368"/>
      <c r="CO6" s="368"/>
      <c r="CP6" s="368"/>
      <c r="CQ6" s="368"/>
      <c r="CR6" s="368"/>
      <c r="CS6" s="368"/>
      <c r="CT6" s="368"/>
      <c r="CU6" s="368"/>
      <c r="CV6" s="368"/>
      <c r="CW6" s="368"/>
      <c r="CX6" s="368"/>
      <c r="CY6" s="368"/>
      <c r="CZ6" s="368"/>
      <c r="DA6" s="368"/>
      <c r="DB6" s="368"/>
      <c r="DC6" s="368"/>
      <c r="DD6" s="368"/>
      <c r="DE6" s="368"/>
      <c r="DF6" s="368"/>
      <c r="DG6" s="368"/>
      <c r="DH6" s="368"/>
      <c r="DI6" s="368"/>
      <c r="DJ6" s="368"/>
      <c r="DK6" s="368"/>
      <c r="DL6" s="368"/>
      <c r="DM6" s="368"/>
      <c r="DN6" s="368"/>
      <c r="DO6" s="368"/>
      <c r="DP6" s="368"/>
      <c r="DQ6" s="368"/>
      <c r="DR6" s="368"/>
      <c r="DS6" s="368"/>
      <c r="DT6" s="368"/>
      <c r="DU6" s="368"/>
      <c r="DV6" s="368"/>
      <c r="DW6" s="368"/>
      <c r="DX6" s="368"/>
      <c r="DY6" s="368"/>
      <c r="DZ6" s="368"/>
      <c r="EA6" s="368"/>
      <c r="EB6" s="368"/>
      <c r="EC6" s="368"/>
      <c r="ED6" s="368"/>
      <c r="EE6" s="368"/>
      <c r="EF6" s="368"/>
      <c r="EG6" s="368"/>
      <c r="EH6" s="368"/>
      <c r="EI6" s="368"/>
      <c r="EJ6" s="368"/>
      <c r="EK6" s="368"/>
      <c r="EL6" s="368"/>
      <c r="EM6" s="368"/>
      <c r="EN6" s="368"/>
      <c r="EO6" s="368"/>
      <c r="EP6" s="368"/>
      <c r="EQ6" s="368"/>
      <c r="ER6" s="368"/>
      <c r="ES6" s="368"/>
      <c r="ET6" s="368"/>
      <c r="EU6" s="368"/>
      <c r="EV6" s="368"/>
      <c r="EW6" s="368"/>
      <c r="EX6" s="368"/>
      <c r="EY6" s="368"/>
      <c r="EZ6" s="368"/>
      <c r="FA6" s="368"/>
      <c r="FB6" s="368"/>
      <c r="FC6" s="368"/>
      <c r="FD6" s="368"/>
      <c r="FE6" s="368"/>
      <c r="FF6" s="368"/>
      <c r="FG6" s="368"/>
      <c r="FH6" s="368"/>
      <c r="FI6" s="368"/>
      <c r="FJ6" s="368"/>
      <c r="FK6" s="368"/>
      <c r="FL6" s="368"/>
      <c r="FM6" s="368"/>
      <c r="FN6" s="368"/>
      <c r="FO6" s="368"/>
      <c r="FP6" s="368"/>
      <c r="FQ6" s="368"/>
      <c r="FR6" s="368"/>
      <c r="FS6" s="368"/>
      <c r="FT6" s="368"/>
      <c r="FU6" s="368"/>
      <c r="FV6" s="368"/>
      <c r="FW6" s="368"/>
      <c r="FX6" s="368"/>
      <c r="FY6" s="368"/>
      <c r="FZ6" s="368"/>
      <c r="GA6" s="368"/>
      <c r="GB6" s="368"/>
      <c r="GC6" s="368"/>
      <c r="GD6" s="368"/>
      <c r="GE6" s="368"/>
      <c r="GF6" s="368"/>
      <c r="GG6" s="368"/>
      <c r="GH6" s="368"/>
      <c r="GI6" s="368"/>
      <c r="GJ6" s="368"/>
      <c r="GK6" s="368"/>
      <c r="GL6" s="368"/>
      <c r="GM6" s="368"/>
      <c r="GN6" s="368"/>
      <c r="GO6" s="368"/>
      <c r="GP6" s="368"/>
      <c r="GQ6" s="368"/>
      <c r="GR6" s="368"/>
      <c r="GS6" s="368"/>
      <c r="GT6" s="368"/>
      <c r="GU6" s="368"/>
      <c r="GV6" s="368"/>
      <c r="GW6" s="368"/>
      <c r="GX6" s="368"/>
      <c r="GY6" s="368"/>
      <c r="GZ6" s="368"/>
      <c r="HA6" s="368"/>
      <c r="HB6" s="368"/>
      <c r="HC6" s="368"/>
      <c r="HD6" s="368"/>
      <c r="HE6" s="368"/>
      <c r="HF6" s="368"/>
      <c r="HG6" s="368"/>
      <c r="HH6" s="368"/>
      <c r="HI6" s="368"/>
      <c r="HJ6" s="368"/>
      <c r="HK6" s="368"/>
      <c r="HL6" s="368"/>
      <c r="HM6" s="368"/>
      <c r="HN6" s="368"/>
      <c r="HO6" s="368"/>
      <c r="HP6" s="368"/>
      <c r="HQ6" s="368"/>
      <c r="HR6" s="368"/>
      <c r="HS6" s="368"/>
      <c r="HT6" s="368"/>
      <c r="HU6" s="368"/>
      <c r="HV6" s="368"/>
      <c r="HW6" s="368"/>
      <c r="HX6" s="368"/>
      <c r="HY6" s="368"/>
      <c r="HZ6" s="368"/>
      <c r="IA6" s="368"/>
      <c r="IB6" s="368"/>
      <c r="IC6" s="368"/>
      <c r="ID6" s="368"/>
      <c r="IE6" s="368"/>
      <c r="IF6" s="368"/>
      <c r="IG6" s="368"/>
      <c r="IH6" s="368"/>
      <c r="II6" s="368"/>
      <c r="IJ6" s="368"/>
      <c r="IK6" s="368"/>
      <c r="IL6" s="368"/>
      <c r="IM6" s="368"/>
      <c r="IN6" s="368"/>
      <c r="IO6" s="368"/>
      <c r="IP6" s="368"/>
      <c r="IQ6" s="368"/>
      <c r="IR6" s="368"/>
      <c r="IS6" s="368"/>
      <c r="IT6" s="368"/>
      <c r="IU6" s="368"/>
      <c r="IV6" s="368"/>
      <c r="IW6" s="368"/>
      <c r="IX6" s="368"/>
      <c r="IY6" s="368"/>
      <c r="IZ6" s="368"/>
      <c r="JA6" s="368"/>
      <c r="JB6" s="368"/>
      <c r="JC6" s="368"/>
      <c r="JD6" s="368"/>
      <c r="JE6" s="368"/>
      <c r="JF6" s="368"/>
      <c r="JG6" s="368"/>
      <c r="JH6" s="368"/>
      <c r="JI6" s="368"/>
      <c r="JJ6" s="368"/>
      <c r="JK6" s="368"/>
      <c r="JL6" s="368"/>
      <c r="JM6" s="368"/>
      <c r="JN6" s="368"/>
      <c r="JO6" s="368"/>
      <c r="JP6" s="368"/>
      <c r="JQ6" s="368"/>
      <c r="JR6" s="368"/>
      <c r="JS6" s="368"/>
      <c r="JT6" s="368"/>
      <c r="JU6" s="368"/>
      <c r="JV6" s="368"/>
      <c r="JW6" s="368"/>
      <c r="JX6" s="368"/>
      <c r="JY6" s="368"/>
      <c r="JZ6" s="368"/>
      <c r="KA6" s="368"/>
      <c r="KB6" s="368"/>
      <c r="KC6" s="368"/>
      <c r="KD6" s="368"/>
      <c r="KE6" s="368"/>
      <c r="KF6" s="368"/>
      <c r="KG6" s="368"/>
      <c r="KH6" s="368"/>
      <c r="KI6" s="368"/>
      <c r="KJ6" s="368"/>
      <c r="KK6" s="368"/>
      <c r="KL6" s="368"/>
      <c r="KM6" s="368"/>
      <c r="KN6" s="368"/>
      <c r="KO6" s="368"/>
      <c r="KP6" s="368"/>
      <c r="KQ6" s="368"/>
      <c r="KR6" s="368"/>
      <c r="KS6" s="368"/>
      <c r="KT6" s="368"/>
      <c r="KU6" s="368"/>
      <c r="KV6" s="368"/>
      <c r="KW6" s="368"/>
      <c r="KX6" s="368"/>
      <c r="KY6" s="368"/>
      <c r="KZ6" s="368"/>
      <c r="LA6" s="368"/>
      <c r="LB6" s="368"/>
      <c r="LC6" s="368"/>
      <c r="LD6" s="368"/>
      <c r="LE6" s="368"/>
      <c r="LF6" s="368"/>
      <c r="LG6" s="368"/>
      <c r="LH6" s="368"/>
      <c r="LI6" s="368"/>
      <c r="LJ6" s="368"/>
      <c r="LK6" s="368"/>
      <c r="LL6" s="368"/>
      <c r="LM6" s="368"/>
      <c r="LN6" s="368"/>
      <c r="LO6" s="368"/>
      <c r="LP6" s="368"/>
      <c r="LQ6" s="368"/>
      <c r="LR6" s="368"/>
      <c r="LS6" s="368"/>
      <c r="LT6" s="368"/>
      <c r="LU6" s="368"/>
      <c r="LV6" s="368"/>
      <c r="LW6" s="368"/>
      <c r="LX6" s="368"/>
      <c r="LY6" s="368"/>
      <c r="LZ6" s="368"/>
      <c r="MA6" s="368"/>
      <c r="MB6" s="368"/>
      <c r="MC6" s="368"/>
      <c r="MD6" s="368"/>
      <c r="ME6" s="368"/>
      <c r="MF6" s="368"/>
      <c r="MG6" s="368"/>
      <c r="MH6" s="368"/>
      <c r="MI6" s="368"/>
      <c r="MJ6" s="368"/>
      <c r="MK6" s="368"/>
      <c r="ML6" s="368"/>
      <c r="MM6" s="368"/>
      <c r="MN6" s="368"/>
      <c r="MO6" s="368"/>
      <c r="MP6" s="368"/>
      <c r="MQ6" s="368"/>
      <c r="MR6" s="368"/>
      <c r="MS6" s="368"/>
      <c r="MT6" s="368"/>
      <c r="MU6" s="368"/>
      <c r="MV6" s="368"/>
      <c r="MW6" s="368"/>
      <c r="MX6" s="368"/>
      <c r="MY6" s="368"/>
      <c r="MZ6" s="368"/>
      <c r="NA6" s="368"/>
      <c r="NB6" s="368"/>
      <c r="NC6" s="368"/>
      <c r="ND6" s="368"/>
      <c r="NE6" s="368"/>
      <c r="NF6" s="368"/>
      <c r="NG6" s="368"/>
      <c r="NH6" s="368"/>
      <c r="NI6" s="368"/>
      <c r="NJ6" s="368"/>
      <c r="NK6" s="368"/>
      <c r="NL6" s="368"/>
      <c r="NM6" s="368"/>
      <c r="NN6" s="368"/>
      <c r="NO6" s="368"/>
      <c r="NP6" s="368"/>
      <c r="NQ6" s="368"/>
      <c r="NR6" s="368"/>
      <c r="NS6" s="368"/>
      <c r="NT6" s="368"/>
      <c r="NU6" s="368"/>
      <c r="NV6" s="368"/>
      <c r="NW6" s="368"/>
      <c r="NX6" s="368"/>
      <c r="NY6" s="368"/>
      <c r="NZ6" s="368"/>
      <c r="OA6" s="368"/>
      <c r="OB6" s="368"/>
      <c r="OC6" s="368"/>
      <c r="OD6" s="368"/>
      <c r="OE6" s="368"/>
      <c r="OF6" s="368"/>
      <c r="OG6" s="368"/>
      <c r="OH6" s="368"/>
      <c r="OI6" s="368"/>
      <c r="OJ6" s="368"/>
      <c r="OK6" s="368"/>
      <c r="OL6" s="368"/>
      <c r="OM6" s="368"/>
      <c r="ON6" s="368"/>
      <c r="OO6" s="368"/>
      <c r="OP6" s="368"/>
      <c r="OQ6" s="368"/>
      <c r="OR6" s="368"/>
      <c r="OS6" s="368"/>
      <c r="OT6" s="368"/>
      <c r="OU6" s="368"/>
      <c r="OV6" s="368"/>
      <c r="OW6" s="368"/>
      <c r="OX6" s="368"/>
      <c r="OY6" s="368"/>
      <c r="OZ6" s="368"/>
      <c r="PA6" s="368"/>
      <c r="PB6" s="368"/>
      <c r="PC6" s="368"/>
      <c r="PD6" s="368"/>
      <c r="PE6" s="368"/>
      <c r="PF6" s="368"/>
      <c r="PG6" s="368"/>
      <c r="PH6" s="368"/>
      <c r="PI6" s="368"/>
      <c r="PJ6" s="368"/>
      <c r="PK6" s="368"/>
      <c r="PL6" s="368"/>
      <c r="PM6" s="368"/>
      <c r="PN6" s="368"/>
      <c r="PO6" s="368"/>
      <c r="PP6" s="368"/>
      <c r="PQ6" s="368"/>
      <c r="PR6" s="368"/>
      <c r="PS6" s="368"/>
      <c r="PT6" s="368"/>
      <c r="PU6" s="368"/>
      <c r="PV6" s="368"/>
      <c r="PW6" s="368"/>
      <c r="PX6" s="368"/>
      <c r="PY6" s="368"/>
      <c r="PZ6" s="368"/>
      <c r="QA6" s="368"/>
      <c r="QB6" s="368"/>
      <c r="QC6" s="368"/>
      <c r="QD6" s="368"/>
      <c r="QE6" s="368"/>
      <c r="QF6" s="368"/>
      <c r="QG6" s="368"/>
      <c r="QH6" s="368"/>
      <c r="QI6" s="368"/>
      <c r="QJ6" s="368"/>
      <c r="QK6" s="368"/>
      <c r="QL6" s="368"/>
      <c r="QM6" s="368"/>
      <c r="QN6" s="368"/>
      <c r="QO6" s="368"/>
      <c r="QP6" s="368"/>
      <c r="QQ6" s="368"/>
      <c r="QR6" s="368"/>
      <c r="QS6" s="368"/>
      <c r="QT6" s="368"/>
      <c r="QU6" s="368"/>
      <c r="QV6" s="368"/>
      <c r="QW6" s="368"/>
      <c r="QX6" s="368"/>
      <c r="QY6" s="368"/>
      <c r="QZ6" s="368"/>
      <c r="RA6" s="368"/>
      <c r="RB6" s="368"/>
      <c r="RC6" s="368"/>
      <c r="RD6" s="368"/>
      <c r="RE6" s="368"/>
      <c r="RF6" s="368"/>
      <c r="RG6" s="368"/>
      <c r="RH6" s="368"/>
      <c r="RI6" s="368"/>
      <c r="RJ6" s="368"/>
      <c r="RK6" s="368"/>
      <c r="RL6" s="368"/>
      <c r="RM6" s="368"/>
      <c r="RN6" s="368"/>
      <c r="RO6" s="368"/>
      <c r="RP6" s="368"/>
      <c r="RQ6" s="368"/>
      <c r="RR6" s="368"/>
      <c r="RS6" s="368"/>
      <c r="RT6" s="368"/>
      <c r="RU6" s="368"/>
      <c r="RV6" s="368"/>
      <c r="RW6" s="368"/>
      <c r="RX6" s="368"/>
      <c r="RY6" s="368"/>
      <c r="RZ6" s="368"/>
      <c r="SA6" s="368"/>
      <c r="SB6" s="368"/>
      <c r="SC6" s="368"/>
      <c r="SD6" s="368"/>
      <c r="SE6" s="368"/>
      <c r="SF6" s="368"/>
      <c r="SG6" s="368"/>
      <c r="SH6" s="368"/>
      <c r="SI6" s="368"/>
      <c r="SJ6" s="368"/>
      <c r="SK6" s="368"/>
      <c r="SL6" s="368"/>
      <c r="SM6" s="368"/>
      <c r="SN6" s="368"/>
      <c r="SO6" s="368"/>
      <c r="SP6" s="368"/>
      <c r="SQ6" s="368"/>
      <c r="SR6" s="368"/>
      <c r="SS6" s="368"/>
      <c r="ST6" s="368"/>
      <c r="SU6" s="368"/>
      <c r="SV6" s="368"/>
      <c r="SW6" s="368"/>
      <c r="SX6" s="368"/>
      <c r="SY6" s="368"/>
      <c r="SZ6" s="368"/>
      <c r="TA6" s="368"/>
      <c r="TB6" s="368"/>
      <c r="TC6" s="368"/>
      <c r="TD6" s="368"/>
      <c r="TE6" s="368"/>
      <c r="TF6" s="368"/>
      <c r="TG6" s="368"/>
      <c r="TH6" s="368"/>
      <c r="TI6" s="368"/>
      <c r="TJ6" s="368"/>
      <c r="TK6" s="368"/>
      <c r="TL6" s="368"/>
      <c r="TM6" s="368"/>
      <c r="TN6" s="368"/>
      <c r="TO6" s="368"/>
      <c r="TP6" s="368"/>
      <c r="TQ6" s="368"/>
      <c r="TR6" s="368"/>
      <c r="TS6" s="368"/>
      <c r="TT6" s="368"/>
      <c r="TU6" s="368"/>
      <c r="TV6" s="368"/>
      <c r="TW6" s="368"/>
      <c r="TX6" s="368"/>
      <c r="TY6" s="368"/>
      <c r="TZ6" s="368"/>
      <c r="UA6" s="368"/>
      <c r="UB6" s="368"/>
      <c r="UC6" s="368"/>
      <c r="UD6" s="368"/>
      <c r="UE6" s="368"/>
      <c r="UF6" s="368"/>
      <c r="UG6" s="368"/>
      <c r="UH6" s="368"/>
      <c r="UI6" s="368"/>
      <c r="UJ6" s="368"/>
      <c r="UK6" s="368"/>
      <c r="UL6" s="368"/>
      <c r="UM6" s="368"/>
      <c r="UN6" s="368"/>
      <c r="UO6" s="368"/>
      <c r="UP6" s="368"/>
      <c r="UQ6" s="368"/>
      <c r="UR6" s="368"/>
      <c r="US6" s="368"/>
      <c r="UT6" s="368"/>
      <c r="UU6" s="368"/>
      <c r="UV6" s="368"/>
      <c r="UW6" s="368"/>
      <c r="UX6" s="368"/>
      <c r="UY6" s="368"/>
      <c r="UZ6" s="368"/>
      <c r="VA6" s="368"/>
      <c r="VB6" s="368"/>
      <c r="VC6" s="368"/>
      <c r="VD6" s="368"/>
      <c r="VE6" s="368"/>
      <c r="VF6" s="368"/>
      <c r="VG6" s="368"/>
      <c r="VH6" s="368"/>
      <c r="VI6" s="368"/>
      <c r="VJ6" s="368"/>
      <c r="VK6" s="368"/>
      <c r="VL6" s="368"/>
      <c r="VM6" s="368"/>
      <c r="VN6" s="368"/>
      <c r="VO6" s="368"/>
      <c r="VP6" s="368"/>
      <c r="VQ6" s="368"/>
      <c r="VR6" s="368"/>
      <c r="VS6" s="368"/>
      <c r="VT6" s="368"/>
      <c r="VU6" s="368"/>
      <c r="VV6" s="368"/>
      <c r="VW6" s="368"/>
      <c r="VX6" s="368"/>
      <c r="VY6" s="368"/>
      <c r="VZ6" s="368"/>
      <c r="WA6" s="368"/>
      <c r="WB6" s="368"/>
      <c r="WC6" s="368"/>
      <c r="WD6" s="368"/>
      <c r="WE6" s="368"/>
      <c r="WF6" s="368"/>
      <c r="WG6" s="368"/>
      <c r="WH6" s="368"/>
      <c r="WI6" s="368"/>
      <c r="WJ6" s="368"/>
      <c r="WK6" s="368"/>
      <c r="WL6" s="368"/>
      <c r="WM6" s="368"/>
      <c r="WN6" s="368"/>
      <c r="WO6" s="368"/>
      <c r="WP6" s="368"/>
      <c r="WQ6" s="368"/>
      <c r="WR6" s="368"/>
      <c r="WS6" s="368"/>
      <c r="WT6" s="368"/>
      <c r="WU6" s="368"/>
      <c r="WV6" s="368"/>
      <c r="WW6" s="368"/>
      <c r="WX6" s="368"/>
      <c r="WY6" s="368"/>
      <c r="WZ6" s="368"/>
      <c r="XA6" s="368"/>
      <c r="XB6" s="368"/>
      <c r="XC6" s="368"/>
      <c r="XD6" s="368"/>
      <c r="XE6" s="368"/>
      <c r="XF6" s="368"/>
      <c r="XG6" s="368"/>
      <c r="XH6" s="368"/>
      <c r="XI6" s="368"/>
      <c r="XJ6" s="368"/>
      <c r="XK6" s="368"/>
      <c r="XL6" s="368"/>
      <c r="XM6" s="368"/>
      <c r="XN6" s="368"/>
      <c r="XO6" s="368"/>
      <c r="XP6" s="368"/>
      <c r="XQ6" s="368"/>
      <c r="XR6" s="368"/>
      <c r="XS6" s="368"/>
      <c r="XT6" s="368"/>
      <c r="XU6" s="368"/>
      <c r="XV6" s="368"/>
      <c r="XW6" s="368"/>
      <c r="XX6" s="368"/>
      <c r="XY6" s="368"/>
      <c r="XZ6" s="368"/>
      <c r="YA6" s="368"/>
      <c r="YB6" s="368"/>
      <c r="YC6" s="368"/>
      <c r="YD6" s="368"/>
      <c r="YE6" s="368"/>
      <c r="YF6" s="368"/>
      <c r="YG6" s="368"/>
      <c r="YH6" s="368"/>
      <c r="YI6" s="368"/>
      <c r="YJ6" s="368"/>
      <c r="YK6" s="368"/>
      <c r="YL6" s="368"/>
      <c r="YM6" s="368"/>
      <c r="YN6" s="368"/>
      <c r="YO6" s="368"/>
      <c r="YP6" s="368"/>
      <c r="YQ6" s="368"/>
      <c r="YR6" s="368"/>
      <c r="YS6" s="368"/>
      <c r="YT6" s="368"/>
      <c r="YU6" s="368"/>
      <c r="YV6" s="368"/>
      <c r="YW6" s="368"/>
      <c r="YX6" s="368"/>
      <c r="YY6" s="368"/>
      <c r="YZ6" s="368"/>
      <c r="ZA6" s="368"/>
      <c r="ZB6" s="368"/>
      <c r="ZC6" s="368"/>
      <c r="ZD6" s="368"/>
      <c r="ZE6" s="368"/>
      <c r="ZF6" s="368"/>
      <c r="ZG6" s="368"/>
      <c r="ZH6" s="368"/>
      <c r="ZI6" s="368"/>
      <c r="ZJ6" s="368"/>
      <c r="ZK6" s="368"/>
      <c r="ZL6" s="368"/>
      <c r="ZM6" s="368"/>
      <c r="ZN6" s="368"/>
      <c r="ZO6" s="368"/>
      <c r="ZP6" s="368"/>
      <c r="ZQ6" s="368"/>
      <c r="ZR6" s="368"/>
      <c r="ZS6" s="368"/>
      <c r="ZT6" s="368"/>
      <c r="ZU6" s="368"/>
      <c r="ZV6" s="368"/>
      <c r="ZW6" s="368"/>
      <c r="ZX6" s="368"/>
      <c r="ZY6" s="368"/>
      <c r="ZZ6" s="368"/>
      <c r="AAA6" s="368"/>
      <c r="AAB6" s="368"/>
      <c r="AAC6" s="368"/>
      <c r="AAD6" s="368"/>
      <c r="AAE6" s="368"/>
      <c r="AAF6" s="368"/>
      <c r="AAG6" s="368"/>
      <c r="AAH6" s="368"/>
      <c r="AAI6" s="368"/>
      <c r="AAJ6" s="368"/>
      <c r="AAK6" s="368"/>
      <c r="AAL6" s="368"/>
      <c r="AAM6" s="368"/>
      <c r="AAN6" s="368"/>
      <c r="AAO6" s="368"/>
      <c r="AAP6" s="368"/>
      <c r="AAQ6" s="368"/>
      <c r="AAR6" s="368"/>
      <c r="AAS6" s="368"/>
      <c r="AAT6" s="368"/>
      <c r="AAU6" s="368"/>
      <c r="AAV6" s="368"/>
      <c r="AAW6" s="368"/>
      <c r="AAX6" s="368"/>
      <c r="AAY6" s="368"/>
      <c r="AAZ6" s="368"/>
      <c r="ABA6" s="368"/>
      <c r="ABB6" s="368"/>
      <c r="ABC6" s="368"/>
      <c r="ABD6" s="368"/>
      <c r="ABE6" s="368"/>
      <c r="ABF6" s="368"/>
      <c r="ABG6" s="368"/>
      <c r="ABH6" s="368"/>
      <c r="ABI6" s="368"/>
      <c r="ABJ6" s="368"/>
      <c r="ABK6" s="368"/>
      <c r="ABL6" s="368"/>
      <c r="ABM6" s="368"/>
      <c r="ABN6" s="368"/>
      <c r="ABO6" s="368"/>
      <c r="ABP6" s="368"/>
      <c r="ABQ6" s="368"/>
      <c r="ABR6" s="368"/>
      <c r="ABS6" s="368"/>
      <c r="ABT6" s="368"/>
      <c r="ABU6" s="368"/>
      <c r="ABV6" s="368"/>
      <c r="ABW6" s="368"/>
      <c r="ABX6" s="368"/>
      <c r="ABY6" s="368"/>
      <c r="ABZ6" s="368"/>
      <c r="ACA6" s="368"/>
      <c r="ACB6" s="368"/>
      <c r="ACC6" s="368"/>
      <c r="ACD6" s="368"/>
      <c r="ACE6" s="368"/>
      <c r="ACF6" s="368"/>
      <c r="ACG6" s="368"/>
      <c r="ACH6" s="368"/>
      <c r="ACI6" s="368"/>
      <c r="ACJ6" s="368"/>
      <c r="ACK6" s="368"/>
      <c r="ACL6" s="368"/>
      <c r="ACM6" s="368"/>
      <c r="ACN6" s="368"/>
      <c r="ACO6" s="368"/>
      <c r="ACP6" s="368"/>
      <c r="ACQ6" s="368"/>
      <c r="ACR6" s="368"/>
      <c r="ACS6" s="368"/>
      <c r="ACT6" s="368"/>
      <c r="ACU6" s="368"/>
      <c r="ACV6" s="368"/>
      <c r="ACW6" s="368"/>
      <c r="ACX6" s="368"/>
      <c r="ACY6" s="368"/>
      <c r="ACZ6" s="368"/>
      <c r="ADA6" s="368"/>
      <c r="ADB6" s="368"/>
      <c r="ADC6" s="368"/>
      <c r="ADD6" s="368"/>
      <c r="ADE6" s="368"/>
      <c r="ADF6" s="368"/>
      <c r="ADG6" s="368"/>
      <c r="ADH6" s="368"/>
      <c r="ADI6" s="368"/>
      <c r="ADJ6" s="368"/>
      <c r="ADK6" s="368"/>
      <c r="ADL6" s="368"/>
      <c r="ADM6" s="368"/>
      <c r="ADN6" s="368"/>
      <c r="ADO6" s="368"/>
      <c r="ADP6" s="368"/>
      <c r="ADQ6" s="368"/>
      <c r="ADR6" s="368"/>
      <c r="ADS6" s="368"/>
      <c r="ADT6" s="368"/>
      <c r="ADU6" s="368"/>
      <c r="ADV6" s="368"/>
      <c r="ADW6" s="368"/>
      <c r="ADX6" s="368"/>
      <c r="ADY6" s="368"/>
      <c r="ADZ6" s="368"/>
      <c r="AEA6" s="368"/>
      <c r="AEB6" s="368"/>
      <c r="AEC6" s="368"/>
      <c r="AED6" s="368"/>
      <c r="AEE6" s="368"/>
      <c r="AEF6" s="368"/>
      <c r="AEG6" s="368"/>
      <c r="AEH6" s="368"/>
      <c r="AEI6" s="368"/>
      <c r="AEJ6" s="368"/>
      <c r="AEK6" s="368"/>
      <c r="AEL6" s="368"/>
      <c r="AEM6" s="368"/>
      <c r="AEN6" s="368"/>
      <c r="AEO6" s="368"/>
      <c r="AEP6" s="368"/>
      <c r="AEQ6" s="368"/>
      <c r="AER6" s="368"/>
      <c r="AES6" s="368"/>
      <c r="AET6" s="368"/>
      <c r="AEU6" s="368"/>
      <c r="AEV6" s="368"/>
      <c r="AEW6" s="368"/>
      <c r="AEX6" s="368"/>
      <c r="AEY6" s="368"/>
      <c r="AEZ6" s="368"/>
      <c r="AFA6" s="368"/>
      <c r="AFB6" s="368"/>
      <c r="AFC6" s="368"/>
      <c r="AFD6" s="368"/>
      <c r="AFE6" s="368"/>
      <c r="AFF6" s="368"/>
      <c r="AFG6" s="368"/>
      <c r="AFH6" s="368"/>
      <c r="AFI6" s="368"/>
      <c r="AFJ6" s="368"/>
      <c r="AFK6" s="368"/>
      <c r="AFL6" s="368"/>
      <c r="AFM6" s="368"/>
      <c r="AFN6" s="368"/>
      <c r="AFO6" s="368"/>
      <c r="AFP6" s="368"/>
      <c r="AFQ6" s="368"/>
      <c r="AFR6" s="368"/>
      <c r="AFS6" s="368"/>
      <c r="AFT6" s="368"/>
      <c r="AFU6" s="368"/>
      <c r="AFV6" s="368"/>
      <c r="AFW6" s="368"/>
      <c r="AFX6" s="368"/>
      <c r="AFY6" s="368"/>
      <c r="AFZ6" s="368"/>
      <c r="AGA6" s="368"/>
      <c r="AGB6" s="368"/>
      <c r="AGC6" s="368"/>
      <c r="AGD6" s="368"/>
      <c r="AGE6" s="368"/>
      <c r="AGF6" s="368"/>
      <c r="AGG6" s="368"/>
      <c r="AGH6" s="368"/>
      <c r="AGI6" s="368"/>
      <c r="AGJ6" s="368"/>
      <c r="AGK6" s="368"/>
      <c r="AGL6" s="368"/>
      <c r="AGM6" s="368"/>
      <c r="AGN6" s="368"/>
      <c r="AGO6" s="368"/>
      <c r="AGP6" s="368"/>
      <c r="AGQ6" s="368"/>
      <c r="AGR6" s="368"/>
      <c r="AGS6" s="368"/>
      <c r="AGT6" s="368"/>
      <c r="AGU6" s="368"/>
      <c r="AGV6" s="368"/>
      <c r="AGW6" s="368"/>
      <c r="AGX6" s="368"/>
      <c r="AGY6" s="368"/>
      <c r="AGZ6" s="368"/>
      <c r="AHA6" s="368"/>
      <c r="AHB6" s="368"/>
      <c r="AHC6" s="368"/>
      <c r="AHD6" s="368"/>
      <c r="AHE6" s="368"/>
      <c r="AHF6" s="368"/>
      <c r="AHG6" s="368"/>
      <c r="AHH6" s="368"/>
      <c r="AHI6" s="368"/>
      <c r="AHJ6" s="368"/>
      <c r="AHK6" s="368"/>
      <c r="AHL6" s="368"/>
      <c r="AHM6" s="368"/>
      <c r="AHN6" s="368"/>
      <c r="AHO6" s="368"/>
      <c r="AHP6" s="368"/>
      <c r="AHQ6" s="368"/>
      <c r="AHR6" s="368"/>
      <c r="AHS6" s="368"/>
      <c r="AHT6" s="368"/>
      <c r="AHU6" s="368"/>
      <c r="AHV6" s="368"/>
      <c r="AHW6" s="368"/>
      <c r="AHX6" s="368"/>
      <c r="AHY6" s="368"/>
      <c r="AHZ6" s="368"/>
      <c r="AIA6" s="368"/>
      <c r="AIB6" s="368"/>
      <c r="AIC6" s="368"/>
      <c r="AID6" s="368"/>
      <c r="AIE6" s="368"/>
      <c r="AIF6" s="368"/>
      <c r="AIG6" s="368"/>
      <c r="AIH6" s="368"/>
      <c r="AII6" s="368"/>
      <c r="AIJ6" s="368"/>
      <c r="AIK6" s="368"/>
      <c r="AIL6" s="368"/>
      <c r="AIM6" s="368"/>
      <c r="AIN6" s="368"/>
      <c r="AIO6" s="368"/>
      <c r="AIP6" s="368"/>
      <c r="AIQ6" s="368"/>
      <c r="AIR6" s="368"/>
      <c r="AIS6" s="368"/>
      <c r="AIT6" s="368"/>
      <c r="AIU6" s="368"/>
      <c r="AIV6" s="368"/>
      <c r="AIW6" s="368"/>
      <c r="AIX6" s="368"/>
      <c r="AIY6" s="368"/>
      <c r="AIZ6" s="368"/>
      <c r="AJA6" s="368"/>
      <c r="AJB6" s="368"/>
      <c r="AJC6" s="368"/>
      <c r="AJD6" s="368"/>
      <c r="AJE6" s="368"/>
      <c r="AJF6" s="368"/>
      <c r="AJG6" s="368"/>
      <c r="AJH6" s="368"/>
      <c r="AJI6" s="368"/>
      <c r="AJJ6" s="368"/>
      <c r="AJK6" s="368"/>
      <c r="AJL6" s="368"/>
      <c r="AJM6" s="368"/>
      <c r="AJN6" s="368"/>
      <c r="AJO6" s="368"/>
      <c r="AJP6" s="368"/>
      <c r="AJQ6" s="368"/>
      <c r="AJR6" s="368"/>
      <c r="AJS6" s="368"/>
      <c r="AJT6" s="368"/>
      <c r="AJU6" s="368"/>
      <c r="AJV6" s="368"/>
      <c r="AJW6" s="368"/>
      <c r="AJX6" s="368"/>
      <c r="AJY6" s="368"/>
      <c r="AJZ6" s="368"/>
      <c r="AKA6" s="368"/>
      <c r="AKB6" s="368"/>
      <c r="AKC6" s="368"/>
      <c r="AKD6" s="368"/>
      <c r="AKE6" s="368"/>
      <c r="AKF6" s="368"/>
      <c r="AKG6" s="368"/>
      <c r="AKH6" s="368"/>
      <c r="AKI6" s="368"/>
      <c r="AKJ6" s="368"/>
      <c r="AKK6" s="368"/>
      <c r="AKL6" s="368"/>
      <c r="AKM6" s="368"/>
      <c r="AKN6" s="368"/>
    </row>
    <row r="7" spans="1:976" s="14" customFormat="1" ht="22.5" customHeight="1" x14ac:dyDescent="0.2">
      <c r="A7" s="408" t="s">
        <v>262</v>
      </c>
      <c r="B7" s="408"/>
      <c r="C7" s="408" t="s">
        <v>221</v>
      </c>
      <c r="D7" s="408" t="s">
        <v>222</v>
      </c>
      <c r="E7" s="409">
        <v>402989</v>
      </c>
      <c r="F7" s="409">
        <v>148</v>
      </c>
      <c r="G7" s="409">
        <v>22</v>
      </c>
      <c r="H7" s="409">
        <v>5</v>
      </c>
      <c r="I7" s="410">
        <v>45705</v>
      </c>
      <c r="J7" s="408" t="s">
        <v>281</v>
      </c>
      <c r="K7" s="408" t="s">
        <v>282</v>
      </c>
      <c r="L7" s="411">
        <v>115.88</v>
      </c>
      <c r="M7" s="411">
        <v>23.18</v>
      </c>
      <c r="N7" s="450">
        <v>139.06</v>
      </c>
      <c r="O7" s="408"/>
      <c r="P7" s="412">
        <v>45720</v>
      </c>
      <c r="Q7" s="411">
        <v>139.06</v>
      </c>
      <c r="R7" s="408"/>
      <c r="S7" s="411">
        <v>0</v>
      </c>
      <c r="T7" s="411">
        <v>0</v>
      </c>
      <c r="U7" s="411">
        <v>0</v>
      </c>
      <c r="V7" s="411">
        <v>0</v>
      </c>
      <c r="W7" s="408"/>
      <c r="X7" s="408" t="s">
        <v>283</v>
      </c>
      <c r="Y7" s="408" t="s">
        <v>284</v>
      </c>
      <c r="Z7" s="408" t="s">
        <v>46</v>
      </c>
      <c r="AA7" s="408" t="s">
        <v>228</v>
      </c>
      <c r="AB7" s="408" t="s">
        <v>285</v>
      </c>
      <c r="AC7" s="408" t="s">
        <v>286</v>
      </c>
      <c r="AD7" s="408" t="s">
        <v>231</v>
      </c>
      <c r="AE7" s="408" t="s">
        <v>232</v>
      </c>
      <c r="AF7" s="408" t="s">
        <v>231</v>
      </c>
      <c r="AG7" s="408" t="s">
        <v>232</v>
      </c>
      <c r="AH7" s="408"/>
      <c r="AI7" s="408"/>
      <c r="AJ7" s="408"/>
      <c r="AK7" s="408"/>
      <c r="AL7" s="409">
        <v>1</v>
      </c>
      <c r="AM7" s="409">
        <v>0</v>
      </c>
      <c r="AN7" s="410">
        <v>45720</v>
      </c>
      <c r="AO7" s="410">
        <v>45714</v>
      </c>
      <c r="AP7" s="411">
        <v>139.06</v>
      </c>
      <c r="AQ7" s="410">
        <v>45713</v>
      </c>
    </row>
    <row r="8" spans="1:976" s="363" customFormat="1" ht="22.5" customHeight="1" x14ac:dyDescent="0.2">
      <c r="A8" s="358" t="s">
        <v>262</v>
      </c>
      <c r="B8" s="358"/>
      <c r="C8" s="358" t="s">
        <v>221</v>
      </c>
      <c r="D8" s="358" t="s">
        <v>222</v>
      </c>
      <c r="E8" s="359">
        <v>402990</v>
      </c>
      <c r="F8" s="359">
        <v>148</v>
      </c>
      <c r="G8" s="359">
        <v>22</v>
      </c>
      <c r="H8" s="359">
        <v>6</v>
      </c>
      <c r="I8" s="360">
        <v>45705</v>
      </c>
      <c r="J8" s="358" t="s">
        <v>281</v>
      </c>
      <c r="K8" s="358" t="s">
        <v>287</v>
      </c>
      <c r="L8" s="361">
        <v>338.21</v>
      </c>
      <c r="M8" s="361">
        <v>67.64</v>
      </c>
      <c r="N8" s="448">
        <v>405.85</v>
      </c>
      <c r="O8" s="358"/>
      <c r="P8" s="362">
        <v>45720</v>
      </c>
      <c r="Q8" s="361">
        <v>405.85</v>
      </c>
      <c r="R8" s="358"/>
      <c r="S8" s="361">
        <v>0</v>
      </c>
      <c r="T8" s="361">
        <v>0</v>
      </c>
      <c r="U8" s="361">
        <v>0</v>
      </c>
      <c r="V8" s="361">
        <v>0</v>
      </c>
      <c r="W8" s="358"/>
      <c r="X8" s="358" t="s">
        <v>283</v>
      </c>
      <c r="Y8" s="358" t="s">
        <v>284</v>
      </c>
      <c r="Z8" s="358" t="s">
        <v>288</v>
      </c>
      <c r="AA8" s="358" t="s">
        <v>228</v>
      </c>
      <c r="AB8" s="358" t="s">
        <v>289</v>
      </c>
      <c r="AC8" s="358" t="s">
        <v>31</v>
      </c>
      <c r="AD8" s="358" t="s">
        <v>231</v>
      </c>
      <c r="AE8" s="358" t="s">
        <v>232</v>
      </c>
      <c r="AF8" s="358" t="s">
        <v>231</v>
      </c>
      <c r="AG8" s="358" t="s">
        <v>232</v>
      </c>
      <c r="AH8" s="358"/>
      <c r="AI8" s="358"/>
      <c r="AJ8" s="358"/>
      <c r="AK8" s="358"/>
      <c r="AL8" s="359">
        <v>1</v>
      </c>
      <c r="AM8" s="359">
        <v>0</v>
      </c>
      <c r="AN8" s="360">
        <v>45720</v>
      </c>
      <c r="AO8" s="360">
        <v>45714</v>
      </c>
      <c r="AP8" s="361">
        <v>405.85</v>
      </c>
      <c r="AQ8" s="360">
        <v>45713</v>
      </c>
      <c r="AR8" s="368"/>
      <c r="AS8" s="368"/>
      <c r="AT8" s="368"/>
      <c r="AU8" s="368"/>
      <c r="AV8" s="368"/>
      <c r="AW8" s="368"/>
      <c r="AX8" s="368"/>
      <c r="AY8" s="368"/>
      <c r="AZ8" s="368"/>
      <c r="BA8" s="368"/>
      <c r="BB8" s="368"/>
      <c r="BC8" s="368"/>
      <c r="BD8" s="368"/>
      <c r="BE8" s="368"/>
      <c r="BF8" s="368"/>
      <c r="BG8" s="368"/>
      <c r="BH8" s="368"/>
      <c r="BI8" s="368"/>
      <c r="BJ8" s="368"/>
      <c r="BK8" s="368"/>
      <c r="BL8" s="368"/>
      <c r="BM8" s="368"/>
      <c r="BN8" s="368"/>
      <c r="BO8" s="368"/>
      <c r="BP8" s="368"/>
      <c r="BQ8" s="368"/>
      <c r="BR8" s="368"/>
      <c r="BS8" s="368"/>
      <c r="BT8" s="368"/>
      <c r="BU8" s="368"/>
      <c r="BV8" s="368"/>
      <c r="BW8" s="368"/>
      <c r="BX8" s="368"/>
      <c r="BY8" s="368"/>
      <c r="BZ8" s="368"/>
      <c r="CA8" s="368"/>
      <c r="CB8" s="368"/>
      <c r="CC8" s="368"/>
      <c r="CD8" s="368"/>
      <c r="CE8" s="368"/>
      <c r="CF8" s="368"/>
      <c r="CG8" s="368"/>
      <c r="CH8" s="368"/>
      <c r="CI8" s="368"/>
      <c r="CJ8" s="368"/>
      <c r="CK8" s="368"/>
      <c r="CL8" s="368"/>
      <c r="CM8" s="368"/>
      <c r="CN8" s="368"/>
      <c r="CO8" s="368"/>
      <c r="CP8" s="368"/>
      <c r="CQ8" s="368"/>
      <c r="CR8" s="368"/>
      <c r="CS8" s="368"/>
      <c r="CT8" s="368"/>
      <c r="CU8" s="368"/>
      <c r="CV8" s="368"/>
      <c r="CW8" s="368"/>
      <c r="CX8" s="368"/>
      <c r="CY8" s="368"/>
      <c r="CZ8" s="368"/>
      <c r="DA8" s="368"/>
      <c r="DB8" s="368"/>
      <c r="DC8" s="368"/>
      <c r="DD8" s="368"/>
      <c r="DE8" s="368"/>
      <c r="DF8" s="368"/>
      <c r="DG8" s="368"/>
      <c r="DH8" s="368"/>
      <c r="DI8" s="368"/>
      <c r="DJ8" s="368"/>
      <c r="DK8" s="368"/>
      <c r="DL8" s="368"/>
      <c r="DM8" s="368"/>
      <c r="DN8" s="368"/>
      <c r="DO8" s="368"/>
      <c r="DP8" s="368"/>
      <c r="DQ8" s="368"/>
      <c r="DR8" s="368"/>
      <c r="DS8" s="368"/>
      <c r="DT8" s="368"/>
      <c r="DU8" s="368"/>
      <c r="DV8" s="368"/>
      <c r="DW8" s="368"/>
      <c r="DX8" s="368"/>
      <c r="DY8" s="368"/>
      <c r="DZ8" s="368"/>
      <c r="EA8" s="368"/>
      <c r="EB8" s="368"/>
      <c r="EC8" s="368"/>
      <c r="ED8" s="368"/>
      <c r="EE8" s="368"/>
      <c r="EF8" s="368"/>
      <c r="EG8" s="368"/>
      <c r="EH8" s="368"/>
      <c r="EI8" s="368"/>
      <c r="EJ8" s="368"/>
      <c r="EK8" s="368"/>
      <c r="EL8" s="368"/>
      <c r="EM8" s="368"/>
      <c r="EN8" s="368"/>
      <c r="EO8" s="368"/>
      <c r="EP8" s="368"/>
      <c r="EQ8" s="368"/>
      <c r="ER8" s="368"/>
      <c r="ES8" s="368"/>
      <c r="ET8" s="368"/>
      <c r="EU8" s="368"/>
      <c r="EV8" s="368"/>
      <c r="EW8" s="368"/>
      <c r="EX8" s="368"/>
      <c r="EY8" s="368"/>
      <c r="EZ8" s="368"/>
      <c r="FA8" s="368"/>
      <c r="FB8" s="368"/>
      <c r="FC8" s="368"/>
      <c r="FD8" s="368"/>
      <c r="FE8" s="368"/>
      <c r="FF8" s="368"/>
      <c r="FG8" s="368"/>
      <c r="FH8" s="368"/>
      <c r="FI8" s="368"/>
      <c r="FJ8" s="368"/>
      <c r="FK8" s="368"/>
      <c r="FL8" s="368"/>
      <c r="FM8" s="368"/>
      <c r="FN8" s="368"/>
      <c r="FO8" s="368"/>
      <c r="FP8" s="368"/>
      <c r="FQ8" s="368"/>
      <c r="FR8" s="368"/>
      <c r="FS8" s="368"/>
      <c r="FT8" s="368"/>
      <c r="FU8" s="368"/>
      <c r="FV8" s="368"/>
      <c r="FW8" s="368"/>
      <c r="FX8" s="368"/>
      <c r="FY8" s="368"/>
      <c r="FZ8" s="368"/>
      <c r="GA8" s="368"/>
      <c r="GB8" s="368"/>
      <c r="GC8" s="368"/>
      <c r="GD8" s="368"/>
      <c r="GE8" s="368"/>
      <c r="GF8" s="368"/>
      <c r="GG8" s="368"/>
      <c r="GH8" s="368"/>
      <c r="GI8" s="368"/>
      <c r="GJ8" s="368"/>
      <c r="GK8" s="368"/>
      <c r="GL8" s="368"/>
      <c r="GM8" s="368"/>
      <c r="GN8" s="368"/>
      <c r="GO8" s="368"/>
      <c r="GP8" s="368"/>
      <c r="GQ8" s="368"/>
      <c r="GR8" s="368"/>
      <c r="GS8" s="368"/>
      <c r="GT8" s="368"/>
      <c r="GU8" s="368"/>
      <c r="GV8" s="368"/>
      <c r="GW8" s="368"/>
      <c r="GX8" s="368"/>
      <c r="GY8" s="368"/>
      <c r="GZ8" s="368"/>
      <c r="HA8" s="368"/>
      <c r="HB8" s="368"/>
      <c r="HC8" s="368"/>
      <c r="HD8" s="368"/>
      <c r="HE8" s="368"/>
      <c r="HF8" s="368"/>
      <c r="HG8" s="368"/>
      <c r="HH8" s="368"/>
      <c r="HI8" s="368"/>
      <c r="HJ8" s="368"/>
      <c r="HK8" s="368"/>
      <c r="HL8" s="368"/>
      <c r="HM8" s="368"/>
      <c r="HN8" s="368"/>
      <c r="HO8" s="368"/>
      <c r="HP8" s="368"/>
      <c r="HQ8" s="368"/>
      <c r="HR8" s="368"/>
      <c r="HS8" s="368"/>
      <c r="HT8" s="368"/>
      <c r="HU8" s="368"/>
      <c r="HV8" s="368"/>
      <c r="HW8" s="368"/>
      <c r="HX8" s="368"/>
      <c r="HY8" s="368"/>
      <c r="HZ8" s="368"/>
      <c r="IA8" s="368"/>
      <c r="IB8" s="368"/>
      <c r="IC8" s="368"/>
      <c r="ID8" s="368"/>
      <c r="IE8" s="368"/>
      <c r="IF8" s="368"/>
      <c r="IG8" s="368"/>
      <c r="IH8" s="368"/>
      <c r="II8" s="368"/>
      <c r="IJ8" s="368"/>
      <c r="IK8" s="368"/>
      <c r="IL8" s="368"/>
      <c r="IM8" s="368"/>
      <c r="IN8" s="368"/>
      <c r="IO8" s="368"/>
      <c r="IP8" s="368"/>
      <c r="IQ8" s="368"/>
      <c r="IR8" s="368"/>
      <c r="IS8" s="368"/>
      <c r="IT8" s="368"/>
      <c r="IU8" s="368"/>
      <c r="IV8" s="368"/>
      <c r="IW8" s="368"/>
      <c r="IX8" s="368"/>
      <c r="IY8" s="368"/>
      <c r="IZ8" s="368"/>
      <c r="JA8" s="368"/>
      <c r="JB8" s="368"/>
      <c r="JC8" s="368"/>
      <c r="JD8" s="368"/>
      <c r="JE8" s="368"/>
      <c r="JF8" s="368"/>
      <c r="JG8" s="368"/>
      <c r="JH8" s="368"/>
      <c r="JI8" s="368"/>
      <c r="JJ8" s="368"/>
      <c r="JK8" s="368"/>
      <c r="JL8" s="368"/>
      <c r="JM8" s="368"/>
      <c r="JN8" s="368"/>
      <c r="JO8" s="368"/>
      <c r="JP8" s="368"/>
      <c r="JQ8" s="368"/>
      <c r="JR8" s="368"/>
      <c r="JS8" s="368"/>
      <c r="JT8" s="368"/>
      <c r="JU8" s="368"/>
      <c r="JV8" s="368"/>
      <c r="JW8" s="368"/>
      <c r="JX8" s="368"/>
      <c r="JY8" s="368"/>
      <c r="JZ8" s="368"/>
      <c r="KA8" s="368"/>
      <c r="KB8" s="368"/>
      <c r="KC8" s="368"/>
      <c r="KD8" s="368"/>
      <c r="KE8" s="368"/>
      <c r="KF8" s="368"/>
      <c r="KG8" s="368"/>
      <c r="KH8" s="368"/>
      <c r="KI8" s="368"/>
      <c r="KJ8" s="368"/>
      <c r="KK8" s="368"/>
      <c r="KL8" s="368"/>
      <c r="KM8" s="368"/>
      <c r="KN8" s="368"/>
      <c r="KO8" s="368"/>
      <c r="KP8" s="368"/>
      <c r="KQ8" s="368"/>
      <c r="KR8" s="368"/>
      <c r="KS8" s="368"/>
      <c r="KT8" s="368"/>
      <c r="KU8" s="368"/>
      <c r="KV8" s="368"/>
      <c r="KW8" s="368"/>
      <c r="KX8" s="368"/>
      <c r="KY8" s="368"/>
      <c r="KZ8" s="368"/>
      <c r="LA8" s="368"/>
      <c r="LB8" s="368"/>
      <c r="LC8" s="368"/>
      <c r="LD8" s="368"/>
      <c r="LE8" s="368"/>
      <c r="LF8" s="368"/>
      <c r="LG8" s="368"/>
      <c r="LH8" s="368"/>
      <c r="LI8" s="368"/>
      <c r="LJ8" s="368"/>
      <c r="LK8" s="368"/>
      <c r="LL8" s="368"/>
      <c r="LM8" s="368"/>
      <c r="LN8" s="368"/>
      <c r="LO8" s="368"/>
      <c r="LP8" s="368"/>
      <c r="LQ8" s="368"/>
      <c r="LR8" s="368"/>
      <c r="LS8" s="368"/>
      <c r="LT8" s="368"/>
      <c r="LU8" s="368"/>
      <c r="LV8" s="368"/>
      <c r="LW8" s="368"/>
      <c r="LX8" s="368"/>
      <c r="LY8" s="368"/>
      <c r="LZ8" s="368"/>
      <c r="MA8" s="368"/>
      <c r="MB8" s="368"/>
      <c r="MC8" s="368"/>
      <c r="MD8" s="368"/>
      <c r="ME8" s="368"/>
      <c r="MF8" s="368"/>
      <c r="MG8" s="368"/>
      <c r="MH8" s="368"/>
      <c r="MI8" s="368"/>
      <c r="MJ8" s="368"/>
      <c r="MK8" s="368"/>
      <c r="ML8" s="368"/>
      <c r="MM8" s="368"/>
      <c r="MN8" s="368"/>
      <c r="MO8" s="368"/>
      <c r="MP8" s="368"/>
      <c r="MQ8" s="368"/>
      <c r="MR8" s="368"/>
      <c r="MS8" s="368"/>
      <c r="MT8" s="368"/>
      <c r="MU8" s="368"/>
      <c r="MV8" s="368"/>
      <c r="MW8" s="368"/>
      <c r="MX8" s="368"/>
      <c r="MY8" s="368"/>
      <c r="MZ8" s="368"/>
      <c r="NA8" s="368"/>
      <c r="NB8" s="368"/>
      <c r="NC8" s="368"/>
      <c r="ND8" s="368"/>
      <c r="NE8" s="368"/>
      <c r="NF8" s="368"/>
      <c r="NG8" s="368"/>
      <c r="NH8" s="368"/>
      <c r="NI8" s="368"/>
      <c r="NJ8" s="368"/>
      <c r="NK8" s="368"/>
      <c r="NL8" s="368"/>
      <c r="NM8" s="368"/>
      <c r="NN8" s="368"/>
      <c r="NO8" s="368"/>
      <c r="NP8" s="368"/>
      <c r="NQ8" s="368"/>
      <c r="NR8" s="368"/>
      <c r="NS8" s="368"/>
      <c r="NT8" s="368"/>
      <c r="NU8" s="368"/>
      <c r="NV8" s="368"/>
      <c r="NW8" s="368"/>
      <c r="NX8" s="368"/>
      <c r="NY8" s="368"/>
      <c r="NZ8" s="368"/>
      <c r="OA8" s="368"/>
      <c r="OB8" s="368"/>
      <c r="OC8" s="368"/>
      <c r="OD8" s="368"/>
      <c r="OE8" s="368"/>
      <c r="OF8" s="368"/>
      <c r="OG8" s="368"/>
      <c r="OH8" s="368"/>
      <c r="OI8" s="368"/>
      <c r="OJ8" s="368"/>
      <c r="OK8" s="368"/>
      <c r="OL8" s="368"/>
      <c r="OM8" s="368"/>
      <c r="ON8" s="368"/>
      <c r="OO8" s="368"/>
      <c r="OP8" s="368"/>
      <c r="OQ8" s="368"/>
      <c r="OR8" s="368"/>
      <c r="OS8" s="368"/>
      <c r="OT8" s="368"/>
      <c r="OU8" s="368"/>
      <c r="OV8" s="368"/>
      <c r="OW8" s="368"/>
      <c r="OX8" s="368"/>
      <c r="OY8" s="368"/>
      <c r="OZ8" s="368"/>
      <c r="PA8" s="368"/>
      <c r="PB8" s="368"/>
      <c r="PC8" s="368"/>
      <c r="PD8" s="368"/>
      <c r="PE8" s="368"/>
      <c r="PF8" s="368"/>
      <c r="PG8" s="368"/>
      <c r="PH8" s="368"/>
      <c r="PI8" s="368"/>
      <c r="PJ8" s="368"/>
      <c r="PK8" s="368"/>
      <c r="PL8" s="368"/>
      <c r="PM8" s="368"/>
      <c r="PN8" s="368"/>
      <c r="PO8" s="368"/>
      <c r="PP8" s="368"/>
      <c r="PQ8" s="368"/>
      <c r="PR8" s="368"/>
      <c r="PS8" s="368"/>
      <c r="PT8" s="368"/>
      <c r="PU8" s="368"/>
      <c r="PV8" s="368"/>
      <c r="PW8" s="368"/>
      <c r="PX8" s="368"/>
      <c r="PY8" s="368"/>
      <c r="PZ8" s="368"/>
      <c r="QA8" s="368"/>
      <c r="QB8" s="368"/>
      <c r="QC8" s="368"/>
      <c r="QD8" s="368"/>
      <c r="QE8" s="368"/>
      <c r="QF8" s="368"/>
      <c r="QG8" s="368"/>
      <c r="QH8" s="368"/>
      <c r="QI8" s="368"/>
      <c r="QJ8" s="368"/>
      <c r="QK8" s="368"/>
      <c r="QL8" s="368"/>
      <c r="QM8" s="368"/>
      <c r="QN8" s="368"/>
      <c r="QO8" s="368"/>
      <c r="QP8" s="368"/>
      <c r="QQ8" s="368"/>
      <c r="QR8" s="368"/>
      <c r="QS8" s="368"/>
      <c r="QT8" s="368"/>
      <c r="QU8" s="368"/>
      <c r="QV8" s="368"/>
      <c r="QW8" s="368"/>
      <c r="QX8" s="368"/>
      <c r="QY8" s="368"/>
      <c r="QZ8" s="368"/>
      <c r="RA8" s="368"/>
      <c r="RB8" s="368"/>
      <c r="RC8" s="368"/>
      <c r="RD8" s="368"/>
      <c r="RE8" s="368"/>
      <c r="RF8" s="368"/>
      <c r="RG8" s="368"/>
      <c r="RH8" s="368"/>
      <c r="RI8" s="368"/>
      <c r="RJ8" s="368"/>
      <c r="RK8" s="368"/>
      <c r="RL8" s="368"/>
      <c r="RM8" s="368"/>
      <c r="RN8" s="368"/>
      <c r="RO8" s="368"/>
      <c r="RP8" s="368"/>
      <c r="RQ8" s="368"/>
      <c r="RR8" s="368"/>
      <c r="RS8" s="368"/>
      <c r="RT8" s="368"/>
      <c r="RU8" s="368"/>
      <c r="RV8" s="368"/>
      <c r="RW8" s="368"/>
      <c r="RX8" s="368"/>
      <c r="RY8" s="368"/>
      <c r="RZ8" s="368"/>
      <c r="SA8" s="368"/>
      <c r="SB8" s="368"/>
      <c r="SC8" s="368"/>
      <c r="SD8" s="368"/>
      <c r="SE8" s="368"/>
      <c r="SF8" s="368"/>
      <c r="SG8" s="368"/>
      <c r="SH8" s="368"/>
      <c r="SI8" s="368"/>
      <c r="SJ8" s="368"/>
      <c r="SK8" s="368"/>
      <c r="SL8" s="368"/>
      <c r="SM8" s="368"/>
      <c r="SN8" s="368"/>
      <c r="SO8" s="368"/>
      <c r="SP8" s="368"/>
      <c r="SQ8" s="368"/>
      <c r="SR8" s="368"/>
      <c r="SS8" s="368"/>
      <c r="ST8" s="368"/>
      <c r="SU8" s="368"/>
      <c r="SV8" s="368"/>
      <c r="SW8" s="368"/>
      <c r="SX8" s="368"/>
      <c r="SY8" s="368"/>
      <c r="SZ8" s="368"/>
      <c r="TA8" s="368"/>
      <c r="TB8" s="368"/>
      <c r="TC8" s="368"/>
      <c r="TD8" s="368"/>
      <c r="TE8" s="368"/>
      <c r="TF8" s="368"/>
      <c r="TG8" s="368"/>
      <c r="TH8" s="368"/>
      <c r="TI8" s="368"/>
      <c r="TJ8" s="368"/>
      <c r="TK8" s="368"/>
      <c r="TL8" s="368"/>
      <c r="TM8" s="368"/>
      <c r="TN8" s="368"/>
      <c r="TO8" s="368"/>
      <c r="TP8" s="368"/>
      <c r="TQ8" s="368"/>
      <c r="TR8" s="368"/>
      <c r="TS8" s="368"/>
      <c r="TT8" s="368"/>
      <c r="TU8" s="368"/>
      <c r="TV8" s="368"/>
      <c r="TW8" s="368"/>
      <c r="TX8" s="368"/>
      <c r="TY8" s="368"/>
      <c r="TZ8" s="368"/>
      <c r="UA8" s="368"/>
      <c r="UB8" s="368"/>
      <c r="UC8" s="368"/>
      <c r="UD8" s="368"/>
      <c r="UE8" s="368"/>
      <c r="UF8" s="368"/>
      <c r="UG8" s="368"/>
      <c r="UH8" s="368"/>
      <c r="UI8" s="368"/>
      <c r="UJ8" s="368"/>
      <c r="UK8" s="368"/>
      <c r="UL8" s="368"/>
      <c r="UM8" s="368"/>
      <c r="UN8" s="368"/>
      <c r="UO8" s="368"/>
      <c r="UP8" s="368"/>
      <c r="UQ8" s="368"/>
      <c r="UR8" s="368"/>
      <c r="US8" s="368"/>
      <c r="UT8" s="368"/>
      <c r="UU8" s="368"/>
      <c r="UV8" s="368"/>
      <c r="UW8" s="368"/>
      <c r="UX8" s="368"/>
      <c r="UY8" s="368"/>
      <c r="UZ8" s="368"/>
      <c r="VA8" s="368"/>
      <c r="VB8" s="368"/>
      <c r="VC8" s="368"/>
      <c r="VD8" s="368"/>
      <c r="VE8" s="368"/>
      <c r="VF8" s="368"/>
      <c r="VG8" s="368"/>
      <c r="VH8" s="368"/>
      <c r="VI8" s="368"/>
      <c r="VJ8" s="368"/>
      <c r="VK8" s="368"/>
      <c r="VL8" s="368"/>
      <c r="VM8" s="368"/>
      <c r="VN8" s="368"/>
      <c r="VO8" s="368"/>
      <c r="VP8" s="368"/>
      <c r="VQ8" s="368"/>
      <c r="VR8" s="368"/>
      <c r="VS8" s="368"/>
      <c r="VT8" s="368"/>
      <c r="VU8" s="368"/>
      <c r="VV8" s="368"/>
      <c r="VW8" s="368"/>
      <c r="VX8" s="368"/>
      <c r="VY8" s="368"/>
      <c r="VZ8" s="368"/>
      <c r="WA8" s="368"/>
      <c r="WB8" s="368"/>
      <c r="WC8" s="368"/>
      <c r="WD8" s="368"/>
      <c r="WE8" s="368"/>
      <c r="WF8" s="368"/>
      <c r="WG8" s="368"/>
      <c r="WH8" s="368"/>
      <c r="WI8" s="368"/>
      <c r="WJ8" s="368"/>
      <c r="WK8" s="368"/>
      <c r="WL8" s="368"/>
      <c r="WM8" s="368"/>
      <c r="WN8" s="368"/>
      <c r="WO8" s="368"/>
      <c r="WP8" s="368"/>
      <c r="WQ8" s="368"/>
      <c r="WR8" s="368"/>
      <c r="WS8" s="368"/>
      <c r="WT8" s="368"/>
      <c r="WU8" s="368"/>
      <c r="WV8" s="368"/>
      <c r="WW8" s="368"/>
      <c r="WX8" s="368"/>
      <c r="WY8" s="368"/>
      <c r="WZ8" s="368"/>
      <c r="XA8" s="368"/>
      <c r="XB8" s="368"/>
      <c r="XC8" s="368"/>
      <c r="XD8" s="368"/>
      <c r="XE8" s="368"/>
      <c r="XF8" s="368"/>
      <c r="XG8" s="368"/>
      <c r="XH8" s="368"/>
      <c r="XI8" s="368"/>
      <c r="XJ8" s="368"/>
      <c r="XK8" s="368"/>
      <c r="XL8" s="368"/>
      <c r="XM8" s="368"/>
      <c r="XN8" s="368"/>
      <c r="XO8" s="368"/>
      <c r="XP8" s="368"/>
      <c r="XQ8" s="368"/>
      <c r="XR8" s="368"/>
      <c r="XS8" s="368"/>
      <c r="XT8" s="368"/>
      <c r="XU8" s="368"/>
      <c r="XV8" s="368"/>
      <c r="XW8" s="368"/>
      <c r="XX8" s="368"/>
      <c r="XY8" s="368"/>
      <c r="XZ8" s="368"/>
      <c r="YA8" s="368"/>
      <c r="YB8" s="368"/>
      <c r="YC8" s="368"/>
      <c r="YD8" s="368"/>
      <c r="YE8" s="368"/>
      <c r="YF8" s="368"/>
      <c r="YG8" s="368"/>
      <c r="YH8" s="368"/>
      <c r="YI8" s="368"/>
      <c r="YJ8" s="368"/>
      <c r="YK8" s="368"/>
      <c r="YL8" s="368"/>
      <c r="YM8" s="368"/>
      <c r="YN8" s="368"/>
      <c r="YO8" s="368"/>
      <c r="YP8" s="368"/>
      <c r="YQ8" s="368"/>
      <c r="YR8" s="368"/>
      <c r="YS8" s="368"/>
      <c r="YT8" s="368"/>
      <c r="YU8" s="368"/>
      <c r="YV8" s="368"/>
      <c r="YW8" s="368"/>
      <c r="YX8" s="368"/>
      <c r="YY8" s="368"/>
      <c r="YZ8" s="368"/>
      <c r="ZA8" s="368"/>
      <c r="ZB8" s="368"/>
      <c r="ZC8" s="368"/>
      <c r="ZD8" s="368"/>
      <c r="ZE8" s="368"/>
      <c r="ZF8" s="368"/>
      <c r="ZG8" s="368"/>
      <c r="ZH8" s="368"/>
      <c r="ZI8" s="368"/>
      <c r="ZJ8" s="368"/>
      <c r="ZK8" s="368"/>
      <c r="ZL8" s="368"/>
      <c r="ZM8" s="368"/>
      <c r="ZN8" s="368"/>
      <c r="ZO8" s="368"/>
      <c r="ZP8" s="368"/>
      <c r="ZQ8" s="368"/>
      <c r="ZR8" s="368"/>
      <c r="ZS8" s="368"/>
      <c r="ZT8" s="368"/>
      <c r="ZU8" s="368"/>
      <c r="ZV8" s="368"/>
      <c r="ZW8" s="368"/>
      <c r="ZX8" s="368"/>
      <c r="ZY8" s="368"/>
      <c r="ZZ8" s="368"/>
      <c r="AAA8" s="368"/>
      <c r="AAB8" s="368"/>
      <c r="AAC8" s="368"/>
      <c r="AAD8" s="368"/>
      <c r="AAE8" s="368"/>
      <c r="AAF8" s="368"/>
      <c r="AAG8" s="368"/>
      <c r="AAH8" s="368"/>
      <c r="AAI8" s="368"/>
      <c r="AAJ8" s="368"/>
      <c r="AAK8" s="368"/>
      <c r="AAL8" s="368"/>
      <c r="AAM8" s="368"/>
      <c r="AAN8" s="368"/>
      <c r="AAO8" s="368"/>
      <c r="AAP8" s="368"/>
      <c r="AAQ8" s="368"/>
      <c r="AAR8" s="368"/>
      <c r="AAS8" s="368"/>
      <c r="AAT8" s="368"/>
      <c r="AAU8" s="368"/>
      <c r="AAV8" s="368"/>
      <c r="AAW8" s="368"/>
      <c r="AAX8" s="368"/>
      <c r="AAY8" s="368"/>
      <c r="AAZ8" s="368"/>
      <c r="ABA8" s="368"/>
      <c r="ABB8" s="368"/>
      <c r="ABC8" s="368"/>
      <c r="ABD8" s="368"/>
      <c r="ABE8" s="368"/>
      <c r="ABF8" s="368"/>
      <c r="ABG8" s="368"/>
      <c r="ABH8" s="368"/>
      <c r="ABI8" s="368"/>
      <c r="ABJ8" s="368"/>
      <c r="ABK8" s="368"/>
      <c r="ABL8" s="368"/>
      <c r="ABM8" s="368"/>
      <c r="ABN8" s="368"/>
      <c r="ABO8" s="368"/>
      <c r="ABP8" s="368"/>
      <c r="ABQ8" s="368"/>
      <c r="ABR8" s="368"/>
      <c r="ABS8" s="368"/>
      <c r="ABT8" s="368"/>
      <c r="ABU8" s="368"/>
      <c r="ABV8" s="368"/>
      <c r="ABW8" s="368"/>
      <c r="ABX8" s="368"/>
      <c r="ABY8" s="368"/>
      <c r="ABZ8" s="368"/>
      <c r="ACA8" s="368"/>
      <c r="ACB8" s="368"/>
      <c r="ACC8" s="368"/>
      <c r="ACD8" s="368"/>
      <c r="ACE8" s="368"/>
      <c r="ACF8" s="368"/>
      <c r="ACG8" s="368"/>
      <c r="ACH8" s="368"/>
      <c r="ACI8" s="368"/>
      <c r="ACJ8" s="368"/>
      <c r="ACK8" s="368"/>
      <c r="ACL8" s="368"/>
      <c r="ACM8" s="368"/>
      <c r="ACN8" s="368"/>
      <c r="ACO8" s="368"/>
      <c r="ACP8" s="368"/>
      <c r="ACQ8" s="368"/>
      <c r="ACR8" s="368"/>
      <c r="ACS8" s="368"/>
      <c r="ACT8" s="368"/>
      <c r="ACU8" s="368"/>
      <c r="ACV8" s="368"/>
      <c r="ACW8" s="368"/>
      <c r="ACX8" s="368"/>
      <c r="ACY8" s="368"/>
      <c r="ACZ8" s="368"/>
      <c r="ADA8" s="368"/>
      <c r="ADB8" s="368"/>
      <c r="ADC8" s="368"/>
      <c r="ADD8" s="368"/>
      <c r="ADE8" s="368"/>
      <c r="ADF8" s="368"/>
      <c r="ADG8" s="368"/>
      <c r="ADH8" s="368"/>
      <c r="ADI8" s="368"/>
      <c r="ADJ8" s="368"/>
      <c r="ADK8" s="368"/>
      <c r="ADL8" s="368"/>
      <c r="ADM8" s="368"/>
      <c r="ADN8" s="368"/>
      <c r="ADO8" s="368"/>
      <c r="ADP8" s="368"/>
      <c r="ADQ8" s="368"/>
      <c r="ADR8" s="368"/>
      <c r="ADS8" s="368"/>
      <c r="ADT8" s="368"/>
      <c r="ADU8" s="368"/>
      <c r="ADV8" s="368"/>
      <c r="ADW8" s="368"/>
      <c r="ADX8" s="368"/>
      <c r="ADY8" s="368"/>
      <c r="ADZ8" s="368"/>
      <c r="AEA8" s="368"/>
      <c r="AEB8" s="368"/>
      <c r="AEC8" s="368"/>
      <c r="AED8" s="368"/>
      <c r="AEE8" s="368"/>
      <c r="AEF8" s="368"/>
      <c r="AEG8" s="368"/>
      <c r="AEH8" s="368"/>
      <c r="AEI8" s="368"/>
      <c r="AEJ8" s="368"/>
      <c r="AEK8" s="368"/>
      <c r="AEL8" s="368"/>
      <c r="AEM8" s="368"/>
      <c r="AEN8" s="368"/>
      <c r="AEO8" s="368"/>
      <c r="AEP8" s="368"/>
      <c r="AEQ8" s="368"/>
      <c r="AER8" s="368"/>
      <c r="AES8" s="368"/>
      <c r="AET8" s="368"/>
      <c r="AEU8" s="368"/>
      <c r="AEV8" s="368"/>
      <c r="AEW8" s="368"/>
      <c r="AEX8" s="368"/>
      <c r="AEY8" s="368"/>
      <c r="AEZ8" s="368"/>
      <c r="AFA8" s="368"/>
      <c r="AFB8" s="368"/>
      <c r="AFC8" s="368"/>
      <c r="AFD8" s="368"/>
      <c r="AFE8" s="368"/>
      <c r="AFF8" s="368"/>
      <c r="AFG8" s="368"/>
      <c r="AFH8" s="368"/>
      <c r="AFI8" s="368"/>
      <c r="AFJ8" s="368"/>
      <c r="AFK8" s="368"/>
      <c r="AFL8" s="368"/>
      <c r="AFM8" s="368"/>
      <c r="AFN8" s="368"/>
      <c r="AFO8" s="368"/>
      <c r="AFP8" s="368"/>
      <c r="AFQ8" s="368"/>
      <c r="AFR8" s="368"/>
      <c r="AFS8" s="368"/>
      <c r="AFT8" s="368"/>
      <c r="AFU8" s="368"/>
      <c r="AFV8" s="368"/>
      <c r="AFW8" s="368"/>
      <c r="AFX8" s="368"/>
      <c r="AFY8" s="368"/>
      <c r="AFZ8" s="368"/>
      <c r="AGA8" s="368"/>
      <c r="AGB8" s="368"/>
      <c r="AGC8" s="368"/>
      <c r="AGD8" s="368"/>
      <c r="AGE8" s="368"/>
      <c r="AGF8" s="368"/>
      <c r="AGG8" s="368"/>
      <c r="AGH8" s="368"/>
      <c r="AGI8" s="368"/>
      <c r="AGJ8" s="368"/>
      <c r="AGK8" s="368"/>
      <c r="AGL8" s="368"/>
      <c r="AGM8" s="368"/>
      <c r="AGN8" s="368"/>
      <c r="AGO8" s="368"/>
      <c r="AGP8" s="368"/>
      <c r="AGQ8" s="368"/>
      <c r="AGR8" s="368"/>
      <c r="AGS8" s="368"/>
      <c r="AGT8" s="368"/>
      <c r="AGU8" s="368"/>
      <c r="AGV8" s="368"/>
      <c r="AGW8" s="368"/>
      <c r="AGX8" s="368"/>
      <c r="AGY8" s="368"/>
      <c r="AGZ8" s="368"/>
      <c r="AHA8" s="368"/>
      <c r="AHB8" s="368"/>
      <c r="AHC8" s="368"/>
      <c r="AHD8" s="368"/>
      <c r="AHE8" s="368"/>
      <c r="AHF8" s="368"/>
      <c r="AHG8" s="368"/>
      <c r="AHH8" s="368"/>
      <c r="AHI8" s="368"/>
      <c r="AHJ8" s="368"/>
      <c r="AHK8" s="368"/>
      <c r="AHL8" s="368"/>
      <c r="AHM8" s="368"/>
      <c r="AHN8" s="368"/>
      <c r="AHO8" s="368"/>
      <c r="AHP8" s="368"/>
      <c r="AHQ8" s="368"/>
      <c r="AHR8" s="368"/>
      <c r="AHS8" s="368"/>
      <c r="AHT8" s="368"/>
      <c r="AHU8" s="368"/>
      <c r="AHV8" s="368"/>
      <c r="AHW8" s="368"/>
      <c r="AHX8" s="368"/>
      <c r="AHY8" s="368"/>
      <c r="AHZ8" s="368"/>
      <c r="AIA8" s="368"/>
      <c r="AIB8" s="368"/>
      <c r="AIC8" s="368"/>
      <c r="AID8" s="368"/>
      <c r="AIE8" s="368"/>
      <c r="AIF8" s="368"/>
      <c r="AIG8" s="368"/>
      <c r="AIH8" s="368"/>
      <c r="AII8" s="368"/>
      <c r="AIJ8" s="368"/>
      <c r="AIK8" s="368"/>
      <c r="AIL8" s="368"/>
      <c r="AIM8" s="368"/>
      <c r="AIN8" s="368"/>
      <c r="AIO8" s="368"/>
      <c r="AIP8" s="368"/>
      <c r="AIQ8" s="368"/>
      <c r="AIR8" s="368"/>
      <c r="AIS8" s="368"/>
      <c r="AIT8" s="368"/>
      <c r="AIU8" s="368"/>
      <c r="AIV8" s="368"/>
      <c r="AIW8" s="368"/>
      <c r="AIX8" s="368"/>
      <c r="AIY8" s="368"/>
      <c r="AIZ8" s="368"/>
      <c r="AJA8" s="368"/>
      <c r="AJB8" s="368"/>
      <c r="AJC8" s="368"/>
      <c r="AJD8" s="368"/>
      <c r="AJE8" s="368"/>
      <c r="AJF8" s="368"/>
      <c r="AJG8" s="368"/>
      <c r="AJH8" s="368"/>
      <c r="AJI8" s="368"/>
      <c r="AJJ8" s="368"/>
      <c r="AJK8" s="368"/>
      <c r="AJL8" s="368"/>
      <c r="AJM8" s="368"/>
      <c r="AJN8" s="368"/>
      <c r="AJO8" s="368"/>
      <c r="AJP8" s="368"/>
      <c r="AJQ8" s="368"/>
      <c r="AJR8" s="368"/>
      <c r="AJS8" s="368"/>
      <c r="AJT8" s="368"/>
      <c r="AJU8" s="368"/>
      <c r="AJV8" s="368"/>
      <c r="AJW8" s="368"/>
      <c r="AJX8" s="368"/>
      <c r="AJY8" s="368"/>
      <c r="AJZ8" s="368"/>
      <c r="AKA8" s="368"/>
      <c r="AKB8" s="368"/>
      <c r="AKC8" s="368"/>
      <c r="AKD8" s="368"/>
      <c r="AKE8" s="368"/>
      <c r="AKF8" s="368"/>
      <c r="AKG8" s="368"/>
      <c r="AKH8" s="368"/>
      <c r="AKI8" s="368"/>
      <c r="AKJ8" s="368"/>
      <c r="AKK8" s="368"/>
      <c r="AKL8" s="368"/>
      <c r="AKM8" s="368"/>
      <c r="AKN8" s="368"/>
    </row>
    <row r="9" spans="1:976" s="14" customFormat="1" ht="22.5" customHeight="1" x14ac:dyDescent="0.2">
      <c r="A9" s="408" t="s">
        <v>262</v>
      </c>
      <c r="B9" s="408"/>
      <c r="C9" s="408" t="s">
        <v>221</v>
      </c>
      <c r="D9" s="408" t="s">
        <v>222</v>
      </c>
      <c r="E9" s="409">
        <v>403011</v>
      </c>
      <c r="F9" s="409">
        <v>182</v>
      </c>
      <c r="G9" s="409">
        <v>28</v>
      </c>
      <c r="H9" s="409">
        <v>0</v>
      </c>
      <c r="I9" s="410">
        <v>45706</v>
      </c>
      <c r="J9" s="408" t="s">
        <v>290</v>
      </c>
      <c r="K9" s="408" t="s">
        <v>291</v>
      </c>
      <c r="L9" s="411">
        <v>185.57</v>
      </c>
      <c r="M9" s="411">
        <v>13.77</v>
      </c>
      <c r="N9" s="450">
        <v>199.34</v>
      </c>
      <c r="O9" s="408"/>
      <c r="P9" s="412">
        <v>45715</v>
      </c>
      <c r="Q9" s="411">
        <v>199.34</v>
      </c>
      <c r="R9" s="408" t="s">
        <v>292</v>
      </c>
      <c r="S9" s="411">
        <v>0</v>
      </c>
      <c r="T9" s="411">
        <v>0</v>
      </c>
      <c r="U9" s="411">
        <v>0</v>
      </c>
      <c r="V9" s="411">
        <v>0</v>
      </c>
      <c r="W9" s="408"/>
      <c r="X9" s="408" t="s">
        <v>293</v>
      </c>
      <c r="Y9" s="408" t="s">
        <v>294</v>
      </c>
      <c r="Z9" s="408" t="s">
        <v>53</v>
      </c>
      <c r="AA9" s="408" t="s">
        <v>228</v>
      </c>
      <c r="AB9" s="408" t="s">
        <v>239</v>
      </c>
      <c r="AC9" s="408" t="s">
        <v>240</v>
      </c>
      <c r="AD9" s="408" t="s">
        <v>231</v>
      </c>
      <c r="AE9" s="408" t="s">
        <v>232</v>
      </c>
      <c r="AF9" s="408" t="s">
        <v>231</v>
      </c>
      <c r="AG9" s="408" t="s">
        <v>232</v>
      </c>
      <c r="AH9" s="408"/>
      <c r="AI9" s="408"/>
      <c r="AJ9" s="408" t="s">
        <v>241</v>
      </c>
      <c r="AK9" s="408" t="s">
        <v>295</v>
      </c>
      <c r="AL9" s="409">
        <v>1</v>
      </c>
      <c r="AM9" s="409">
        <v>0</v>
      </c>
      <c r="AN9" s="410">
        <v>45715</v>
      </c>
      <c r="AO9" s="410">
        <v>45714</v>
      </c>
      <c r="AP9" s="411">
        <v>199.34</v>
      </c>
      <c r="AQ9" s="410">
        <v>45713</v>
      </c>
    </row>
    <row r="10" spans="1:976" s="14" customFormat="1" ht="22.5" customHeight="1" x14ac:dyDescent="0.2">
      <c r="A10" s="408" t="s">
        <v>262</v>
      </c>
      <c r="B10" s="408"/>
      <c r="C10" s="408" t="s">
        <v>221</v>
      </c>
      <c r="D10" s="408" t="s">
        <v>222</v>
      </c>
      <c r="E10" s="409">
        <v>403075</v>
      </c>
      <c r="F10" s="409">
        <v>203</v>
      </c>
      <c r="G10" s="409">
        <v>28</v>
      </c>
      <c r="H10" s="409">
        <v>0</v>
      </c>
      <c r="I10" s="410">
        <v>45706</v>
      </c>
      <c r="J10" s="408" t="s">
        <v>290</v>
      </c>
      <c r="K10" s="408" t="s">
        <v>296</v>
      </c>
      <c r="L10" s="411">
        <v>46.23</v>
      </c>
      <c r="M10" s="411">
        <v>2.54</v>
      </c>
      <c r="N10" s="450">
        <v>48.77</v>
      </c>
      <c r="O10" s="408"/>
      <c r="P10" s="412">
        <v>45715</v>
      </c>
      <c r="Q10" s="411">
        <v>48.77</v>
      </c>
      <c r="R10" s="408" t="s">
        <v>297</v>
      </c>
      <c r="S10" s="411">
        <v>0</v>
      </c>
      <c r="T10" s="411">
        <v>0</v>
      </c>
      <c r="U10" s="411">
        <v>0</v>
      </c>
      <c r="V10" s="411">
        <v>0</v>
      </c>
      <c r="W10" s="408"/>
      <c r="X10" s="408" t="s">
        <v>293</v>
      </c>
      <c r="Y10" s="408" t="s">
        <v>294</v>
      </c>
      <c r="Z10" s="408" t="s">
        <v>53</v>
      </c>
      <c r="AA10" s="408" t="s">
        <v>228</v>
      </c>
      <c r="AB10" s="408" t="s">
        <v>239</v>
      </c>
      <c r="AC10" s="408" t="s">
        <v>240</v>
      </c>
      <c r="AD10" s="408" t="s">
        <v>231</v>
      </c>
      <c r="AE10" s="408" t="s">
        <v>232</v>
      </c>
      <c r="AF10" s="408" t="s">
        <v>231</v>
      </c>
      <c r="AG10" s="408" t="s">
        <v>232</v>
      </c>
      <c r="AH10" s="408"/>
      <c r="AI10" s="408"/>
      <c r="AJ10" s="408"/>
      <c r="AK10" s="408" t="s">
        <v>298</v>
      </c>
      <c r="AL10" s="409">
        <v>1</v>
      </c>
      <c r="AM10" s="409">
        <v>0</v>
      </c>
      <c r="AN10" s="410">
        <v>45715</v>
      </c>
      <c r="AO10" s="410">
        <v>45714</v>
      </c>
      <c r="AP10" s="411">
        <v>48.77</v>
      </c>
      <c r="AQ10" s="410">
        <v>45713</v>
      </c>
    </row>
    <row r="11" spans="1:976" s="14" customFormat="1" ht="22.5" customHeight="1" x14ac:dyDescent="0.2">
      <c r="A11" s="408" t="s">
        <v>262</v>
      </c>
      <c r="B11" s="408"/>
      <c r="C11" s="408" t="s">
        <v>221</v>
      </c>
      <c r="D11" s="408" t="s">
        <v>222</v>
      </c>
      <c r="E11" s="409">
        <v>403082</v>
      </c>
      <c r="F11" s="409">
        <v>246</v>
      </c>
      <c r="G11" s="409">
        <v>34</v>
      </c>
      <c r="H11" s="409">
        <v>0</v>
      </c>
      <c r="I11" s="410">
        <v>45712</v>
      </c>
      <c r="J11" s="408" t="s">
        <v>299</v>
      </c>
      <c r="K11" s="408" t="s">
        <v>300</v>
      </c>
      <c r="L11" s="411">
        <v>181.58</v>
      </c>
      <c r="M11" s="411">
        <v>11.46</v>
      </c>
      <c r="N11" s="450">
        <v>193.04</v>
      </c>
      <c r="O11" s="408"/>
      <c r="P11" s="412">
        <v>45714</v>
      </c>
      <c r="Q11" s="411">
        <v>193.04</v>
      </c>
      <c r="R11" s="408" t="s">
        <v>301</v>
      </c>
      <c r="S11" s="411">
        <v>0</v>
      </c>
      <c r="T11" s="411">
        <v>0</v>
      </c>
      <c r="U11" s="411">
        <v>0</v>
      </c>
      <c r="V11" s="411">
        <v>0</v>
      </c>
      <c r="W11" s="408"/>
      <c r="X11" s="408" t="s">
        <v>293</v>
      </c>
      <c r="Y11" s="408" t="s">
        <v>294</v>
      </c>
      <c r="Z11" s="408" t="s">
        <v>53</v>
      </c>
      <c r="AA11" s="408" t="s">
        <v>228</v>
      </c>
      <c r="AB11" s="408" t="s">
        <v>239</v>
      </c>
      <c r="AC11" s="408" t="s">
        <v>240</v>
      </c>
      <c r="AD11" s="408" t="s">
        <v>231</v>
      </c>
      <c r="AE11" s="408" t="s">
        <v>232</v>
      </c>
      <c r="AF11" s="408" t="s">
        <v>231</v>
      </c>
      <c r="AG11" s="408" t="s">
        <v>232</v>
      </c>
      <c r="AH11" s="408"/>
      <c r="AI11" s="408"/>
      <c r="AJ11" s="408"/>
      <c r="AK11" s="408" t="s">
        <v>302</v>
      </c>
      <c r="AL11" s="409">
        <v>1</v>
      </c>
      <c r="AM11" s="409">
        <v>0</v>
      </c>
      <c r="AN11" s="410">
        <v>45714</v>
      </c>
      <c r="AO11" s="410">
        <v>45713</v>
      </c>
      <c r="AP11" s="411">
        <v>193.04</v>
      </c>
      <c r="AQ11" s="410">
        <v>45712</v>
      </c>
    </row>
    <row r="12" spans="1:976" s="14" customFormat="1" ht="22.5" customHeight="1" x14ac:dyDescent="0.2">
      <c r="A12" s="408" t="s">
        <v>262</v>
      </c>
      <c r="B12" s="408"/>
      <c r="C12" s="408" t="s">
        <v>221</v>
      </c>
      <c r="D12" s="408" t="s">
        <v>222</v>
      </c>
      <c r="E12" s="409">
        <v>403084</v>
      </c>
      <c r="F12" s="409">
        <v>245</v>
      </c>
      <c r="G12" s="409">
        <v>34</v>
      </c>
      <c r="H12" s="409">
        <v>0</v>
      </c>
      <c r="I12" s="410">
        <v>45712</v>
      </c>
      <c r="J12" s="408" t="s">
        <v>299</v>
      </c>
      <c r="K12" s="408" t="s">
        <v>303</v>
      </c>
      <c r="L12" s="411">
        <v>127.93</v>
      </c>
      <c r="M12" s="411">
        <v>7.04</v>
      </c>
      <c r="N12" s="450">
        <v>134.97</v>
      </c>
      <c r="O12" s="408"/>
      <c r="P12" s="412">
        <v>45714</v>
      </c>
      <c r="Q12" s="411">
        <v>134.97</v>
      </c>
      <c r="R12" s="408" t="s">
        <v>304</v>
      </c>
      <c r="S12" s="411">
        <v>0</v>
      </c>
      <c r="T12" s="411">
        <v>0</v>
      </c>
      <c r="U12" s="411">
        <v>0</v>
      </c>
      <c r="V12" s="411">
        <v>0</v>
      </c>
      <c r="W12" s="408"/>
      <c r="X12" s="408" t="s">
        <v>293</v>
      </c>
      <c r="Y12" s="408" t="s">
        <v>294</v>
      </c>
      <c r="Z12" s="408" t="s">
        <v>53</v>
      </c>
      <c r="AA12" s="408" t="s">
        <v>228</v>
      </c>
      <c r="AB12" s="408" t="s">
        <v>239</v>
      </c>
      <c r="AC12" s="408" t="s">
        <v>240</v>
      </c>
      <c r="AD12" s="408" t="s">
        <v>231</v>
      </c>
      <c r="AE12" s="408" t="s">
        <v>232</v>
      </c>
      <c r="AF12" s="408" t="s">
        <v>231</v>
      </c>
      <c r="AG12" s="408" t="s">
        <v>232</v>
      </c>
      <c r="AH12" s="408"/>
      <c r="AI12" s="408"/>
      <c r="AJ12" s="408"/>
      <c r="AK12" s="408" t="s">
        <v>305</v>
      </c>
      <c r="AL12" s="409">
        <v>1</v>
      </c>
      <c r="AM12" s="409">
        <v>0</v>
      </c>
      <c r="AN12" s="410">
        <v>45714</v>
      </c>
      <c r="AO12" s="410">
        <v>45713</v>
      </c>
      <c r="AP12" s="411">
        <v>134.97</v>
      </c>
      <c r="AQ12" s="410">
        <v>45712</v>
      </c>
    </row>
    <row r="13" spans="1:976" s="364" customFormat="1" ht="22.5" customHeight="1" x14ac:dyDescent="0.2">
      <c r="A13" s="347" t="s">
        <v>262</v>
      </c>
      <c r="B13" s="347"/>
      <c r="C13" s="347" t="s">
        <v>221</v>
      </c>
      <c r="D13" s="347" t="s">
        <v>222</v>
      </c>
      <c r="E13" s="348">
        <v>403107</v>
      </c>
      <c r="F13" s="348">
        <v>219</v>
      </c>
      <c r="G13" s="348">
        <v>30</v>
      </c>
      <c r="H13" s="348">
        <v>0</v>
      </c>
      <c r="I13" s="349">
        <v>45709</v>
      </c>
      <c r="J13" s="347" t="s">
        <v>290</v>
      </c>
      <c r="K13" s="347" t="s">
        <v>306</v>
      </c>
      <c r="L13" s="344">
        <v>28.83</v>
      </c>
      <c r="M13" s="344">
        <v>1.59</v>
      </c>
      <c r="N13" s="447">
        <v>30.42</v>
      </c>
      <c r="O13" s="347"/>
      <c r="P13" s="350">
        <v>45714</v>
      </c>
      <c r="Q13" s="344">
        <v>30.42</v>
      </c>
      <c r="R13" s="347" t="s">
        <v>307</v>
      </c>
      <c r="S13" s="344">
        <v>0</v>
      </c>
      <c r="T13" s="344">
        <v>0</v>
      </c>
      <c r="U13" s="344">
        <v>0</v>
      </c>
      <c r="V13" s="344">
        <v>0</v>
      </c>
      <c r="W13" s="347"/>
      <c r="X13" s="347" t="s">
        <v>308</v>
      </c>
      <c r="Y13" s="347" t="s">
        <v>309</v>
      </c>
      <c r="Z13" s="347" t="s">
        <v>46</v>
      </c>
      <c r="AA13" s="347" t="s">
        <v>228</v>
      </c>
      <c r="AB13" s="347" t="s">
        <v>34</v>
      </c>
      <c r="AC13" s="347" t="s">
        <v>47</v>
      </c>
      <c r="AD13" s="347" t="s">
        <v>231</v>
      </c>
      <c r="AE13" s="347" t="s">
        <v>232</v>
      </c>
      <c r="AF13" s="347" t="s">
        <v>231</v>
      </c>
      <c r="AG13" s="347" t="s">
        <v>232</v>
      </c>
      <c r="AH13" s="347"/>
      <c r="AI13" s="347"/>
      <c r="AJ13" s="347"/>
      <c r="AK13" s="347" t="s">
        <v>310</v>
      </c>
      <c r="AL13" s="348">
        <v>1</v>
      </c>
      <c r="AM13" s="348">
        <v>0</v>
      </c>
      <c r="AN13" s="349">
        <v>45714</v>
      </c>
      <c r="AO13" s="349">
        <v>45713</v>
      </c>
      <c r="AP13" s="344">
        <v>30.42</v>
      </c>
      <c r="AQ13" s="349">
        <v>45712</v>
      </c>
      <c r="AR13" s="368"/>
      <c r="AS13" s="368"/>
      <c r="AT13" s="368"/>
      <c r="AU13" s="368"/>
      <c r="AV13" s="368"/>
      <c r="AW13" s="368"/>
      <c r="AX13" s="368"/>
      <c r="AY13" s="368"/>
      <c r="AZ13" s="368"/>
      <c r="BA13" s="368"/>
      <c r="BB13" s="368"/>
      <c r="BC13" s="368"/>
      <c r="BD13" s="368"/>
      <c r="BE13" s="368"/>
      <c r="BF13" s="368"/>
      <c r="BG13" s="368"/>
      <c r="BH13" s="368"/>
      <c r="BI13" s="368"/>
      <c r="BJ13" s="368"/>
      <c r="BK13" s="368"/>
      <c r="BL13" s="368"/>
      <c r="BM13" s="368"/>
      <c r="BN13" s="368"/>
      <c r="BO13" s="368"/>
      <c r="BP13" s="368"/>
      <c r="BQ13" s="368"/>
      <c r="BR13" s="368"/>
      <c r="BS13" s="368"/>
      <c r="BT13" s="368"/>
      <c r="BU13" s="368"/>
      <c r="BV13" s="368"/>
      <c r="BW13" s="368"/>
      <c r="BX13" s="368"/>
      <c r="BY13" s="368"/>
      <c r="BZ13" s="368"/>
      <c r="CA13" s="368"/>
      <c r="CB13" s="368"/>
      <c r="CC13" s="368"/>
      <c r="CD13" s="368"/>
      <c r="CE13" s="368"/>
      <c r="CF13" s="368"/>
      <c r="CG13" s="368"/>
      <c r="CH13" s="368"/>
      <c r="CI13" s="368"/>
      <c r="CJ13" s="368"/>
      <c r="CK13" s="368"/>
      <c r="CL13" s="368"/>
      <c r="CM13" s="368"/>
      <c r="CN13" s="368"/>
      <c r="CO13" s="368"/>
      <c r="CP13" s="368"/>
      <c r="CQ13" s="368"/>
      <c r="CR13" s="368"/>
      <c r="CS13" s="368"/>
      <c r="CT13" s="368"/>
      <c r="CU13" s="368"/>
      <c r="CV13" s="368"/>
      <c r="CW13" s="368"/>
      <c r="CX13" s="368"/>
      <c r="CY13" s="368"/>
      <c r="CZ13" s="368"/>
      <c r="DA13" s="368"/>
      <c r="DB13" s="368"/>
      <c r="DC13" s="368"/>
      <c r="DD13" s="368"/>
      <c r="DE13" s="368"/>
      <c r="DF13" s="368"/>
      <c r="DG13" s="368"/>
      <c r="DH13" s="368"/>
      <c r="DI13" s="368"/>
      <c r="DJ13" s="368"/>
      <c r="DK13" s="368"/>
      <c r="DL13" s="368"/>
      <c r="DM13" s="368"/>
      <c r="DN13" s="368"/>
      <c r="DO13" s="368"/>
      <c r="DP13" s="368"/>
      <c r="DQ13" s="368"/>
      <c r="DR13" s="368"/>
      <c r="DS13" s="368"/>
      <c r="DT13" s="368"/>
      <c r="DU13" s="368"/>
      <c r="DV13" s="368"/>
      <c r="DW13" s="368"/>
      <c r="DX13" s="368"/>
      <c r="DY13" s="368"/>
      <c r="DZ13" s="368"/>
      <c r="EA13" s="368"/>
      <c r="EB13" s="368"/>
      <c r="EC13" s="368"/>
      <c r="ED13" s="368"/>
      <c r="EE13" s="368"/>
      <c r="EF13" s="368"/>
      <c r="EG13" s="368"/>
      <c r="EH13" s="368"/>
      <c r="EI13" s="368"/>
      <c r="EJ13" s="368"/>
      <c r="EK13" s="368"/>
      <c r="EL13" s="368"/>
      <c r="EM13" s="368"/>
      <c r="EN13" s="368"/>
      <c r="EO13" s="368"/>
      <c r="EP13" s="368"/>
      <c r="EQ13" s="368"/>
      <c r="ER13" s="368"/>
      <c r="ES13" s="368"/>
      <c r="ET13" s="368"/>
      <c r="EU13" s="368"/>
      <c r="EV13" s="368"/>
      <c r="EW13" s="368"/>
      <c r="EX13" s="368"/>
      <c r="EY13" s="368"/>
      <c r="EZ13" s="368"/>
      <c r="FA13" s="368"/>
      <c r="FB13" s="368"/>
      <c r="FC13" s="368"/>
      <c r="FD13" s="368"/>
      <c r="FE13" s="368"/>
      <c r="FF13" s="368"/>
      <c r="FG13" s="368"/>
      <c r="FH13" s="368"/>
      <c r="FI13" s="368"/>
      <c r="FJ13" s="368"/>
      <c r="FK13" s="368"/>
      <c r="FL13" s="368"/>
      <c r="FM13" s="368"/>
      <c r="FN13" s="368"/>
      <c r="FO13" s="368"/>
      <c r="FP13" s="368"/>
      <c r="FQ13" s="368"/>
      <c r="FR13" s="368"/>
      <c r="FS13" s="368"/>
      <c r="FT13" s="368"/>
      <c r="FU13" s="368"/>
      <c r="FV13" s="368"/>
      <c r="FW13" s="368"/>
      <c r="FX13" s="368"/>
      <c r="FY13" s="368"/>
      <c r="FZ13" s="368"/>
      <c r="GA13" s="368"/>
      <c r="GB13" s="368"/>
      <c r="GC13" s="368"/>
      <c r="GD13" s="368"/>
      <c r="GE13" s="368"/>
      <c r="GF13" s="368"/>
      <c r="GG13" s="368"/>
      <c r="GH13" s="368"/>
      <c r="GI13" s="368"/>
      <c r="GJ13" s="368"/>
      <c r="GK13" s="368"/>
      <c r="GL13" s="368"/>
      <c r="GM13" s="368"/>
      <c r="GN13" s="368"/>
      <c r="GO13" s="368"/>
      <c r="GP13" s="368"/>
      <c r="GQ13" s="368"/>
      <c r="GR13" s="368"/>
      <c r="GS13" s="368"/>
      <c r="GT13" s="368"/>
      <c r="GU13" s="368"/>
      <c r="GV13" s="368"/>
      <c r="GW13" s="368"/>
      <c r="GX13" s="368"/>
      <c r="GY13" s="368"/>
      <c r="GZ13" s="368"/>
      <c r="HA13" s="368"/>
      <c r="HB13" s="368"/>
      <c r="HC13" s="368"/>
      <c r="HD13" s="368"/>
      <c r="HE13" s="368"/>
      <c r="HF13" s="368"/>
      <c r="HG13" s="368"/>
      <c r="HH13" s="368"/>
      <c r="HI13" s="368"/>
      <c r="HJ13" s="368"/>
      <c r="HK13" s="368"/>
      <c r="HL13" s="368"/>
      <c r="HM13" s="368"/>
      <c r="HN13" s="368"/>
      <c r="HO13" s="368"/>
      <c r="HP13" s="368"/>
      <c r="HQ13" s="368"/>
      <c r="HR13" s="368"/>
      <c r="HS13" s="368"/>
      <c r="HT13" s="368"/>
      <c r="HU13" s="368"/>
      <c r="HV13" s="368"/>
      <c r="HW13" s="368"/>
      <c r="HX13" s="368"/>
      <c r="HY13" s="368"/>
      <c r="HZ13" s="368"/>
      <c r="IA13" s="368"/>
      <c r="IB13" s="368"/>
      <c r="IC13" s="368"/>
      <c r="ID13" s="368"/>
      <c r="IE13" s="368"/>
      <c r="IF13" s="368"/>
      <c r="IG13" s="368"/>
      <c r="IH13" s="368"/>
      <c r="II13" s="368"/>
      <c r="IJ13" s="368"/>
      <c r="IK13" s="368"/>
      <c r="IL13" s="368"/>
      <c r="IM13" s="368"/>
      <c r="IN13" s="368"/>
      <c r="IO13" s="368"/>
      <c r="IP13" s="368"/>
      <c r="IQ13" s="368"/>
      <c r="IR13" s="368"/>
      <c r="IS13" s="368"/>
      <c r="IT13" s="368"/>
      <c r="IU13" s="368"/>
      <c r="IV13" s="368"/>
      <c r="IW13" s="368"/>
      <c r="IX13" s="368"/>
      <c r="IY13" s="368"/>
      <c r="IZ13" s="368"/>
      <c r="JA13" s="368"/>
      <c r="JB13" s="368"/>
      <c r="JC13" s="368"/>
      <c r="JD13" s="368"/>
      <c r="JE13" s="368"/>
      <c r="JF13" s="368"/>
      <c r="JG13" s="368"/>
      <c r="JH13" s="368"/>
      <c r="JI13" s="368"/>
      <c r="JJ13" s="368"/>
      <c r="JK13" s="368"/>
      <c r="JL13" s="368"/>
      <c r="JM13" s="368"/>
      <c r="JN13" s="368"/>
      <c r="JO13" s="368"/>
      <c r="JP13" s="368"/>
      <c r="JQ13" s="368"/>
      <c r="JR13" s="368"/>
      <c r="JS13" s="368"/>
      <c r="JT13" s="368"/>
      <c r="JU13" s="368"/>
      <c r="JV13" s="368"/>
      <c r="JW13" s="368"/>
      <c r="JX13" s="368"/>
      <c r="JY13" s="368"/>
      <c r="JZ13" s="368"/>
      <c r="KA13" s="368"/>
      <c r="KB13" s="368"/>
      <c r="KC13" s="368"/>
      <c r="KD13" s="368"/>
      <c r="KE13" s="368"/>
      <c r="KF13" s="368"/>
      <c r="KG13" s="368"/>
      <c r="KH13" s="368"/>
      <c r="KI13" s="368"/>
      <c r="KJ13" s="368"/>
      <c r="KK13" s="368"/>
      <c r="KL13" s="368"/>
      <c r="KM13" s="368"/>
      <c r="KN13" s="368"/>
      <c r="KO13" s="368"/>
      <c r="KP13" s="368"/>
      <c r="KQ13" s="368"/>
      <c r="KR13" s="368"/>
      <c r="KS13" s="368"/>
      <c r="KT13" s="368"/>
      <c r="KU13" s="368"/>
      <c r="KV13" s="368"/>
      <c r="KW13" s="368"/>
      <c r="KX13" s="368"/>
      <c r="KY13" s="368"/>
      <c r="KZ13" s="368"/>
      <c r="LA13" s="368"/>
      <c r="LB13" s="368"/>
      <c r="LC13" s="368"/>
      <c r="LD13" s="368"/>
      <c r="LE13" s="368"/>
      <c r="LF13" s="368"/>
      <c r="LG13" s="368"/>
      <c r="LH13" s="368"/>
      <c r="LI13" s="368"/>
      <c r="LJ13" s="368"/>
      <c r="LK13" s="368"/>
      <c r="LL13" s="368"/>
      <c r="LM13" s="368"/>
      <c r="LN13" s="368"/>
      <c r="LO13" s="368"/>
      <c r="LP13" s="368"/>
      <c r="LQ13" s="368"/>
      <c r="LR13" s="368"/>
      <c r="LS13" s="368"/>
      <c r="LT13" s="368"/>
      <c r="LU13" s="368"/>
      <c r="LV13" s="368"/>
      <c r="LW13" s="368"/>
      <c r="LX13" s="368"/>
      <c r="LY13" s="368"/>
      <c r="LZ13" s="368"/>
      <c r="MA13" s="368"/>
      <c r="MB13" s="368"/>
      <c r="MC13" s="368"/>
      <c r="MD13" s="368"/>
      <c r="ME13" s="368"/>
      <c r="MF13" s="368"/>
      <c r="MG13" s="368"/>
      <c r="MH13" s="368"/>
      <c r="MI13" s="368"/>
      <c r="MJ13" s="368"/>
      <c r="MK13" s="368"/>
      <c r="ML13" s="368"/>
      <c r="MM13" s="368"/>
      <c r="MN13" s="368"/>
      <c r="MO13" s="368"/>
      <c r="MP13" s="368"/>
      <c r="MQ13" s="368"/>
      <c r="MR13" s="368"/>
      <c r="MS13" s="368"/>
      <c r="MT13" s="368"/>
      <c r="MU13" s="368"/>
      <c r="MV13" s="368"/>
      <c r="MW13" s="368"/>
      <c r="MX13" s="368"/>
      <c r="MY13" s="368"/>
      <c r="MZ13" s="368"/>
      <c r="NA13" s="368"/>
      <c r="NB13" s="368"/>
      <c r="NC13" s="368"/>
      <c r="ND13" s="368"/>
      <c r="NE13" s="368"/>
      <c r="NF13" s="368"/>
      <c r="NG13" s="368"/>
      <c r="NH13" s="368"/>
      <c r="NI13" s="368"/>
      <c r="NJ13" s="368"/>
      <c r="NK13" s="368"/>
      <c r="NL13" s="368"/>
      <c r="NM13" s="368"/>
      <c r="NN13" s="368"/>
      <c r="NO13" s="368"/>
      <c r="NP13" s="368"/>
      <c r="NQ13" s="368"/>
      <c r="NR13" s="368"/>
      <c r="NS13" s="368"/>
      <c r="NT13" s="368"/>
      <c r="NU13" s="368"/>
      <c r="NV13" s="368"/>
      <c r="NW13" s="368"/>
      <c r="NX13" s="368"/>
      <c r="NY13" s="368"/>
      <c r="NZ13" s="368"/>
      <c r="OA13" s="368"/>
      <c r="OB13" s="368"/>
      <c r="OC13" s="368"/>
      <c r="OD13" s="368"/>
      <c r="OE13" s="368"/>
      <c r="OF13" s="368"/>
      <c r="OG13" s="368"/>
      <c r="OH13" s="368"/>
      <c r="OI13" s="368"/>
      <c r="OJ13" s="368"/>
      <c r="OK13" s="368"/>
      <c r="OL13" s="368"/>
      <c r="OM13" s="368"/>
      <c r="ON13" s="368"/>
      <c r="OO13" s="368"/>
      <c r="OP13" s="368"/>
      <c r="OQ13" s="368"/>
      <c r="OR13" s="368"/>
      <c r="OS13" s="368"/>
      <c r="OT13" s="368"/>
      <c r="OU13" s="368"/>
      <c r="OV13" s="368"/>
      <c r="OW13" s="368"/>
      <c r="OX13" s="368"/>
      <c r="OY13" s="368"/>
      <c r="OZ13" s="368"/>
      <c r="PA13" s="368"/>
      <c r="PB13" s="368"/>
      <c r="PC13" s="368"/>
      <c r="PD13" s="368"/>
      <c r="PE13" s="368"/>
      <c r="PF13" s="368"/>
      <c r="PG13" s="368"/>
      <c r="PH13" s="368"/>
      <c r="PI13" s="368"/>
      <c r="PJ13" s="368"/>
      <c r="PK13" s="368"/>
      <c r="PL13" s="368"/>
      <c r="PM13" s="368"/>
      <c r="PN13" s="368"/>
      <c r="PO13" s="368"/>
      <c r="PP13" s="368"/>
      <c r="PQ13" s="368"/>
      <c r="PR13" s="368"/>
      <c r="PS13" s="368"/>
      <c r="PT13" s="368"/>
      <c r="PU13" s="368"/>
      <c r="PV13" s="368"/>
      <c r="PW13" s="368"/>
      <c r="PX13" s="368"/>
      <c r="PY13" s="368"/>
      <c r="PZ13" s="368"/>
      <c r="QA13" s="368"/>
      <c r="QB13" s="368"/>
      <c r="QC13" s="368"/>
      <c r="QD13" s="368"/>
      <c r="QE13" s="368"/>
      <c r="QF13" s="368"/>
      <c r="QG13" s="368"/>
      <c r="QH13" s="368"/>
      <c r="QI13" s="368"/>
      <c r="QJ13" s="368"/>
      <c r="QK13" s="368"/>
      <c r="QL13" s="368"/>
      <c r="QM13" s="368"/>
      <c r="QN13" s="368"/>
      <c r="QO13" s="368"/>
      <c r="QP13" s="368"/>
      <c r="QQ13" s="368"/>
      <c r="QR13" s="368"/>
      <c r="QS13" s="368"/>
      <c r="QT13" s="368"/>
      <c r="QU13" s="368"/>
      <c r="QV13" s="368"/>
      <c r="QW13" s="368"/>
      <c r="QX13" s="368"/>
      <c r="QY13" s="368"/>
      <c r="QZ13" s="368"/>
      <c r="RA13" s="368"/>
      <c r="RB13" s="368"/>
      <c r="RC13" s="368"/>
      <c r="RD13" s="368"/>
      <c r="RE13" s="368"/>
      <c r="RF13" s="368"/>
      <c r="RG13" s="368"/>
      <c r="RH13" s="368"/>
      <c r="RI13" s="368"/>
      <c r="RJ13" s="368"/>
      <c r="RK13" s="368"/>
      <c r="RL13" s="368"/>
      <c r="RM13" s="368"/>
      <c r="RN13" s="368"/>
      <c r="RO13" s="368"/>
      <c r="RP13" s="368"/>
      <c r="RQ13" s="368"/>
      <c r="RR13" s="368"/>
      <c r="RS13" s="368"/>
      <c r="RT13" s="368"/>
      <c r="RU13" s="368"/>
      <c r="RV13" s="368"/>
      <c r="RW13" s="368"/>
      <c r="RX13" s="368"/>
      <c r="RY13" s="368"/>
      <c r="RZ13" s="368"/>
      <c r="SA13" s="368"/>
      <c r="SB13" s="368"/>
      <c r="SC13" s="368"/>
      <c r="SD13" s="368"/>
      <c r="SE13" s="368"/>
      <c r="SF13" s="368"/>
      <c r="SG13" s="368"/>
      <c r="SH13" s="368"/>
      <c r="SI13" s="368"/>
      <c r="SJ13" s="368"/>
      <c r="SK13" s="368"/>
      <c r="SL13" s="368"/>
      <c r="SM13" s="368"/>
      <c r="SN13" s="368"/>
      <c r="SO13" s="368"/>
      <c r="SP13" s="368"/>
      <c r="SQ13" s="368"/>
      <c r="SR13" s="368"/>
      <c r="SS13" s="368"/>
      <c r="ST13" s="368"/>
      <c r="SU13" s="368"/>
      <c r="SV13" s="368"/>
      <c r="SW13" s="368"/>
      <c r="SX13" s="368"/>
      <c r="SY13" s="368"/>
      <c r="SZ13" s="368"/>
      <c r="TA13" s="368"/>
      <c r="TB13" s="368"/>
      <c r="TC13" s="368"/>
      <c r="TD13" s="368"/>
      <c r="TE13" s="368"/>
      <c r="TF13" s="368"/>
      <c r="TG13" s="368"/>
      <c r="TH13" s="368"/>
      <c r="TI13" s="368"/>
      <c r="TJ13" s="368"/>
      <c r="TK13" s="368"/>
      <c r="TL13" s="368"/>
      <c r="TM13" s="368"/>
      <c r="TN13" s="368"/>
      <c r="TO13" s="368"/>
      <c r="TP13" s="368"/>
      <c r="TQ13" s="368"/>
      <c r="TR13" s="368"/>
      <c r="TS13" s="368"/>
      <c r="TT13" s="368"/>
      <c r="TU13" s="368"/>
      <c r="TV13" s="368"/>
      <c r="TW13" s="368"/>
      <c r="TX13" s="368"/>
      <c r="TY13" s="368"/>
      <c r="TZ13" s="368"/>
      <c r="UA13" s="368"/>
      <c r="UB13" s="368"/>
      <c r="UC13" s="368"/>
      <c r="UD13" s="368"/>
      <c r="UE13" s="368"/>
      <c r="UF13" s="368"/>
      <c r="UG13" s="368"/>
      <c r="UH13" s="368"/>
      <c r="UI13" s="368"/>
      <c r="UJ13" s="368"/>
      <c r="UK13" s="368"/>
      <c r="UL13" s="368"/>
      <c r="UM13" s="368"/>
      <c r="UN13" s="368"/>
      <c r="UO13" s="368"/>
      <c r="UP13" s="368"/>
      <c r="UQ13" s="368"/>
      <c r="UR13" s="368"/>
      <c r="US13" s="368"/>
      <c r="UT13" s="368"/>
      <c r="UU13" s="368"/>
      <c r="UV13" s="368"/>
      <c r="UW13" s="368"/>
      <c r="UX13" s="368"/>
      <c r="UY13" s="368"/>
      <c r="UZ13" s="368"/>
      <c r="VA13" s="368"/>
      <c r="VB13" s="368"/>
      <c r="VC13" s="368"/>
      <c r="VD13" s="368"/>
      <c r="VE13" s="368"/>
      <c r="VF13" s="368"/>
      <c r="VG13" s="368"/>
      <c r="VH13" s="368"/>
      <c r="VI13" s="368"/>
      <c r="VJ13" s="368"/>
      <c r="VK13" s="368"/>
      <c r="VL13" s="368"/>
      <c r="VM13" s="368"/>
      <c r="VN13" s="368"/>
      <c r="VO13" s="368"/>
      <c r="VP13" s="368"/>
      <c r="VQ13" s="368"/>
      <c r="VR13" s="368"/>
      <c r="VS13" s="368"/>
      <c r="VT13" s="368"/>
      <c r="VU13" s="368"/>
      <c r="VV13" s="368"/>
      <c r="VW13" s="368"/>
      <c r="VX13" s="368"/>
      <c r="VY13" s="368"/>
      <c r="VZ13" s="368"/>
      <c r="WA13" s="368"/>
      <c r="WB13" s="368"/>
      <c r="WC13" s="368"/>
      <c r="WD13" s="368"/>
      <c r="WE13" s="368"/>
      <c r="WF13" s="368"/>
      <c r="WG13" s="368"/>
      <c r="WH13" s="368"/>
      <c r="WI13" s="368"/>
      <c r="WJ13" s="368"/>
      <c r="WK13" s="368"/>
      <c r="WL13" s="368"/>
      <c r="WM13" s="368"/>
      <c r="WN13" s="368"/>
      <c r="WO13" s="368"/>
      <c r="WP13" s="368"/>
      <c r="WQ13" s="368"/>
      <c r="WR13" s="368"/>
      <c r="WS13" s="368"/>
      <c r="WT13" s="368"/>
      <c r="WU13" s="368"/>
      <c r="WV13" s="368"/>
      <c r="WW13" s="368"/>
      <c r="WX13" s="368"/>
      <c r="WY13" s="368"/>
      <c r="WZ13" s="368"/>
      <c r="XA13" s="368"/>
      <c r="XB13" s="368"/>
      <c r="XC13" s="368"/>
      <c r="XD13" s="368"/>
      <c r="XE13" s="368"/>
      <c r="XF13" s="368"/>
      <c r="XG13" s="368"/>
      <c r="XH13" s="368"/>
      <c r="XI13" s="368"/>
      <c r="XJ13" s="368"/>
      <c r="XK13" s="368"/>
      <c r="XL13" s="368"/>
      <c r="XM13" s="368"/>
      <c r="XN13" s="368"/>
      <c r="XO13" s="368"/>
      <c r="XP13" s="368"/>
      <c r="XQ13" s="368"/>
      <c r="XR13" s="368"/>
      <c r="XS13" s="368"/>
      <c r="XT13" s="368"/>
      <c r="XU13" s="368"/>
      <c r="XV13" s="368"/>
      <c r="XW13" s="368"/>
      <c r="XX13" s="368"/>
      <c r="XY13" s="368"/>
      <c r="XZ13" s="368"/>
      <c r="YA13" s="368"/>
      <c r="YB13" s="368"/>
      <c r="YC13" s="368"/>
      <c r="YD13" s="368"/>
      <c r="YE13" s="368"/>
      <c r="YF13" s="368"/>
      <c r="YG13" s="368"/>
      <c r="YH13" s="368"/>
      <c r="YI13" s="368"/>
      <c r="YJ13" s="368"/>
      <c r="YK13" s="368"/>
      <c r="YL13" s="368"/>
      <c r="YM13" s="368"/>
      <c r="YN13" s="368"/>
      <c r="YO13" s="368"/>
      <c r="YP13" s="368"/>
      <c r="YQ13" s="368"/>
      <c r="YR13" s="368"/>
      <c r="YS13" s="368"/>
      <c r="YT13" s="368"/>
      <c r="YU13" s="368"/>
      <c r="YV13" s="368"/>
      <c r="YW13" s="368"/>
      <c r="YX13" s="368"/>
      <c r="YY13" s="368"/>
      <c r="YZ13" s="368"/>
      <c r="ZA13" s="368"/>
      <c r="ZB13" s="368"/>
      <c r="ZC13" s="368"/>
      <c r="ZD13" s="368"/>
      <c r="ZE13" s="368"/>
      <c r="ZF13" s="368"/>
      <c r="ZG13" s="368"/>
      <c r="ZH13" s="368"/>
      <c r="ZI13" s="368"/>
      <c r="ZJ13" s="368"/>
      <c r="ZK13" s="368"/>
      <c r="ZL13" s="368"/>
      <c r="ZM13" s="368"/>
      <c r="ZN13" s="368"/>
      <c r="ZO13" s="368"/>
      <c r="ZP13" s="368"/>
      <c r="ZQ13" s="368"/>
      <c r="ZR13" s="368"/>
      <c r="ZS13" s="368"/>
      <c r="ZT13" s="368"/>
      <c r="ZU13" s="368"/>
      <c r="ZV13" s="368"/>
      <c r="ZW13" s="368"/>
      <c r="ZX13" s="368"/>
      <c r="ZY13" s="368"/>
      <c r="ZZ13" s="368"/>
      <c r="AAA13" s="368"/>
      <c r="AAB13" s="368"/>
      <c r="AAC13" s="368"/>
      <c r="AAD13" s="368"/>
      <c r="AAE13" s="368"/>
      <c r="AAF13" s="368"/>
      <c r="AAG13" s="368"/>
      <c r="AAH13" s="368"/>
      <c r="AAI13" s="368"/>
      <c r="AAJ13" s="368"/>
      <c r="AAK13" s="368"/>
      <c r="AAL13" s="368"/>
      <c r="AAM13" s="368"/>
      <c r="AAN13" s="368"/>
      <c r="AAO13" s="368"/>
      <c r="AAP13" s="368"/>
      <c r="AAQ13" s="368"/>
      <c r="AAR13" s="368"/>
      <c r="AAS13" s="368"/>
      <c r="AAT13" s="368"/>
      <c r="AAU13" s="368"/>
      <c r="AAV13" s="368"/>
      <c r="AAW13" s="368"/>
      <c r="AAX13" s="368"/>
      <c r="AAY13" s="368"/>
      <c r="AAZ13" s="368"/>
      <c r="ABA13" s="368"/>
      <c r="ABB13" s="368"/>
      <c r="ABC13" s="368"/>
      <c r="ABD13" s="368"/>
      <c r="ABE13" s="368"/>
      <c r="ABF13" s="368"/>
      <c r="ABG13" s="368"/>
      <c r="ABH13" s="368"/>
      <c r="ABI13" s="368"/>
      <c r="ABJ13" s="368"/>
      <c r="ABK13" s="368"/>
      <c r="ABL13" s="368"/>
      <c r="ABM13" s="368"/>
      <c r="ABN13" s="368"/>
      <c r="ABO13" s="368"/>
      <c r="ABP13" s="368"/>
      <c r="ABQ13" s="368"/>
      <c r="ABR13" s="368"/>
      <c r="ABS13" s="368"/>
      <c r="ABT13" s="368"/>
      <c r="ABU13" s="368"/>
      <c r="ABV13" s="368"/>
      <c r="ABW13" s="368"/>
      <c r="ABX13" s="368"/>
      <c r="ABY13" s="368"/>
      <c r="ABZ13" s="368"/>
      <c r="ACA13" s="368"/>
      <c r="ACB13" s="368"/>
      <c r="ACC13" s="368"/>
      <c r="ACD13" s="368"/>
      <c r="ACE13" s="368"/>
      <c r="ACF13" s="368"/>
      <c r="ACG13" s="368"/>
      <c r="ACH13" s="368"/>
      <c r="ACI13" s="368"/>
      <c r="ACJ13" s="368"/>
      <c r="ACK13" s="368"/>
      <c r="ACL13" s="368"/>
      <c r="ACM13" s="368"/>
      <c r="ACN13" s="368"/>
      <c r="ACO13" s="368"/>
      <c r="ACP13" s="368"/>
      <c r="ACQ13" s="368"/>
      <c r="ACR13" s="368"/>
      <c r="ACS13" s="368"/>
      <c r="ACT13" s="368"/>
      <c r="ACU13" s="368"/>
      <c r="ACV13" s="368"/>
      <c r="ACW13" s="368"/>
      <c r="ACX13" s="368"/>
      <c r="ACY13" s="368"/>
      <c r="ACZ13" s="368"/>
      <c r="ADA13" s="368"/>
      <c r="ADB13" s="368"/>
      <c r="ADC13" s="368"/>
      <c r="ADD13" s="368"/>
      <c r="ADE13" s="368"/>
      <c r="ADF13" s="368"/>
      <c r="ADG13" s="368"/>
      <c r="ADH13" s="368"/>
      <c r="ADI13" s="368"/>
      <c r="ADJ13" s="368"/>
      <c r="ADK13" s="368"/>
      <c r="ADL13" s="368"/>
      <c r="ADM13" s="368"/>
      <c r="ADN13" s="368"/>
      <c r="ADO13" s="368"/>
      <c r="ADP13" s="368"/>
      <c r="ADQ13" s="368"/>
      <c r="ADR13" s="368"/>
      <c r="ADS13" s="368"/>
      <c r="ADT13" s="368"/>
      <c r="ADU13" s="368"/>
      <c r="ADV13" s="368"/>
      <c r="ADW13" s="368"/>
      <c r="ADX13" s="368"/>
      <c r="ADY13" s="368"/>
      <c r="ADZ13" s="368"/>
      <c r="AEA13" s="368"/>
      <c r="AEB13" s="368"/>
      <c r="AEC13" s="368"/>
      <c r="AED13" s="368"/>
      <c r="AEE13" s="368"/>
      <c r="AEF13" s="368"/>
      <c r="AEG13" s="368"/>
      <c r="AEH13" s="368"/>
      <c r="AEI13" s="368"/>
      <c r="AEJ13" s="368"/>
      <c r="AEK13" s="368"/>
      <c r="AEL13" s="368"/>
      <c r="AEM13" s="368"/>
      <c r="AEN13" s="368"/>
      <c r="AEO13" s="368"/>
      <c r="AEP13" s="368"/>
      <c r="AEQ13" s="368"/>
      <c r="AER13" s="368"/>
      <c r="AES13" s="368"/>
      <c r="AET13" s="368"/>
      <c r="AEU13" s="368"/>
      <c r="AEV13" s="368"/>
      <c r="AEW13" s="368"/>
      <c r="AEX13" s="368"/>
      <c r="AEY13" s="368"/>
      <c r="AEZ13" s="368"/>
      <c r="AFA13" s="368"/>
      <c r="AFB13" s="368"/>
      <c r="AFC13" s="368"/>
      <c r="AFD13" s="368"/>
      <c r="AFE13" s="368"/>
      <c r="AFF13" s="368"/>
      <c r="AFG13" s="368"/>
      <c r="AFH13" s="368"/>
      <c r="AFI13" s="368"/>
      <c r="AFJ13" s="368"/>
      <c r="AFK13" s="368"/>
      <c r="AFL13" s="368"/>
      <c r="AFM13" s="368"/>
      <c r="AFN13" s="368"/>
      <c r="AFO13" s="368"/>
      <c r="AFP13" s="368"/>
      <c r="AFQ13" s="368"/>
      <c r="AFR13" s="368"/>
      <c r="AFS13" s="368"/>
      <c r="AFT13" s="368"/>
      <c r="AFU13" s="368"/>
      <c r="AFV13" s="368"/>
      <c r="AFW13" s="368"/>
      <c r="AFX13" s="368"/>
      <c r="AFY13" s="368"/>
      <c r="AFZ13" s="368"/>
      <c r="AGA13" s="368"/>
      <c r="AGB13" s="368"/>
      <c r="AGC13" s="368"/>
      <c r="AGD13" s="368"/>
      <c r="AGE13" s="368"/>
      <c r="AGF13" s="368"/>
      <c r="AGG13" s="368"/>
      <c r="AGH13" s="368"/>
      <c r="AGI13" s="368"/>
      <c r="AGJ13" s="368"/>
      <c r="AGK13" s="368"/>
      <c r="AGL13" s="368"/>
      <c r="AGM13" s="368"/>
      <c r="AGN13" s="368"/>
      <c r="AGO13" s="368"/>
      <c r="AGP13" s="368"/>
      <c r="AGQ13" s="368"/>
      <c r="AGR13" s="368"/>
      <c r="AGS13" s="368"/>
      <c r="AGT13" s="368"/>
      <c r="AGU13" s="368"/>
      <c r="AGV13" s="368"/>
      <c r="AGW13" s="368"/>
      <c r="AGX13" s="368"/>
      <c r="AGY13" s="368"/>
      <c r="AGZ13" s="368"/>
      <c r="AHA13" s="368"/>
      <c r="AHB13" s="368"/>
      <c r="AHC13" s="368"/>
      <c r="AHD13" s="368"/>
      <c r="AHE13" s="368"/>
      <c r="AHF13" s="368"/>
      <c r="AHG13" s="368"/>
      <c r="AHH13" s="368"/>
      <c r="AHI13" s="368"/>
      <c r="AHJ13" s="368"/>
      <c r="AHK13" s="368"/>
      <c r="AHL13" s="368"/>
      <c r="AHM13" s="368"/>
      <c r="AHN13" s="368"/>
      <c r="AHO13" s="368"/>
      <c r="AHP13" s="368"/>
      <c r="AHQ13" s="368"/>
      <c r="AHR13" s="368"/>
      <c r="AHS13" s="368"/>
      <c r="AHT13" s="368"/>
      <c r="AHU13" s="368"/>
      <c r="AHV13" s="368"/>
      <c r="AHW13" s="368"/>
      <c r="AHX13" s="368"/>
      <c r="AHY13" s="368"/>
      <c r="AHZ13" s="368"/>
      <c r="AIA13" s="368"/>
      <c r="AIB13" s="368"/>
      <c r="AIC13" s="368"/>
      <c r="AID13" s="368"/>
      <c r="AIE13" s="368"/>
      <c r="AIF13" s="368"/>
      <c r="AIG13" s="368"/>
      <c r="AIH13" s="368"/>
      <c r="AII13" s="368"/>
      <c r="AIJ13" s="368"/>
      <c r="AIK13" s="368"/>
      <c r="AIL13" s="368"/>
      <c r="AIM13" s="368"/>
      <c r="AIN13" s="368"/>
      <c r="AIO13" s="368"/>
      <c r="AIP13" s="368"/>
      <c r="AIQ13" s="368"/>
      <c r="AIR13" s="368"/>
      <c r="AIS13" s="368"/>
      <c r="AIT13" s="368"/>
      <c r="AIU13" s="368"/>
      <c r="AIV13" s="368"/>
      <c r="AIW13" s="368"/>
      <c r="AIX13" s="368"/>
      <c r="AIY13" s="368"/>
      <c r="AIZ13" s="368"/>
      <c r="AJA13" s="368"/>
      <c r="AJB13" s="368"/>
      <c r="AJC13" s="368"/>
      <c r="AJD13" s="368"/>
      <c r="AJE13" s="368"/>
      <c r="AJF13" s="368"/>
      <c r="AJG13" s="368"/>
      <c r="AJH13" s="368"/>
      <c r="AJI13" s="368"/>
      <c r="AJJ13" s="368"/>
      <c r="AJK13" s="368"/>
      <c r="AJL13" s="368"/>
      <c r="AJM13" s="368"/>
      <c r="AJN13" s="368"/>
      <c r="AJO13" s="368"/>
      <c r="AJP13" s="368"/>
      <c r="AJQ13" s="368"/>
      <c r="AJR13" s="368"/>
      <c r="AJS13" s="368"/>
      <c r="AJT13" s="368"/>
      <c r="AJU13" s="368"/>
      <c r="AJV13" s="368"/>
      <c r="AJW13" s="368"/>
      <c r="AJX13" s="368"/>
      <c r="AJY13" s="368"/>
      <c r="AJZ13" s="368"/>
      <c r="AKA13" s="368"/>
      <c r="AKB13" s="368"/>
      <c r="AKC13" s="368"/>
      <c r="AKD13" s="368"/>
      <c r="AKE13" s="368"/>
      <c r="AKF13" s="368"/>
      <c r="AKG13" s="368"/>
      <c r="AKH13" s="368"/>
      <c r="AKI13" s="368"/>
      <c r="AKJ13" s="368"/>
      <c r="AKK13" s="368"/>
      <c r="AKL13" s="368"/>
      <c r="AKM13" s="368"/>
      <c r="AKN13" s="368"/>
    </row>
    <row r="14" spans="1:976" s="369" customFormat="1" ht="22.5" customHeight="1" x14ac:dyDescent="0.2">
      <c r="A14" s="352" t="s">
        <v>262</v>
      </c>
      <c r="B14" s="352"/>
      <c r="C14" s="352" t="s">
        <v>221</v>
      </c>
      <c r="D14" s="352" t="s">
        <v>222</v>
      </c>
      <c r="E14" s="353">
        <v>403108</v>
      </c>
      <c r="F14" s="353">
        <v>220</v>
      </c>
      <c r="G14" s="353">
        <v>30</v>
      </c>
      <c r="H14" s="353">
        <v>0</v>
      </c>
      <c r="I14" s="354">
        <v>45709</v>
      </c>
      <c r="J14" s="352" t="s">
        <v>290</v>
      </c>
      <c r="K14" s="352" t="s">
        <v>311</v>
      </c>
      <c r="L14" s="355">
        <v>66.540000000000006</v>
      </c>
      <c r="M14" s="355">
        <v>3.66</v>
      </c>
      <c r="N14" s="449">
        <v>70.2</v>
      </c>
      <c r="O14" s="352"/>
      <c r="P14" s="356">
        <v>45714</v>
      </c>
      <c r="Q14" s="355">
        <v>70.2</v>
      </c>
      <c r="R14" s="352" t="s">
        <v>312</v>
      </c>
      <c r="S14" s="355">
        <v>0</v>
      </c>
      <c r="T14" s="355">
        <v>0</v>
      </c>
      <c r="U14" s="355">
        <v>0</v>
      </c>
      <c r="V14" s="355">
        <v>0</v>
      </c>
      <c r="W14" s="352"/>
      <c r="X14" s="352" t="s">
        <v>308</v>
      </c>
      <c r="Y14" s="352" t="s">
        <v>309</v>
      </c>
      <c r="Z14" s="352" t="s">
        <v>42</v>
      </c>
      <c r="AA14" s="352" t="s">
        <v>228</v>
      </c>
      <c r="AB14" s="352" t="s">
        <v>34</v>
      </c>
      <c r="AC14" s="352" t="s">
        <v>43</v>
      </c>
      <c r="AD14" s="352" t="s">
        <v>231</v>
      </c>
      <c r="AE14" s="352" t="s">
        <v>232</v>
      </c>
      <c r="AF14" s="352" t="s">
        <v>231</v>
      </c>
      <c r="AG14" s="352" t="s">
        <v>232</v>
      </c>
      <c r="AH14" s="352"/>
      <c r="AI14" s="352"/>
      <c r="AJ14" s="352"/>
      <c r="AK14" s="352" t="s">
        <v>313</v>
      </c>
      <c r="AL14" s="353">
        <v>1</v>
      </c>
      <c r="AM14" s="353">
        <v>0</v>
      </c>
      <c r="AN14" s="354">
        <v>45714</v>
      </c>
      <c r="AO14" s="354">
        <v>45713</v>
      </c>
      <c r="AP14" s="355">
        <v>70.2</v>
      </c>
      <c r="AQ14" s="354">
        <v>45712</v>
      </c>
      <c r="AR14" s="368"/>
      <c r="AS14" s="368"/>
      <c r="AT14" s="368"/>
      <c r="AU14" s="368"/>
      <c r="AV14" s="368"/>
      <c r="AW14" s="368"/>
      <c r="AX14" s="368"/>
      <c r="AY14" s="368"/>
      <c r="AZ14" s="368"/>
      <c r="BA14" s="368"/>
      <c r="BB14" s="368"/>
      <c r="BC14" s="368"/>
      <c r="BD14" s="368"/>
      <c r="BE14" s="368"/>
      <c r="BF14" s="368"/>
      <c r="BG14" s="368"/>
      <c r="BH14" s="368"/>
      <c r="BI14" s="368"/>
      <c r="BJ14" s="368"/>
      <c r="BK14" s="368"/>
      <c r="BL14" s="368"/>
      <c r="BM14" s="368"/>
      <c r="BN14" s="368"/>
      <c r="BO14" s="368"/>
      <c r="BP14" s="368"/>
      <c r="BQ14" s="368"/>
      <c r="BR14" s="368"/>
      <c r="BS14" s="368"/>
      <c r="BT14" s="368"/>
      <c r="BU14" s="368"/>
      <c r="BV14" s="368"/>
      <c r="BW14" s="368"/>
      <c r="BX14" s="368"/>
      <c r="BY14" s="368"/>
      <c r="BZ14" s="368"/>
      <c r="CA14" s="368"/>
      <c r="CB14" s="368"/>
      <c r="CC14" s="368"/>
      <c r="CD14" s="368"/>
      <c r="CE14" s="368"/>
      <c r="CF14" s="368"/>
      <c r="CG14" s="368"/>
      <c r="CH14" s="368"/>
      <c r="CI14" s="368"/>
      <c r="CJ14" s="368"/>
      <c r="CK14" s="368"/>
      <c r="CL14" s="368"/>
      <c r="CM14" s="368"/>
      <c r="CN14" s="368"/>
      <c r="CO14" s="368"/>
      <c r="CP14" s="368"/>
      <c r="CQ14" s="368"/>
      <c r="CR14" s="368"/>
      <c r="CS14" s="368"/>
      <c r="CT14" s="368"/>
      <c r="CU14" s="368"/>
      <c r="CV14" s="368"/>
      <c r="CW14" s="368"/>
      <c r="CX14" s="368"/>
      <c r="CY14" s="368"/>
      <c r="CZ14" s="368"/>
      <c r="DA14" s="368"/>
      <c r="DB14" s="368"/>
      <c r="DC14" s="368"/>
      <c r="DD14" s="368"/>
      <c r="DE14" s="368"/>
      <c r="DF14" s="368"/>
      <c r="DG14" s="368"/>
      <c r="DH14" s="368"/>
      <c r="DI14" s="368"/>
      <c r="DJ14" s="368"/>
      <c r="DK14" s="368"/>
      <c r="DL14" s="368"/>
      <c r="DM14" s="368"/>
      <c r="DN14" s="368"/>
      <c r="DO14" s="368"/>
      <c r="DP14" s="368"/>
      <c r="DQ14" s="368"/>
      <c r="DR14" s="368"/>
      <c r="DS14" s="368"/>
      <c r="DT14" s="368"/>
      <c r="DU14" s="368"/>
      <c r="DV14" s="368"/>
      <c r="DW14" s="368"/>
      <c r="DX14" s="368"/>
      <c r="DY14" s="368"/>
      <c r="DZ14" s="368"/>
      <c r="EA14" s="368"/>
      <c r="EB14" s="368"/>
      <c r="EC14" s="368"/>
      <c r="ED14" s="368"/>
      <c r="EE14" s="368"/>
      <c r="EF14" s="368"/>
      <c r="EG14" s="368"/>
      <c r="EH14" s="368"/>
      <c r="EI14" s="368"/>
      <c r="EJ14" s="368"/>
      <c r="EK14" s="368"/>
      <c r="EL14" s="368"/>
      <c r="EM14" s="368"/>
      <c r="EN14" s="368"/>
      <c r="EO14" s="368"/>
      <c r="EP14" s="368"/>
      <c r="EQ14" s="368"/>
      <c r="ER14" s="368"/>
      <c r="ES14" s="368"/>
      <c r="ET14" s="368"/>
      <c r="EU14" s="368"/>
      <c r="EV14" s="368"/>
      <c r="EW14" s="368"/>
      <c r="EX14" s="368"/>
      <c r="EY14" s="368"/>
      <c r="EZ14" s="368"/>
      <c r="FA14" s="368"/>
      <c r="FB14" s="368"/>
      <c r="FC14" s="368"/>
      <c r="FD14" s="368"/>
      <c r="FE14" s="368"/>
      <c r="FF14" s="368"/>
      <c r="FG14" s="368"/>
      <c r="FH14" s="368"/>
      <c r="FI14" s="368"/>
      <c r="FJ14" s="368"/>
      <c r="FK14" s="368"/>
      <c r="FL14" s="368"/>
      <c r="FM14" s="368"/>
      <c r="FN14" s="368"/>
      <c r="FO14" s="368"/>
      <c r="FP14" s="368"/>
      <c r="FQ14" s="368"/>
      <c r="FR14" s="368"/>
      <c r="FS14" s="368"/>
      <c r="FT14" s="368"/>
      <c r="FU14" s="368"/>
      <c r="FV14" s="368"/>
      <c r="FW14" s="368"/>
      <c r="FX14" s="368"/>
      <c r="FY14" s="368"/>
      <c r="FZ14" s="368"/>
      <c r="GA14" s="368"/>
      <c r="GB14" s="368"/>
      <c r="GC14" s="368"/>
      <c r="GD14" s="368"/>
      <c r="GE14" s="368"/>
      <c r="GF14" s="368"/>
      <c r="GG14" s="368"/>
      <c r="GH14" s="368"/>
      <c r="GI14" s="368"/>
      <c r="GJ14" s="368"/>
      <c r="GK14" s="368"/>
      <c r="GL14" s="368"/>
      <c r="GM14" s="368"/>
      <c r="GN14" s="368"/>
      <c r="GO14" s="368"/>
      <c r="GP14" s="368"/>
      <c r="GQ14" s="368"/>
      <c r="GR14" s="368"/>
      <c r="GS14" s="368"/>
      <c r="GT14" s="368"/>
      <c r="GU14" s="368"/>
      <c r="GV14" s="368"/>
      <c r="GW14" s="368"/>
      <c r="GX14" s="368"/>
      <c r="GY14" s="368"/>
      <c r="GZ14" s="368"/>
      <c r="HA14" s="368"/>
      <c r="HB14" s="368"/>
      <c r="HC14" s="368"/>
      <c r="HD14" s="368"/>
      <c r="HE14" s="368"/>
      <c r="HF14" s="368"/>
      <c r="HG14" s="368"/>
      <c r="HH14" s="368"/>
      <c r="HI14" s="368"/>
      <c r="HJ14" s="368"/>
      <c r="HK14" s="368"/>
      <c r="HL14" s="368"/>
      <c r="HM14" s="368"/>
      <c r="HN14" s="368"/>
      <c r="HO14" s="368"/>
      <c r="HP14" s="368"/>
      <c r="HQ14" s="368"/>
      <c r="HR14" s="368"/>
      <c r="HS14" s="368"/>
      <c r="HT14" s="368"/>
      <c r="HU14" s="368"/>
      <c r="HV14" s="368"/>
      <c r="HW14" s="368"/>
      <c r="HX14" s="368"/>
      <c r="HY14" s="368"/>
      <c r="HZ14" s="368"/>
      <c r="IA14" s="368"/>
      <c r="IB14" s="368"/>
      <c r="IC14" s="368"/>
      <c r="ID14" s="368"/>
      <c r="IE14" s="368"/>
      <c r="IF14" s="368"/>
      <c r="IG14" s="368"/>
      <c r="IH14" s="368"/>
      <c r="II14" s="368"/>
      <c r="IJ14" s="368"/>
      <c r="IK14" s="368"/>
      <c r="IL14" s="368"/>
      <c r="IM14" s="368"/>
      <c r="IN14" s="368"/>
      <c r="IO14" s="368"/>
      <c r="IP14" s="368"/>
      <c r="IQ14" s="368"/>
      <c r="IR14" s="368"/>
      <c r="IS14" s="368"/>
      <c r="IT14" s="368"/>
      <c r="IU14" s="368"/>
      <c r="IV14" s="368"/>
      <c r="IW14" s="368"/>
      <c r="IX14" s="368"/>
      <c r="IY14" s="368"/>
      <c r="IZ14" s="368"/>
      <c r="JA14" s="368"/>
      <c r="JB14" s="368"/>
      <c r="JC14" s="368"/>
      <c r="JD14" s="368"/>
      <c r="JE14" s="368"/>
      <c r="JF14" s="368"/>
      <c r="JG14" s="368"/>
      <c r="JH14" s="368"/>
      <c r="JI14" s="368"/>
      <c r="JJ14" s="368"/>
      <c r="JK14" s="368"/>
      <c r="JL14" s="368"/>
      <c r="JM14" s="368"/>
      <c r="JN14" s="368"/>
      <c r="JO14" s="368"/>
      <c r="JP14" s="368"/>
      <c r="JQ14" s="368"/>
      <c r="JR14" s="368"/>
      <c r="JS14" s="368"/>
      <c r="JT14" s="368"/>
      <c r="JU14" s="368"/>
      <c r="JV14" s="368"/>
      <c r="JW14" s="368"/>
      <c r="JX14" s="368"/>
      <c r="JY14" s="368"/>
      <c r="JZ14" s="368"/>
      <c r="KA14" s="368"/>
      <c r="KB14" s="368"/>
      <c r="KC14" s="368"/>
      <c r="KD14" s="368"/>
      <c r="KE14" s="368"/>
      <c r="KF14" s="368"/>
      <c r="KG14" s="368"/>
      <c r="KH14" s="368"/>
      <c r="KI14" s="368"/>
      <c r="KJ14" s="368"/>
      <c r="KK14" s="368"/>
      <c r="KL14" s="368"/>
      <c r="KM14" s="368"/>
      <c r="KN14" s="368"/>
      <c r="KO14" s="368"/>
      <c r="KP14" s="368"/>
      <c r="KQ14" s="368"/>
      <c r="KR14" s="368"/>
      <c r="KS14" s="368"/>
      <c r="KT14" s="368"/>
      <c r="KU14" s="368"/>
      <c r="KV14" s="368"/>
      <c r="KW14" s="368"/>
      <c r="KX14" s="368"/>
      <c r="KY14" s="368"/>
      <c r="KZ14" s="368"/>
      <c r="LA14" s="368"/>
      <c r="LB14" s="368"/>
      <c r="LC14" s="368"/>
      <c r="LD14" s="368"/>
      <c r="LE14" s="368"/>
      <c r="LF14" s="368"/>
      <c r="LG14" s="368"/>
      <c r="LH14" s="368"/>
      <c r="LI14" s="368"/>
      <c r="LJ14" s="368"/>
      <c r="LK14" s="368"/>
      <c r="LL14" s="368"/>
      <c r="LM14" s="368"/>
      <c r="LN14" s="368"/>
      <c r="LO14" s="368"/>
      <c r="LP14" s="368"/>
      <c r="LQ14" s="368"/>
      <c r="LR14" s="368"/>
      <c r="LS14" s="368"/>
      <c r="LT14" s="368"/>
      <c r="LU14" s="368"/>
      <c r="LV14" s="368"/>
      <c r="LW14" s="368"/>
      <c r="LX14" s="368"/>
      <c r="LY14" s="368"/>
      <c r="LZ14" s="368"/>
      <c r="MA14" s="368"/>
      <c r="MB14" s="368"/>
      <c r="MC14" s="368"/>
      <c r="MD14" s="368"/>
      <c r="ME14" s="368"/>
      <c r="MF14" s="368"/>
      <c r="MG14" s="368"/>
      <c r="MH14" s="368"/>
      <c r="MI14" s="368"/>
      <c r="MJ14" s="368"/>
      <c r="MK14" s="368"/>
      <c r="ML14" s="368"/>
      <c r="MM14" s="368"/>
      <c r="MN14" s="368"/>
      <c r="MO14" s="368"/>
      <c r="MP14" s="368"/>
      <c r="MQ14" s="368"/>
      <c r="MR14" s="368"/>
      <c r="MS14" s="368"/>
      <c r="MT14" s="368"/>
      <c r="MU14" s="368"/>
      <c r="MV14" s="368"/>
      <c r="MW14" s="368"/>
      <c r="MX14" s="368"/>
      <c r="MY14" s="368"/>
      <c r="MZ14" s="368"/>
      <c r="NA14" s="368"/>
      <c r="NB14" s="368"/>
      <c r="NC14" s="368"/>
      <c r="ND14" s="368"/>
      <c r="NE14" s="368"/>
      <c r="NF14" s="368"/>
      <c r="NG14" s="368"/>
      <c r="NH14" s="368"/>
      <c r="NI14" s="368"/>
      <c r="NJ14" s="368"/>
      <c r="NK14" s="368"/>
      <c r="NL14" s="368"/>
      <c r="NM14" s="368"/>
      <c r="NN14" s="368"/>
      <c r="NO14" s="368"/>
      <c r="NP14" s="368"/>
      <c r="NQ14" s="368"/>
      <c r="NR14" s="368"/>
      <c r="NS14" s="368"/>
      <c r="NT14" s="368"/>
      <c r="NU14" s="368"/>
      <c r="NV14" s="368"/>
      <c r="NW14" s="368"/>
      <c r="NX14" s="368"/>
      <c r="NY14" s="368"/>
      <c r="NZ14" s="368"/>
      <c r="OA14" s="368"/>
      <c r="OB14" s="368"/>
      <c r="OC14" s="368"/>
      <c r="OD14" s="368"/>
      <c r="OE14" s="368"/>
      <c r="OF14" s="368"/>
      <c r="OG14" s="368"/>
      <c r="OH14" s="368"/>
      <c r="OI14" s="368"/>
      <c r="OJ14" s="368"/>
      <c r="OK14" s="368"/>
      <c r="OL14" s="368"/>
      <c r="OM14" s="368"/>
      <c r="ON14" s="368"/>
      <c r="OO14" s="368"/>
      <c r="OP14" s="368"/>
      <c r="OQ14" s="368"/>
      <c r="OR14" s="368"/>
      <c r="OS14" s="368"/>
      <c r="OT14" s="368"/>
      <c r="OU14" s="368"/>
      <c r="OV14" s="368"/>
      <c r="OW14" s="368"/>
      <c r="OX14" s="368"/>
      <c r="OY14" s="368"/>
      <c r="OZ14" s="368"/>
      <c r="PA14" s="368"/>
      <c r="PB14" s="368"/>
      <c r="PC14" s="368"/>
      <c r="PD14" s="368"/>
      <c r="PE14" s="368"/>
      <c r="PF14" s="368"/>
      <c r="PG14" s="368"/>
      <c r="PH14" s="368"/>
      <c r="PI14" s="368"/>
      <c r="PJ14" s="368"/>
      <c r="PK14" s="368"/>
      <c r="PL14" s="368"/>
      <c r="PM14" s="368"/>
      <c r="PN14" s="368"/>
      <c r="PO14" s="368"/>
      <c r="PP14" s="368"/>
      <c r="PQ14" s="368"/>
      <c r="PR14" s="368"/>
      <c r="PS14" s="368"/>
      <c r="PT14" s="368"/>
      <c r="PU14" s="368"/>
      <c r="PV14" s="368"/>
      <c r="PW14" s="368"/>
      <c r="PX14" s="368"/>
      <c r="PY14" s="368"/>
      <c r="PZ14" s="368"/>
      <c r="QA14" s="368"/>
      <c r="QB14" s="368"/>
      <c r="QC14" s="368"/>
      <c r="QD14" s="368"/>
      <c r="QE14" s="368"/>
      <c r="QF14" s="368"/>
      <c r="QG14" s="368"/>
      <c r="QH14" s="368"/>
      <c r="QI14" s="368"/>
      <c r="QJ14" s="368"/>
      <c r="QK14" s="368"/>
      <c r="QL14" s="368"/>
      <c r="QM14" s="368"/>
      <c r="QN14" s="368"/>
      <c r="QO14" s="368"/>
      <c r="QP14" s="368"/>
      <c r="QQ14" s="368"/>
      <c r="QR14" s="368"/>
      <c r="QS14" s="368"/>
      <c r="QT14" s="368"/>
      <c r="QU14" s="368"/>
      <c r="QV14" s="368"/>
      <c r="QW14" s="368"/>
      <c r="QX14" s="368"/>
      <c r="QY14" s="368"/>
      <c r="QZ14" s="368"/>
      <c r="RA14" s="368"/>
      <c r="RB14" s="368"/>
      <c r="RC14" s="368"/>
      <c r="RD14" s="368"/>
      <c r="RE14" s="368"/>
      <c r="RF14" s="368"/>
      <c r="RG14" s="368"/>
      <c r="RH14" s="368"/>
      <c r="RI14" s="368"/>
      <c r="RJ14" s="368"/>
      <c r="RK14" s="368"/>
      <c r="RL14" s="368"/>
      <c r="RM14" s="368"/>
      <c r="RN14" s="368"/>
      <c r="RO14" s="368"/>
      <c r="RP14" s="368"/>
      <c r="RQ14" s="368"/>
      <c r="RR14" s="368"/>
      <c r="RS14" s="368"/>
      <c r="RT14" s="368"/>
      <c r="RU14" s="368"/>
      <c r="RV14" s="368"/>
      <c r="RW14" s="368"/>
      <c r="RX14" s="368"/>
      <c r="RY14" s="368"/>
      <c r="RZ14" s="368"/>
      <c r="SA14" s="368"/>
      <c r="SB14" s="368"/>
      <c r="SC14" s="368"/>
      <c r="SD14" s="368"/>
      <c r="SE14" s="368"/>
      <c r="SF14" s="368"/>
      <c r="SG14" s="368"/>
      <c r="SH14" s="368"/>
      <c r="SI14" s="368"/>
      <c r="SJ14" s="368"/>
      <c r="SK14" s="368"/>
      <c r="SL14" s="368"/>
      <c r="SM14" s="368"/>
      <c r="SN14" s="368"/>
      <c r="SO14" s="368"/>
      <c r="SP14" s="368"/>
      <c r="SQ14" s="368"/>
      <c r="SR14" s="368"/>
      <c r="SS14" s="368"/>
      <c r="ST14" s="368"/>
      <c r="SU14" s="368"/>
      <c r="SV14" s="368"/>
      <c r="SW14" s="368"/>
      <c r="SX14" s="368"/>
      <c r="SY14" s="368"/>
      <c r="SZ14" s="368"/>
      <c r="TA14" s="368"/>
      <c r="TB14" s="368"/>
      <c r="TC14" s="368"/>
      <c r="TD14" s="368"/>
      <c r="TE14" s="368"/>
      <c r="TF14" s="368"/>
      <c r="TG14" s="368"/>
      <c r="TH14" s="368"/>
      <c r="TI14" s="368"/>
      <c r="TJ14" s="368"/>
      <c r="TK14" s="368"/>
      <c r="TL14" s="368"/>
      <c r="TM14" s="368"/>
      <c r="TN14" s="368"/>
      <c r="TO14" s="368"/>
      <c r="TP14" s="368"/>
      <c r="TQ14" s="368"/>
      <c r="TR14" s="368"/>
      <c r="TS14" s="368"/>
      <c r="TT14" s="368"/>
      <c r="TU14" s="368"/>
      <c r="TV14" s="368"/>
      <c r="TW14" s="368"/>
      <c r="TX14" s="368"/>
      <c r="TY14" s="368"/>
      <c r="TZ14" s="368"/>
      <c r="UA14" s="368"/>
      <c r="UB14" s="368"/>
      <c r="UC14" s="368"/>
      <c r="UD14" s="368"/>
      <c r="UE14" s="368"/>
      <c r="UF14" s="368"/>
      <c r="UG14" s="368"/>
      <c r="UH14" s="368"/>
      <c r="UI14" s="368"/>
      <c r="UJ14" s="368"/>
      <c r="UK14" s="368"/>
      <c r="UL14" s="368"/>
      <c r="UM14" s="368"/>
      <c r="UN14" s="368"/>
      <c r="UO14" s="368"/>
      <c r="UP14" s="368"/>
      <c r="UQ14" s="368"/>
      <c r="UR14" s="368"/>
      <c r="US14" s="368"/>
      <c r="UT14" s="368"/>
      <c r="UU14" s="368"/>
      <c r="UV14" s="368"/>
      <c r="UW14" s="368"/>
      <c r="UX14" s="368"/>
      <c r="UY14" s="368"/>
      <c r="UZ14" s="368"/>
      <c r="VA14" s="368"/>
      <c r="VB14" s="368"/>
      <c r="VC14" s="368"/>
      <c r="VD14" s="368"/>
      <c r="VE14" s="368"/>
      <c r="VF14" s="368"/>
      <c r="VG14" s="368"/>
      <c r="VH14" s="368"/>
      <c r="VI14" s="368"/>
      <c r="VJ14" s="368"/>
      <c r="VK14" s="368"/>
      <c r="VL14" s="368"/>
      <c r="VM14" s="368"/>
      <c r="VN14" s="368"/>
      <c r="VO14" s="368"/>
      <c r="VP14" s="368"/>
      <c r="VQ14" s="368"/>
      <c r="VR14" s="368"/>
      <c r="VS14" s="368"/>
      <c r="VT14" s="368"/>
      <c r="VU14" s="368"/>
      <c r="VV14" s="368"/>
      <c r="VW14" s="368"/>
      <c r="VX14" s="368"/>
      <c r="VY14" s="368"/>
      <c r="VZ14" s="368"/>
      <c r="WA14" s="368"/>
      <c r="WB14" s="368"/>
      <c r="WC14" s="368"/>
      <c r="WD14" s="368"/>
      <c r="WE14" s="368"/>
      <c r="WF14" s="368"/>
      <c r="WG14" s="368"/>
      <c r="WH14" s="368"/>
      <c r="WI14" s="368"/>
      <c r="WJ14" s="368"/>
      <c r="WK14" s="368"/>
      <c r="WL14" s="368"/>
      <c r="WM14" s="368"/>
      <c r="WN14" s="368"/>
      <c r="WO14" s="368"/>
      <c r="WP14" s="368"/>
      <c r="WQ14" s="368"/>
      <c r="WR14" s="368"/>
      <c r="WS14" s="368"/>
      <c r="WT14" s="368"/>
      <c r="WU14" s="368"/>
      <c r="WV14" s="368"/>
      <c r="WW14" s="368"/>
      <c r="WX14" s="368"/>
      <c r="WY14" s="368"/>
      <c r="WZ14" s="368"/>
      <c r="XA14" s="368"/>
      <c r="XB14" s="368"/>
      <c r="XC14" s="368"/>
      <c r="XD14" s="368"/>
      <c r="XE14" s="368"/>
      <c r="XF14" s="368"/>
      <c r="XG14" s="368"/>
      <c r="XH14" s="368"/>
      <c r="XI14" s="368"/>
      <c r="XJ14" s="368"/>
      <c r="XK14" s="368"/>
      <c r="XL14" s="368"/>
      <c r="XM14" s="368"/>
      <c r="XN14" s="368"/>
      <c r="XO14" s="368"/>
      <c r="XP14" s="368"/>
      <c r="XQ14" s="368"/>
      <c r="XR14" s="368"/>
      <c r="XS14" s="368"/>
      <c r="XT14" s="368"/>
      <c r="XU14" s="368"/>
      <c r="XV14" s="368"/>
      <c r="XW14" s="368"/>
      <c r="XX14" s="368"/>
      <c r="XY14" s="368"/>
      <c r="XZ14" s="368"/>
      <c r="YA14" s="368"/>
      <c r="YB14" s="368"/>
      <c r="YC14" s="368"/>
      <c r="YD14" s="368"/>
      <c r="YE14" s="368"/>
      <c r="YF14" s="368"/>
      <c r="YG14" s="368"/>
      <c r="YH14" s="368"/>
      <c r="YI14" s="368"/>
      <c r="YJ14" s="368"/>
      <c r="YK14" s="368"/>
      <c r="YL14" s="368"/>
      <c r="YM14" s="368"/>
      <c r="YN14" s="368"/>
      <c r="YO14" s="368"/>
      <c r="YP14" s="368"/>
      <c r="YQ14" s="368"/>
      <c r="YR14" s="368"/>
      <c r="YS14" s="368"/>
      <c r="YT14" s="368"/>
      <c r="YU14" s="368"/>
      <c r="YV14" s="368"/>
      <c r="YW14" s="368"/>
      <c r="YX14" s="368"/>
      <c r="YY14" s="368"/>
      <c r="YZ14" s="368"/>
      <c r="ZA14" s="368"/>
      <c r="ZB14" s="368"/>
      <c r="ZC14" s="368"/>
      <c r="ZD14" s="368"/>
      <c r="ZE14" s="368"/>
      <c r="ZF14" s="368"/>
      <c r="ZG14" s="368"/>
      <c r="ZH14" s="368"/>
      <c r="ZI14" s="368"/>
      <c r="ZJ14" s="368"/>
      <c r="ZK14" s="368"/>
      <c r="ZL14" s="368"/>
      <c r="ZM14" s="368"/>
      <c r="ZN14" s="368"/>
      <c r="ZO14" s="368"/>
      <c r="ZP14" s="368"/>
      <c r="ZQ14" s="368"/>
      <c r="ZR14" s="368"/>
      <c r="ZS14" s="368"/>
      <c r="ZT14" s="368"/>
      <c r="ZU14" s="368"/>
      <c r="ZV14" s="368"/>
      <c r="ZW14" s="368"/>
      <c r="ZX14" s="368"/>
      <c r="ZY14" s="368"/>
      <c r="ZZ14" s="368"/>
      <c r="AAA14" s="368"/>
      <c r="AAB14" s="368"/>
      <c r="AAC14" s="368"/>
      <c r="AAD14" s="368"/>
      <c r="AAE14" s="368"/>
      <c r="AAF14" s="368"/>
      <c r="AAG14" s="368"/>
      <c r="AAH14" s="368"/>
      <c r="AAI14" s="368"/>
      <c r="AAJ14" s="368"/>
      <c r="AAK14" s="368"/>
      <c r="AAL14" s="368"/>
      <c r="AAM14" s="368"/>
      <c r="AAN14" s="368"/>
      <c r="AAO14" s="368"/>
      <c r="AAP14" s="368"/>
      <c r="AAQ14" s="368"/>
      <c r="AAR14" s="368"/>
      <c r="AAS14" s="368"/>
      <c r="AAT14" s="368"/>
      <c r="AAU14" s="368"/>
      <c r="AAV14" s="368"/>
      <c r="AAW14" s="368"/>
      <c r="AAX14" s="368"/>
      <c r="AAY14" s="368"/>
      <c r="AAZ14" s="368"/>
      <c r="ABA14" s="368"/>
      <c r="ABB14" s="368"/>
      <c r="ABC14" s="368"/>
      <c r="ABD14" s="368"/>
      <c r="ABE14" s="368"/>
      <c r="ABF14" s="368"/>
      <c r="ABG14" s="368"/>
      <c r="ABH14" s="368"/>
      <c r="ABI14" s="368"/>
      <c r="ABJ14" s="368"/>
      <c r="ABK14" s="368"/>
      <c r="ABL14" s="368"/>
      <c r="ABM14" s="368"/>
      <c r="ABN14" s="368"/>
      <c r="ABO14" s="368"/>
      <c r="ABP14" s="368"/>
      <c r="ABQ14" s="368"/>
      <c r="ABR14" s="368"/>
      <c r="ABS14" s="368"/>
      <c r="ABT14" s="368"/>
      <c r="ABU14" s="368"/>
      <c r="ABV14" s="368"/>
      <c r="ABW14" s="368"/>
      <c r="ABX14" s="368"/>
      <c r="ABY14" s="368"/>
      <c r="ABZ14" s="368"/>
      <c r="ACA14" s="368"/>
      <c r="ACB14" s="368"/>
      <c r="ACC14" s="368"/>
      <c r="ACD14" s="368"/>
      <c r="ACE14" s="368"/>
      <c r="ACF14" s="368"/>
      <c r="ACG14" s="368"/>
      <c r="ACH14" s="368"/>
      <c r="ACI14" s="368"/>
      <c r="ACJ14" s="368"/>
      <c r="ACK14" s="368"/>
      <c r="ACL14" s="368"/>
      <c r="ACM14" s="368"/>
      <c r="ACN14" s="368"/>
      <c r="ACO14" s="368"/>
      <c r="ACP14" s="368"/>
      <c r="ACQ14" s="368"/>
      <c r="ACR14" s="368"/>
      <c r="ACS14" s="368"/>
      <c r="ACT14" s="368"/>
      <c r="ACU14" s="368"/>
      <c r="ACV14" s="368"/>
      <c r="ACW14" s="368"/>
      <c r="ACX14" s="368"/>
      <c r="ACY14" s="368"/>
      <c r="ACZ14" s="368"/>
      <c r="ADA14" s="368"/>
      <c r="ADB14" s="368"/>
      <c r="ADC14" s="368"/>
      <c r="ADD14" s="368"/>
      <c r="ADE14" s="368"/>
      <c r="ADF14" s="368"/>
      <c r="ADG14" s="368"/>
      <c r="ADH14" s="368"/>
      <c r="ADI14" s="368"/>
      <c r="ADJ14" s="368"/>
      <c r="ADK14" s="368"/>
      <c r="ADL14" s="368"/>
      <c r="ADM14" s="368"/>
      <c r="ADN14" s="368"/>
      <c r="ADO14" s="368"/>
      <c r="ADP14" s="368"/>
      <c r="ADQ14" s="368"/>
      <c r="ADR14" s="368"/>
      <c r="ADS14" s="368"/>
      <c r="ADT14" s="368"/>
      <c r="ADU14" s="368"/>
      <c r="ADV14" s="368"/>
      <c r="ADW14" s="368"/>
      <c r="ADX14" s="368"/>
      <c r="ADY14" s="368"/>
      <c r="ADZ14" s="368"/>
      <c r="AEA14" s="368"/>
      <c r="AEB14" s="368"/>
      <c r="AEC14" s="368"/>
      <c r="AED14" s="368"/>
      <c r="AEE14" s="368"/>
      <c r="AEF14" s="368"/>
      <c r="AEG14" s="368"/>
      <c r="AEH14" s="368"/>
      <c r="AEI14" s="368"/>
      <c r="AEJ14" s="368"/>
      <c r="AEK14" s="368"/>
      <c r="AEL14" s="368"/>
      <c r="AEM14" s="368"/>
      <c r="AEN14" s="368"/>
      <c r="AEO14" s="368"/>
      <c r="AEP14" s="368"/>
      <c r="AEQ14" s="368"/>
      <c r="AER14" s="368"/>
      <c r="AES14" s="368"/>
      <c r="AET14" s="368"/>
      <c r="AEU14" s="368"/>
      <c r="AEV14" s="368"/>
      <c r="AEW14" s="368"/>
      <c r="AEX14" s="368"/>
      <c r="AEY14" s="368"/>
      <c r="AEZ14" s="368"/>
      <c r="AFA14" s="368"/>
      <c r="AFB14" s="368"/>
      <c r="AFC14" s="368"/>
      <c r="AFD14" s="368"/>
      <c r="AFE14" s="368"/>
      <c r="AFF14" s="368"/>
      <c r="AFG14" s="368"/>
      <c r="AFH14" s="368"/>
      <c r="AFI14" s="368"/>
      <c r="AFJ14" s="368"/>
      <c r="AFK14" s="368"/>
      <c r="AFL14" s="368"/>
      <c r="AFM14" s="368"/>
      <c r="AFN14" s="368"/>
      <c r="AFO14" s="368"/>
      <c r="AFP14" s="368"/>
      <c r="AFQ14" s="368"/>
      <c r="AFR14" s="368"/>
      <c r="AFS14" s="368"/>
      <c r="AFT14" s="368"/>
      <c r="AFU14" s="368"/>
      <c r="AFV14" s="368"/>
      <c r="AFW14" s="368"/>
      <c r="AFX14" s="368"/>
      <c r="AFY14" s="368"/>
      <c r="AFZ14" s="368"/>
      <c r="AGA14" s="368"/>
      <c r="AGB14" s="368"/>
      <c r="AGC14" s="368"/>
      <c r="AGD14" s="368"/>
      <c r="AGE14" s="368"/>
      <c r="AGF14" s="368"/>
      <c r="AGG14" s="368"/>
      <c r="AGH14" s="368"/>
      <c r="AGI14" s="368"/>
      <c r="AGJ14" s="368"/>
      <c r="AGK14" s="368"/>
      <c r="AGL14" s="368"/>
      <c r="AGM14" s="368"/>
      <c r="AGN14" s="368"/>
      <c r="AGO14" s="368"/>
      <c r="AGP14" s="368"/>
      <c r="AGQ14" s="368"/>
      <c r="AGR14" s="368"/>
      <c r="AGS14" s="368"/>
      <c r="AGT14" s="368"/>
      <c r="AGU14" s="368"/>
      <c r="AGV14" s="368"/>
      <c r="AGW14" s="368"/>
      <c r="AGX14" s="368"/>
      <c r="AGY14" s="368"/>
      <c r="AGZ14" s="368"/>
      <c r="AHA14" s="368"/>
      <c r="AHB14" s="368"/>
      <c r="AHC14" s="368"/>
      <c r="AHD14" s="368"/>
      <c r="AHE14" s="368"/>
      <c r="AHF14" s="368"/>
      <c r="AHG14" s="368"/>
      <c r="AHH14" s="368"/>
      <c r="AHI14" s="368"/>
      <c r="AHJ14" s="368"/>
      <c r="AHK14" s="368"/>
      <c r="AHL14" s="368"/>
      <c r="AHM14" s="368"/>
      <c r="AHN14" s="368"/>
      <c r="AHO14" s="368"/>
      <c r="AHP14" s="368"/>
      <c r="AHQ14" s="368"/>
      <c r="AHR14" s="368"/>
      <c r="AHS14" s="368"/>
      <c r="AHT14" s="368"/>
      <c r="AHU14" s="368"/>
      <c r="AHV14" s="368"/>
      <c r="AHW14" s="368"/>
      <c r="AHX14" s="368"/>
      <c r="AHY14" s="368"/>
      <c r="AHZ14" s="368"/>
      <c r="AIA14" s="368"/>
      <c r="AIB14" s="368"/>
      <c r="AIC14" s="368"/>
      <c r="AID14" s="368"/>
      <c r="AIE14" s="368"/>
      <c r="AIF14" s="368"/>
      <c r="AIG14" s="368"/>
      <c r="AIH14" s="368"/>
      <c r="AII14" s="368"/>
      <c r="AIJ14" s="368"/>
      <c r="AIK14" s="368"/>
      <c r="AIL14" s="368"/>
      <c r="AIM14" s="368"/>
      <c r="AIN14" s="368"/>
      <c r="AIO14" s="368"/>
      <c r="AIP14" s="368"/>
      <c r="AIQ14" s="368"/>
      <c r="AIR14" s="368"/>
      <c r="AIS14" s="368"/>
      <c r="AIT14" s="368"/>
      <c r="AIU14" s="368"/>
      <c r="AIV14" s="368"/>
      <c r="AIW14" s="368"/>
      <c r="AIX14" s="368"/>
      <c r="AIY14" s="368"/>
      <c r="AIZ14" s="368"/>
      <c r="AJA14" s="368"/>
      <c r="AJB14" s="368"/>
      <c r="AJC14" s="368"/>
      <c r="AJD14" s="368"/>
      <c r="AJE14" s="368"/>
      <c r="AJF14" s="368"/>
      <c r="AJG14" s="368"/>
      <c r="AJH14" s="368"/>
      <c r="AJI14" s="368"/>
      <c r="AJJ14" s="368"/>
      <c r="AJK14" s="368"/>
      <c r="AJL14" s="368"/>
      <c r="AJM14" s="368"/>
      <c r="AJN14" s="368"/>
      <c r="AJO14" s="368"/>
      <c r="AJP14" s="368"/>
      <c r="AJQ14" s="368"/>
      <c r="AJR14" s="368"/>
      <c r="AJS14" s="368"/>
      <c r="AJT14" s="368"/>
      <c r="AJU14" s="368"/>
      <c r="AJV14" s="368"/>
      <c r="AJW14" s="368"/>
      <c r="AJX14" s="368"/>
      <c r="AJY14" s="368"/>
      <c r="AJZ14" s="368"/>
      <c r="AKA14" s="368"/>
      <c r="AKB14" s="368"/>
      <c r="AKC14" s="368"/>
      <c r="AKD14" s="368"/>
      <c r="AKE14" s="368"/>
      <c r="AKF14" s="368"/>
      <c r="AKG14" s="368"/>
      <c r="AKH14" s="368"/>
      <c r="AKI14" s="368"/>
      <c r="AKJ14" s="368"/>
      <c r="AKK14" s="368"/>
      <c r="AKL14" s="368"/>
      <c r="AKM14" s="368"/>
      <c r="AKN14" s="368"/>
    </row>
    <row r="15" spans="1:976" s="357" customFormat="1" ht="22.5" customHeight="1" x14ac:dyDescent="0.2">
      <c r="A15" s="413" t="s">
        <v>262</v>
      </c>
      <c r="B15" s="413"/>
      <c r="C15" s="413" t="s">
        <v>221</v>
      </c>
      <c r="D15" s="413" t="s">
        <v>222</v>
      </c>
      <c r="E15" s="414">
        <v>403109</v>
      </c>
      <c r="F15" s="414">
        <v>221</v>
      </c>
      <c r="G15" s="414">
        <v>30</v>
      </c>
      <c r="H15" s="414">
        <v>0</v>
      </c>
      <c r="I15" s="415">
        <v>45709</v>
      </c>
      <c r="J15" s="413" t="s">
        <v>290</v>
      </c>
      <c r="K15" s="413" t="s">
        <v>314</v>
      </c>
      <c r="L15" s="416">
        <v>53.23</v>
      </c>
      <c r="M15" s="416">
        <v>2.93</v>
      </c>
      <c r="N15" s="446">
        <v>56.16</v>
      </c>
      <c r="O15" s="413"/>
      <c r="P15" s="417">
        <v>45714</v>
      </c>
      <c r="Q15" s="416">
        <v>56.16</v>
      </c>
      <c r="R15" s="413" t="s">
        <v>315</v>
      </c>
      <c r="S15" s="416">
        <v>0</v>
      </c>
      <c r="T15" s="416">
        <v>0</v>
      </c>
      <c r="U15" s="416">
        <v>0</v>
      </c>
      <c r="V15" s="416">
        <v>0</v>
      </c>
      <c r="W15" s="413"/>
      <c r="X15" s="413" t="s">
        <v>308</v>
      </c>
      <c r="Y15" s="413" t="s">
        <v>309</v>
      </c>
      <c r="Z15" s="413" t="s">
        <v>42</v>
      </c>
      <c r="AA15" s="413" t="s">
        <v>228</v>
      </c>
      <c r="AB15" s="413" t="s">
        <v>34</v>
      </c>
      <c r="AC15" s="413" t="s">
        <v>50</v>
      </c>
      <c r="AD15" s="413" t="s">
        <v>231</v>
      </c>
      <c r="AE15" s="413" t="s">
        <v>232</v>
      </c>
      <c r="AF15" s="413" t="s">
        <v>231</v>
      </c>
      <c r="AG15" s="413" t="s">
        <v>232</v>
      </c>
      <c r="AH15" s="413"/>
      <c r="AI15" s="413"/>
      <c r="AJ15" s="413"/>
      <c r="AK15" s="413" t="s">
        <v>316</v>
      </c>
      <c r="AL15" s="414">
        <v>1</v>
      </c>
      <c r="AM15" s="414">
        <v>0</v>
      </c>
      <c r="AN15" s="415">
        <v>45714</v>
      </c>
      <c r="AO15" s="415">
        <v>45713</v>
      </c>
      <c r="AP15" s="416">
        <v>56.16</v>
      </c>
      <c r="AQ15" s="415">
        <v>45712</v>
      </c>
      <c r="AR15" s="368"/>
      <c r="AS15" s="368"/>
      <c r="AT15" s="368"/>
      <c r="AU15" s="368"/>
      <c r="AV15" s="368"/>
      <c r="AW15" s="368"/>
      <c r="AX15" s="368"/>
      <c r="AY15" s="368"/>
      <c r="AZ15" s="368"/>
      <c r="BA15" s="368"/>
      <c r="BB15" s="368"/>
      <c r="BC15" s="368"/>
      <c r="BD15" s="368"/>
      <c r="BE15" s="368"/>
      <c r="BF15" s="368"/>
      <c r="BG15" s="368"/>
      <c r="BH15" s="368"/>
      <c r="BI15" s="368"/>
      <c r="BJ15" s="368"/>
      <c r="BK15" s="368"/>
      <c r="BL15" s="368"/>
      <c r="BM15" s="368"/>
      <c r="BN15" s="368"/>
      <c r="BO15" s="368"/>
      <c r="BP15" s="368"/>
      <c r="BQ15" s="368"/>
      <c r="BR15" s="368"/>
      <c r="BS15" s="368"/>
      <c r="BT15" s="368"/>
      <c r="BU15" s="368"/>
      <c r="BV15" s="368"/>
      <c r="BW15" s="368"/>
      <c r="BX15" s="368"/>
      <c r="BY15" s="368"/>
      <c r="BZ15" s="368"/>
      <c r="CA15" s="368"/>
      <c r="CB15" s="368"/>
      <c r="CC15" s="368"/>
      <c r="CD15" s="368"/>
      <c r="CE15" s="368"/>
      <c r="CF15" s="368"/>
      <c r="CG15" s="368"/>
      <c r="CH15" s="368"/>
      <c r="CI15" s="368"/>
      <c r="CJ15" s="368"/>
      <c r="CK15" s="368"/>
      <c r="CL15" s="368"/>
      <c r="CM15" s="368"/>
      <c r="CN15" s="368"/>
      <c r="CO15" s="368"/>
      <c r="CP15" s="368"/>
      <c r="CQ15" s="368"/>
      <c r="CR15" s="368"/>
      <c r="CS15" s="368"/>
      <c r="CT15" s="368"/>
      <c r="CU15" s="368"/>
      <c r="CV15" s="368"/>
      <c r="CW15" s="368"/>
      <c r="CX15" s="368"/>
      <c r="CY15" s="368"/>
      <c r="CZ15" s="368"/>
      <c r="DA15" s="368"/>
      <c r="DB15" s="368"/>
      <c r="DC15" s="368"/>
      <c r="DD15" s="368"/>
      <c r="DE15" s="368"/>
      <c r="DF15" s="368"/>
      <c r="DG15" s="368"/>
      <c r="DH15" s="368"/>
      <c r="DI15" s="368"/>
      <c r="DJ15" s="368"/>
      <c r="DK15" s="368"/>
      <c r="DL15" s="368"/>
      <c r="DM15" s="368"/>
      <c r="DN15" s="368"/>
      <c r="DO15" s="368"/>
      <c r="DP15" s="368"/>
      <c r="DQ15" s="368"/>
      <c r="DR15" s="368"/>
      <c r="DS15" s="368"/>
      <c r="DT15" s="368"/>
      <c r="DU15" s="368"/>
      <c r="DV15" s="368"/>
      <c r="DW15" s="368"/>
      <c r="DX15" s="368"/>
      <c r="DY15" s="368"/>
      <c r="DZ15" s="368"/>
      <c r="EA15" s="368"/>
      <c r="EB15" s="368"/>
      <c r="EC15" s="368"/>
      <c r="ED15" s="368"/>
      <c r="EE15" s="368"/>
      <c r="EF15" s="368"/>
      <c r="EG15" s="368"/>
      <c r="EH15" s="368"/>
      <c r="EI15" s="368"/>
      <c r="EJ15" s="368"/>
      <c r="EK15" s="368"/>
      <c r="EL15" s="368"/>
      <c r="EM15" s="368"/>
      <c r="EN15" s="368"/>
      <c r="EO15" s="368"/>
      <c r="EP15" s="368"/>
      <c r="EQ15" s="368"/>
      <c r="ER15" s="368"/>
      <c r="ES15" s="368"/>
      <c r="ET15" s="368"/>
      <c r="EU15" s="368"/>
      <c r="EV15" s="368"/>
      <c r="EW15" s="368"/>
      <c r="EX15" s="368"/>
      <c r="EY15" s="368"/>
      <c r="EZ15" s="368"/>
      <c r="FA15" s="368"/>
      <c r="FB15" s="368"/>
      <c r="FC15" s="368"/>
      <c r="FD15" s="368"/>
      <c r="FE15" s="368"/>
      <c r="FF15" s="368"/>
      <c r="FG15" s="368"/>
      <c r="FH15" s="368"/>
      <c r="FI15" s="368"/>
      <c r="FJ15" s="368"/>
      <c r="FK15" s="368"/>
      <c r="FL15" s="368"/>
      <c r="FM15" s="368"/>
      <c r="FN15" s="368"/>
      <c r="FO15" s="368"/>
      <c r="FP15" s="368"/>
      <c r="FQ15" s="368"/>
      <c r="FR15" s="368"/>
      <c r="FS15" s="368"/>
      <c r="FT15" s="368"/>
      <c r="FU15" s="368"/>
      <c r="FV15" s="368"/>
      <c r="FW15" s="368"/>
      <c r="FX15" s="368"/>
      <c r="FY15" s="368"/>
      <c r="FZ15" s="368"/>
      <c r="GA15" s="368"/>
      <c r="GB15" s="368"/>
      <c r="GC15" s="368"/>
      <c r="GD15" s="368"/>
      <c r="GE15" s="368"/>
      <c r="GF15" s="368"/>
      <c r="GG15" s="368"/>
      <c r="GH15" s="368"/>
      <c r="GI15" s="368"/>
      <c r="GJ15" s="368"/>
      <c r="GK15" s="368"/>
      <c r="GL15" s="368"/>
      <c r="GM15" s="368"/>
      <c r="GN15" s="368"/>
      <c r="GO15" s="368"/>
      <c r="GP15" s="368"/>
      <c r="GQ15" s="368"/>
      <c r="GR15" s="368"/>
      <c r="GS15" s="368"/>
      <c r="GT15" s="368"/>
      <c r="GU15" s="368"/>
      <c r="GV15" s="368"/>
      <c r="GW15" s="368"/>
      <c r="GX15" s="368"/>
      <c r="GY15" s="368"/>
      <c r="GZ15" s="368"/>
      <c r="HA15" s="368"/>
      <c r="HB15" s="368"/>
      <c r="HC15" s="368"/>
      <c r="HD15" s="368"/>
      <c r="HE15" s="368"/>
      <c r="HF15" s="368"/>
      <c r="HG15" s="368"/>
      <c r="HH15" s="368"/>
      <c r="HI15" s="368"/>
      <c r="HJ15" s="368"/>
      <c r="HK15" s="368"/>
      <c r="HL15" s="368"/>
      <c r="HM15" s="368"/>
      <c r="HN15" s="368"/>
      <c r="HO15" s="368"/>
      <c r="HP15" s="368"/>
      <c r="HQ15" s="368"/>
      <c r="HR15" s="368"/>
      <c r="HS15" s="368"/>
      <c r="HT15" s="368"/>
      <c r="HU15" s="368"/>
      <c r="HV15" s="368"/>
      <c r="HW15" s="368"/>
      <c r="HX15" s="368"/>
      <c r="HY15" s="368"/>
      <c r="HZ15" s="368"/>
      <c r="IA15" s="368"/>
      <c r="IB15" s="368"/>
      <c r="IC15" s="368"/>
      <c r="ID15" s="368"/>
      <c r="IE15" s="368"/>
      <c r="IF15" s="368"/>
      <c r="IG15" s="368"/>
      <c r="IH15" s="368"/>
      <c r="II15" s="368"/>
      <c r="IJ15" s="368"/>
      <c r="IK15" s="368"/>
      <c r="IL15" s="368"/>
      <c r="IM15" s="368"/>
      <c r="IN15" s="368"/>
      <c r="IO15" s="368"/>
      <c r="IP15" s="368"/>
      <c r="IQ15" s="368"/>
      <c r="IR15" s="368"/>
      <c r="IS15" s="368"/>
      <c r="IT15" s="368"/>
      <c r="IU15" s="368"/>
      <c r="IV15" s="368"/>
      <c r="IW15" s="368"/>
      <c r="IX15" s="368"/>
      <c r="IY15" s="368"/>
      <c r="IZ15" s="368"/>
      <c r="JA15" s="368"/>
      <c r="JB15" s="368"/>
      <c r="JC15" s="368"/>
      <c r="JD15" s="368"/>
      <c r="JE15" s="368"/>
      <c r="JF15" s="368"/>
      <c r="JG15" s="368"/>
      <c r="JH15" s="368"/>
      <c r="JI15" s="368"/>
      <c r="JJ15" s="368"/>
      <c r="JK15" s="368"/>
      <c r="JL15" s="368"/>
      <c r="JM15" s="368"/>
      <c r="JN15" s="368"/>
      <c r="JO15" s="368"/>
      <c r="JP15" s="368"/>
      <c r="JQ15" s="368"/>
      <c r="JR15" s="368"/>
      <c r="JS15" s="368"/>
      <c r="JT15" s="368"/>
      <c r="JU15" s="368"/>
      <c r="JV15" s="368"/>
      <c r="JW15" s="368"/>
      <c r="JX15" s="368"/>
      <c r="JY15" s="368"/>
      <c r="JZ15" s="368"/>
      <c r="KA15" s="368"/>
      <c r="KB15" s="368"/>
      <c r="KC15" s="368"/>
      <c r="KD15" s="368"/>
      <c r="KE15" s="368"/>
      <c r="KF15" s="368"/>
      <c r="KG15" s="368"/>
      <c r="KH15" s="368"/>
      <c r="KI15" s="368"/>
      <c r="KJ15" s="368"/>
      <c r="KK15" s="368"/>
      <c r="KL15" s="368"/>
      <c r="KM15" s="368"/>
      <c r="KN15" s="368"/>
      <c r="KO15" s="368"/>
      <c r="KP15" s="368"/>
      <c r="KQ15" s="368"/>
      <c r="KR15" s="368"/>
      <c r="KS15" s="368"/>
      <c r="KT15" s="368"/>
      <c r="KU15" s="368"/>
      <c r="KV15" s="368"/>
      <c r="KW15" s="368"/>
      <c r="KX15" s="368"/>
      <c r="KY15" s="368"/>
      <c r="KZ15" s="368"/>
      <c r="LA15" s="368"/>
      <c r="LB15" s="368"/>
      <c r="LC15" s="368"/>
      <c r="LD15" s="368"/>
      <c r="LE15" s="368"/>
      <c r="LF15" s="368"/>
      <c r="LG15" s="368"/>
      <c r="LH15" s="368"/>
      <c r="LI15" s="368"/>
      <c r="LJ15" s="368"/>
      <c r="LK15" s="368"/>
      <c r="LL15" s="368"/>
      <c r="LM15" s="368"/>
      <c r="LN15" s="368"/>
      <c r="LO15" s="368"/>
      <c r="LP15" s="368"/>
      <c r="LQ15" s="368"/>
      <c r="LR15" s="368"/>
      <c r="LS15" s="368"/>
      <c r="LT15" s="368"/>
      <c r="LU15" s="368"/>
      <c r="LV15" s="368"/>
      <c r="LW15" s="368"/>
      <c r="LX15" s="368"/>
      <c r="LY15" s="368"/>
      <c r="LZ15" s="368"/>
      <c r="MA15" s="368"/>
      <c r="MB15" s="368"/>
      <c r="MC15" s="368"/>
      <c r="MD15" s="368"/>
      <c r="ME15" s="368"/>
      <c r="MF15" s="368"/>
      <c r="MG15" s="368"/>
      <c r="MH15" s="368"/>
      <c r="MI15" s="368"/>
      <c r="MJ15" s="368"/>
      <c r="MK15" s="368"/>
      <c r="ML15" s="368"/>
      <c r="MM15" s="368"/>
      <c r="MN15" s="368"/>
      <c r="MO15" s="368"/>
      <c r="MP15" s="368"/>
      <c r="MQ15" s="368"/>
      <c r="MR15" s="368"/>
      <c r="MS15" s="368"/>
      <c r="MT15" s="368"/>
      <c r="MU15" s="368"/>
      <c r="MV15" s="368"/>
      <c r="MW15" s="368"/>
      <c r="MX15" s="368"/>
      <c r="MY15" s="368"/>
      <c r="MZ15" s="368"/>
      <c r="NA15" s="368"/>
      <c r="NB15" s="368"/>
      <c r="NC15" s="368"/>
      <c r="ND15" s="368"/>
      <c r="NE15" s="368"/>
      <c r="NF15" s="368"/>
      <c r="NG15" s="368"/>
      <c r="NH15" s="368"/>
      <c r="NI15" s="368"/>
      <c r="NJ15" s="368"/>
      <c r="NK15" s="368"/>
      <c r="NL15" s="368"/>
      <c r="NM15" s="368"/>
      <c r="NN15" s="368"/>
      <c r="NO15" s="368"/>
      <c r="NP15" s="368"/>
      <c r="NQ15" s="368"/>
      <c r="NR15" s="368"/>
      <c r="NS15" s="368"/>
      <c r="NT15" s="368"/>
      <c r="NU15" s="368"/>
      <c r="NV15" s="368"/>
      <c r="NW15" s="368"/>
      <c r="NX15" s="368"/>
      <c r="NY15" s="368"/>
      <c r="NZ15" s="368"/>
      <c r="OA15" s="368"/>
      <c r="OB15" s="368"/>
      <c r="OC15" s="368"/>
      <c r="OD15" s="368"/>
      <c r="OE15" s="368"/>
      <c r="OF15" s="368"/>
      <c r="OG15" s="368"/>
      <c r="OH15" s="368"/>
      <c r="OI15" s="368"/>
      <c r="OJ15" s="368"/>
      <c r="OK15" s="368"/>
      <c r="OL15" s="368"/>
      <c r="OM15" s="368"/>
      <c r="ON15" s="368"/>
      <c r="OO15" s="368"/>
      <c r="OP15" s="368"/>
      <c r="OQ15" s="368"/>
      <c r="OR15" s="368"/>
      <c r="OS15" s="368"/>
      <c r="OT15" s="368"/>
      <c r="OU15" s="368"/>
      <c r="OV15" s="368"/>
      <c r="OW15" s="368"/>
      <c r="OX15" s="368"/>
      <c r="OY15" s="368"/>
      <c r="OZ15" s="368"/>
      <c r="PA15" s="368"/>
      <c r="PB15" s="368"/>
      <c r="PC15" s="368"/>
      <c r="PD15" s="368"/>
      <c r="PE15" s="368"/>
      <c r="PF15" s="368"/>
      <c r="PG15" s="368"/>
      <c r="PH15" s="368"/>
      <c r="PI15" s="368"/>
      <c r="PJ15" s="368"/>
      <c r="PK15" s="368"/>
      <c r="PL15" s="368"/>
      <c r="PM15" s="368"/>
      <c r="PN15" s="368"/>
      <c r="PO15" s="368"/>
      <c r="PP15" s="368"/>
      <c r="PQ15" s="368"/>
      <c r="PR15" s="368"/>
      <c r="PS15" s="368"/>
      <c r="PT15" s="368"/>
      <c r="PU15" s="368"/>
      <c r="PV15" s="368"/>
      <c r="PW15" s="368"/>
      <c r="PX15" s="368"/>
      <c r="PY15" s="368"/>
      <c r="PZ15" s="368"/>
      <c r="QA15" s="368"/>
      <c r="QB15" s="368"/>
      <c r="QC15" s="368"/>
      <c r="QD15" s="368"/>
      <c r="QE15" s="368"/>
      <c r="QF15" s="368"/>
      <c r="QG15" s="368"/>
      <c r="QH15" s="368"/>
      <c r="QI15" s="368"/>
      <c r="QJ15" s="368"/>
      <c r="QK15" s="368"/>
      <c r="QL15" s="368"/>
      <c r="QM15" s="368"/>
      <c r="QN15" s="368"/>
      <c r="QO15" s="368"/>
      <c r="QP15" s="368"/>
      <c r="QQ15" s="368"/>
      <c r="QR15" s="368"/>
      <c r="QS15" s="368"/>
      <c r="QT15" s="368"/>
      <c r="QU15" s="368"/>
      <c r="QV15" s="368"/>
      <c r="QW15" s="368"/>
      <c r="QX15" s="368"/>
      <c r="QY15" s="368"/>
      <c r="QZ15" s="368"/>
      <c r="RA15" s="368"/>
      <c r="RB15" s="368"/>
      <c r="RC15" s="368"/>
      <c r="RD15" s="368"/>
      <c r="RE15" s="368"/>
      <c r="RF15" s="368"/>
      <c r="RG15" s="368"/>
      <c r="RH15" s="368"/>
      <c r="RI15" s="368"/>
      <c r="RJ15" s="368"/>
      <c r="RK15" s="368"/>
      <c r="RL15" s="368"/>
      <c r="RM15" s="368"/>
      <c r="RN15" s="368"/>
      <c r="RO15" s="368"/>
      <c r="RP15" s="368"/>
      <c r="RQ15" s="368"/>
      <c r="RR15" s="368"/>
      <c r="RS15" s="368"/>
      <c r="RT15" s="368"/>
      <c r="RU15" s="368"/>
      <c r="RV15" s="368"/>
      <c r="RW15" s="368"/>
      <c r="RX15" s="368"/>
      <c r="RY15" s="368"/>
      <c r="RZ15" s="368"/>
      <c r="SA15" s="368"/>
      <c r="SB15" s="368"/>
      <c r="SC15" s="368"/>
      <c r="SD15" s="368"/>
      <c r="SE15" s="368"/>
      <c r="SF15" s="368"/>
      <c r="SG15" s="368"/>
      <c r="SH15" s="368"/>
      <c r="SI15" s="368"/>
      <c r="SJ15" s="368"/>
      <c r="SK15" s="368"/>
      <c r="SL15" s="368"/>
      <c r="SM15" s="368"/>
      <c r="SN15" s="368"/>
      <c r="SO15" s="368"/>
      <c r="SP15" s="368"/>
      <c r="SQ15" s="368"/>
      <c r="SR15" s="368"/>
      <c r="SS15" s="368"/>
      <c r="ST15" s="368"/>
      <c r="SU15" s="368"/>
      <c r="SV15" s="368"/>
      <c r="SW15" s="368"/>
      <c r="SX15" s="368"/>
      <c r="SY15" s="368"/>
      <c r="SZ15" s="368"/>
      <c r="TA15" s="368"/>
      <c r="TB15" s="368"/>
      <c r="TC15" s="368"/>
      <c r="TD15" s="368"/>
      <c r="TE15" s="368"/>
      <c r="TF15" s="368"/>
      <c r="TG15" s="368"/>
      <c r="TH15" s="368"/>
      <c r="TI15" s="368"/>
      <c r="TJ15" s="368"/>
      <c r="TK15" s="368"/>
      <c r="TL15" s="368"/>
      <c r="TM15" s="368"/>
      <c r="TN15" s="368"/>
      <c r="TO15" s="368"/>
      <c r="TP15" s="368"/>
      <c r="TQ15" s="368"/>
      <c r="TR15" s="368"/>
      <c r="TS15" s="368"/>
      <c r="TT15" s="368"/>
      <c r="TU15" s="368"/>
      <c r="TV15" s="368"/>
      <c r="TW15" s="368"/>
      <c r="TX15" s="368"/>
      <c r="TY15" s="368"/>
      <c r="TZ15" s="368"/>
      <c r="UA15" s="368"/>
      <c r="UB15" s="368"/>
      <c r="UC15" s="368"/>
      <c r="UD15" s="368"/>
      <c r="UE15" s="368"/>
      <c r="UF15" s="368"/>
      <c r="UG15" s="368"/>
      <c r="UH15" s="368"/>
      <c r="UI15" s="368"/>
      <c r="UJ15" s="368"/>
      <c r="UK15" s="368"/>
      <c r="UL15" s="368"/>
      <c r="UM15" s="368"/>
      <c r="UN15" s="368"/>
      <c r="UO15" s="368"/>
      <c r="UP15" s="368"/>
      <c r="UQ15" s="368"/>
      <c r="UR15" s="368"/>
      <c r="US15" s="368"/>
      <c r="UT15" s="368"/>
      <c r="UU15" s="368"/>
      <c r="UV15" s="368"/>
      <c r="UW15" s="368"/>
      <c r="UX15" s="368"/>
      <c r="UY15" s="368"/>
      <c r="UZ15" s="368"/>
      <c r="VA15" s="368"/>
      <c r="VB15" s="368"/>
      <c r="VC15" s="368"/>
      <c r="VD15" s="368"/>
      <c r="VE15" s="368"/>
      <c r="VF15" s="368"/>
      <c r="VG15" s="368"/>
      <c r="VH15" s="368"/>
      <c r="VI15" s="368"/>
      <c r="VJ15" s="368"/>
      <c r="VK15" s="368"/>
      <c r="VL15" s="368"/>
      <c r="VM15" s="368"/>
      <c r="VN15" s="368"/>
      <c r="VO15" s="368"/>
      <c r="VP15" s="368"/>
      <c r="VQ15" s="368"/>
      <c r="VR15" s="368"/>
      <c r="VS15" s="368"/>
      <c r="VT15" s="368"/>
      <c r="VU15" s="368"/>
      <c r="VV15" s="368"/>
      <c r="VW15" s="368"/>
      <c r="VX15" s="368"/>
      <c r="VY15" s="368"/>
      <c r="VZ15" s="368"/>
      <c r="WA15" s="368"/>
      <c r="WB15" s="368"/>
      <c r="WC15" s="368"/>
      <c r="WD15" s="368"/>
      <c r="WE15" s="368"/>
      <c r="WF15" s="368"/>
      <c r="WG15" s="368"/>
      <c r="WH15" s="368"/>
      <c r="WI15" s="368"/>
      <c r="WJ15" s="368"/>
      <c r="WK15" s="368"/>
      <c r="WL15" s="368"/>
      <c r="WM15" s="368"/>
      <c r="WN15" s="368"/>
      <c r="WO15" s="368"/>
      <c r="WP15" s="368"/>
      <c r="WQ15" s="368"/>
      <c r="WR15" s="368"/>
      <c r="WS15" s="368"/>
      <c r="WT15" s="368"/>
      <c r="WU15" s="368"/>
      <c r="WV15" s="368"/>
      <c r="WW15" s="368"/>
      <c r="WX15" s="368"/>
      <c r="WY15" s="368"/>
      <c r="WZ15" s="368"/>
      <c r="XA15" s="368"/>
      <c r="XB15" s="368"/>
      <c r="XC15" s="368"/>
      <c r="XD15" s="368"/>
      <c r="XE15" s="368"/>
      <c r="XF15" s="368"/>
      <c r="XG15" s="368"/>
      <c r="XH15" s="368"/>
      <c r="XI15" s="368"/>
      <c r="XJ15" s="368"/>
      <c r="XK15" s="368"/>
      <c r="XL15" s="368"/>
      <c r="XM15" s="368"/>
      <c r="XN15" s="368"/>
      <c r="XO15" s="368"/>
      <c r="XP15" s="368"/>
      <c r="XQ15" s="368"/>
      <c r="XR15" s="368"/>
      <c r="XS15" s="368"/>
      <c r="XT15" s="368"/>
      <c r="XU15" s="368"/>
      <c r="XV15" s="368"/>
      <c r="XW15" s="368"/>
      <c r="XX15" s="368"/>
      <c r="XY15" s="368"/>
      <c r="XZ15" s="368"/>
      <c r="YA15" s="368"/>
      <c r="YB15" s="368"/>
      <c r="YC15" s="368"/>
      <c r="YD15" s="368"/>
      <c r="YE15" s="368"/>
      <c r="YF15" s="368"/>
      <c r="YG15" s="368"/>
      <c r="YH15" s="368"/>
      <c r="YI15" s="368"/>
      <c r="YJ15" s="368"/>
      <c r="YK15" s="368"/>
      <c r="YL15" s="368"/>
      <c r="YM15" s="368"/>
      <c r="YN15" s="368"/>
      <c r="YO15" s="368"/>
      <c r="YP15" s="368"/>
      <c r="YQ15" s="368"/>
      <c r="YR15" s="368"/>
      <c r="YS15" s="368"/>
      <c r="YT15" s="368"/>
      <c r="YU15" s="368"/>
      <c r="YV15" s="368"/>
      <c r="YW15" s="368"/>
      <c r="YX15" s="368"/>
      <c r="YY15" s="368"/>
      <c r="YZ15" s="368"/>
      <c r="ZA15" s="368"/>
      <c r="ZB15" s="368"/>
      <c r="ZC15" s="368"/>
      <c r="ZD15" s="368"/>
      <c r="ZE15" s="368"/>
      <c r="ZF15" s="368"/>
      <c r="ZG15" s="368"/>
      <c r="ZH15" s="368"/>
      <c r="ZI15" s="368"/>
      <c r="ZJ15" s="368"/>
      <c r="ZK15" s="368"/>
      <c r="ZL15" s="368"/>
      <c r="ZM15" s="368"/>
      <c r="ZN15" s="368"/>
      <c r="ZO15" s="368"/>
      <c r="ZP15" s="368"/>
      <c r="ZQ15" s="368"/>
      <c r="ZR15" s="368"/>
      <c r="ZS15" s="368"/>
      <c r="ZT15" s="368"/>
      <c r="ZU15" s="368"/>
      <c r="ZV15" s="368"/>
      <c r="ZW15" s="368"/>
      <c r="ZX15" s="368"/>
      <c r="ZY15" s="368"/>
      <c r="ZZ15" s="368"/>
      <c r="AAA15" s="368"/>
      <c r="AAB15" s="368"/>
      <c r="AAC15" s="368"/>
      <c r="AAD15" s="368"/>
      <c r="AAE15" s="368"/>
      <c r="AAF15" s="368"/>
      <c r="AAG15" s="368"/>
      <c r="AAH15" s="368"/>
      <c r="AAI15" s="368"/>
      <c r="AAJ15" s="368"/>
      <c r="AAK15" s="368"/>
      <c r="AAL15" s="368"/>
      <c r="AAM15" s="368"/>
      <c r="AAN15" s="368"/>
      <c r="AAO15" s="368"/>
      <c r="AAP15" s="368"/>
      <c r="AAQ15" s="368"/>
      <c r="AAR15" s="368"/>
      <c r="AAS15" s="368"/>
      <c r="AAT15" s="368"/>
      <c r="AAU15" s="368"/>
      <c r="AAV15" s="368"/>
      <c r="AAW15" s="368"/>
      <c r="AAX15" s="368"/>
      <c r="AAY15" s="368"/>
      <c r="AAZ15" s="368"/>
      <c r="ABA15" s="368"/>
      <c r="ABB15" s="368"/>
      <c r="ABC15" s="368"/>
      <c r="ABD15" s="368"/>
      <c r="ABE15" s="368"/>
      <c r="ABF15" s="368"/>
      <c r="ABG15" s="368"/>
      <c r="ABH15" s="368"/>
      <c r="ABI15" s="368"/>
      <c r="ABJ15" s="368"/>
      <c r="ABK15" s="368"/>
      <c r="ABL15" s="368"/>
      <c r="ABM15" s="368"/>
      <c r="ABN15" s="368"/>
      <c r="ABO15" s="368"/>
      <c r="ABP15" s="368"/>
      <c r="ABQ15" s="368"/>
      <c r="ABR15" s="368"/>
      <c r="ABS15" s="368"/>
      <c r="ABT15" s="368"/>
      <c r="ABU15" s="368"/>
      <c r="ABV15" s="368"/>
      <c r="ABW15" s="368"/>
      <c r="ABX15" s="368"/>
      <c r="ABY15" s="368"/>
      <c r="ABZ15" s="368"/>
      <c r="ACA15" s="368"/>
      <c r="ACB15" s="368"/>
      <c r="ACC15" s="368"/>
      <c r="ACD15" s="368"/>
      <c r="ACE15" s="368"/>
      <c r="ACF15" s="368"/>
      <c r="ACG15" s="368"/>
      <c r="ACH15" s="368"/>
      <c r="ACI15" s="368"/>
      <c r="ACJ15" s="368"/>
      <c r="ACK15" s="368"/>
      <c r="ACL15" s="368"/>
      <c r="ACM15" s="368"/>
      <c r="ACN15" s="368"/>
      <c r="ACO15" s="368"/>
      <c r="ACP15" s="368"/>
      <c r="ACQ15" s="368"/>
      <c r="ACR15" s="368"/>
      <c r="ACS15" s="368"/>
      <c r="ACT15" s="368"/>
      <c r="ACU15" s="368"/>
      <c r="ACV15" s="368"/>
      <c r="ACW15" s="368"/>
      <c r="ACX15" s="368"/>
      <c r="ACY15" s="368"/>
      <c r="ACZ15" s="368"/>
      <c r="ADA15" s="368"/>
      <c r="ADB15" s="368"/>
      <c r="ADC15" s="368"/>
      <c r="ADD15" s="368"/>
      <c r="ADE15" s="368"/>
      <c r="ADF15" s="368"/>
      <c r="ADG15" s="368"/>
      <c r="ADH15" s="368"/>
      <c r="ADI15" s="368"/>
      <c r="ADJ15" s="368"/>
      <c r="ADK15" s="368"/>
      <c r="ADL15" s="368"/>
      <c r="ADM15" s="368"/>
      <c r="ADN15" s="368"/>
      <c r="ADO15" s="368"/>
      <c r="ADP15" s="368"/>
      <c r="ADQ15" s="368"/>
      <c r="ADR15" s="368"/>
      <c r="ADS15" s="368"/>
      <c r="ADT15" s="368"/>
      <c r="ADU15" s="368"/>
      <c r="ADV15" s="368"/>
      <c r="ADW15" s="368"/>
      <c r="ADX15" s="368"/>
      <c r="ADY15" s="368"/>
      <c r="ADZ15" s="368"/>
      <c r="AEA15" s="368"/>
      <c r="AEB15" s="368"/>
      <c r="AEC15" s="368"/>
      <c r="AED15" s="368"/>
      <c r="AEE15" s="368"/>
      <c r="AEF15" s="368"/>
      <c r="AEG15" s="368"/>
      <c r="AEH15" s="368"/>
      <c r="AEI15" s="368"/>
      <c r="AEJ15" s="368"/>
      <c r="AEK15" s="368"/>
      <c r="AEL15" s="368"/>
      <c r="AEM15" s="368"/>
      <c r="AEN15" s="368"/>
      <c r="AEO15" s="368"/>
      <c r="AEP15" s="368"/>
      <c r="AEQ15" s="368"/>
      <c r="AER15" s="368"/>
      <c r="AES15" s="368"/>
      <c r="AET15" s="368"/>
      <c r="AEU15" s="368"/>
      <c r="AEV15" s="368"/>
      <c r="AEW15" s="368"/>
      <c r="AEX15" s="368"/>
      <c r="AEY15" s="368"/>
      <c r="AEZ15" s="368"/>
      <c r="AFA15" s="368"/>
      <c r="AFB15" s="368"/>
      <c r="AFC15" s="368"/>
      <c r="AFD15" s="368"/>
      <c r="AFE15" s="368"/>
      <c r="AFF15" s="368"/>
      <c r="AFG15" s="368"/>
      <c r="AFH15" s="368"/>
      <c r="AFI15" s="368"/>
      <c r="AFJ15" s="368"/>
      <c r="AFK15" s="368"/>
      <c r="AFL15" s="368"/>
      <c r="AFM15" s="368"/>
      <c r="AFN15" s="368"/>
      <c r="AFO15" s="368"/>
      <c r="AFP15" s="368"/>
      <c r="AFQ15" s="368"/>
      <c r="AFR15" s="368"/>
      <c r="AFS15" s="368"/>
      <c r="AFT15" s="368"/>
      <c r="AFU15" s="368"/>
      <c r="AFV15" s="368"/>
      <c r="AFW15" s="368"/>
      <c r="AFX15" s="368"/>
      <c r="AFY15" s="368"/>
      <c r="AFZ15" s="368"/>
      <c r="AGA15" s="368"/>
      <c r="AGB15" s="368"/>
      <c r="AGC15" s="368"/>
      <c r="AGD15" s="368"/>
      <c r="AGE15" s="368"/>
      <c r="AGF15" s="368"/>
      <c r="AGG15" s="368"/>
      <c r="AGH15" s="368"/>
      <c r="AGI15" s="368"/>
      <c r="AGJ15" s="368"/>
      <c r="AGK15" s="368"/>
      <c r="AGL15" s="368"/>
      <c r="AGM15" s="368"/>
      <c r="AGN15" s="368"/>
      <c r="AGO15" s="368"/>
      <c r="AGP15" s="368"/>
      <c r="AGQ15" s="368"/>
      <c r="AGR15" s="368"/>
      <c r="AGS15" s="368"/>
      <c r="AGT15" s="368"/>
      <c r="AGU15" s="368"/>
      <c r="AGV15" s="368"/>
      <c r="AGW15" s="368"/>
      <c r="AGX15" s="368"/>
      <c r="AGY15" s="368"/>
      <c r="AGZ15" s="368"/>
      <c r="AHA15" s="368"/>
      <c r="AHB15" s="368"/>
      <c r="AHC15" s="368"/>
      <c r="AHD15" s="368"/>
      <c r="AHE15" s="368"/>
      <c r="AHF15" s="368"/>
      <c r="AHG15" s="368"/>
      <c r="AHH15" s="368"/>
      <c r="AHI15" s="368"/>
      <c r="AHJ15" s="368"/>
      <c r="AHK15" s="368"/>
      <c r="AHL15" s="368"/>
      <c r="AHM15" s="368"/>
      <c r="AHN15" s="368"/>
      <c r="AHO15" s="368"/>
      <c r="AHP15" s="368"/>
      <c r="AHQ15" s="368"/>
      <c r="AHR15" s="368"/>
      <c r="AHS15" s="368"/>
      <c r="AHT15" s="368"/>
      <c r="AHU15" s="368"/>
      <c r="AHV15" s="368"/>
      <c r="AHW15" s="368"/>
      <c r="AHX15" s="368"/>
      <c r="AHY15" s="368"/>
      <c r="AHZ15" s="368"/>
      <c r="AIA15" s="368"/>
      <c r="AIB15" s="368"/>
      <c r="AIC15" s="368"/>
      <c r="AID15" s="368"/>
      <c r="AIE15" s="368"/>
      <c r="AIF15" s="368"/>
      <c r="AIG15" s="368"/>
      <c r="AIH15" s="368"/>
      <c r="AII15" s="368"/>
      <c r="AIJ15" s="368"/>
      <c r="AIK15" s="368"/>
      <c r="AIL15" s="368"/>
      <c r="AIM15" s="368"/>
      <c r="AIN15" s="368"/>
      <c r="AIO15" s="368"/>
      <c r="AIP15" s="368"/>
      <c r="AIQ15" s="368"/>
      <c r="AIR15" s="368"/>
      <c r="AIS15" s="368"/>
      <c r="AIT15" s="368"/>
      <c r="AIU15" s="368"/>
      <c r="AIV15" s="368"/>
      <c r="AIW15" s="368"/>
      <c r="AIX15" s="368"/>
      <c r="AIY15" s="368"/>
      <c r="AIZ15" s="368"/>
      <c r="AJA15" s="368"/>
      <c r="AJB15" s="368"/>
      <c r="AJC15" s="368"/>
      <c r="AJD15" s="368"/>
      <c r="AJE15" s="368"/>
      <c r="AJF15" s="368"/>
      <c r="AJG15" s="368"/>
      <c r="AJH15" s="368"/>
      <c r="AJI15" s="368"/>
      <c r="AJJ15" s="368"/>
      <c r="AJK15" s="368"/>
      <c r="AJL15" s="368"/>
      <c r="AJM15" s="368"/>
      <c r="AJN15" s="368"/>
      <c r="AJO15" s="368"/>
      <c r="AJP15" s="368"/>
      <c r="AJQ15" s="368"/>
      <c r="AJR15" s="368"/>
      <c r="AJS15" s="368"/>
      <c r="AJT15" s="368"/>
      <c r="AJU15" s="368"/>
      <c r="AJV15" s="368"/>
      <c r="AJW15" s="368"/>
      <c r="AJX15" s="368"/>
      <c r="AJY15" s="368"/>
      <c r="AJZ15" s="368"/>
      <c r="AKA15" s="368"/>
      <c r="AKB15" s="368"/>
      <c r="AKC15" s="368"/>
      <c r="AKD15" s="368"/>
      <c r="AKE15" s="368"/>
      <c r="AKF15" s="368"/>
      <c r="AKG15" s="368"/>
      <c r="AKH15" s="368"/>
      <c r="AKI15" s="368"/>
      <c r="AKJ15" s="368"/>
      <c r="AKK15" s="368"/>
      <c r="AKL15" s="368"/>
      <c r="AKM15" s="368"/>
      <c r="AKN15" s="368"/>
    </row>
    <row r="16" spans="1:976" s="351" customFormat="1" ht="22.5" customHeight="1" x14ac:dyDescent="0.2">
      <c r="A16" s="418" t="s">
        <v>262</v>
      </c>
      <c r="B16" s="418"/>
      <c r="C16" s="418" t="s">
        <v>221</v>
      </c>
      <c r="D16" s="418" t="s">
        <v>222</v>
      </c>
      <c r="E16" s="419">
        <v>403110</v>
      </c>
      <c r="F16" s="419">
        <v>222</v>
      </c>
      <c r="G16" s="419">
        <v>30</v>
      </c>
      <c r="H16" s="419">
        <v>0</v>
      </c>
      <c r="I16" s="420">
        <v>45709</v>
      </c>
      <c r="J16" s="418" t="s">
        <v>290</v>
      </c>
      <c r="K16" s="418" t="s">
        <v>317</v>
      </c>
      <c r="L16" s="421">
        <v>53.23</v>
      </c>
      <c r="M16" s="421">
        <v>2.93</v>
      </c>
      <c r="N16" s="443">
        <v>56.16</v>
      </c>
      <c r="O16" s="418"/>
      <c r="P16" s="422">
        <v>45714</v>
      </c>
      <c r="Q16" s="421">
        <v>56.16</v>
      </c>
      <c r="R16" s="418" t="s">
        <v>318</v>
      </c>
      <c r="S16" s="421">
        <v>0</v>
      </c>
      <c r="T16" s="421">
        <v>0</v>
      </c>
      <c r="U16" s="421">
        <v>0</v>
      </c>
      <c r="V16" s="421">
        <v>0</v>
      </c>
      <c r="W16" s="418"/>
      <c r="X16" s="418" t="s">
        <v>308</v>
      </c>
      <c r="Y16" s="418" t="s">
        <v>309</v>
      </c>
      <c r="Z16" s="418" t="s">
        <v>42</v>
      </c>
      <c r="AA16" s="418" t="s">
        <v>228</v>
      </c>
      <c r="AB16" s="418" t="s">
        <v>34</v>
      </c>
      <c r="AC16" s="418" t="s">
        <v>250</v>
      </c>
      <c r="AD16" s="418" t="s">
        <v>231</v>
      </c>
      <c r="AE16" s="418" t="s">
        <v>232</v>
      </c>
      <c r="AF16" s="418" t="s">
        <v>231</v>
      </c>
      <c r="AG16" s="418" t="s">
        <v>232</v>
      </c>
      <c r="AH16" s="418"/>
      <c r="AI16" s="418"/>
      <c r="AJ16" s="418"/>
      <c r="AK16" s="418" t="s">
        <v>319</v>
      </c>
      <c r="AL16" s="419">
        <v>1</v>
      </c>
      <c r="AM16" s="419">
        <v>0</v>
      </c>
      <c r="AN16" s="420">
        <v>45714</v>
      </c>
      <c r="AO16" s="420">
        <v>45713</v>
      </c>
      <c r="AP16" s="421">
        <v>56.16</v>
      </c>
      <c r="AQ16" s="420">
        <v>45712</v>
      </c>
      <c r="AR16" s="368"/>
      <c r="AS16" s="368"/>
      <c r="AT16" s="368"/>
      <c r="AU16" s="368"/>
      <c r="AV16" s="368"/>
      <c r="AW16" s="368"/>
      <c r="AX16" s="368"/>
      <c r="AY16" s="368"/>
      <c r="AZ16" s="368"/>
      <c r="BA16" s="368"/>
      <c r="BB16" s="368"/>
      <c r="BC16" s="368"/>
      <c r="BD16" s="368"/>
      <c r="BE16" s="368"/>
      <c r="BF16" s="368"/>
      <c r="BG16" s="368"/>
      <c r="BH16" s="368"/>
      <c r="BI16" s="368"/>
      <c r="BJ16" s="368"/>
      <c r="BK16" s="368"/>
      <c r="BL16" s="368"/>
      <c r="BM16" s="368"/>
      <c r="BN16" s="368"/>
      <c r="BO16" s="368"/>
      <c r="BP16" s="368"/>
      <c r="BQ16" s="368"/>
      <c r="BR16" s="368"/>
      <c r="BS16" s="368"/>
      <c r="BT16" s="368"/>
      <c r="BU16" s="368"/>
      <c r="BV16" s="368"/>
      <c r="BW16" s="368"/>
      <c r="BX16" s="368"/>
      <c r="BY16" s="368"/>
      <c r="BZ16" s="368"/>
      <c r="CA16" s="368"/>
      <c r="CB16" s="368"/>
      <c r="CC16" s="368"/>
      <c r="CD16" s="368"/>
      <c r="CE16" s="368"/>
      <c r="CF16" s="368"/>
      <c r="CG16" s="368"/>
      <c r="CH16" s="368"/>
      <c r="CI16" s="368"/>
      <c r="CJ16" s="368"/>
      <c r="CK16" s="368"/>
      <c r="CL16" s="368"/>
      <c r="CM16" s="368"/>
      <c r="CN16" s="368"/>
      <c r="CO16" s="368"/>
      <c r="CP16" s="368"/>
      <c r="CQ16" s="368"/>
      <c r="CR16" s="368"/>
      <c r="CS16" s="368"/>
      <c r="CT16" s="368"/>
      <c r="CU16" s="368"/>
      <c r="CV16" s="368"/>
      <c r="CW16" s="368"/>
      <c r="CX16" s="368"/>
      <c r="CY16" s="368"/>
      <c r="CZ16" s="368"/>
      <c r="DA16" s="368"/>
      <c r="DB16" s="368"/>
      <c r="DC16" s="368"/>
      <c r="DD16" s="368"/>
      <c r="DE16" s="368"/>
      <c r="DF16" s="368"/>
      <c r="DG16" s="368"/>
      <c r="DH16" s="368"/>
      <c r="DI16" s="368"/>
      <c r="DJ16" s="368"/>
      <c r="DK16" s="368"/>
      <c r="DL16" s="368"/>
      <c r="DM16" s="368"/>
      <c r="DN16" s="368"/>
      <c r="DO16" s="368"/>
      <c r="DP16" s="368"/>
      <c r="DQ16" s="368"/>
      <c r="DR16" s="368"/>
      <c r="DS16" s="368"/>
      <c r="DT16" s="368"/>
      <c r="DU16" s="368"/>
      <c r="DV16" s="368"/>
      <c r="DW16" s="368"/>
      <c r="DX16" s="368"/>
      <c r="DY16" s="368"/>
      <c r="DZ16" s="368"/>
      <c r="EA16" s="368"/>
      <c r="EB16" s="368"/>
      <c r="EC16" s="368"/>
      <c r="ED16" s="368"/>
      <c r="EE16" s="368"/>
      <c r="EF16" s="368"/>
      <c r="EG16" s="368"/>
      <c r="EH16" s="368"/>
      <c r="EI16" s="368"/>
      <c r="EJ16" s="368"/>
      <c r="EK16" s="368"/>
      <c r="EL16" s="368"/>
      <c r="EM16" s="368"/>
      <c r="EN16" s="368"/>
      <c r="EO16" s="368"/>
      <c r="EP16" s="368"/>
      <c r="EQ16" s="368"/>
      <c r="ER16" s="368"/>
      <c r="ES16" s="368"/>
      <c r="ET16" s="368"/>
      <c r="EU16" s="368"/>
      <c r="EV16" s="368"/>
      <c r="EW16" s="368"/>
      <c r="EX16" s="368"/>
      <c r="EY16" s="368"/>
      <c r="EZ16" s="368"/>
      <c r="FA16" s="368"/>
      <c r="FB16" s="368"/>
      <c r="FC16" s="368"/>
      <c r="FD16" s="368"/>
      <c r="FE16" s="368"/>
      <c r="FF16" s="368"/>
      <c r="FG16" s="368"/>
      <c r="FH16" s="368"/>
      <c r="FI16" s="368"/>
      <c r="FJ16" s="368"/>
      <c r="FK16" s="368"/>
      <c r="FL16" s="368"/>
      <c r="FM16" s="368"/>
      <c r="FN16" s="368"/>
      <c r="FO16" s="368"/>
      <c r="FP16" s="368"/>
      <c r="FQ16" s="368"/>
      <c r="FR16" s="368"/>
      <c r="FS16" s="368"/>
      <c r="FT16" s="368"/>
      <c r="FU16" s="368"/>
      <c r="FV16" s="368"/>
      <c r="FW16" s="368"/>
      <c r="FX16" s="368"/>
      <c r="FY16" s="368"/>
      <c r="FZ16" s="368"/>
      <c r="GA16" s="368"/>
      <c r="GB16" s="368"/>
      <c r="GC16" s="368"/>
      <c r="GD16" s="368"/>
      <c r="GE16" s="368"/>
      <c r="GF16" s="368"/>
      <c r="GG16" s="368"/>
      <c r="GH16" s="368"/>
      <c r="GI16" s="368"/>
      <c r="GJ16" s="368"/>
      <c r="GK16" s="368"/>
      <c r="GL16" s="368"/>
      <c r="GM16" s="368"/>
      <c r="GN16" s="368"/>
      <c r="GO16" s="368"/>
      <c r="GP16" s="368"/>
      <c r="GQ16" s="368"/>
      <c r="GR16" s="368"/>
      <c r="GS16" s="368"/>
      <c r="GT16" s="368"/>
      <c r="GU16" s="368"/>
      <c r="GV16" s="368"/>
      <c r="GW16" s="368"/>
      <c r="GX16" s="368"/>
      <c r="GY16" s="368"/>
      <c r="GZ16" s="368"/>
      <c r="HA16" s="368"/>
      <c r="HB16" s="368"/>
      <c r="HC16" s="368"/>
      <c r="HD16" s="368"/>
      <c r="HE16" s="368"/>
      <c r="HF16" s="368"/>
      <c r="HG16" s="368"/>
      <c r="HH16" s="368"/>
      <c r="HI16" s="368"/>
      <c r="HJ16" s="368"/>
      <c r="HK16" s="368"/>
      <c r="HL16" s="368"/>
      <c r="HM16" s="368"/>
      <c r="HN16" s="368"/>
      <c r="HO16" s="368"/>
      <c r="HP16" s="368"/>
      <c r="HQ16" s="368"/>
      <c r="HR16" s="368"/>
      <c r="HS16" s="368"/>
      <c r="HT16" s="368"/>
      <c r="HU16" s="368"/>
      <c r="HV16" s="368"/>
      <c r="HW16" s="368"/>
      <c r="HX16" s="368"/>
      <c r="HY16" s="368"/>
      <c r="HZ16" s="368"/>
      <c r="IA16" s="368"/>
      <c r="IB16" s="368"/>
      <c r="IC16" s="368"/>
      <c r="ID16" s="368"/>
      <c r="IE16" s="368"/>
      <c r="IF16" s="368"/>
      <c r="IG16" s="368"/>
      <c r="IH16" s="368"/>
      <c r="II16" s="368"/>
      <c r="IJ16" s="368"/>
      <c r="IK16" s="368"/>
      <c r="IL16" s="368"/>
      <c r="IM16" s="368"/>
      <c r="IN16" s="368"/>
      <c r="IO16" s="368"/>
      <c r="IP16" s="368"/>
      <c r="IQ16" s="368"/>
      <c r="IR16" s="368"/>
      <c r="IS16" s="368"/>
      <c r="IT16" s="368"/>
      <c r="IU16" s="368"/>
      <c r="IV16" s="368"/>
      <c r="IW16" s="368"/>
      <c r="IX16" s="368"/>
      <c r="IY16" s="368"/>
      <c r="IZ16" s="368"/>
      <c r="JA16" s="368"/>
      <c r="JB16" s="368"/>
      <c r="JC16" s="368"/>
      <c r="JD16" s="368"/>
      <c r="JE16" s="368"/>
      <c r="JF16" s="368"/>
      <c r="JG16" s="368"/>
      <c r="JH16" s="368"/>
      <c r="JI16" s="368"/>
      <c r="JJ16" s="368"/>
      <c r="JK16" s="368"/>
      <c r="JL16" s="368"/>
      <c r="JM16" s="368"/>
      <c r="JN16" s="368"/>
      <c r="JO16" s="368"/>
      <c r="JP16" s="368"/>
      <c r="JQ16" s="368"/>
      <c r="JR16" s="368"/>
      <c r="JS16" s="368"/>
      <c r="JT16" s="368"/>
      <c r="JU16" s="368"/>
      <c r="JV16" s="368"/>
      <c r="JW16" s="368"/>
      <c r="JX16" s="368"/>
      <c r="JY16" s="368"/>
      <c r="JZ16" s="368"/>
      <c r="KA16" s="368"/>
      <c r="KB16" s="368"/>
      <c r="KC16" s="368"/>
      <c r="KD16" s="368"/>
      <c r="KE16" s="368"/>
      <c r="KF16" s="368"/>
      <c r="KG16" s="368"/>
      <c r="KH16" s="368"/>
      <c r="KI16" s="368"/>
      <c r="KJ16" s="368"/>
      <c r="KK16" s="368"/>
      <c r="KL16" s="368"/>
      <c r="KM16" s="368"/>
      <c r="KN16" s="368"/>
      <c r="KO16" s="368"/>
      <c r="KP16" s="368"/>
      <c r="KQ16" s="368"/>
      <c r="KR16" s="368"/>
      <c r="KS16" s="368"/>
      <c r="KT16" s="368"/>
      <c r="KU16" s="368"/>
      <c r="KV16" s="368"/>
      <c r="KW16" s="368"/>
      <c r="KX16" s="368"/>
      <c r="KY16" s="368"/>
      <c r="KZ16" s="368"/>
      <c r="LA16" s="368"/>
      <c r="LB16" s="368"/>
      <c r="LC16" s="368"/>
      <c r="LD16" s="368"/>
      <c r="LE16" s="368"/>
      <c r="LF16" s="368"/>
      <c r="LG16" s="368"/>
      <c r="LH16" s="368"/>
      <c r="LI16" s="368"/>
      <c r="LJ16" s="368"/>
      <c r="LK16" s="368"/>
      <c r="LL16" s="368"/>
      <c r="LM16" s="368"/>
      <c r="LN16" s="368"/>
      <c r="LO16" s="368"/>
      <c r="LP16" s="368"/>
      <c r="LQ16" s="368"/>
      <c r="LR16" s="368"/>
      <c r="LS16" s="368"/>
      <c r="LT16" s="368"/>
      <c r="LU16" s="368"/>
      <c r="LV16" s="368"/>
      <c r="LW16" s="368"/>
      <c r="LX16" s="368"/>
      <c r="LY16" s="368"/>
      <c r="LZ16" s="368"/>
      <c r="MA16" s="368"/>
      <c r="MB16" s="368"/>
      <c r="MC16" s="368"/>
      <c r="MD16" s="368"/>
      <c r="ME16" s="368"/>
      <c r="MF16" s="368"/>
      <c r="MG16" s="368"/>
      <c r="MH16" s="368"/>
      <c r="MI16" s="368"/>
      <c r="MJ16" s="368"/>
      <c r="MK16" s="368"/>
      <c r="ML16" s="368"/>
      <c r="MM16" s="368"/>
      <c r="MN16" s="368"/>
      <c r="MO16" s="368"/>
      <c r="MP16" s="368"/>
      <c r="MQ16" s="368"/>
      <c r="MR16" s="368"/>
      <c r="MS16" s="368"/>
      <c r="MT16" s="368"/>
      <c r="MU16" s="368"/>
      <c r="MV16" s="368"/>
      <c r="MW16" s="368"/>
      <c r="MX16" s="368"/>
      <c r="MY16" s="368"/>
      <c r="MZ16" s="368"/>
      <c r="NA16" s="368"/>
      <c r="NB16" s="368"/>
      <c r="NC16" s="368"/>
      <c r="ND16" s="368"/>
      <c r="NE16" s="368"/>
      <c r="NF16" s="368"/>
      <c r="NG16" s="368"/>
      <c r="NH16" s="368"/>
      <c r="NI16" s="368"/>
      <c r="NJ16" s="368"/>
      <c r="NK16" s="368"/>
      <c r="NL16" s="368"/>
      <c r="NM16" s="368"/>
      <c r="NN16" s="368"/>
      <c r="NO16" s="368"/>
      <c r="NP16" s="368"/>
      <c r="NQ16" s="368"/>
      <c r="NR16" s="368"/>
      <c r="NS16" s="368"/>
      <c r="NT16" s="368"/>
      <c r="NU16" s="368"/>
      <c r="NV16" s="368"/>
      <c r="NW16" s="368"/>
      <c r="NX16" s="368"/>
      <c r="NY16" s="368"/>
      <c r="NZ16" s="368"/>
      <c r="OA16" s="368"/>
      <c r="OB16" s="368"/>
      <c r="OC16" s="368"/>
      <c r="OD16" s="368"/>
      <c r="OE16" s="368"/>
      <c r="OF16" s="368"/>
      <c r="OG16" s="368"/>
      <c r="OH16" s="368"/>
      <c r="OI16" s="368"/>
      <c r="OJ16" s="368"/>
      <c r="OK16" s="368"/>
      <c r="OL16" s="368"/>
      <c r="OM16" s="368"/>
      <c r="ON16" s="368"/>
      <c r="OO16" s="368"/>
      <c r="OP16" s="368"/>
      <c r="OQ16" s="368"/>
      <c r="OR16" s="368"/>
      <c r="OS16" s="368"/>
      <c r="OT16" s="368"/>
      <c r="OU16" s="368"/>
      <c r="OV16" s="368"/>
      <c r="OW16" s="368"/>
      <c r="OX16" s="368"/>
      <c r="OY16" s="368"/>
      <c r="OZ16" s="368"/>
      <c r="PA16" s="368"/>
      <c r="PB16" s="368"/>
      <c r="PC16" s="368"/>
      <c r="PD16" s="368"/>
      <c r="PE16" s="368"/>
      <c r="PF16" s="368"/>
      <c r="PG16" s="368"/>
      <c r="PH16" s="368"/>
      <c r="PI16" s="368"/>
      <c r="PJ16" s="368"/>
      <c r="PK16" s="368"/>
      <c r="PL16" s="368"/>
      <c r="PM16" s="368"/>
      <c r="PN16" s="368"/>
      <c r="PO16" s="368"/>
      <c r="PP16" s="368"/>
      <c r="PQ16" s="368"/>
      <c r="PR16" s="368"/>
      <c r="PS16" s="368"/>
      <c r="PT16" s="368"/>
      <c r="PU16" s="368"/>
      <c r="PV16" s="368"/>
      <c r="PW16" s="368"/>
      <c r="PX16" s="368"/>
      <c r="PY16" s="368"/>
      <c r="PZ16" s="368"/>
      <c r="QA16" s="368"/>
      <c r="QB16" s="368"/>
      <c r="QC16" s="368"/>
      <c r="QD16" s="368"/>
      <c r="QE16" s="368"/>
      <c r="QF16" s="368"/>
      <c r="QG16" s="368"/>
      <c r="QH16" s="368"/>
      <c r="QI16" s="368"/>
      <c r="QJ16" s="368"/>
      <c r="QK16" s="368"/>
      <c r="QL16" s="368"/>
      <c r="QM16" s="368"/>
      <c r="QN16" s="368"/>
      <c r="QO16" s="368"/>
      <c r="QP16" s="368"/>
      <c r="QQ16" s="368"/>
      <c r="QR16" s="368"/>
      <c r="QS16" s="368"/>
      <c r="QT16" s="368"/>
      <c r="QU16" s="368"/>
      <c r="QV16" s="368"/>
      <c r="QW16" s="368"/>
      <c r="QX16" s="368"/>
      <c r="QY16" s="368"/>
      <c r="QZ16" s="368"/>
      <c r="RA16" s="368"/>
      <c r="RB16" s="368"/>
      <c r="RC16" s="368"/>
      <c r="RD16" s="368"/>
      <c r="RE16" s="368"/>
      <c r="RF16" s="368"/>
      <c r="RG16" s="368"/>
      <c r="RH16" s="368"/>
      <c r="RI16" s="368"/>
      <c r="RJ16" s="368"/>
      <c r="RK16" s="368"/>
      <c r="RL16" s="368"/>
      <c r="RM16" s="368"/>
      <c r="RN16" s="368"/>
      <c r="RO16" s="368"/>
      <c r="RP16" s="368"/>
      <c r="RQ16" s="368"/>
      <c r="RR16" s="368"/>
      <c r="RS16" s="368"/>
      <c r="RT16" s="368"/>
      <c r="RU16" s="368"/>
      <c r="RV16" s="368"/>
      <c r="RW16" s="368"/>
      <c r="RX16" s="368"/>
      <c r="RY16" s="368"/>
      <c r="RZ16" s="368"/>
      <c r="SA16" s="368"/>
      <c r="SB16" s="368"/>
      <c r="SC16" s="368"/>
      <c r="SD16" s="368"/>
      <c r="SE16" s="368"/>
      <c r="SF16" s="368"/>
      <c r="SG16" s="368"/>
      <c r="SH16" s="368"/>
      <c r="SI16" s="368"/>
      <c r="SJ16" s="368"/>
      <c r="SK16" s="368"/>
      <c r="SL16" s="368"/>
      <c r="SM16" s="368"/>
      <c r="SN16" s="368"/>
      <c r="SO16" s="368"/>
      <c r="SP16" s="368"/>
      <c r="SQ16" s="368"/>
      <c r="SR16" s="368"/>
      <c r="SS16" s="368"/>
      <c r="ST16" s="368"/>
      <c r="SU16" s="368"/>
      <c r="SV16" s="368"/>
      <c r="SW16" s="368"/>
      <c r="SX16" s="368"/>
      <c r="SY16" s="368"/>
      <c r="SZ16" s="368"/>
      <c r="TA16" s="368"/>
      <c r="TB16" s="368"/>
      <c r="TC16" s="368"/>
      <c r="TD16" s="368"/>
      <c r="TE16" s="368"/>
      <c r="TF16" s="368"/>
      <c r="TG16" s="368"/>
      <c r="TH16" s="368"/>
      <c r="TI16" s="368"/>
      <c r="TJ16" s="368"/>
      <c r="TK16" s="368"/>
      <c r="TL16" s="368"/>
      <c r="TM16" s="368"/>
      <c r="TN16" s="368"/>
      <c r="TO16" s="368"/>
      <c r="TP16" s="368"/>
      <c r="TQ16" s="368"/>
      <c r="TR16" s="368"/>
      <c r="TS16" s="368"/>
      <c r="TT16" s="368"/>
      <c r="TU16" s="368"/>
      <c r="TV16" s="368"/>
      <c r="TW16" s="368"/>
      <c r="TX16" s="368"/>
      <c r="TY16" s="368"/>
      <c r="TZ16" s="368"/>
      <c r="UA16" s="368"/>
      <c r="UB16" s="368"/>
      <c r="UC16" s="368"/>
      <c r="UD16" s="368"/>
      <c r="UE16" s="368"/>
      <c r="UF16" s="368"/>
      <c r="UG16" s="368"/>
      <c r="UH16" s="368"/>
      <c r="UI16" s="368"/>
      <c r="UJ16" s="368"/>
      <c r="UK16" s="368"/>
      <c r="UL16" s="368"/>
      <c r="UM16" s="368"/>
      <c r="UN16" s="368"/>
      <c r="UO16" s="368"/>
      <c r="UP16" s="368"/>
      <c r="UQ16" s="368"/>
      <c r="UR16" s="368"/>
      <c r="US16" s="368"/>
      <c r="UT16" s="368"/>
      <c r="UU16" s="368"/>
      <c r="UV16" s="368"/>
      <c r="UW16" s="368"/>
      <c r="UX16" s="368"/>
      <c r="UY16" s="368"/>
      <c r="UZ16" s="368"/>
      <c r="VA16" s="368"/>
      <c r="VB16" s="368"/>
      <c r="VC16" s="368"/>
      <c r="VD16" s="368"/>
      <c r="VE16" s="368"/>
      <c r="VF16" s="368"/>
      <c r="VG16" s="368"/>
      <c r="VH16" s="368"/>
      <c r="VI16" s="368"/>
      <c r="VJ16" s="368"/>
      <c r="VK16" s="368"/>
      <c r="VL16" s="368"/>
      <c r="VM16" s="368"/>
      <c r="VN16" s="368"/>
      <c r="VO16" s="368"/>
      <c r="VP16" s="368"/>
      <c r="VQ16" s="368"/>
      <c r="VR16" s="368"/>
      <c r="VS16" s="368"/>
      <c r="VT16" s="368"/>
      <c r="VU16" s="368"/>
      <c r="VV16" s="368"/>
      <c r="VW16" s="368"/>
      <c r="VX16" s="368"/>
      <c r="VY16" s="368"/>
      <c r="VZ16" s="368"/>
      <c r="WA16" s="368"/>
      <c r="WB16" s="368"/>
      <c r="WC16" s="368"/>
      <c r="WD16" s="368"/>
      <c r="WE16" s="368"/>
      <c r="WF16" s="368"/>
      <c r="WG16" s="368"/>
      <c r="WH16" s="368"/>
      <c r="WI16" s="368"/>
      <c r="WJ16" s="368"/>
      <c r="WK16" s="368"/>
      <c r="WL16" s="368"/>
      <c r="WM16" s="368"/>
      <c r="WN16" s="368"/>
      <c r="WO16" s="368"/>
      <c r="WP16" s="368"/>
      <c r="WQ16" s="368"/>
      <c r="WR16" s="368"/>
      <c r="WS16" s="368"/>
      <c r="WT16" s="368"/>
      <c r="WU16" s="368"/>
      <c r="WV16" s="368"/>
      <c r="WW16" s="368"/>
      <c r="WX16" s="368"/>
      <c r="WY16" s="368"/>
      <c r="WZ16" s="368"/>
      <c r="XA16" s="368"/>
      <c r="XB16" s="368"/>
      <c r="XC16" s="368"/>
      <c r="XD16" s="368"/>
      <c r="XE16" s="368"/>
      <c r="XF16" s="368"/>
      <c r="XG16" s="368"/>
      <c r="XH16" s="368"/>
      <c r="XI16" s="368"/>
      <c r="XJ16" s="368"/>
      <c r="XK16" s="368"/>
      <c r="XL16" s="368"/>
      <c r="XM16" s="368"/>
      <c r="XN16" s="368"/>
      <c r="XO16" s="368"/>
      <c r="XP16" s="368"/>
      <c r="XQ16" s="368"/>
      <c r="XR16" s="368"/>
      <c r="XS16" s="368"/>
      <c r="XT16" s="368"/>
      <c r="XU16" s="368"/>
      <c r="XV16" s="368"/>
      <c r="XW16" s="368"/>
      <c r="XX16" s="368"/>
      <c r="XY16" s="368"/>
      <c r="XZ16" s="368"/>
      <c r="YA16" s="368"/>
      <c r="YB16" s="368"/>
      <c r="YC16" s="368"/>
      <c r="YD16" s="368"/>
      <c r="YE16" s="368"/>
      <c r="YF16" s="368"/>
      <c r="YG16" s="368"/>
      <c r="YH16" s="368"/>
      <c r="YI16" s="368"/>
      <c r="YJ16" s="368"/>
      <c r="YK16" s="368"/>
      <c r="YL16" s="368"/>
      <c r="YM16" s="368"/>
      <c r="YN16" s="368"/>
      <c r="YO16" s="368"/>
      <c r="YP16" s="368"/>
      <c r="YQ16" s="368"/>
      <c r="YR16" s="368"/>
      <c r="YS16" s="368"/>
      <c r="YT16" s="368"/>
      <c r="YU16" s="368"/>
      <c r="YV16" s="368"/>
      <c r="YW16" s="368"/>
      <c r="YX16" s="368"/>
      <c r="YY16" s="368"/>
      <c r="YZ16" s="368"/>
      <c r="ZA16" s="368"/>
      <c r="ZB16" s="368"/>
      <c r="ZC16" s="368"/>
      <c r="ZD16" s="368"/>
      <c r="ZE16" s="368"/>
      <c r="ZF16" s="368"/>
      <c r="ZG16" s="368"/>
      <c r="ZH16" s="368"/>
      <c r="ZI16" s="368"/>
      <c r="ZJ16" s="368"/>
      <c r="ZK16" s="368"/>
      <c r="ZL16" s="368"/>
      <c r="ZM16" s="368"/>
      <c r="ZN16" s="368"/>
      <c r="ZO16" s="368"/>
      <c r="ZP16" s="368"/>
      <c r="ZQ16" s="368"/>
      <c r="ZR16" s="368"/>
      <c r="ZS16" s="368"/>
      <c r="ZT16" s="368"/>
      <c r="ZU16" s="368"/>
      <c r="ZV16" s="368"/>
      <c r="ZW16" s="368"/>
      <c r="ZX16" s="368"/>
      <c r="ZY16" s="368"/>
      <c r="ZZ16" s="368"/>
      <c r="AAA16" s="368"/>
      <c r="AAB16" s="368"/>
      <c r="AAC16" s="368"/>
      <c r="AAD16" s="368"/>
      <c r="AAE16" s="368"/>
      <c r="AAF16" s="368"/>
      <c r="AAG16" s="368"/>
      <c r="AAH16" s="368"/>
      <c r="AAI16" s="368"/>
      <c r="AAJ16" s="368"/>
      <c r="AAK16" s="368"/>
      <c r="AAL16" s="368"/>
      <c r="AAM16" s="368"/>
      <c r="AAN16" s="368"/>
      <c r="AAO16" s="368"/>
      <c r="AAP16" s="368"/>
      <c r="AAQ16" s="368"/>
      <c r="AAR16" s="368"/>
      <c r="AAS16" s="368"/>
      <c r="AAT16" s="368"/>
      <c r="AAU16" s="368"/>
      <c r="AAV16" s="368"/>
      <c r="AAW16" s="368"/>
      <c r="AAX16" s="368"/>
      <c r="AAY16" s="368"/>
      <c r="AAZ16" s="368"/>
      <c r="ABA16" s="368"/>
      <c r="ABB16" s="368"/>
      <c r="ABC16" s="368"/>
      <c r="ABD16" s="368"/>
      <c r="ABE16" s="368"/>
      <c r="ABF16" s="368"/>
      <c r="ABG16" s="368"/>
      <c r="ABH16" s="368"/>
      <c r="ABI16" s="368"/>
      <c r="ABJ16" s="368"/>
      <c r="ABK16" s="368"/>
      <c r="ABL16" s="368"/>
      <c r="ABM16" s="368"/>
      <c r="ABN16" s="368"/>
      <c r="ABO16" s="368"/>
      <c r="ABP16" s="368"/>
      <c r="ABQ16" s="368"/>
      <c r="ABR16" s="368"/>
      <c r="ABS16" s="368"/>
      <c r="ABT16" s="368"/>
      <c r="ABU16" s="368"/>
      <c r="ABV16" s="368"/>
      <c r="ABW16" s="368"/>
      <c r="ABX16" s="368"/>
      <c r="ABY16" s="368"/>
      <c r="ABZ16" s="368"/>
      <c r="ACA16" s="368"/>
      <c r="ACB16" s="368"/>
      <c r="ACC16" s="368"/>
      <c r="ACD16" s="368"/>
      <c r="ACE16" s="368"/>
      <c r="ACF16" s="368"/>
      <c r="ACG16" s="368"/>
      <c r="ACH16" s="368"/>
      <c r="ACI16" s="368"/>
      <c r="ACJ16" s="368"/>
      <c r="ACK16" s="368"/>
      <c r="ACL16" s="368"/>
      <c r="ACM16" s="368"/>
      <c r="ACN16" s="368"/>
      <c r="ACO16" s="368"/>
      <c r="ACP16" s="368"/>
      <c r="ACQ16" s="368"/>
      <c r="ACR16" s="368"/>
      <c r="ACS16" s="368"/>
      <c r="ACT16" s="368"/>
      <c r="ACU16" s="368"/>
      <c r="ACV16" s="368"/>
      <c r="ACW16" s="368"/>
      <c r="ACX16" s="368"/>
      <c r="ACY16" s="368"/>
      <c r="ACZ16" s="368"/>
      <c r="ADA16" s="368"/>
      <c r="ADB16" s="368"/>
      <c r="ADC16" s="368"/>
      <c r="ADD16" s="368"/>
      <c r="ADE16" s="368"/>
      <c r="ADF16" s="368"/>
      <c r="ADG16" s="368"/>
      <c r="ADH16" s="368"/>
      <c r="ADI16" s="368"/>
      <c r="ADJ16" s="368"/>
      <c r="ADK16" s="368"/>
      <c r="ADL16" s="368"/>
      <c r="ADM16" s="368"/>
      <c r="ADN16" s="368"/>
      <c r="ADO16" s="368"/>
      <c r="ADP16" s="368"/>
      <c r="ADQ16" s="368"/>
      <c r="ADR16" s="368"/>
      <c r="ADS16" s="368"/>
      <c r="ADT16" s="368"/>
      <c r="ADU16" s="368"/>
      <c r="ADV16" s="368"/>
      <c r="ADW16" s="368"/>
      <c r="ADX16" s="368"/>
      <c r="ADY16" s="368"/>
      <c r="ADZ16" s="368"/>
      <c r="AEA16" s="368"/>
      <c r="AEB16" s="368"/>
      <c r="AEC16" s="368"/>
      <c r="AED16" s="368"/>
      <c r="AEE16" s="368"/>
      <c r="AEF16" s="368"/>
      <c r="AEG16" s="368"/>
      <c r="AEH16" s="368"/>
      <c r="AEI16" s="368"/>
      <c r="AEJ16" s="368"/>
      <c r="AEK16" s="368"/>
      <c r="AEL16" s="368"/>
      <c r="AEM16" s="368"/>
      <c r="AEN16" s="368"/>
      <c r="AEO16" s="368"/>
      <c r="AEP16" s="368"/>
      <c r="AEQ16" s="368"/>
      <c r="AER16" s="368"/>
      <c r="AES16" s="368"/>
      <c r="AET16" s="368"/>
      <c r="AEU16" s="368"/>
      <c r="AEV16" s="368"/>
      <c r="AEW16" s="368"/>
      <c r="AEX16" s="368"/>
      <c r="AEY16" s="368"/>
      <c r="AEZ16" s="368"/>
      <c r="AFA16" s="368"/>
      <c r="AFB16" s="368"/>
      <c r="AFC16" s="368"/>
      <c r="AFD16" s="368"/>
      <c r="AFE16" s="368"/>
      <c r="AFF16" s="368"/>
      <c r="AFG16" s="368"/>
      <c r="AFH16" s="368"/>
      <c r="AFI16" s="368"/>
      <c r="AFJ16" s="368"/>
      <c r="AFK16" s="368"/>
      <c r="AFL16" s="368"/>
      <c r="AFM16" s="368"/>
      <c r="AFN16" s="368"/>
      <c r="AFO16" s="368"/>
      <c r="AFP16" s="368"/>
      <c r="AFQ16" s="368"/>
      <c r="AFR16" s="368"/>
      <c r="AFS16" s="368"/>
      <c r="AFT16" s="368"/>
      <c r="AFU16" s="368"/>
      <c r="AFV16" s="368"/>
      <c r="AFW16" s="368"/>
      <c r="AFX16" s="368"/>
      <c r="AFY16" s="368"/>
      <c r="AFZ16" s="368"/>
      <c r="AGA16" s="368"/>
      <c r="AGB16" s="368"/>
      <c r="AGC16" s="368"/>
      <c r="AGD16" s="368"/>
      <c r="AGE16" s="368"/>
      <c r="AGF16" s="368"/>
      <c r="AGG16" s="368"/>
      <c r="AGH16" s="368"/>
      <c r="AGI16" s="368"/>
      <c r="AGJ16" s="368"/>
      <c r="AGK16" s="368"/>
      <c r="AGL16" s="368"/>
      <c r="AGM16" s="368"/>
      <c r="AGN16" s="368"/>
      <c r="AGO16" s="368"/>
      <c r="AGP16" s="368"/>
      <c r="AGQ16" s="368"/>
      <c r="AGR16" s="368"/>
      <c r="AGS16" s="368"/>
      <c r="AGT16" s="368"/>
      <c r="AGU16" s="368"/>
      <c r="AGV16" s="368"/>
      <c r="AGW16" s="368"/>
      <c r="AGX16" s="368"/>
      <c r="AGY16" s="368"/>
      <c r="AGZ16" s="368"/>
      <c r="AHA16" s="368"/>
      <c r="AHB16" s="368"/>
      <c r="AHC16" s="368"/>
      <c r="AHD16" s="368"/>
      <c r="AHE16" s="368"/>
      <c r="AHF16" s="368"/>
      <c r="AHG16" s="368"/>
      <c r="AHH16" s="368"/>
      <c r="AHI16" s="368"/>
      <c r="AHJ16" s="368"/>
      <c r="AHK16" s="368"/>
      <c r="AHL16" s="368"/>
      <c r="AHM16" s="368"/>
      <c r="AHN16" s="368"/>
      <c r="AHO16" s="368"/>
      <c r="AHP16" s="368"/>
      <c r="AHQ16" s="368"/>
      <c r="AHR16" s="368"/>
      <c r="AHS16" s="368"/>
      <c r="AHT16" s="368"/>
      <c r="AHU16" s="368"/>
      <c r="AHV16" s="368"/>
      <c r="AHW16" s="368"/>
      <c r="AHX16" s="368"/>
      <c r="AHY16" s="368"/>
      <c r="AHZ16" s="368"/>
      <c r="AIA16" s="368"/>
      <c r="AIB16" s="368"/>
      <c r="AIC16" s="368"/>
      <c r="AID16" s="368"/>
      <c r="AIE16" s="368"/>
      <c r="AIF16" s="368"/>
      <c r="AIG16" s="368"/>
      <c r="AIH16" s="368"/>
      <c r="AII16" s="368"/>
      <c r="AIJ16" s="368"/>
      <c r="AIK16" s="368"/>
      <c r="AIL16" s="368"/>
      <c r="AIM16" s="368"/>
      <c r="AIN16" s="368"/>
      <c r="AIO16" s="368"/>
      <c r="AIP16" s="368"/>
      <c r="AIQ16" s="368"/>
      <c r="AIR16" s="368"/>
      <c r="AIS16" s="368"/>
      <c r="AIT16" s="368"/>
      <c r="AIU16" s="368"/>
      <c r="AIV16" s="368"/>
      <c r="AIW16" s="368"/>
      <c r="AIX16" s="368"/>
      <c r="AIY16" s="368"/>
      <c r="AIZ16" s="368"/>
      <c r="AJA16" s="368"/>
      <c r="AJB16" s="368"/>
      <c r="AJC16" s="368"/>
      <c r="AJD16" s="368"/>
      <c r="AJE16" s="368"/>
      <c r="AJF16" s="368"/>
      <c r="AJG16" s="368"/>
      <c r="AJH16" s="368"/>
      <c r="AJI16" s="368"/>
      <c r="AJJ16" s="368"/>
      <c r="AJK16" s="368"/>
      <c r="AJL16" s="368"/>
      <c r="AJM16" s="368"/>
      <c r="AJN16" s="368"/>
      <c r="AJO16" s="368"/>
      <c r="AJP16" s="368"/>
      <c r="AJQ16" s="368"/>
      <c r="AJR16" s="368"/>
      <c r="AJS16" s="368"/>
      <c r="AJT16" s="368"/>
      <c r="AJU16" s="368"/>
      <c r="AJV16" s="368"/>
      <c r="AJW16" s="368"/>
      <c r="AJX16" s="368"/>
      <c r="AJY16" s="368"/>
      <c r="AJZ16" s="368"/>
      <c r="AKA16" s="368"/>
      <c r="AKB16" s="368"/>
      <c r="AKC16" s="368"/>
      <c r="AKD16" s="368"/>
      <c r="AKE16" s="368"/>
      <c r="AKF16" s="368"/>
      <c r="AKG16" s="368"/>
      <c r="AKH16" s="368"/>
      <c r="AKI16" s="368"/>
      <c r="AKJ16" s="368"/>
      <c r="AKK16" s="368"/>
      <c r="AKL16" s="368"/>
      <c r="AKM16" s="368"/>
      <c r="AKN16" s="368"/>
    </row>
    <row r="17" spans="1:976" s="363" customFormat="1" ht="22.5" customHeight="1" x14ac:dyDescent="0.2">
      <c r="A17" s="358" t="s">
        <v>262</v>
      </c>
      <c r="B17" s="358"/>
      <c r="C17" s="358" t="s">
        <v>221</v>
      </c>
      <c r="D17" s="358" t="s">
        <v>222</v>
      </c>
      <c r="E17" s="359">
        <v>403111</v>
      </c>
      <c r="F17" s="359">
        <v>223</v>
      </c>
      <c r="G17" s="359">
        <v>30</v>
      </c>
      <c r="H17" s="359">
        <v>0</v>
      </c>
      <c r="I17" s="360">
        <v>45709</v>
      </c>
      <c r="J17" s="358" t="s">
        <v>290</v>
      </c>
      <c r="K17" s="358" t="s">
        <v>320</v>
      </c>
      <c r="L17" s="361">
        <v>1255.3900000000001</v>
      </c>
      <c r="M17" s="361">
        <v>69.05</v>
      </c>
      <c r="N17" s="448">
        <v>1324.44</v>
      </c>
      <c r="O17" s="358"/>
      <c r="P17" s="362">
        <v>45714</v>
      </c>
      <c r="Q17" s="361">
        <v>1324.44</v>
      </c>
      <c r="R17" s="358" t="s">
        <v>321</v>
      </c>
      <c r="S17" s="361">
        <v>0</v>
      </c>
      <c r="T17" s="361">
        <v>0</v>
      </c>
      <c r="U17" s="361">
        <v>0</v>
      </c>
      <c r="V17" s="361">
        <v>0</v>
      </c>
      <c r="W17" s="358"/>
      <c r="X17" s="358" t="s">
        <v>308</v>
      </c>
      <c r="Y17" s="358" t="s">
        <v>309</v>
      </c>
      <c r="Z17" s="358" t="s">
        <v>32</v>
      </c>
      <c r="AA17" s="358" t="s">
        <v>228</v>
      </c>
      <c r="AB17" s="358" t="s">
        <v>34</v>
      </c>
      <c r="AC17" s="358" t="s">
        <v>31</v>
      </c>
      <c r="AD17" s="358" t="s">
        <v>231</v>
      </c>
      <c r="AE17" s="358" t="s">
        <v>232</v>
      </c>
      <c r="AF17" s="358" t="s">
        <v>231</v>
      </c>
      <c r="AG17" s="358" t="s">
        <v>232</v>
      </c>
      <c r="AH17" s="358"/>
      <c r="AI17" s="358"/>
      <c r="AJ17" s="358"/>
      <c r="AK17" s="358" t="s">
        <v>322</v>
      </c>
      <c r="AL17" s="359">
        <v>1</v>
      </c>
      <c r="AM17" s="359">
        <v>0</v>
      </c>
      <c r="AN17" s="360">
        <v>45714</v>
      </c>
      <c r="AO17" s="360">
        <v>45713</v>
      </c>
      <c r="AP17" s="361">
        <v>1324.44</v>
      </c>
      <c r="AQ17" s="360">
        <v>45712</v>
      </c>
      <c r="AR17" s="368"/>
      <c r="AS17" s="368"/>
      <c r="AT17" s="368"/>
      <c r="AU17" s="368"/>
      <c r="AV17" s="368"/>
      <c r="AW17" s="368"/>
      <c r="AX17" s="368"/>
      <c r="AY17" s="368"/>
      <c r="AZ17" s="368"/>
      <c r="BA17" s="368"/>
      <c r="BB17" s="368"/>
      <c r="BC17" s="368"/>
      <c r="BD17" s="368"/>
      <c r="BE17" s="368"/>
      <c r="BF17" s="368"/>
      <c r="BG17" s="368"/>
      <c r="BH17" s="368"/>
      <c r="BI17" s="368"/>
      <c r="BJ17" s="368"/>
      <c r="BK17" s="368"/>
      <c r="BL17" s="368"/>
      <c r="BM17" s="368"/>
      <c r="BN17" s="368"/>
      <c r="BO17" s="368"/>
      <c r="BP17" s="368"/>
      <c r="BQ17" s="368"/>
      <c r="BR17" s="368"/>
      <c r="BS17" s="368"/>
      <c r="BT17" s="368"/>
      <c r="BU17" s="368"/>
      <c r="BV17" s="368"/>
      <c r="BW17" s="368"/>
      <c r="BX17" s="368"/>
      <c r="BY17" s="368"/>
      <c r="BZ17" s="368"/>
      <c r="CA17" s="368"/>
      <c r="CB17" s="368"/>
      <c r="CC17" s="368"/>
      <c r="CD17" s="368"/>
      <c r="CE17" s="368"/>
      <c r="CF17" s="368"/>
      <c r="CG17" s="368"/>
      <c r="CH17" s="368"/>
      <c r="CI17" s="368"/>
      <c r="CJ17" s="368"/>
      <c r="CK17" s="368"/>
      <c r="CL17" s="368"/>
      <c r="CM17" s="368"/>
      <c r="CN17" s="368"/>
      <c r="CO17" s="368"/>
      <c r="CP17" s="368"/>
      <c r="CQ17" s="368"/>
      <c r="CR17" s="368"/>
      <c r="CS17" s="368"/>
      <c r="CT17" s="368"/>
      <c r="CU17" s="368"/>
      <c r="CV17" s="368"/>
      <c r="CW17" s="368"/>
      <c r="CX17" s="368"/>
      <c r="CY17" s="368"/>
      <c r="CZ17" s="368"/>
      <c r="DA17" s="368"/>
      <c r="DB17" s="368"/>
      <c r="DC17" s="368"/>
      <c r="DD17" s="368"/>
      <c r="DE17" s="368"/>
      <c r="DF17" s="368"/>
      <c r="DG17" s="368"/>
      <c r="DH17" s="368"/>
      <c r="DI17" s="368"/>
      <c r="DJ17" s="368"/>
      <c r="DK17" s="368"/>
      <c r="DL17" s="368"/>
      <c r="DM17" s="368"/>
      <c r="DN17" s="368"/>
      <c r="DO17" s="368"/>
      <c r="DP17" s="368"/>
      <c r="DQ17" s="368"/>
      <c r="DR17" s="368"/>
      <c r="DS17" s="368"/>
      <c r="DT17" s="368"/>
      <c r="DU17" s="368"/>
      <c r="DV17" s="368"/>
      <c r="DW17" s="368"/>
      <c r="DX17" s="368"/>
      <c r="DY17" s="368"/>
      <c r="DZ17" s="368"/>
      <c r="EA17" s="368"/>
      <c r="EB17" s="368"/>
      <c r="EC17" s="368"/>
      <c r="ED17" s="368"/>
      <c r="EE17" s="368"/>
      <c r="EF17" s="368"/>
      <c r="EG17" s="368"/>
      <c r="EH17" s="368"/>
      <c r="EI17" s="368"/>
      <c r="EJ17" s="368"/>
      <c r="EK17" s="368"/>
      <c r="EL17" s="368"/>
      <c r="EM17" s="368"/>
      <c r="EN17" s="368"/>
      <c r="EO17" s="368"/>
      <c r="EP17" s="368"/>
      <c r="EQ17" s="368"/>
      <c r="ER17" s="368"/>
      <c r="ES17" s="368"/>
      <c r="ET17" s="368"/>
      <c r="EU17" s="368"/>
      <c r="EV17" s="368"/>
      <c r="EW17" s="368"/>
      <c r="EX17" s="368"/>
      <c r="EY17" s="368"/>
      <c r="EZ17" s="368"/>
      <c r="FA17" s="368"/>
      <c r="FB17" s="368"/>
      <c r="FC17" s="368"/>
      <c r="FD17" s="368"/>
      <c r="FE17" s="368"/>
      <c r="FF17" s="368"/>
      <c r="FG17" s="368"/>
      <c r="FH17" s="368"/>
      <c r="FI17" s="368"/>
      <c r="FJ17" s="368"/>
      <c r="FK17" s="368"/>
      <c r="FL17" s="368"/>
      <c r="FM17" s="368"/>
      <c r="FN17" s="368"/>
      <c r="FO17" s="368"/>
      <c r="FP17" s="368"/>
      <c r="FQ17" s="368"/>
      <c r="FR17" s="368"/>
      <c r="FS17" s="368"/>
      <c r="FT17" s="368"/>
      <c r="FU17" s="368"/>
      <c r="FV17" s="368"/>
      <c r="FW17" s="368"/>
      <c r="FX17" s="368"/>
      <c r="FY17" s="368"/>
      <c r="FZ17" s="368"/>
      <c r="GA17" s="368"/>
      <c r="GB17" s="368"/>
      <c r="GC17" s="368"/>
      <c r="GD17" s="368"/>
      <c r="GE17" s="368"/>
      <c r="GF17" s="368"/>
      <c r="GG17" s="368"/>
      <c r="GH17" s="368"/>
      <c r="GI17" s="368"/>
      <c r="GJ17" s="368"/>
      <c r="GK17" s="368"/>
      <c r="GL17" s="368"/>
      <c r="GM17" s="368"/>
      <c r="GN17" s="368"/>
      <c r="GO17" s="368"/>
      <c r="GP17" s="368"/>
      <c r="GQ17" s="368"/>
      <c r="GR17" s="368"/>
      <c r="GS17" s="368"/>
      <c r="GT17" s="368"/>
      <c r="GU17" s="368"/>
      <c r="GV17" s="368"/>
      <c r="GW17" s="368"/>
      <c r="GX17" s="368"/>
      <c r="GY17" s="368"/>
      <c r="GZ17" s="368"/>
      <c r="HA17" s="368"/>
      <c r="HB17" s="368"/>
      <c r="HC17" s="368"/>
      <c r="HD17" s="368"/>
      <c r="HE17" s="368"/>
      <c r="HF17" s="368"/>
      <c r="HG17" s="368"/>
      <c r="HH17" s="368"/>
      <c r="HI17" s="368"/>
      <c r="HJ17" s="368"/>
      <c r="HK17" s="368"/>
      <c r="HL17" s="368"/>
      <c r="HM17" s="368"/>
      <c r="HN17" s="368"/>
      <c r="HO17" s="368"/>
      <c r="HP17" s="368"/>
      <c r="HQ17" s="368"/>
      <c r="HR17" s="368"/>
      <c r="HS17" s="368"/>
      <c r="HT17" s="368"/>
      <c r="HU17" s="368"/>
      <c r="HV17" s="368"/>
      <c r="HW17" s="368"/>
      <c r="HX17" s="368"/>
      <c r="HY17" s="368"/>
      <c r="HZ17" s="368"/>
      <c r="IA17" s="368"/>
      <c r="IB17" s="368"/>
      <c r="IC17" s="368"/>
      <c r="ID17" s="368"/>
      <c r="IE17" s="368"/>
      <c r="IF17" s="368"/>
      <c r="IG17" s="368"/>
      <c r="IH17" s="368"/>
      <c r="II17" s="368"/>
      <c r="IJ17" s="368"/>
      <c r="IK17" s="368"/>
      <c r="IL17" s="368"/>
      <c r="IM17" s="368"/>
      <c r="IN17" s="368"/>
      <c r="IO17" s="368"/>
      <c r="IP17" s="368"/>
      <c r="IQ17" s="368"/>
      <c r="IR17" s="368"/>
      <c r="IS17" s="368"/>
      <c r="IT17" s="368"/>
      <c r="IU17" s="368"/>
      <c r="IV17" s="368"/>
      <c r="IW17" s="368"/>
      <c r="IX17" s="368"/>
      <c r="IY17" s="368"/>
      <c r="IZ17" s="368"/>
      <c r="JA17" s="368"/>
      <c r="JB17" s="368"/>
      <c r="JC17" s="368"/>
      <c r="JD17" s="368"/>
      <c r="JE17" s="368"/>
      <c r="JF17" s="368"/>
      <c r="JG17" s="368"/>
      <c r="JH17" s="368"/>
      <c r="JI17" s="368"/>
      <c r="JJ17" s="368"/>
      <c r="JK17" s="368"/>
      <c r="JL17" s="368"/>
      <c r="JM17" s="368"/>
      <c r="JN17" s="368"/>
      <c r="JO17" s="368"/>
      <c r="JP17" s="368"/>
      <c r="JQ17" s="368"/>
      <c r="JR17" s="368"/>
      <c r="JS17" s="368"/>
      <c r="JT17" s="368"/>
      <c r="JU17" s="368"/>
      <c r="JV17" s="368"/>
      <c r="JW17" s="368"/>
      <c r="JX17" s="368"/>
      <c r="JY17" s="368"/>
      <c r="JZ17" s="368"/>
      <c r="KA17" s="368"/>
      <c r="KB17" s="368"/>
      <c r="KC17" s="368"/>
      <c r="KD17" s="368"/>
      <c r="KE17" s="368"/>
      <c r="KF17" s="368"/>
      <c r="KG17" s="368"/>
      <c r="KH17" s="368"/>
      <c r="KI17" s="368"/>
      <c r="KJ17" s="368"/>
      <c r="KK17" s="368"/>
      <c r="KL17" s="368"/>
      <c r="KM17" s="368"/>
      <c r="KN17" s="368"/>
      <c r="KO17" s="368"/>
      <c r="KP17" s="368"/>
      <c r="KQ17" s="368"/>
      <c r="KR17" s="368"/>
      <c r="KS17" s="368"/>
      <c r="KT17" s="368"/>
      <c r="KU17" s="368"/>
      <c r="KV17" s="368"/>
      <c r="KW17" s="368"/>
      <c r="KX17" s="368"/>
      <c r="KY17" s="368"/>
      <c r="KZ17" s="368"/>
      <c r="LA17" s="368"/>
      <c r="LB17" s="368"/>
      <c r="LC17" s="368"/>
      <c r="LD17" s="368"/>
      <c r="LE17" s="368"/>
      <c r="LF17" s="368"/>
      <c r="LG17" s="368"/>
      <c r="LH17" s="368"/>
      <c r="LI17" s="368"/>
      <c r="LJ17" s="368"/>
      <c r="LK17" s="368"/>
      <c r="LL17" s="368"/>
      <c r="LM17" s="368"/>
      <c r="LN17" s="368"/>
      <c r="LO17" s="368"/>
      <c r="LP17" s="368"/>
      <c r="LQ17" s="368"/>
      <c r="LR17" s="368"/>
      <c r="LS17" s="368"/>
      <c r="LT17" s="368"/>
      <c r="LU17" s="368"/>
      <c r="LV17" s="368"/>
      <c r="LW17" s="368"/>
      <c r="LX17" s="368"/>
      <c r="LY17" s="368"/>
      <c r="LZ17" s="368"/>
      <c r="MA17" s="368"/>
      <c r="MB17" s="368"/>
      <c r="MC17" s="368"/>
      <c r="MD17" s="368"/>
      <c r="ME17" s="368"/>
      <c r="MF17" s="368"/>
      <c r="MG17" s="368"/>
      <c r="MH17" s="368"/>
      <c r="MI17" s="368"/>
      <c r="MJ17" s="368"/>
      <c r="MK17" s="368"/>
      <c r="ML17" s="368"/>
      <c r="MM17" s="368"/>
      <c r="MN17" s="368"/>
      <c r="MO17" s="368"/>
      <c r="MP17" s="368"/>
      <c r="MQ17" s="368"/>
      <c r="MR17" s="368"/>
      <c r="MS17" s="368"/>
      <c r="MT17" s="368"/>
      <c r="MU17" s="368"/>
      <c r="MV17" s="368"/>
      <c r="MW17" s="368"/>
      <c r="MX17" s="368"/>
      <c r="MY17" s="368"/>
      <c r="MZ17" s="368"/>
      <c r="NA17" s="368"/>
      <c r="NB17" s="368"/>
      <c r="NC17" s="368"/>
      <c r="ND17" s="368"/>
      <c r="NE17" s="368"/>
      <c r="NF17" s="368"/>
      <c r="NG17" s="368"/>
      <c r="NH17" s="368"/>
      <c r="NI17" s="368"/>
      <c r="NJ17" s="368"/>
      <c r="NK17" s="368"/>
      <c r="NL17" s="368"/>
      <c r="NM17" s="368"/>
      <c r="NN17" s="368"/>
      <c r="NO17" s="368"/>
      <c r="NP17" s="368"/>
      <c r="NQ17" s="368"/>
      <c r="NR17" s="368"/>
      <c r="NS17" s="368"/>
      <c r="NT17" s="368"/>
      <c r="NU17" s="368"/>
      <c r="NV17" s="368"/>
      <c r="NW17" s="368"/>
      <c r="NX17" s="368"/>
      <c r="NY17" s="368"/>
      <c r="NZ17" s="368"/>
      <c r="OA17" s="368"/>
      <c r="OB17" s="368"/>
      <c r="OC17" s="368"/>
      <c r="OD17" s="368"/>
      <c r="OE17" s="368"/>
      <c r="OF17" s="368"/>
      <c r="OG17" s="368"/>
      <c r="OH17" s="368"/>
      <c r="OI17" s="368"/>
      <c r="OJ17" s="368"/>
      <c r="OK17" s="368"/>
      <c r="OL17" s="368"/>
      <c r="OM17" s="368"/>
      <c r="ON17" s="368"/>
      <c r="OO17" s="368"/>
      <c r="OP17" s="368"/>
      <c r="OQ17" s="368"/>
      <c r="OR17" s="368"/>
      <c r="OS17" s="368"/>
      <c r="OT17" s="368"/>
      <c r="OU17" s="368"/>
      <c r="OV17" s="368"/>
      <c r="OW17" s="368"/>
      <c r="OX17" s="368"/>
      <c r="OY17" s="368"/>
      <c r="OZ17" s="368"/>
      <c r="PA17" s="368"/>
      <c r="PB17" s="368"/>
      <c r="PC17" s="368"/>
      <c r="PD17" s="368"/>
      <c r="PE17" s="368"/>
      <c r="PF17" s="368"/>
      <c r="PG17" s="368"/>
      <c r="PH17" s="368"/>
      <c r="PI17" s="368"/>
      <c r="PJ17" s="368"/>
      <c r="PK17" s="368"/>
      <c r="PL17" s="368"/>
      <c r="PM17" s="368"/>
      <c r="PN17" s="368"/>
      <c r="PO17" s="368"/>
      <c r="PP17" s="368"/>
      <c r="PQ17" s="368"/>
      <c r="PR17" s="368"/>
      <c r="PS17" s="368"/>
      <c r="PT17" s="368"/>
      <c r="PU17" s="368"/>
      <c r="PV17" s="368"/>
      <c r="PW17" s="368"/>
      <c r="PX17" s="368"/>
      <c r="PY17" s="368"/>
      <c r="PZ17" s="368"/>
      <c r="QA17" s="368"/>
      <c r="QB17" s="368"/>
      <c r="QC17" s="368"/>
      <c r="QD17" s="368"/>
      <c r="QE17" s="368"/>
      <c r="QF17" s="368"/>
      <c r="QG17" s="368"/>
      <c r="QH17" s="368"/>
      <c r="QI17" s="368"/>
      <c r="QJ17" s="368"/>
      <c r="QK17" s="368"/>
      <c r="QL17" s="368"/>
      <c r="QM17" s="368"/>
      <c r="QN17" s="368"/>
      <c r="QO17" s="368"/>
      <c r="QP17" s="368"/>
      <c r="QQ17" s="368"/>
      <c r="QR17" s="368"/>
      <c r="QS17" s="368"/>
      <c r="QT17" s="368"/>
      <c r="QU17" s="368"/>
      <c r="QV17" s="368"/>
      <c r="QW17" s="368"/>
      <c r="QX17" s="368"/>
      <c r="QY17" s="368"/>
      <c r="QZ17" s="368"/>
      <c r="RA17" s="368"/>
      <c r="RB17" s="368"/>
      <c r="RC17" s="368"/>
      <c r="RD17" s="368"/>
      <c r="RE17" s="368"/>
      <c r="RF17" s="368"/>
      <c r="RG17" s="368"/>
      <c r="RH17" s="368"/>
      <c r="RI17" s="368"/>
      <c r="RJ17" s="368"/>
      <c r="RK17" s="368"/>
      <c r="RL17" s="368"/>
      <c r="RM17" s="368"/>
      <c r="RN17" s="368"/>
      <c r="RO17" s="368"/>
      <c r="RP17" s="368"/>
      <c r="RQ17" s="368"/>
      <c r="RR17" s="368"/>
      <c r="RS17" s="368"/>
      <c r="RT17" s="368"/>
      <c r="RU17" s="368"/>
      <c r="RV17" s="368"/>
      <c r="RW17" s="368"/>
      <c r="RX17" s="368"/>
      <c r="RY17" s="368"/>
      <c r="RZ17" s="368"/>
      <c r="SA17" s="368"/>
      <c r="SB17" s="368"/>
      <c r="SC17" s="368"/>
      <c r="SD17" s="368"/>
      <c r="SE17" s="368"/>
      <c r="SF17" s="368"/>
      <c r="SG17" s="368"/>
      <c r="SH17" s="368"/>
      <c r="SI17" s="368"/>
      <c r="SJ17" s="368"/>
      <c r="SK17" s="368"/>
      <c r="SL17" s="368"/>
      <c r="SM17" s="368"/>
      <c r="SN17" s="368"/>
      <c r="SO17" s="368"/>
      <c r="SP17" s="368"/>
      <c r="SQ17" s="368"/>
      <c r="SR17" s="368"/>
      <c r="SS17" s="368"/>
      <c r="ST17" s="368"/>
      <c r="SU17" s="368"/>
      <c r="SV17" s="368"/>
      <c r="SW17" s="368"/>
      <c r="SX17" s="368"/>
      <c r="SY17" s="368"/>
      <c r="SZ17" s="368"/>
      <c r="TA17" s="368"/>
      <c r="TB17" s="368"/>
      <c r="TC17" s="368"/>
      <c r="TD17" s="368"/>
      <c r="TE17" s="368"/>
      <c r="TF17" s="368"/>
      <c r="TG17" s="368"/>
      <c r="TH17" s="368"/>
      <c r="TI17" s="368"/>
      <c r="TJ17" s="368"/>
      <c r="TK17" s="368"/>
      <c r="TL17" s="368"/>
      <c r="TM17" s="368"/>
      <c r="TN17" s="368"/>
      <c r="TO17" s="368"/>
      <c r="TP17" s="368"/>
      <c r="TQ17" s="368"/>
      <c r="TR17" s="368"/>
      <c r="TS17" s="368"/>
      <c r="TT17" s="368"/>
      <c r="TU17" s="368"/>
      <c r="TV17" s="368"/>
      <c r="TW17" s="368"/>
      <c r="TX17" s="368"/>
      <c r="TY17" s="368"/>
      <c r="TZ17" s="368"/>
      <c r="UA17" s="368"/>
      <c r="UB17" s="368"/>
      <c r="UC17" s="368"/>
      <c r="UD17" s="368"/>
      <c r="UE17" s="368"/>
      <c r="UF17" s="368"/>
      <c r="UG17" s="368"/>
      <c r="UH17" s="368"/>
      <c r="UI17" s="368"/>
      <c r="UJ17" s="368"/>
      <c r="UK17" s="368"/>
      <c r="UL17" s="368"/>
      <c r="UM17" s="368"/>
      <c r="UN17" s="368"/>
      <c r="UO17" s="368"/>
      <c r="UP17" s="368"/>
      <c r="UQ17" s="368"/>
      <c r="UR17" s="368"/>
      <c r="US17" s="368"/>
      <c r="UT17" s="368"/>
      <c r="UU17" s="368"/>
      <c r="UV17" s="368"/>
      <c r="UW17" s="368"/>
      <c r="UX17" s="368"/>
      <c r="UY17" s="368"/>
      <c r="UZ17" s="368"/>
      <c r="VA17" s="368"/>
      <c r="VB17" s="368"/>
      <c r="VC17" s="368"/>
      <c r="VD17" s="368"/>
      <c r="VE17" s="368"/>
      <c r="VF17" s="368"/>
      <c r="VG17" s="368"/>
      <c r="VH17" s="368"/>
      <c r="VI17" s="368"/>
      <c r="VJ17" s="368"/>
      <c r="VK17" s="368"/>
      <c r="VL17" s="368"/>
      <c r="VM17" s="368"/>
      <c r="VN17" s="368"/>
      <c r="VO17" s="368"/>
      <c r="VP17" s="368"/>
      <c r="VQ17" s="368"/>
      <c r="VR17" s="368"/>
      <c r="VS17" s="368"/>
      <c r="VT17" s="368"/>
      <c r="VU17" s="368"/>
      <c r="VV17" s="368"/>
      <c r="VW17" s="368"/>
      <c r="VX17" s="368"/>
      <c r="VY17" s="368"/>
      <c r="VZ17" s="368"/>
      <c r="WA17" s="368"/>
      <c r="WB17" s="368"/>
      <c r="WC17" s="368"/>
      <c r="WD17" s="368"/>
      <c r="WE17" s="368"/>
      <c r="WF17" s="368"/>
      <c r="WG17" s="368"/>
      <c r="WH17" s="368"/>
      <c r="WI17" s="368"/>
      <c r="WJ17" s="368"/>
      <c r="WK17" s="368"/>
      <c r="WL17" s="368"/>
      <c r="WM17" s="368"/>
      <c r="WN17" s="368"/>
      <c r="WO17" s="368"/>
      <c r="WP17" s="368"/>
      <c r="WQ17" s="368"/>
      <c r="WR17" s="368"/>
      <c r="WS17" s="368"/>
      <c r="WT17" s="368"/>
      <c r="WU17" s="368"/>
      <c r="WV17" s="368"/>
      <c r="WW17" s="368"/>
      <c r="WX17" s="368"/>
      <c r="WY17" s="368"/>
      <c r="WZ17" s="368"/>
      <c r="XA17" s="368"/>
      <c r="XB17" s="368"/>
      <c r="XC17" s="368"/>
      <c r="XD17" s="368"/>
      <c r="XE17" s="368"/>
      <c r="XF17" s="368"/>
      <c r="XG17" s="368"/>
      <c r="XH17" s="368"/>
      <c r="XI17" s="368"/>
      <c r="XJ17" s="368"/>
      <c r="XK17" s="368"/>
      <c r="XL17" s="368"/>
      <c r="XM17" s="368"/>
      <c r="XN17" s="368"/>
      <c r="XO17" s="368"/>
      <c r="XP17" s="368"/>
      <c r="XQ17" s="368"/>
      <c r="XR17" s="368"/>
      <c r="XS17" s="368"/>
      <c r="XT17" s="368"/>
      <c r="XU17" s="368"/>
      <c r="XV17" s="368"/>
      <c r="XW17" s="368"/>
      <c r="XX17" s="368"/>
      <c r="XY17" s="368"/>
      <c r="XZ17" s="368"/>
      <c r="YA17" s="368"/>
      <c r="YB17" s="368"/>
      <c r="YC17" s="368"/>
      <c r="YD17" s="368"/>
      <c r="YE17" s="368"/>
      <c r="YF17" s="368"/>
      <c r="YG17" s="368"/>
      <c r="YH17" s="368"/>
      <c r="YI17" s="368"/>
      <c r="YJ17" s="368"/>
      <c r="YK17" s="368"/>
      <c r="YL17" s="368"/>
      <c r="YM17" s="368"/>
      <c r="YN17" s="368"/>
      <c r="YO17" s="368"/>
      <c r="YP17" s="368"/>
      <c r="YQ17" s="368"/>
      <c r="YR17" s="368"/>
      <c r="YS17" s="368"/>
      <c r="YT17" s="368"/>
      <c r="YU17" s="368"/>
      <c r="YV17" s="368"/>
      <c r="YW17" s="368"/>
      <c r="YX17" s="368"/>
      <c r="YY17" s="368"/>
      <c r="YZ17" s="368"/>
      <c r="ZA17" s="368"/>
      <c r="ZB17" s="368"/>
      <c r="ZC17" s="368"/>
      <c r="ZD17" s="368"/>
      <c r="ZE17" s="368"/>
      <c r="ZF17" s="368"/>
      <c r="ZG17" s="368"/>
      <c r="ZH17" s="368"/>
      <c r="ZI17" s="368"/>
      <c r="ZJ17" s="368"/>
      <c r="ZK17" s="368"/>
      <c r="ZL17" s="368"/>
      <c r="ZM17" s="368"/>
      <c r="ZN17" s="368"/>
      <c r="ZO17" s="368"/>
      <c r="ZP17" s="368"/>
      <c r="ZQ17" s="368"/>
      <c r="ZR17" s="368"/>
      <c r="ZS17" s="368"/>
      <c r="ZT17" s="368"/>
      <c r="ZU17" s="368"/>
      <c r="ZV17" s="368"/>
      <c r="ZW17" s="368"/>
      <c r="ZX17" s="368"/>
      <c r="ZY17" s="368"/>
      <c r="ZZ17" s="368"/>
      <c r="AAA17" s="368"/>
      <c r="AAB17" s="368"/>
      <c r="AAC17" s="368"/>
      <c r="AAD17" s="368"/>
      <c r="AAE17" s="368"/>
      <c r="AAF17" s="368"/>
      <c r="AAG17" s="368"/>
      <c r="AAH17" s="368"/>
      <c r="AAI17" s="368"/>
      <c r="AAJ17" s="368"/>
      <c r="AAK17" s="368"/>
      <c r="AAL17" s="368"/>
      <c r="AAM17" s="368"/>
      <c r="AAN17" s="368"/>
      <c r="AAO17" s="368"/>
      <c r="AAP17" s="368"/>
      <c r="AAQ17" s="368"/>
      <c r="AAR17" s="368"/>
      <c r="AAS17" s="368"/>
      <c r="AAT17" s="368"/>
      <c r="AAU17" s="368"/>
      <c r="AAV17" s="368"/>
      <c r="AAW17" s="368"/>
      <c r="AAX17" s="368"/>
      <c r="AAY17" s="368"/>
      <c r="AAZ17" s="368"/>
      <c r="ABA17" s="368"/>
      <c r="ABB17" s="368"/>
      <c r="ABC17" s="368"/>
      <c r="ABD17" s="368"/>
      <c r="ABE17" s="368"/>
      <c r="ABF17" s="368"/>
      <c r="ABG17" s="368"/>
      <c r="ABH17" s="368"/>
      <c r="ABI17" s="368"/>
      <c r="ABJ17" s="368"/>
      <c r="ABK17" s="368"/>
      <c r="ABL17" s="368"/>
      <c r="ABM17" s="368"/>
      <c r="ABN17" s="368"/>
      <c r="ABO17" s="368"/>
      <c r="ABP17" s="368"/>
      <c r="ABQ17" s="368"/>
      <c r="ABR17" s="368"/>
      <c r="ABS17" s="368"/>
      <c r="ABT17" s="368"/>
      <c r="ABU17" s="368"/>
      <c r="ABV17" s="368"/>
      <c r="ABW17" s="368"/>
      <c r="ABX17" s="368"/>
      <c r="ABY17" s="368"/>
      <c r="ABZ17" s="368"/>
      <c r="ACA17" s="368"/>
      <c r="ACB17" s="368"/>
      <c r="ACC17" s="368"/>
      <c r="ACD17" s="368"/>
      <c r="ACE17" s="368"/>
      <c r="ACF17" s="368"/>
      <c r="ACG17" s="368"/>
      <c r="ACH17" s="368"/>
      <c r="ACI17" s="368"/>
      <c r="ACJ17" s="368"/>
      <c r="ACK17" s="368"/>
      <c r="ACL17" s="368"/>
      <c r="ACM17" s="368"/>
      <c r="ACN17" s="368"/>
      <c r="ACO17" s="368"/>
      <c r="ACP17" s="368"/>
      <c r="ACQ17" s="368"/>
      <c r="ACR17" s="368"/>
      <c r="ACS17" s="368"/>
      <c r="ACT17" s="368"/>
      <c r="ACU17" s="368"/>
      <c r="ACV17" s="368"/>
      <c r="ACW17" s="368"/>
      <c r="ACX17" s="368"/>
      <c r="ACY17" s="368"/>
      <c r="ACZ17" s="368"/>
      <c r="ADA17" s="368"/>
      <c r="ADB17" s="368"/>
      <c r="ADC17" s="368"/>
      <c r="ADD17" s="368"/>
      <c r="ADE17" s="368"/>
      <c r="ADF17" s="368"/>
      <c r="ADG17" s="368"/>
      <c r="ADH17" s="368"/>
      <c r="ADI17" s="368"/>
      <c r="ADJ17" s="368"/>
      <c r="ADK17" s="368"/>
      <c r="ADL17" s="368"/>
      <c r="ADM17" s="368"/>
      <c r="ADN17" s="368"/>
      <c r="ADO17" s="368"/>
      <c r="ADP17" s="368"/>
      <c r="ADQ17" s="368"/>
      <c r="ADR17" s="368"/>
      <c r="ADS17" s="368"/>
      <c r="ADT17" s="368"/>
      <c r="ADU17" s="368"/>
      <c r="ADV17" s="368"/>
      <c r="ADW17" s="368"/>
      <c r="ADX17" s="368"/>
      <c r="ADY17" s="368"/>
      <c r="ADZ17" s="368"/>
      <c r="AEA17" s="368"/>
      <c r="AEB17" s="368"/>
      <c r="AEC17" s="368"/>
      <c r="AED17" s="368"/>
      <c r="AEE17" s="368"/>
      <c r="AEF17" s="368"/>
      <c r="AEG17" s="368"/>
      <c r="AEH17" s="368"/>
      <c r="AEI17" s="368"/>
      <c r="AEJ17" s="368"/>
      <c r="AEK17" s="368"/>
      <c r="AEL17" s="368"/>
      <c r="AEM17" s="368"/>
      <c r="AEN17" s="368"/>
      <c r="AEO17" s="368"/>
      <c r="AEP17" s="368"/>
      <c r="AEQ17" s="368"/>
      <c r="AER17" s="368"/>
      <c r="AES17" s="368"/>
      <c r="AET17" s="368"/>
      <c r="AEU17" s="368"/>
      <c r="AEV17" s="368"/>
      <c r="AEW17" s="368"/>
      <c r="AEX17" s="368"/>
      <c r="AEY17" s="368"/>
      <c r="AEZ17" s="368"/>
      <c r="AFA17" s="368"/>
      <c r="AFB17" s="368"/>
      <c r="AFC17" s="368"/>
      <c r="AFD17" s="368"/>
      <c r="AFE17" s="368"/>
      <c r="AFF17" s="368"/>
      <c r="AFG17" s="368"/>
      <c r="AFH17" s="368"/>
      <c r="AFI17" s="368"/>
      <c r="AFJ17" s="368"/>
      <c r="AFK17" s="368"/>
      <c r="AFL17" s="368"/>
      <c r="AFM17" s="368"/>
      <c r="AFN17" s="368"/>
      <c r="AFO17" s="368"/>
      <c r="AFP17" s="368"/>
      <c r="AFQ17" s="368"/>
      <c r="AFR17" s="368"/>
      <c r="AFS17" s="368"/>
      <c r="AFT17" s="368"/>
      <c r="AFU17" s="368"/>
      <c r="AFV17" s="368"/>
      <c r="AFW17" s="368"/>
      <c r="AFX17" s="368"/>
      <c r="AFY17" s="368"/>
      <c r="AFZ17" s="368"/>
      <c r="AGA17" s="368"/>
      <c r="AGB17" s="368"/>
      <c r="AGC17" s="368"/>
      <c r="AGD17" s="368"/>
      <c r="AGE17" s="368"/>
      <c r="AGF17" s="368"/>
      <c r="AGG17" s="368"/>
      <c r="AGH17" s="368"/>
      <c r="AGI17" s="368"/>
      <c r="AGJ17" s="368"/>
      <c r="AGK17" s="368"/>
      <c r="AGL17" s="368"/>
      <c r="AGM17" s="368"/>
      <c r="AGN17" s="368"/>
      <c r="AGO17" s="368"/>
      <c r="AGP17" s="368"/>
      <c r="AGQ17" s="368"/>
      <c r="AGR17" s="368"/>
      <c r="AGS17" s="368"/>
      <c r="AGT17" s="368"/>
      <c r="AGU17" s="368"/>
      <c r="AGV17" s="368"/>
      <c r="AGW17" s="368"/>
      <c r="AGX17" s="368"/>
      <c r="AGY17" s="368"/>
      <c r="AGZ17" s="368"/>
      <c r="AHA17" s="368"/>
      <c r="AHB17" s="368"/>
      <c r="AHC17" s="368"/>
      <c r="AHD17" s="368"/>
      <c r="AHE17" s="368"/>
      <c r="AHF17" s="368"/>
      <c r="AHG17" s="368"/>
      <c r="AHH17" s="368"/>
      <c r="AHI17" s="368"/>
      <c r="AHJ17" s="368"/>
      <c r="AHK17" s="368"/>
      <c r="AHL17" s="368"/>
      <c r="AHM17" s="368"/>
      <c r="AHN17" s="368"/>
      <c r="AHO17" s="368"/>
      <c r="AHP17" s="368"/>
      <c r="AHQ17" s="368"/>
      <c r="AHR17" s="368"/>
      <c r="AHS17" s="368"/>
      <c r="AHT17" s="368"/>
      <c r="AHU17" s="368"/>
      <c r="AHV17" s="368"/>
      <c r="AHW17" s="368"/>
      <c r="AHX17" s="368"/>
      <c r="AHY17" s="368"/>
      <c r="AHZ17" s="368"/>
      <c r="AIA17" s="368"/>
      <c r="AIB17" s="368"/>
      <c r="AIC17" s="368"/>
      <c r="AID17" s="368"/>
      <c r="AIE17" s="368"/>
      <c r="AIF17" s="368"/>
      <c r="AIG17" s="368"/>
      <c r="AIH17" s="368"/>
      <c r="AII17" s="368"/>
      <c r="AIJ17" s="368"/>
      <c r="AIK17" s="368"/>
      <c r="AIL17" s="368"/>
      <c r="AIM17" s="368"/>
      <c r="AIN17" s="368"/>
      <c r="AIO17" s="368"/>
      <c r="AIP17" s="368"/>
      <c r="AIQ17" s="368"/>
      <c r="AIR17" s="368"/>
      <c r="AIS17" s="368"/>
      <c r="AIT17" s="368"/>
      <c r="AIU17" s="368"/>
      <c r="AIV17" s="368"/>
      <c r="AIW17" s="368"/>
      <c r="AIX17" s="368"/>
      <c r="AIY17" s="368"/>
      <c r="AIZ17" s="368"/>
      <c r="AJA17" s="368"/>
      <c r="AJB17" s="368"/>
      <c r="AJC17" s="368"/>
      <c r="AJD17" s="368"/>
      <c r="AJE17" s="368"/>
      <c r="AJF17" s="368"/>
      <c r="AJG17" s="368"/>
      <c r="AJH17" s="368"/>
      <c r="AJI17" s="368"/>
      <c r="AJJ17" s="368"/>
      <c r="AJK17" s="368"/>
      <c r="AJL17" s="368"/>
      <c r="AJM17" s="368"/>
      <c r="AJN17" s="368"/>
      <c r="AJO17" s="368"/>
      <c r="AJP17" s="368"/>
      <c r="AJQ17" s="368"/>
      <c r="AJR17" s="368"/>
      <c r="AJS17" s="368"/>
      <c r="AJT17" s="368"/>
      <c r="AJU17" s="368"/>
      <c r="AJV17" s="368"/>
      <c r="AJW17" s="368"/>
      <c r="AJX17" s="368"/>
      <c r="AJY17" s="368"/>
      <c r="AJZ17" s="368"/>
      <c r="AKA17" s="368"/>
      <c r="AKB17" s="368"/>
      <c r="AKC17" s="368"/>
      <c r="AKD17" s="368"/>
      <c r="AKE17" s="368"/>
      <c r="AKF17" s="368"/>
      <c r="AKG17" s="368"/>
      <c r="AKH17" s="368"/>
      <c r="AKI17" s="368"/>
      <c r="AKJ17" s="368"/>
      <c r="AKK17" s="368"/>
      <c r="AKL17" s="368"/>
      <c r="AKM17" s="368"/>
      <c r="AKN17" s="368"/>
    </row>
    <row r="18" spans="1:976" s="363" customFormat="1" ht="22.5" customHeight="1" x14ac:dyDescent="0.2">
      <c r="A18" s="358" t="s">
        <v>262</v>
      </c>
      <c r="B18" s="358"/>
      <c r="C18" s="358" t="s">
        <v>221</v>
      </c>
      <c r="D18" s="358" t="s">
        <v>222</v>
      </c>
      <c r="E18" s="359">
        <v>403112</v>
      </c>
      <c r="F18" s="359">
        <v>224</v>
      </c>
      <c r="G18" s="359">
        <v>30</v>
      </c>
      <c r="H18" s="359">
        <v>0</v>
      </c>
      <c r="I18" s="360">
        <v>45709</v>
      </c>
      <c r="J18" s="358" t="s">
        <v>290</v>
      </c>
      <c r="K18" s="358" t="s">
        <v>323</v>
      </c>
      <c r="L18" s="361">
        <v>389.43</v>
      </c>
      <c r="M18" s="361">
        <v>21.42</v>
      </c>
      <c r="N18" s="448">
        <v>410.85</v>
      </c>
      <c r="O18" s="358"/>
      <c r="P18" s="362">
        <v>45714</v>
      </c>
      <c r="Q18" s="361">
        <v>410.85</v>
      </c>
      <c r="R18" s="358" t="s">
        <v>324</v>
      </c>
      <c r="S18" s="361">
        <v>0</v>
      </c>
      <c r="T18" s="361">
        <v>0</v>
      </c>
      <c r="U18" s="361">
        <v>0</v>
      </c>
      <c r="V18" s="361">
        <v>0</v>
      </c>
      <c r="W18" s="358"/>
      <c r="X18" s="358" t="s">
        <v>308</v>
      </c>
      <c r="Y18" s="358" t="s">
        <v>309</v>
      </c>
      <c r="Z18" s="358" t="s">
        <v>259</v>
      </c>
      <c r="AA18" s="358" t="s">
        <v>228</v>
      </c>
      <c r="AB18" s="358" t="s">
        <v>260</v>
      </c>
      <c r="AC18" s="358" t="s">
        <v>31</v>
      </c>
      <c r="AD18" s="358" t="s">
        <v>231</v>
      </c>
      <c r="AE18" s="358" t="s">
        <v>232</v>
      </c>
      <c r="AF18" s="358" t="s">
        <v>231</v>
      </c>
      <c r="AG18" s="358" t="s">
        <v>232</v>
      </c>
      <c r="AH18" s="358"/>
      <c r="AI18" s="358"/>
      <c r="AJ18" s="358" t="s">
        <v>261</v>
      </c>
      <c r="AK18" s="358" t="s">
        <v>325</v>
      </c>
      <c r="AL18" s="359">
        <v>1</v>
      </c>
      <c r="AM18" s="359">
        <v>0</v>
      </c>
      <c r="AN18" s="360">
        <v>45714</v>
      </c>
      <c r="AO18" s="360">
        <v>45713</v>
      </c>
      <c r="AP18" s="361">
        <v>410.85</v>
      </c>
      <c r="AQ18" s="360">
        <v>45712</v>
      </c>
      <c r="AR18" s="368"/>
      <c r="AS18" s="368"/>
      <c r="AT18" s="368"/>
      <c r="AU18" s="368"/>
      <c r="AV18" s="368"/>
      <c r="AW18" s="368"/>
      <c r="AX18" s="368"/>
      <c r="AY18" s="368"/>
      <c r="AZ18" s="368"/>
      <c r="BA18" s="368"/>
      <c r="BB18" s="368"/>
      <c r="BC18" s="368"/>
      <c r="BD18" s="368"/>
      <c r="BE18" s="368"/>
      <c r="BF18" s="368"/>
      <c r="BG18" s="368"/>
      <c r="BH18" s="368"/>
      <c r="BI18" s="368"/>
      <c r="BJ18" s="368"/>
      <c r="BK18" s="368"/>
      <c r="BL18" s="368"/>
      <c r="BM18" s="368"/>
      <c r="BN18" s="368"/>
      <c r="BO18" s="368"/>
      <c r="BP18" s="368"/>
      <c r="BQ18" s="368"/>
      <c r="BR18" s="368"/>
      <c r="BS18" s="368"/>
      <c r="BT18" s="368"/>
      <c r="BU18" s="368"/>
      <c r="BV18" s="368"/>
      <c r="BW18" s="368"/>
      <c r="BX18" s="368"/>
      <c r="BY18" s="368"/>
      <c r="BZ18" s="368"/>
      <c r="CA18" s="368"/>
      <c r="CB18" s="368"/>
      <c r="CC18" s="368"/>
      <c r="CD18" s="368"/>
      <c r="CE18" s="368"/>
      <c r="CF18" s="368"/>
      <c r="CG18" s="368"/>
      <c r="CH18" s="368"/>
      <c r="CI18" s="368"/>
      <c r="CJ18" s="368"/>
      <c r="CK18" s="368"/>
      <c r="CL18" s="368"/>
      <c r="CM18" s="368"/>
      <c r="CN18" s="368"/>
      <c r="CO18" s="368"/>
      <c r="CP18" s="368"/>
      <c r="CQ18" s="368"/>
      <c r="CR18" s="368"/>
      <c r="CS18" s="368"/>
      <c r="CT18" s="368"/>
      <c r="CU18" s="368"/>
      <c r="CV18" s="368"/>
      <c r="CW18" s="368"/>
      <c r="CX18" s="368"/>
      <c r="CY18" s="368"/>
      <c r="CZ18" s="368"/>
      <c r="DA18" s="368"/>
      <c r="DB18" s="368"/>
      <c r="DC18" s="368"/>
      <c r="DD18" s="368"/>
      <c r="DE18" s="368"/>
      <c r="DF18" s="368"/>
      <c r="DG18" s="368"/>
      <c r="DH18" s="368"/>
      <c r="DI18" s="368"/>
      <c r="DJ18" s="368"/>
      <c r="DK18" s="368"/>
      <c r="DL18" s="368"/>
      <c r="DM18" s="368"/>
      <c r="DN18" s="368"/>
      <c r="DO18" s="368"/>
      <c r="DP18" s="368"/>
      <c r="DQ18" s="368"/>
      <c r="DR18" s="368"/>
      <c r="DS18" s="368"/>
      <c r="DT18" s="368"/>
      <c r="DU18" s="368"/>
      <c r="DV18" s="368"/>
      <c r="DW18" s="368"/>
      <c r="DX18" s="368"/>
      <c r="DY18" s="368"/>
      <c r="DZ18" s="368"/>
      <c r="EA18" s="368"/>
      <c r="EB18" s="368"/>
      <c r="EC18" s="368"/>
      <c r="ED18" s="368"/>
      <c r="EE18" s="368"/>
      <c r="EF18" s="368"/>
      <c r="EG18" s="368"/>
      <c r="EH18" s="368"/>
      <c r="EI18" s="368"/>
      <c r="EJ18" s="368"/>
      <c r="EK18" s="368"/>
      <c r="EL18" s="368"/>
      <c r="EM18" s="368"/>
      <c r="EN18" s="368"/>
      <c r="EO18" s="368"/>
      <c r="EP18" s="368"/>
      <c r="EQ18" s="368"/>
      <c r="ER18" s="368"/>
      <c r="ES18" s="368"/>
      <c r="ET18" s="368"/>
      <c r="EU18" s="368"/>
      <c r="EV18" s="368"/>
      <c r="EW18" s="368"/>
      <c r="EX18" s="368"/>
      <c r="EY18" s="368"/>
      <c r="EZ18" s="368"/>
      <c r="FA18" s="368"/>
      <c r="FB18" s="368"/>
      <c r="FC18" s="368"/>
      <c r="FD18" s="368"/>
      <c r="FE18" s="368"/>
      <c r="FF18" s="368"/>
      <c r="FG18" s="368"/>
      <c r="FH18" s="368"/>
      <c r="FI18" s="368"/>
      <c r="FJ18" s="368"/>
      <c r="FK18" s="368"/>
      <c r="FL18" s="368"/>
      <c r="FM18" s="368"/>
      <c r="FN18" s="368"/>
      <c r="FO18" s="368"/>
      <c r="FP18" s="368"/>
      <c r="FQ18" s="368"/>
      <c r="FR18" s="368"/>
      <c r="FS18" s="368"/>
      <c r="FT18" s="368"/>
      <c r="FU18" s="368"/>
      <c r="FV18" s="368"/>
      <c r="FW18" s="368"/>
      <c r="FX18" s="368"/>
      <c r="FY18" s="368"/>
      <c r="FZ18" s="368"/>
      <c r="GA18" s="368"/>
      <c r="GB18" s="368"/>
      <c r="GC18" s="368"/>
      <c r="GD18" s="368"/>
      <c r="GE18" s="368"/>
      <c r="GF18" s="368"/>
      <c r="GG18" s="368"/>
      <c r="GH18" s="368"/>
      <c r="GI18" s="368"/>
      <c r="GJ18" s="368"/>
      <c r="GK18" s="368"/>
      <c r="GL18" s="368"/>
      <c r="GM18" s="368"/>
      <c r="GN18" s="368"/>
      <c r="GO18" s="368"/>
      <c r="GP18" s="368"/>
      <c r="GQ18" s="368"/>
      <c r="GR18" s="368"/>
      <c r="GS18" s="368"/>
      <c r="GT18" s="368"/>
      <c r="GU18" s="368"/>
      <c r="GV18" s="368"/>
      <c r="GW18" s="368"/>
      <c r="GX18" s="368"/>
      <c r="GY18" s="368"/>
      <c r="GZ18" s="368"/>
      <c r="HA18" s="368"/>
      <c r="HB18" s="368"/>
      <c r="HC18" s="368"/>
      <c r="HD18" s="368"/>
      <c r="HE18" s="368"/>
      <c r="HF18" s="368"/>
      <c r="HG18" s="368"/>
      <c r="HH18" s="368"/>
      <c r="HI18" s="368"/>
      <c r="HJ18" s="368"/>
      <c r="HK18" s="368"/>
      <c r="HL18" s="368"/>
      <c r="HM18" s="368"/>
      <c r="HN18" s="368"/>
      <c r="HO18" s="368"/>
      <c r="HP18" s="368"/>
      <c r="HQ18" s="368"/>
      <c r="HR18" s="368"/>
      <c r="HS18" s="368"/>
      <c r="HT18" s="368"/>
      <c r="HU18" s="368"/>
      <c r="HV18" s="368"/>
      <c r="HW18" s="368"/>
      <c r="HX18" s="368"/>
      <c r="HY18" s="368"/>
      <c r="HZ18" s="368"/>
      <c r="IA18" s="368"/>
      <c r="IB18" s="368"/>
      <c r="IC18" s="368"/>
      <c r="ID18" s="368"/>
      <c r="IE18" s="368"/>
      <c r="IF18" s="368"/>
      <c r="IG18" s="368"/>
      <c r="IH18" s="368"/>
      <c r="II18" s="368"/>
      <c r="IJ18" s="368"/>
      <c r="IK18" s="368"/>
      <c r="IL18" s="368"/>
      <c r="IM18" s="368"/>
      <c r="IN18" s="368"/>
      <c r="IO18" s="368"/>
      <c r="IP18" s="368"/>
      <c r="IQ18" s="368"/>
      <c r="IR18" s="368"/>
      <c r="IS18" s="368"/>
      <c r="IT18" s="368"/>
      <c r="IU18" s="368"/>
      <c r="IV18" s="368"/>
      <c r="IW18" s="368"/>
      <c r="IX18" s="368"/>
      <c r="IY18" s="368"/>
      <c r="IZ18" s="368"/>
      <c r="JA18" s="368"/>
      <c r="JB18" s="368"/>
      <c r="JC18" s="368"/>
      <c r="JD18" s="368"/>
      <c r="JE18" s="368"/>
      <c r="JF18" s="368"/>
      <c r="JG18" s="368"/>
      <c r="JH18" s="368"/>
      <c r="JI18" s="368"/>
      <c r="JJ18" s="368"/>
      <c r="JK18" s="368"/>
      <c r="JL18" s="368"/>
      <c r="JM18" s="368"/>
      <c r="JN18" s="368"/>
      <c r="JO18" s="368"/>
      <c r="JP18" s="368"/>
      <c r="JQ18" s="368"/>
      <c r="JR18" s="368"/>
      <c r="JS18" s="368"/>
      <c r="JT18" s="368"/>
      <c r="JU18" s="368"/>
      <c r="JV18" s="368"/>
      <c r="JW18" s="368"/>
      <c r="JX18" s="368"/>
      <c r="JY18" s="368"/>
      <c r="JZ18" s="368"/>
      <c r="KA18" s="368"/>
      <c r="KB18" s="368"/>
      <c r="KC18" s="368"/>
      <c r="KD18" s="368"/>
      <c r="KE18" s="368"/>
      <c r="KF18" s="368"/>
      <c r="KG18" s="368"/>
      <c r="KH18" s="368"/>
      <c r="KI18" s="368"/>
      <c r="KJ18" s="368"/>
      <c r="KK18" s="368"/>
      <c r="KL18" s="368"/>
      <c r="KM18" s="368"/>
      <c r="KN18" s="368"/>
      <c r="KO18" s="368"/>
      <c r="KP18" s="368"/>
      <c r="KQ18" s="368"/>
      <c r="KR18" s="368"/>
      <c r="KS18" s="368"/>
      <c r="KT18" s="368"/>
      <c r="KU18" s="368"/>
      <c r="KV18" s="368"/>
      <c r="KW18" s="368"/>
      <c r="KX18" s="368"/>
      <c r="KY18" s="368"/>
      <c r="KZ18" s="368"/>
      <c r="LA18" s="368"/>
      <c r="LB18" s="368"/>
      <c r="LC18" s="368"/>
      <c r="LD18" s="368"/>
      <c r="LE18" s="368"/>
      <c r="LF18" s="368"/>
      <c r="LG18" s="368"/>
      <c r="LH18" s="368"/>
      <c r="LI18" s="368"/>
      <c r="LJ18" s="368"/>
      <c r="LK18" s="368"/>
      <c r="LL18" s="368"/>
      <c r="LM18" s="368"/>
      <c r="LN18" s="368"/>
      <c r="LO18" s="368"/>
      <c r="LP18" s="368"/>
      <c r="LQ18" s="368"/>
      <c r="LR18" s="368"/>
      <c r="LS18" s="368"/>
      <c r="LT18" s="368"/>
      <c r="LU18" s="368"/>
      <c r="LV18" s="368"/>
      <c r="LW18" s="368"/>
      <c r="LX18" s="368"/>
      <c r="LY18" s="368"/>
      <c r="LZ18" s="368"/>
      <c r="MA18" s="368"/>
      <c r="MB18" s="368"/>
      <c r="MC18" s="368"/>
      <c r="MD18" s="368"/>
      <c r="ME18" s="368"/>
      <c r="MF18" s="368"/>
      <c r="MG18" s="368"/>
      <c r="MH18" s="368"/>
      <c r="MI18" s="368"/>
      <c r="MJ18" s="368"/>
      <c r="MK18" s="368"/>
      <c r="ML18" s="368"/>
      <c r="MM18" s="368"/>
      <c r="MN18" s="368"/>
      <c r="MO18" s="368"/>
      <c r="MP18" s="368"/>
      <c r="MQ18" s="368"/>
      <c r="MR18" s="368"/>
      <c r="MS18" s="368"/>
      <c r="MT18" s="368"/>
      <c r="MU18" s="368"/>
      <c r="MV18" s="368"/>
      <c r="MW18" s="368"/>
      <c r="MX18" s="368"/>
      <c r="MY18" s="368"/>
      <c r="MZ18" s="368"/>
      <c r="NA18" s="368"/>
      <c r="NB18" s="368"/>
      <c r="NC18" s="368"/>
      <c r="ND18" s="368"/>
      <c r="NE18" s="368"/>
      <c r="NF18" s="368"/>
      <c r="NG18" s="368"/>
      <c r="NH18" s="368"/>
      <c r="NI18" s="368"/>
      <c r="NJ18" s="368"/>
      <c r="NK18" s="368"/>
      <c r="NL18" s="368"/>
      <c r="NM18" s="368"/>
      <c r="NN18" s="368"/>
      <c r="NO18" s="368"/>
      <c r="NP18" s="368"/>
      <c r="NQ18" s="368"/>
      <c r="NR18" s="368"/>
      <c r="NS18" s="368"/>
      <c r="NT18" s="368"/>
      <c r="NU18" s="368"/>
      <c r="NV18" s="368"/>
      <c r="NW18" s="368"/>
      <c r="NX18" s="368"/>
      <c r="NY18" s="368"/>
      <c r="NZ18" s="368"/>
      <c r="OA18" s="368"/>
      <c r="OB18" s="368"/>
      <c r="OC18" s="368"/>
      <c r="OD18" s="368"/>
      <c r="OE18" s="368"/>
      <c r="OF18" s="368"/>
      <c r="OG18" s="368"/>
      <c r="OH18" s="368"/>
      <c r="OI18" s="368"/>
      <c r="OJ18" s="368"/>
      <c r="OK18" s="368"/>
      <c r="OL18" s="368"/>
      <c r="OM18" s="368"/>
      <c r="ON18" s="368"/>
      <c r="OO18" s="368"/>
      <c r="OP18" s="368"/>
      <c r="OQ18" s="368"/>
      <c r="OR18" s="368"/>
      <c r="OS18" s="368"/>
      <c r="OT18" s="368"/>
      <c r="OU18" s="368"/>
      <c r="OV18" s="368"/>
      <c r="OW18" s="368"/>
      <c r="OX18" s="368"/>
      <c r="OY18" s="368"/>
      <c r="OZ18" s="368"/>
      <c r="PA18" s="368"/>
      <c r="PB18" s="368"/>
      <c r="PC18" s="368"/>
      <c r="PD18" s="368"/>
      <c r="PE18" s="368"/>
      <c r="PF18" s="368"/>
      <c r="PG18" s="368"/>
      <c r="PH18" s="368"/>
      <c r="PI18" s="368"/>
      <c r="PJ18" s="368"/>
      <c r="PK18" s="368"/>
      <c r="PL18" s="368"/>
      <c r="PM18" s="368"/>
      <c r="PN18" s="368"/>
      <c r="PO18" s="368"/>
      <c r="PP18" s="368"/>
      <c r="PQ18" s="368"/>
      <c r="PR18" s="368"/>
      <c r="PS18" s="368"/>
      <c r="PT18" s="368"/>
      <c r="PU18" s="368"/>
      <c r="PV18" s="368"/>
      <c r="PW18" s="368"/>
      <c r="PX18" s="368"/>
      <c r="PY18" s="368"/>
      <c r="PZ18" s="368"/>
      <c r="QA18" s="368"/>
      <c r="QB18" s="368"/>
      <c r="QC18" s="368"/>
      <c r="QD18" s="368"/>
      <c r="QE18" s="368"/>
      <c r="QF18" s="368"/>
      <c r="QG18" s="368"/>
      <c r="QH18" s="368"/>
      <c r="QI18" s="368"/>
      <c r="QJ18" s="368"/>
      <c r="QK18" s="368"/>
      <c r="QL18" s="368"/>
      <c r="QM18" s="368"/>
      <c r="QN18" s="368"/>
      <c r="QO18" s="368"/>
      <c r="QP18" s="368"/>
      <c r="QQ18" s="368"/>
      <c r="QR18" s="368"/>
      <c r="QS18" s="368"/>
      <c r="QT18" s="368"/>
      <c r="QU18" s="368"/>
      <c r="QV18" s="368"/>
      <c r="QW18" s="368"/>
      <c r="QX18" s="368"/>
      <c r="QY18" s="368"/>
      <c r="QZ18" s="368"/>
      <c r="RA18" s="368"/>
      <c r="RB18" s="368"/>
      <c r="RC18" s="368"/>
      <c r="RD18" s="368"/>
      <c r="RE18" s="368"/>
      <c r="RF18" s="368"/>
      <c r="RG18" s="368"/>
      <c r="RH18" s="368"/>
      <c r="RI18" s="368"/>
      <c r="RJ18" s="368"/>
      <c r="RK18" s="368"/>
      <c r="RL18" s="368"/>
      <c r="RM18" s="368"/>
      <c r="RN18" s="368"/>
      <c r="RO18" s="368"/>
      <c r="RP18" s="368"/>
      <c r="RQ18" s="368"/>
      <c r="RR18" s="368"/>
      <c r="RS18" s="368"/>
      <c r="RT18" s="368"/>
      <c r="RU18" s="368"/>
      <c r="RV18" s="368"/>
      <c r="RW18" s="368"/>
      <c r="RX18" s="368"/>
      <c r="RY18" s="368"/>
      <c r="RZ18" s="368"/>
      <c r="SA18" s="368"/>
      <c r="SB18" s="368"/>
      <c r="SC18" s="368"/>
      <c r="SD18" s="368"/>
      <c r="SE18" s="368"/>
      <c r="SF18" s="368"/>
      <c r="SG18" s="368"/>
      <c r="SH18" s="368"/>
      <c r="SI18" s="368"/>
      <c r="SJ18" s="368"/>
      <c r="SK18" s="368"/>
      <c r="SL18" s="368"/>
      <c r="SM18" s="368"/>
      <c r="SN18" s="368"/>
      <c r="SO18" s="368"/>
      <c r="SP18" s="368"/>
      <c r="SQ18" s="368"/>
      <c r="SR18" s="368"/>
      <c r="SS18" s="368"/>
      <c r="ST18" s="368"/>
      <c r="SU18" s="368"/>
      <c r="SV18" s="368"/>
      <c r="SW18" s="368"/>
      <c r="SX18" s="368"/>
      <c r="SY18" s="368"/>
      <c r="SZ18" s="368"/>
      <c r="TA18" s="368"/>
      <c r="TB18" s="368"/>
      <c r="TC18" s="368"/>
      <c r="TD18" s="368"/>
      <c r="TE18" s="368"/>
      <c r="TF18" s="368"/>
      <c r="TG18" s="368"/>
      <c r="TH18" s="368"/>
      <c r="TI18" s="368"/>
      <c r="TJ18" s="368"/>
      <c r="TK18" s="368"/>
      <c r="TL18" s="368"/>
      <c r="TM18" s="368"/>
      <c r="TN18" s="368"/>
      <c r="TO18" s="368"/>
      <c r="TP18" s="368"/>
      <c r="TQ18" s="368"/>
      <c r="TR18" s="368"/>
      <c r="TS18" s="368"/>
      <c r="TT18" s="368"/>
      <c r="TU18" s="368"/>
      <c r="TV18" s="368"/>
      <c r="TW18" s="368"/>
      <c r="TX18" s="368"/>
      <c r="TY18" s="368"/>
      <c r="TZ18" s="368"/>
      <c r="UA18" s="368"/>
      <c r="UB18" s="368"/>
      <c r="UC18" s="368"/>
      <c r="UD18" s="368"/>
      <c r="UE18" s="368"/>
      <c r="UF18" s="368"/>
      <c r="UG18" s="368"/>
      <c r="UH18" s="368"/>
      <c r="UI18" s="368"/>
      <c r="UJ18" s="368"/>
      <c r="UK18" s="368"/>
      <c r="UL18" s="368"/>
      <c r="UM18" s="368"/>
      <c r="UN18" s="368"/>
      <c r="UO18" s="368"/>
      <c r="UP18" s="368"/>
      <c r="UQ18" s="368"/>
      <c r="UR18" s="368"/>
      <c r="US18" s="368"/>
      <c r="UT18" s="368"/>
      <c r="UU18" s="368"/>
      <c r="UV18" s="368"/>
      <c r="UW18" s="368"/>
      <c r="UX18" s="368"/>
      <c r="UY18" s="368"/>
      <c r="UZ18" s="368"/>
      <c r="VA18" s="368"/>
      <c r="VB18" s="368"/>
      <c r="VC18" s="368"/>
      <c r="VD18" s="368"/>
      <c r="VE18" s="368"/>
      <c r="VF18" s="368"/>
      <c r="VG18" s="368"/>
      <c r="VH18" s="368"/>
      <c r="VI18" s="368"/>
      <c r="VJ18" s="368"/>
      <c r="VK18" s="368"/>
      <c r="VL18" s="368"/>
      <c r="VM18" s="368"/>
      <c r="VN18" s="368"/>
      <c r="VO18" s="368"/>
      <c r="VP18" s="368"/>
      <c r="VQ18" s="368"/>
      <c r="VR18" s="368"/>
      <c r="VS18" s="368"/>
      <c r="VT18" s="368"/>
      <c r="VU18" s="368"/>
      <c r="VV18" s="368"/>
      <c r="VW18" s="368"/>
      <c r="VX18" s="368"/>
      <c r="VY18" s="368"/>
      <c r="VZ18" s="368"/>
      <c r="WA18" s="368"/>
      <c r="WB18" s="368"/>
      <c r="WC18" s="368"/>
      <c r="WD18" s="368"/>
      <c r="WE18" s="368"/>
      <c r="WF18" s="368"/>
      <c r="WG18" s="368"/>
      <c r="WH18" s="368"/>
      <c r="WI18" s="368"/>
      <c r="WJ18" s="368"/>
      <c r="WK18" s="368"/>
      <c r="WL18" s="368"/>
      <c r="WM18" s="368"/>
      <c r="WN18" s="368"/>
      <c r="WO18" s="368"/>
      <c r="WP18" s="368"/>
      <c r="WQ18" s="368"/>
      <c r="WR18" s="368"/>
      <c r="WS18" s="368"/>
      <c r="WT18" s="368"/>
      <c r="WU18" s="368"/>
      <c r="WV18" s="368"/>
      <c r="WW18" s="368"/>
      <c r="WX18" s="368"/>
      <c r="WY18" s="368"/>
      <c r="WZ18" s="368"/>
      <c r="XA18" s="368"/>
      <c r="XB18" s="368"/>
      <c r="XC18" s="368"/>
      <c r="XD18" s="368"/>
      <c r="XE18" s="368"/>
      <c r="XF18" s="368"/>
      <c r="XG18" s="368"/>
      <c r="XH18" s="368"/>
      <c r="XI18" s="368"/>
      <c r="XJ18" s="368"/>
      <c r="XK18" s="368"/>
      <c r="XL18" s="368"/>
      <c r="XM18" s="368"/>
      <c r="XN18" s="368"/>
      <c r="XO18" s="368"/>
      <c r="XP18" s="368"/>
      <c r="XQ18" s="368"/>
      <c r="XR18" s="368"/>
      <c r="XS18" s="368"/>
      <c r="XT18" s="368"/>
      <c r="XU18" s="368"/>
      <c r="XV18" s="368"/>
      <c r="XW18" s="368"/>
      <c r="XX18" s="368"/>
      <c r="XY18" s="368"/>
      <c r="XZ18" s="368"/>
      <c r="YA18" s="368"/>
      <c r="YB18" s="368"/>
      <c r="YC18" s="368"/>
      <c r="YD18" s="368"/>
      <c r="YE18" s="368"/>
      <c r="YF18" s="368"/>
      <c r="YG18" s="368"/>
      <c r="YH18" s="368"/>
      <c r="YI18" s="368"/>
      <c r="YJ18" s="368"/>
      <c r="YK18" s="368"/>
      <c r="YL18" s="368"/>
      <c r="YM18" s="368"/>
      <c r="YN18" s="368"/>
      <c r="YO18" s="368"/>
      <c r="YP18" s="368"/>
      <c r="YQ18" s="368"/>
      <c r="YR18" s="368"/>
      <c r="YS18" s="368"/>
      <c r="YT18" s="368"/>
      <c r="YU18" s="368"/>
      <c r="YV18" s="368"/>
      <c r="YW18" s="368"/>
      <c r="YX18" s="368"/>
      <c r="YY18" s="368"/>
      <c r="YZ18" s="368"/>
      <c r="ZA18" s="368"/>
      <c r="ZB18" s="368"/>
      <c r="ZC18" s="368"/>
      <c r="ZD18" s="368"/>
      <c r="ZE18" s="368"/>
      <c r="ZF18" s="368"/>
      <c r="ZG18" s="368"/>
      <c r="ZH18" s="368"/>
      <c r="ZI18" s="368"/>
      <c r="ZJ18" s="368"/>
      <c r="ZK18" s="368"/>
      <c r="ZL18" s="368"/>
      <c r="ZM18" s="368"/>
      <c r="ZN18" s="368"/>
      <c r="ZO18" s="368"/>
      <c r="ZP18" s="368"/>
      <c r="ZQ18" s="368"/>
      <c r="ZR18" s="368"/>
      <c r="ZS18" s="368"/>
      <c r="ZT18" s="368"/>
      <c r="ZU18" s="368"/>
      <c r="ZV18" s="368"/>
      <c r="ZW18" s="368"/>
      <c r="ZX18" s="368"/>
      <c r="ZY18" s="368"/>
      <c r="ZZ18" s="368"/>
      <c r="AAA18" s="368"/>
      <c r="AAB18" s="368"/>
      <c r="AAC18" s="368"/>
      <c r="AAD18" s="368"/>
      <c r="AAE18" s="368"/>
      <c r="AAF18" s="368"/>
      <c r="AAG18" s="368"/>
      <c r="AAH18" s="368"/>
      <c r="AAI18" s="368"/>
      <c r="AAJ18" s="368"/>
      <c r="AAK18" s="368"/>
      <c r="AAL18" s="368"/>
      <c r="AAM18" s="368"/>
      <c r="AAN18" s="368"/>
      <c r="AAO18" s="368"/>
      <c r="AAP18" s="368"/>
      <c r="AAQ18" s="368"/>
      <c r="AAR18" s="368"/>
      <c r="AAS18" s="368"/>
      <c r="AAT18" s="368"/>
      <c r="AAU18" s="368"/>
      <c r="AAV18" s="368"/>
      <c r="AAW18" s="368"/>
      <c r="AAX18" s="368"/>
      <c r="AAY18" s="368"/>
      <c r="AAZ18" s="368"/>
      <c r="ABA18" s="368"/>
      <c r="ABB18" s="368"/>
      <c r="ABC18" s="368"/>
      <c r="ABD18" s="368"/>
      <c r="ABE18" s="368"/>
      <c r="ABF18" s="368"/>
      <c r="ABG18" s="368"/>
      <c r="ABH18" s="368"/>
      <c r="ABI18" s="368"/>
      <c r="ABJ18" s="368"/>
      <c r="ABK18" s="368"/>
      <c r="ABL18" s="368"/>
      <c r="ABM18" s="368"/>
      <c r="ABN18" s="368"/>
      <c r="ABO18" s="368"/>
      <c r="ABP18" s="368"/>
      <c r="ABQ18" s="368"/>
      <c r="ABR18" s="368"/>
      <c r="ABS18" s="368"/>
      <c r="ABT18" s="368"/>
      <c r="ABU18" s="368"/>
      <c r="ABV18" s="368"/>
      <c r="ABW18" s="368"/>
      <c r="ABX18" s="368"/>
      <c r="ABY18" s="368"/>
      <c r="ABZ18" s="368"/>
      <c r="ACA18" s="368"/>
      <c r="ACB18" s="368"/>
      <c r="ACC18" s="368"/>
      <c r="ACD18" s="368"/>
      <c r="ACE18" s="368"/>
      <c r="ACF18" s="368"/>
      <c r="ACG18" s="368"/>
      <c r="ACH18" s="368"/>
      <c r="ACI18" s="368"/>
      <c r="ACJ18" s="368"/>
      <c r="ACK18" s="368"/>
      <c r="ACL18" s="368"/>
      <c r="ACM18" s="368"/>
      <c r="ACN18" s="368"/>
      <c r="ACO18" s="368"/>
      <c r="ACP18" s="368"/>
      <c r="ACQ18" s="368"/>
      <c r="ACR18" s="368"/>
      <c r="ACS18" s="368"/>
      <c r="ACT18" s="368"/>
      <c r="ACU18" s="368"/>
      <c r="ACV18" s="368"/>
      <c r="ACW18" s="368"/>
      <c r="ACX18" s="368"/>
      <c r="ACY18" s="368"/>
      <c r="ACZ18" s="368"/>
      <c r="ADA18" s="368"/>
      <c r="ADB18" s="368"/>
      <c r="ADC18" s="368"/>
      <c r="ADD18" s="368"/>
      <c r="ADE18" s="368"/>
      <c r="ADF18" s="368"/>
      <c r="ADG18" s="368"/>
      <c r="ADH18" s="368"/>
      <c r="ADI18" s="368"/>
      <c r="ADJ18" s="368"/>
      <c r="ADK18" s="368"/>
      <c r="ADL18" s="368"/>
      <c r="ADM18" s="368"/>
      <c r="ADN18" s="368"/>
      <c r="ADO18" s="368"/>
      <c r="ADP18" s="368"/>
      <c r="ADQ18" s="368"/>
      <c r="ADR18" s="368"/>
      <c r="ADS18" s="368"/>
      <c r="ADT18" s="368"/>
      <c r="ADU18" s="368"/>
      <c r="ADV18" s="368"/>
      <c r="ADW18" s="368"/>
      <c r="ADX18" s="368"/>
      <c r="ADY18" s="368"/>
      <c r="ADZ18" s="368"/>
      <c r="AEA18" s="368"/>
      <c r="AEB18" s="368"/>
      <c r="AEC18" s="368"/>
      <c r="AED18" s="368"/>
      <c r="AEE18" s="368"/>
      <c r="AEF18" s="368"/>
      <c r="AEG18" s="368"/>
      <c r="AEH18" s="368"/>
      <c r="AEI18" s="368"/>
      <c r="AEJ18" s="368"/>
      <c r="AEK18" s="368"/>
      <c r="AEL18" s="368"/>
      <c r="AEM18" s="368"/>
      <c r="AEN18" s="368"/>
      <c r="AEO18" s="368"/>
      <c r="AEP18" s="368"/>
      <c r="AEQ18" s="368"/>
      <c r="AER18" s="368"/>
      <c r="AES18" s="368"/>
      <c r="AET18" s="368"/>
      <c r="AEU18" s="368"/>
      <c r="AEV18" s="368"/>
      <c r="AEW18" s="368"/>
      <c r="AEX18" s="368"/>
      <c r="AEY18" s="368"/>
      <c r="AEZ18" s="368"/>
      <c r="AFA18" s="368"/>
      <c r="AFB18" s="368"/>
      <c r="AFC18" s="368"/>
      <c r="AFD18" s="368"/>
      <c r="AFE18" s="368"/>
      <c r="AFF18" s="368"/>
      <c r="AFG18" s="368"/>
      <c r="AFH18" s="368"/>
      <c r="AFI18" s="368"/>
      <c r="AFJ18" s="368"/>
      <c r="AFK18" s="368"/>
      <c r="AFL18" s="368"/>
      <c r="AFM18" s="368"/>
      <c r="AFN18" s="368"/>
      <c r="AFO18" s="368"/>
      <c r="AFP18" s="368"/>
      <c r="AFQ18" s="368"/>
      <c r="AFR18" s="368"/>
      <c r="AFS18" s="368"/>
      <c r="AFT18" s="368"/>
      <c r="AFU18" s="368"/>
      <c r="AFV18" s="368"/>
      <c r="AFW18" s="368"/>
      <c r="AFX18" s="368"/>
      <c r="AFY18" s="368"/>
      <c r="AFZ18" s="368"/>
      <c r="AGA18" s="368"/>
      <c r="AGB18" s="368"/>
      <c r="AGC18" s="368"/>
      <c r="AGD18" s="368"/>
      <c r="AGE18" s="368"/>
      <c r="AGF18" s="368"/>
      <c r="AGG18" s="368"/>
      <c r="AGH18" s="368"/>
      <c r="AGI18" s="368"/>
      <c r="AGJ18" s="368"/>
      <c r="AGK18" s="368"/>
      <c r="AGL18" s="368"/>
      <c r="AGM18" s="368"/>
      <c r="AGN18" s="368"/>
      <c r="AGO18" s="368"/>
      <c r="AGP18" s="368"/>
      <c r="AGQ18" s="368"/>
      <c r="AGR18" s="368"/>
      <c r="AGS18" s="368"/>
      <c r="AGT18" s="368"/>
      <c r="AGU18" s="368"/>
      <c r="AGV18" s="368"/>
      <c r="AGW18" s="368"/>
      <c r="AGX18" s="368"/>
      <c r="AGY18" s="368"/>
      <c r="AGZ18" s="368"/>
      <c r="AHA18" s="368"/>
      <c r="AHB18" s="368"/>
      <c r="AHC18" s="368"/>
      <c r="AHD18" s="368"/>
      <c r="AHE18" s="368"/>
      <c r="AHF18" s="368"/>
      <c r="AHG18" s="368"/>
      <c r="AHH18" s="368"/>
      <c r="AHI18" s="368"/>
      <c r="AHJ18" s="368"/>
      <c r="AHK18" s="368"/>
      <c r="AHL18" s="368"/>
      <c r="AHM18" s="368"/>
      <c r="AHN18" s="368"/>
      <c r="AHO18" s="368"/>
      <c r="AHP18" s="368"/>
      <c r="AHQ18" s="368"/>
      <c r="AHR18" s="368"/>
      <c r="AHS18" s="368"/>
      <c r="AHT18" s="368"/>
      <c r="AHU18" s="368"/>
      <c r="AHV18" s="368"/>
      <c r="AHW18" s="368"/>
      <c r="AHX18" s="368"/>
      <c r="AHY18" s="368"/>
      <c r="AHZ18" s="368"/>
      <c r="AIA18" s="368"/>
      <c r="AIB18" s="368"/>
      <c r="AIC18" s="368"/>
      <c r="AID18" s="368"/>
      <c r="AIE18" s="368"/>
      <c r="AIF18" s="368"/>
      <c r="AIG18" s="368"/>
      <c r="AIH18" s="368"/>
      <c r="AII18" s="368"/>
      <c r="AIJ18" s="368"/>
      <c r="AIK18" s="368"/>
      <c r="AIL18" s="368"/>
      <c r="AIM18" s="368"/>
      <c r="AIN18" s="368"/>
      <c r="AIO18" s="368"/>
      <c r="AIP18" s="368"/>
      <c r="AIQ18" s="368"/>
      <c r="AIR18" s="368"/>
      <c r="AIS18" s="368"/>
      <c r="AIT18" s="368"/>
      <c r="AIU18" s="368"/>
      <c r="AIV18" s="368"/>
      <c r="AIW18" s="368"/>
      <c r="AIX18" s="368"/>
      <c r="AIY18" s="368"/>
      <c r="AIZ18" s="368"/>
      <c r="AJA18" s="368"/>
      <c r="AJB18" s="368"/>
      <c r="AJC18" s="368"/>
      <c r="AJD18" s="368"/>
      <c r="AJE18" s="368"/>
      <c r="AJF18" s="368"/>
      <c r="AJG18" s="368"/>
      <c r="AJH18" s="368"/>
      <c r="AJI18" s="368"/>
      <c r="AJJ18" s="368"/>
      <c r="AJK18" s="368"/>
      <c r="AJL18" s="368"/>
      <c r="AJM18" s="368"/>
      <c r="AJN18" s="368"/>
      <c r="AJO18" s="368"/>
      <c r="AJP18" s="368"/>
      <c r="AJQ18" s="368"/>
      <c r="AJR18" s="368"/>
      <c r="AJS18" s="368"/>
      <c r="AJT18" s="368"/>
      <c r="AJU18" s="368"/>
      <c r="AJV18" s="368"/>
      <c r="AJW18" s="368"/>
      <c r="AJX18" s="368"/>
      <c r="AJY18" s="368"/>
      <c r="AJZ18" s="368"/>
      <c r="AKA18" s="368"/>
      <c r="AKB18" s="368"/>
      <c r="AKC18" s="368"/>
      <c r="AKD18" s="368"/>
      <c r="AKE18" s="368"/>
      <c r="AKF18" s="368"/>
      <c r="AKG18" s="368"/>
      <c r="AKH18" s="368"/>
      <c r="AKI18" s="368"/>
      <c r="AKJ18" s="368"/>
      <c r="AKK18" s="368"/>
      <c r="AKL18" s="368"/>
      <c r="AKM18" s="368"/>
      <c r="AKN18" s="368"/>
    </row>
    <row r="19" spans="1:976" s="14" customFormat="1" ht="22.5" customHeight="1" x14ac:dyDescent="0.2">
      <c r="A19" s="408" t="s">
        <v>262</v>
      </c>
      <c r="B19" s="408"/>
      <c r="C19" s="408" t="s">
        <v>221</v>
      </c>
      <c r="D19" s="408" t="s">
        <v>222</v>
      </c>
      <c r="E19" s="409">
        <v>403165</v>
      </c>
      <c r="F19" s="409">
        <v>271</v>
      </c>
      <c r="G19" s="409">
        <v>39</v>
      </c>
      <c r="H19" s="409">
        <v>0</v>
      </c>
      <c r="I19" s="410">
        <v>45714</v>
      </c>
      <c r="J19" s="408" t="s">
        <v>299</v>
      </c>
      <c r="K19" s="408" t="s">
        <v>326</v>
      </c>
      <c r="L19" s="411">
        <v>92.56</v>
      </c>
      <c r="M19" s="411">
        <v>5.09</v>
      </c>
      <c r="N19" s="450">
        <v>97.65</v>
      </c>
      <c r="O19" s="408"/>
      <c r="P19" s="412">
        <v>45726</v>
      </c>
      <c r="Q19" s="411">
        <v>97.65</v>
      </c>
      <c r="R19" s="408" t="s">
        <v>327</v>
      </c>
      <c r="S19" s="411">
        <v>0</v>
      </c>
      <c r="T19" s="411">
        <v>0</v>
      </c>
      <c r="U19" s="411">
        <v>0</v>
      </c>
      <c r="V19" s="411">
        <v>0</v>
      </c>
      <c r="W19" s="408"/>
      <c r="X19" s="408" t="s">
        <v>308</v>
      </c>
      <c r="Y19" s="408" t="s">
        <v>309</v>
      </c>
      <c r="Z19" s="408" t="s">
        <v>227</v>
      </c>
      <c r="AA19" s="408" t="s">
        <v>228</v>
      </c>
      <c r="AB19" s="408" t="s">
        <v>229</v>
      </c>
      <c r="AC19" s="408" t="s">
        <v>230</v>
      </c>
      <c r="AD19" s="408" t="s">
        <v>231</v>
      </c>
      <c r="AE19" s="408" t="s">
        <v>232</v>
      </c>
      <c r="AF19" s="408" t="s">
        <v>231</v>
      </c>
      <c r="AG19" s="408" t="s">
        <v>232</v>
      </c>
      <c r="AH19" s="408"/>
      <c r="AI19" s="408"/>
      <c r="AJ19" s="408" t="s">
        <v>233</v>
      </c>
      <c r="AK19" s="408" t="s">
        <v>328</v>
      </c>
      <c r="AL19" s="409">
        <v>1</v>
      </c>
      <c r="AM19" s="409">
        <v>0</v>
      </c>
      <c r="AN19" s="410">
        <v>45726</v>
      </c>
      <c r="AO19" s="410">
        <v>45726</v>
      </c>
      <c r="AP19" s="411">
        <v>97.65</v>
      </c>
      <c r="AQ19" s="410">
        <v>45725</v>
      </c>
    </row>
    <row r="20" spans="1:976" s="346" customFormat="1" ht="22.5" customHeight="1" x14ac:dyDescent="0.2">
      <c r="A20" s="370" t="s">
        <v>262</v>
      </c>
      <c r="B20" s="370"/>
      <c r="C20" s="370" t="s">
        <v>221</v>
      </c>
      <c r="D20" s="370" t="s">
        <v>222</v>
      </c>
      <c r="E20" s="371">
        <v>403191</v>
      </c>
      <c r="F20" s="371">
        <v>267</v>
      </c>
      <c r="G20" s="371">
        <v>39</v>
      </c>
      <c r="H20" s="371">
        <v>0</v>
      </c>
      <c r="I20" s="372">
        <v>45714</v>
      </c>
      <c r="J20" s="370" t="s">
        <v>299</v>
      </c>
      <c r="K20" s="370" t="s">
        <v>329</v>
      </c>
      <c r="L20" s="373">
        <v>141.16</v>
      </c>
      <c r="M20" s="373">
        <v>8.52</v>
      </c>
      <c r="N20" s="444">
        <v>149.68</v>
      </c>
      <c r="O20" s="370"/>
      <c r="P20" s="374">
        <v>45726</v>
      </c>
      <c r="Q20" s="373">
        <v>149.68</v>
      </c>
      <c r="R20" s="370" t="s">
        <v>330</v>
      </c>
      <c r="S20" s="373">
        <v>0</v>
      </c>
      <c r="T20" s="373">
        <v>0</v>
      </c>
      <c r="U20" s="373">
        <v>0</v>
      </c>
      <c r="V20" s="373">
        <v>0</v>
      </c>
      <c r="W20" s="370"/>
      <c r="X20" s="370" t="s">
        <v>293</v>
      </c>
      <c r="Y20" s="370" t="s">
        <v>294</v>
      </c>
      <c r="Z20" s="370" t="s">
        <v>42</v>
      </c>
      <c r="AA20" s="370" t="s">
        <v>228</v>
      </c>
      <c r="AB20" s="370" t="s">
        <v>235</v>
      </c>
      <c r="AC20" s="370" t="s">
        <v>331</v>
      </c>
      <c r="AD20" s="370" t="s">
        <v>231</v>
      </c>
      <c r="AE20" s="370" t="s">
        <v>232</v>
      </c>
      <c r="AF20" s="370" t="s">
        <v>231</v>
      </c>
      <c r="AG20" s="370" t="s">
        <v>232</v>
      </c>
      <c r="AH20" s="370"/>
      <c r="AI20" s="370"/>
      <c r="AJ20" s="370"/>
      <c r="AK20" s="370" t="s">
        <v>332</v>
      </c>
      <c r="AL20" s="371">
        <v>1</v>
      </c>
      <c r="AM20" s="371">
        <v>0</v>
      </c>
      <c r="AN20" s="372">
        <v>45726</v>
      </c>
      <c r="AO20" s="372">
        <v>45726</v>
      </c>
      <c r="AP20" s="373">
        <v>149.68</v>
      </c>
      <c r="AQ20" s="372">
        <v>45725</v>
      </c>
      <c r="AR20" s="368"/>
      <c r="AS20" s="368"/>
      <c r="AT20" s="368"/>
      <c r="AU20" s="368"/>
      <c r="AV20" s="368"/>
      <c r="AW20" s="368"/>
      <c r="AX20" s="368"/>
      <c r="AY20" s="368"/>
      <c r="AZ20" s="368"/>
      <c r="BA20" s="368"/>
      <c r="BB20" s="368"/>
      <c r="BC20" s="368"/>
      <c r="BD20" s="368"/>
      <c r="BE20" s="368"/>
      <c r="BF20" s="368"/>
      <c r="BG20" s="368"/>
      <c r="BH20" s="368"/>
      <c r="BI20" s="368"/>
      <c r="BJ20" s="368"/>
      <c r="BK20" s="368"/>
      <c r="BL20" s="368"/>
      <c r="BM20" s="368"/>
      <c r="BN20" s="368"/>
      <c r="BO20" s="368"/>
      <c r="BP20" s="368"/>
      <c r="BQ20" s="368"/>
      <c r="BR20" s="368"/>
      <c r="BS20" s="368"/>
      <c r="BT20" s="368"/>
      <c r="BU20" s="368"/>
      <c r="BV20" s="368"/>
      <c r="BW20" s="368"/>
      <c r="BX20" s="368"/>
      <c r="BY20" s="368"/>
      <c r="BZ20" s="368"/>
      <c r="CA20" s="368"/>
      <c r="CB20" s="368"/>
      <c r="CC20" s="368"/>
      <c r="CD20" s="368"/>
      <c r="CE20" s="368"/>
      <c r="CF20" s="368"/>
      <c r="CG20" s="368"/>
      <c r="CH20" s="368"/>
      <c r="CI20" s="368"/>
      <c r="CJ20" s="368"/>
      <c r="CK20" s="368"/>
      <c r="CL20" s="368"/>
      <c r="CM20" s="368"/>
      <c r="CN20" s="368"/>
      <c r="CO20" s="368"/>
      <c r="CP20" s="368"/>
      <c r="CQ20" s="368"/>
      <c r="CR20" s="368"/>
      <c r="CS20" s="368"/>
      <c r="CT20" s="368"/>
      <c r="CU20" s="368"/>
      <c r="CV20" s="368"/>
      <c r="CW20" s="368"/>
      <c r="CX20" s="368"/>
      <c r="CY20" s="368"/>
      <c r="CZ20" s="368"/>
      <c r="DA20" s="368"/>
      <c r="DB20" s="368"/>
      <c r="DC20" s="368"/>
      <c r="DD20" s="368"/>
      <c r="DE20" s="368"/>
      <c r="DF20" s="368"/>
      <c r="DG20" s="368"/>
      <c r="DH20" s="368"/>
      <c r="DI20" s="368"/>
      <c r="DJ20" s="368"/>
      <c r="DK20" s="368"/>
      <c r="DL20" s="368"/>
      <c r="DM20" s="368"/>
      <c r="DN20" s="368"/>
      <c r="DO20" s="368"/>
      <c r="DP20" s="368"/>
      <c r="DQ20" s="368"/>
      <c r="DR20" s="368"/>
      <c r="DS20" s="368"/>
      <c r="DT20" s="368"/>
      <c r="DU20" s="368"/>
      <c r="DV20" s="368"/>
      <c r="DW20" s="368"/>
      <c r="DX20" s="368"/>
      <c r="DY20" s="368"/>
      <c r="DZ20" s="368"/>
      <c r="EA20" s="368"/>
      <c r="EB20" s="368"/>
      <c r="EC20" s="368"/>
      <c r="ED20" s="368"/>
      <c r="EE20" s="368"/>
      <c r="EF20" s="368"/>
      <c r="EG20" s="368"/>
      <c r="EH20" s="368"/>
      <c r="EI20" s="368"/>
      <c r="EJ20" s="368"/>
      <c r="EK20" s="368"/>
      <c r="EL20" s="368"/>
      <c r="EM20" s="368"/>
      <c r="EN20" s="368"/>
      <c r="EO20" s="368"/>
      <c r="EP20" s="368"/>
      <c r="EQ20" s="368"/>
      <c r="ER20" s="368"/>
      <c r="ES20" s="368"/>
      <c r="ET20" s="368"/>
      <c r="EU20" s="368"/>
      <c r="EV20" s="368"/>
      <c r="EW20" s="368"/>
      <c r="EX20" s="368"/>
      <c r="EY20" s="368"/>
      <c r="EZ20" s="368"/>
      <c r="FA20" s="368"/>
      <c r="FB20" s="368"/>
      <c r="FC20" s="368"/>
      <c r="FD20" s="368"/>
      <c r="FE20" s="368"/>
      <c r="FF20" s="368"/>
      <c r="FG20" s="368"/>
      <c r="FH20" s="368"/>
      <c r="FI20" s="368"/>
      <c r="FJ20" s="368"/>
      <c r="FK20" s="368"/>
      <c r="FL20" s="368"/>
      <c r="FM20" s="368"/>
      <c r="FN20" s="368"/>
      <c r="FO20" s="368"/>
      <c r="FP20" s="368"/>
      <c r="FQ20" s="368"/>
      <c r="FR20" s="368"/>
      <c r="FS20" s="368"/>
      <c r="FT20" s="368"/>
      <c r="FU20" s="368"/>
      <c r="FV20" s="368"/>
      <c r="FW20" s="368"/>
      <c r="FX20" s="368"/>
      <c r="FY20" s="368"/>
      <c r="FZ20" s="368"/>
      <c r="GA20" s="368"/>
      <c r="GB20" s="368"/>
      <c r="GC20" s="368"/>
      <c r="GD20" s="368"/>
      <c r="GE20" s="368"/>
      <c r="GF20" s="368"/>
      <c r="GG20" s="368"/>
      <c r="GH20" s="368"/>
      <c r="GI20" s="368"/>
      <c r="GJ20" s="368"/>
      <c r="GK20" s="368"/>
      <c r="GL20" s="368"/>
      <c r="GM20" s="368"/>
      <c r="GN20" s="368"/>
      <c r="GO20" s="368"/>
      <c r="GP20" s="368"/>
      <c r="GQ20" s="368"/>
      <c r="GR20" s="368"/>
      <c r="GS20" s="368"/>
      <c r="GT20" s="368"/>
      <c r="GU20" s="368"/>
      <c r="GV20" s="368"/>
      <c r="GW20" s="368"/>
      <c r="GX20" s="368"/>
      <c r="GY20" s="368"/>
      <c r="GZ20" s="368"/>
      <c r="HA20" s="368"/>
      <c r="HB20" s="368"/>
      <c r="HC20" s="368"/>
      <c r="HD20" s="368"/>
      <c r="HE20" s="368"/>
      <c r="HF20" s="368"/>
      <c r="HG20" s="368"/>
      <c r="HH20" s="368"/>
      <c r="HI20" s="368"/>
      <c r="HJ20" s="368"/>
      <c r="HK20" s="368"/>
      <c r="HL20" s="368"/>
      <c r="HM20" s="368"/>
      <c r="HN20" s="368"/>
      <c r="HO20" s="368"/>
      <c r="HP20" s="368"/>
      <c r="HQ20" s="368"/>
      <c r="HR20" s="368"/>
      <c r="HS20" s="368"/>
      <c r="HT20" s="368"/>
      <c r="HU20" s="368"/>
      <c r="HV20" s="368"/>
      <c r="HW20" s="368"/>
      <c r="HX20" s="368"/>
      <c r="HY20" s="368"/>
      <c r="HZ20" s="368"/>
      <c r="IA20" s="368"/>
      <c r="IB20" s="368"/>
      <c r="IC20" s="368"/>
      <c r="ID20" s="368"/>
      <c r="IE20" s="368"/>
      <c r="IF20" s="368"/>
      <c r="IG20" s="368"/>
      <c r="IH20" s="368"/>
      <c r="II20" s="368"/>
      <c r="IJ20" s="368"/>
      <c r="IK20" s="368"/>
      <c r="IL20" s="368"/>
      <c r="IM20" s="368"/>
      <c r="IN20" s="368"/>
      <c r="IO20" s="368"/>
      <c r="IP20" s="368"/>
      <c r="IQ20" s="368"/>
      <c r="IR20" s="368"/>
      <c r="IS20" s="368"/>
      <c r="IT20" s="368"/>
      <c r="IU20" s="368"/>
      <c r="IV20" s="368"/>
      <c r="IW20" s="368"/>
      <c r="IX20" s="368"/>
      <c r="IY20" s="368"/>
      <c r="IZ20" s="368"/>
      <c r="JA20" s="368"/>
      <c r="JB20" s="368"/>
      <c r="JC20" s="368"/>
      <c r="JD20" s="368"/>
      <c r="JE20" s="368"/>
      <c r="JF20" s="368"/>
      <c r="JG20" s="368"/>
      <c r="JH20" s="368"/>
      <c r="JI20" s="368"/>
      <c r="JJ20" s="368"/>
      <c r="JK20" s="368"/>
      <c r="JL20" s="368"/>
      <c r="JM20" s="368"/>
      <c r="JN20" s="368"/>
      <c r="JO20" s="368"/>
      <c r="JP20" s="368"/>
      <c r="JQ20" s="368"/>
      <c r="JR20" s="368"/>
      <c r="JS20" s="368"/>
      <c r="JT20" s="368"/>
      <c r="JU20" s="368"/>
      <c r="JV20" s="368"/>
      <c r="JW20" s="368"/>
      <c r="JX20" s="368"/>
      <c r="JY20" s="368"/>
      <c r="JZ20" s="368"/>
      <c r="KA20" s="368"/>
      <c r="KB20" s="368"/>
      <c r="KC20" s="368"/>
      <c r="KD20" s="368"/>
      <c r="KE20" s="368"/>
      <c r="KF20" s="368"/>
      <c r="KG20" s="368"/>
      <c r="KH20" s="368"/>
      <c r="KI20" s="368"/>
      <c r="KJ20" s="368"/>
      <c r="KK20" s="368"/>
      <c r="KL20" s="368"/>
      <c r="KM20" s="368"/>
      <c r="KN20" s="368"/>
      <c r="KO20" s="368"/>
      <c r="KP20" s="368"/>
      <c r="KQ20" s="368"/>
      <c r="KR20" s="368"/>
      <c r="KS20" s="368"/>
      <c r="KT20" s="368"/>
      <c r="KU20" s="368"/>
      <c r="KV20" s="368"/>
      <c r="KW20" s="368"/>
      <c r="KX20" s="368"/>
      <c r="KY20" s="368"/>
      <c r="KZ20" s="368"/>
      <c r="LA20" s="368"/>
      <c r="LB20" s="368"/>
      <c r="LC20" s="368"/>
      <c r="LD20" s="368"/>
      <c r="LE20" s="368"/>
      <c r="LF20" s="368"/>
      <c r="LG20" s="368"/>
      <c r="LH20" s="368"/>
      <c r="LI20" s="368"/>
      <c r="LJ20" s="368"/>
      <c r="LK20" s="368"/>
      <c r="LL20" s="368"/>
      <c r="LM20" s="368"/>
      <c r="LN20" s="368"/>
      <c r="LO20" s="368"/>
      <c r="LP20" s="368"/>
      <c r="LQ20" s="368"/>
      <c r="LR20" s="368"/>
      <c r="LS20" s="368"/>
      <c r="LT20" s="368"/>
      <c r="LU20" s="368"/>
      <c r="LV20" s="368"/>
      <c r="LW20" s="368"/>
      <c r="LX20" s="368"/>
      <c r="LY20" s="368"/>
      <c r="LZ20" s="368"/>
      <c r="MA20" s="368"/>
      <c r="MB20" s="368"/>
      <c r="MC20" s="368"/>
      <c r="MD20" s="368"/>
      <c r="ME20" s="368"/>
      <c r="MF20" s="368"/>
      <c r="MG20" s="368"/>
      <c r="MH20" s="368"/>
      <c r="MI20" s="368"/>
      <c r="MJ20" s="368"/>
      <c r="MK20" s="368"/>
      <c r="ML20" s="368"/>
      <c r="MM20" s="368"/>
      <c r="MN20" s="368"/>
      <c r="MO20" s="368"/>
      <c r="MP20" s="368"/>
      <c r="MQ20" s="368"/>
      <c r="MR20" s="368"/>
      <c r="MS20" s="368"/>
      <c r="MT20" s="368"/>
      <c r="MU20" s="368"/>
      <c r="MV20" s="368"/>
      <c r="MW20" s="368"/>
      <c r="MX20" s="368"/>
      <c r="MY20" s="368"/>
      <c r="MZ20" s="368"/>
      <c r="NA20" s="368"/>
      <c r="NB20" s="368"/>
      <c r="NC20" s="368"/>
      <c r="ND20" s="368"/>
      <c r="NE20" s="368"/>
      <c r="NF20" s="368"/>
      <c r="NG20" s="368"/>
      <c r="NH20" s="368"/>
      <c r="NI20" s="368"/>
      <c r="NJ20" s="368"/>
      <c r="NK20" s="368"/>
      <c r="NL20" s="368"/>
      <c r="NM20" s="368"/>
      <c r="NN20" s="368"/>
      <c r="NO20" s="368"/>
      <c r="NP20" s="368"/>
      <c r="NQ20" s="368"/>
      <c r="NR20" s="368"/>
      <c r="NS20" s="368"/>
      <c r="NT20" s="368"/>
      <c r="NU20" s="368"/>
      <c r="NV20" s="368"/>
      <c r="NW20" s="368"/>
      <c r="NX20" s="368"/>
      <c r="NY20" s="368"/>
      <c r="NZ20" s="368"/>
      <c r="OA20" s="368"/>
      <c r="OB20" s="368"/>
      <c r="OC20" s="368"/>
      <c r="OD20" s="368"/>
      <c r="OE20" s="368"/>
      <c r="OF20" s="368"/>
      <c r="OG20" s="368"/>
      <c r="OH20" s="368"/>
      <c r="OI20" s="368"/>
      <c r="OJ20" s="368"/>
      <c r="OK20" s="368"/>
      <c r="OL20" s="368"/>
      <c r="OM20" s="368"/>
      <c r="ON20" s="368"/>
      <c r="OO20" s="368"/>
      <c r="OP20" s="368"/>
      <c r="OQ20" s="368"/>
      <c r="OR20" s="368"/>
      <c r="OS20" s="368"/>
      <c r="OT20" s="368"/>
      <c r="OU20" s="368"/>
      <c r="OV20" s="368"/>
      <c r="OW20" s="368"/>
      <c r="OX20" s="368"/>
      <c r="OY20" s="368"/>
      <c r="OZ20" s="368"/>
      <c r="PA20" s="368"/>
      <c r="PB20" s="368"/>
      <c r="PC20" s="368"/>
      <c r="PD20" s="368"/>
      <c r="PE20" s="368"/>
      <c r="PF20" s="368"/>
      <c r="PG20" s="368"/>
      <c r="PH20" s="368"/>
      <c r="PI20" s="368"/>
      <c r="PJ20" s="368"/>
      <c r="PK20" s="368"/>
      <c r="PL20" s="368"/>
      <c r="PM20" s="368"/>
      <c r="PN20" s="368"/>
      <c r="PO20" s="368"/>
      <c r="PP20" s="368"/>
      <c r="PQ20" s="368"/>
      <c r="PR20" s="368"/>
      <c r="PS20" s="368"/>
      <c r="PT20" s="368"/>
      <c r="PU20" s="368"/>
      <c r="PV20" s="368"/>
      <c r="PW20" s="368"/>
      <c r="PX20" s="368"/>
      <c r="PY20" s="368"/>
      <c r="PZ20" s="368"/>
      <c r="QA20" s="368"/>
      <c r="QB20" s="368"/>
      <c r="QC20" s="368"/>
      <c r="QD20" s="368"/>
      <c r="QE20" s="368"/>
      <c r="QF20" s="368"/>
      <c r="QG20" s="368"/>
      <c r="QH20" s="368"/>
      <c r="QI20" s="368"/>
      <c r="QJ20" s="368"/>
      <c r="QK20" s="368"/>
      <c r="QL20" s="368"/>
      <c r="QM20" s="368"/>
      <c r="QN20" s="368"/>
      <c r="QO20" s="368"/>
      <c r="QP20" s="368"/>
      <c r="QQ20" s="368"/>
      <c r="QR20" s="368"/>
      <c r="QS20" s="368"/>
      <c r="QT20" s="368"/>
      <c r="QU20" s="368"/>
      <c r="QV20" s="368"/>
      <c r="QW20" s="368"/>
      <c r="QX20" s="368"/>
      <c r="QY20" s="368"/>
      <c r="QZ20" s="368"/>
      <c r="RA20" s="368"/>
      <c r="RB20" s="368"/>
      <c r="RC20" s="368"/>
      <c r="RD20" s="368"/>
      <c r="RE20" s="368"/>
      <c r="RF20" s="368"/>
      <c r="RG20" s="368"/>
      <c r="RH20" s="368"/>
      <c r="RI20" s="368"/>
      <c r="RJ20" s="368"/>
      <c r="RK20" s="368"/>
      <c r="RL20" s="368"/>
      <c r="RM20" s="368"/>
      <c r="RN20" s="368"/>
      <c r="RO20" s="368"/>
      <c r="RP20" s="368"/>
      <c r="RQ20" s="368"/>
      <c r="RR20" s="368"/>
      <c r="RS20" s="368"/>
      <c r="RT20" s="368"/>
      <c r="RU20" s="368"/>
      <c r="RV20" s="368"/>
      <c r="RW20" s="368"/>
      <c r="RX20" s="368"/>
      <c r="RY20" s="368"/>
      <c r="RZ20" s="368"/>
      <c r="SA20" s="368"/>
      <c r="SB20" s="368"/>
      <c r="SC20" s="368"/>
      <c r="SD20" s="368"/>
      <c r="SE20" s="368"/>
      <c r="SF20" s="368"/>
      <c r="SG20" s="368"/>
      <c r="SH20" s="368"/>
      <c r="SI20" s="368"/>
      <c r="SJ20" s="368"/>
      <c r="SK20" s="368"/>
      <c r="SL20" s="368"/>
      <c r="SM20" s="368"/>
      <c r="SN20" s="368"/>
      <c r="SO20" s="368"/>
      <c r="SP20" s="368"/>
      <c r="SQ20" s="368"/>
      <c r="SR20" s="368"/>
      <c r="SS20" s="368"/>
      <c r="ST20" s="368"/>
      <c r="SU20" s="368"/>
      <c r="SV20" s="368"/>
      <c r="SW20" s="368"/>
      <c r="SX20" s="368"/>
      <c r="SY20" s="368"/>
      <c r="SZ20" s="368"/>
      <c r="TA20" s="368"/>
      <c r="TB20" s="368"/>
      <c r="TC20" s="368"/>
      <c r="TD20" s="368"/>
      <c r="TE20" s="368"/>
      <c r="TF20" s="368"/>
      <c r="TG20" s="368"/>
      <c r="TH20" s="368"/>
      <c r="TI20" s="368"/>
      <c r="TJ20" s="368"/>
      <c r="TK20" s="368"/>
      <c r="TL20" s="368"/>
      <c r="TM20" s="368"/>
      <c r="TN20" s="368"/>
      <c r="TO20" s="368"/>
      <c r="TP20" s="368"/>
      <c r="TQ20" s="368"/>
      <c r="TR20" s="368"/>
      <c r="TS20" s="368"/>
      <c r="TT20" s="368"/>
      <c r="TU20" s="368"/>
      <c r="TV20" s="368"/>
      <c r="TW20" s="368"/>
      <c r="TX20" s="368"/>
      <c r="TY20" s="368"/>
      <c r="TZ20" s="368"/>
      <c r="UA20" s="368"/>
      <c r="UB20" s="368"/>
      <c r="UC20" s="368"/>
      <c r="UD20" s="368"/>
      <c r="UE20" s="368"/>
      <c r="UF20" s="368"/>
      <c r="UG20" s="368"/>
      <c r="UH20" s="368"/>
      <c r="UI20" s="368"/>
      <c r="UJ20" s="368"/>
      <c r="UK20" s="368"/>
      <c r="UL20" s="368"/>
      <c r="UM20" s="368"/>
      <c r="UN20" s="368"/>
      <c r="UO20" s="368"/>
      <c r="UP20" s="368"/>
      <c r="UQ20" s="368"/>
      <c r="UR20" s="368"/>
      <c r="US20" s="368"/>
      <c r="UT20" s="368"/>
      <c r="UU20" s="368"/>
      <c r="UV20" s="368"/>
      <c r="UW20" s="368"/>
      <c r="UX20" s="368"/>
      <c r="UY20" s="368"/>
      <c r="UZ20" s="368"/>
      <c r="VA20" s="368"/>
      <c r="VB20" s="368"/>
      <c r="VC20" s="368"/>
      <c r="VD20" s="368"/>
      <c r="VE20" s="368"/>
      <c r="VF20" s="368"/>
      <c r="VG20" s="368"/>
      <c r="VH20" s="368"/>
      <c r="VI20" s="368"/>
      <c r="VJ20" s="368"/>
      <c r="VK20" s="368"/>
      <c r="VL20" s="368"/>
      <c r="VM20" s="368"/>
      <c r="VN20" s="368"/>
      <c r="VO20" s="368"/>
      <c r="VP20" s="368"/>
      <c r="VQ20" s="368"/>
      <c r="VR20" s="368"/>
      <c r="VS20" s="368"/>
      <c r="VT20" s="368"/>
      <c r="VU20" s="368"/>
      <c r="VV20" s="368"/>
      <c r="VW20" s="368"/>
      <c r="VX20" s="368"/>
      <c r="VY20" s="368"/>
      <c r="VZ20" s="368"/>
      <c r="WA20" s="368"/>
      <c r="WB20" s="368"/>
      <c r="WC20" s="368"/>
      <c r="WD20" s="368"/>
      <c r="WE20" s="368"/>
      <c r="WF20" s="368"/>
      <c r="WG20" s="368"/>
      <c r="WH20" s="368"/>
      <c r="WI20" s="368"/>
      <c r="WJ20" s="368"/>
      <c r="WK20" s="368"/>
      <c r="WL20" s="368"/>
      <c r="WM20" s="368"/>
      <c r="WN20" s="368"/>
      <c r="WO20" s="368"/>
      <c r="WP20" s="368"/>
      <c r="WQ20" s="368"/>
      <c r="WR20" s="368"/>
      <c r="WS20" s="368"/>
      <c r="WT20" s="368"/>
      <c r="WU20" s="368"/>
      <c r="WV20" s="368"/>
      <c r="WW20" s="368"/>
      <c r="WX20" s="368"/>
      <c r="WY20" s="368"/>
      <c r="WZ20" s="368"/>
      <c r="XA20" s="368"/>
      <c r="XB20" s="368"/>
      <c r="XC20" s="368"/>
      <c r="XD20" s="368"/>
      <c r="XE20" s="368"/>
      <c r="XF20" s="368"/>
      <c r="XG20" s="368"/>
      <c r="XH20" s="368"/>
      <c r="XI20" s="368"/>
      <c r="XJ20" s="368"/>
      <c r="XK20" s="368"/>
      <c r="XL20" s="368"/>
      <c r="XM20" s="368"/>
      <c r="XN20" s="368"/>
      <c r="XO20" s="368"/>
      <c r="XP20" s="368"/>
      <c r="XQ20" s="368"/>
      <c r="XR20" s="368"/>
      <c r="XS20" s="368"/>
      <c r="XT20" s="368"/>
      <c r="XU20" s="368"/>
      <c r="XV20" s="368"/>
      <c r="XW20" s="368"/>
      <c r="XX20" s="368"/>
      <c r="XY20" s="368"/>
      <c r="XZ20" s="368"/>
      <c r="YA20" s="368"/>
      <c r="YB20" s="368"/>
      <c r="YC20" s="368"/>
      <c r="YD20" s="368"/>
      <c r="YE20" s="368"/>
      <c r="YF20" s="368"/>
      <c r="YG20" s="368"/>
      <c r="YH20" s="368"/>
      <c r="YI20" s="368"/>
      <c r="YJ20" s="368"/>
      <c r="YK20" s="368"/>
      <c r="YL20" s="368"/>
      <c r="YM20" s="368"/>
      <c r="YN20" s="368"/>
      <c r="YO20" s="368"/>
      <c r="YP20" s="368"/>
      <c r="YQ20" s="368"/>
      <c r="YR20" s="368"/>
      <c r="YS20" s="368"/>
      <c r="YT20" s="368"/>
      <c r="YU20" s="368"/>
      <c r="YV20" s="368"/>
      <c r="YW20" s="368"/>
      <c r="YX20" s="368"/>
      <c r="YY20" s="368"/>
      <c r="YZ20" s="368"/>
      <c r="ZA20" s="368"/>
      <c r="ZB20" s="368"/>
      <c r="ZC20" s="368"/>
      <c r="ZD20" s="368"/>
      <c r="ZE20" s="368"/>
      <c r="ZF20" s="368"/>
      <c r="ZG20" s="368"/>
      <c r="ZH20" s="368"/>
      <c r="ZI20" s="368"/>
      <c r="ZJ20" s="368"/>
      <c r="ZK20" s="368"/>
      <c r="ZL20" s="368"/>
      <c r="ZM20" s="368"/>
      <c r="ZN20" s="368"/>
      <c r="ZO20" s="368"/>
      <c r="ZP20" s="368"/>
      <c r="ZQ20" s="368"/>
      <c r="ZR20" s="368"/>
      <c r="ZS20" s="368"/>
      <c r="ZT20" s="368"/>
      <c r="ZU20" s="368"/>
      <c r="ZV20" s="368"/>
      <c r="ZW20" s="368"/>
      <c r="ZX20" s="368"/>
      <c r="ZY20" s="368"/>
      <c r="ZZ20" s="368"/>
      <c r="AAA20" s="368"/>
      <c r="AAB20" s="368"/>
      <c r="AAC20" s="368"/>
      <c r="AAD20" s="368"/>
      <c r="AAE20" s="368"/>
      <c r="AAF20" s="368"/>
      <c r="AAG20" s="368"/>
      <c r="AAH20" s="368"/>
      <c r="AAI20" s="368"/>
      <c r="AAJ20" s="368"/>
      <c r="AAK20" s="368"/>
      <c r="AAL20" s="368"/>
      <c r="AAM20" s="368"/>
      <c r="AAN20" s="368"/>
      <c r="AAO20" s="368"/>
      <c r="AAP20" s="368"/>
      <c r="AAQ20" s="368"/>
      <c r="AAR20" s="368"/>
      <c r="AAS20" s="368"/>
      <c r="AAT20" s="368"/>
      <c r="AAU20" s="368"/>
      <c r="AAV20" s="368"/>
      <c r="AAW20" s="368"/>
      <c r="AAX20" s="368"/>
      <c r="AAY20" s="368"/>
      <c r="AAZ20" s="368"/>
      <c r="ABA20" s="368"/>
      <c r="ABB20" s="368"/>
      <c r="ABC20" s="368"/>
      <c r="ABD20" s="368"/>
      <c r="ABE20" s="368"/>
      <c r="ABF20" s="368"/>
      <c r="ABG20" s="368"/>
      <c r="ABH20" s="368"/>
      <c r="ABI20" s="368"/>
      <c r="ABJ20" s="368"/>
      <c r="ABK20" s="368"/>
      <c r="ABL20" s="368"/>
      <c r="ABM20" s="368"/>
      <c r="ABN20" s="368"/>
      <c r="ABO20" s="368"/>
      <c r="ABP20" s="368"/>
      <c r="ABQ20" s="368"/>
      <c r="ABR20" s="368"/>
      <c r="ABS20" s="368"/>
      <c r="ABT20" s="368"/>
      <c r="ABU20" s="368"/>
      <c r="ABV20" s="368"/>
      <c r="ABW20" s="368"/>
      <c r="ABX20" s="368"/>
      <c r="ABY20" s="368"/>
      <c r="ABZ20" s="368"/>
      <c r="ACA20" s="368"/>
      <c r="ACB20" s="368"/>
      <c r="ACC20" s="368"/>
      <c r="ACD20" s="368"/>
      <c r="ACE20" s="368"/>
      <c r="ACF20" s="368"/>
      <c r="ACG20" s="368"/>
      <c r="ACH20" s="368"/>
      <c r="ACI20" s="368"/>
      <c r="ACJ20" s="368"/>
      <c r="ACK20" s="368"/>
      <c r="ACL20" s="368"/>
      <c r="ACM20" s="368"/>
      <c r="ACN20" s="368"/>
      <c r="ACO20" s="368"/>
      <c r="ACP20" s="368"/>
      <c r="ACQ20" s="368"/>
      <c r="ACR20" s="368"/>
      <c r="ACS20" s="368"/>
      <c r="ACT20" s="368"/>
      <c r="ACU20" s="368"/>
      <c r="ACV20" s="368"/>
      <c r="ACW20" s="368"/>
      <c r="ACX20" s="368"/>
      <c r="ACY20" s="368"/>
      <c r="ACZ20" s="368"/>
      <c r="ADA20" s="368"/>
      <c r="ADB20" s="368"/>
      <c r="ADC20" s="368"/>
      <c r="ADD20" s="368"/>
      <c r="ADE20" s="368"/>
      <c r="ADF20" s="368"/>
      <c r="ADG20" s="368"/>
      <c r="ADH20" s="368"/>
      <c r="ADI20" s="368"/>
      <c r="ADJ20" s="368"/>
      <c r="ADK20" s="368"/>
      <c r="ADL20" s="368"/>
      <c r="ADM20" s="368"/>
      <c r="ADN20" s="368"/>
      <c r="ADO20" s="368"/>
      <c r="ADP20" s="368"/>
      <c r="ADQ20" s="368"/>
      <c r="ADR20" s="368"/>
      <c r="ADS20" s="368"/>
      <c r="ADT20" s="368"/>
      <c r="ADU20" s="368"/>
      <c r="ADV20" s="368"/>
      <c r="ADW20" s="368"/>
      <c r="ADX20" s="368"/>
      <c r="ADY20" s="368"/>
      <c r="ADZ20" s="368"/>
      <c r="AEA20" s="368"/>
      <c r="AEB20" s="368"/>
      <c r="AEC20" s="368"/>
      <c r="AED20" s="368"/>
      <c r="AEE20" s="368"/>
      <c r="AEF20" s="368"/>
      <c r="AEG20" s="368"/>
      <c r="AEH20" s="368"/>
      <c r="AEI20" s="368"/>
      <c r="AEJ20" s="368"/>
      <c r="AEK20" s="368"/>
      <c r="AEL20" s="368"/>
      <c r="AEM20" s="368"/>
      <c r="AEN20" s="368"/>
      <c r="AEO20" s="368"/>
      <c r="AEP20" s="368"/>
      <c r="AEQ20" s="368"/>
      <c r="AER20" s="368"/>
      <c r="AES20" s="368"/>
      <c r="AET20" s="368"/>
      <c r="AEU20" s="368"/>
      <c r="AEV20" s="368"/>
      <c r="AEW20" s="368"/>
      <c r="AEX20" s="368"/>
      <c r="AEY20" s="368"/>
      <c r="AEZ20" s="368"/>
      <c r="AFA20" s="368"/>
      <c r="AFB20" s="368"/>
      <c r="AFC20" s="368"/>
      <c r="AFD20" s="368"/>
      <c r="AFE20" s="368"/>
      <c r="AFF20" s="368"/>
      <c r="AFG20" s="368"/>
      <c r="AFH20" s="368"/>
      <c r="AFI20" s="368"/>
      <c r="AFJ20" s="368"/>
      <c r="AFK20" s="368"/>
      <c r="AFL20" s="368"/>
      <c r="AFM20" s="368"/>
      <c r="AFN20" s="368"/>
      <c r="AFO20" s="368"/>
      <c r="AFP20" s="368"/>
      <c r="AFQ20" s="368"/>
      <c r="AFR20" s="368"/>
      <c r="AFS20" s="368"/>
      <c r="AFT20" s="368"/>
      <c r="AFU20" s="368"/>
      <c r="AFV20" s="368"/>
      <c r="AFW20" s="368"/>
      <c r="AFX20" s="368"/>
      <c r="AFY20" s="368"/>
      <c r="AFZ20" s="368"/>
      <c r="AGA20" s="368"/>
      <c r="AGB20" s="368"/>
      <c r="AGC20" s="368"/>
      <c r="AGD20" s="368"/>
      <c r="AGE20" s="368"/>
      <c r="AGF20" s="368"/>
      <c r="AGG20" s="368"/>
      <c r="AGH20" s="368"/>
      <c r="AGI20" s="368"/>
      <c r="AGJ20" s="368"/>
      <c r="AGK20" s="368"/>
      <c r="AGL20" s="368"/>
      <c r="AGM20" s="368"/>
      <c r="AGN20" s="368"/>
      <c r="AGO20" s="368"/>
      <c r="AGP20" s="368"/>
      <c r="AGQ20" s="368"/>
      <c r="AGR20" s="368"/>
      <c r="AGS20" s="368"/>
      <c r="AGT20" s="368"/>
      <c r="AGU20" s="368"/>
      <c r="AGV20" s="368"/>
      <c r="AGW20" s="368"/>
      <c r="AGX20" s="368"/>
      <c r="AGY20" s="368"/>
      <c r="AGZ20" s="368"/>
      <c r="AHA20" s="368"/>
      <c r="AHB20" s="368"/>
      <c r="AHC20" s="368"/>
      <c r="AHD20" s="368"/>
      <c r="AHE20" s="368"/>
      <c r="AHF20" s="368"/>
      <c r="AHG20" s="368"/>
      <c r="AHH20" s="368"/>
      <c r="AHI20" s="368"/>
      <c r="AHJ20" s="368"/>
      <c r="AHK20" s="368"/>
      <c r="AHL20" s="368"/>
      <c r="AHM20" s="368"/>
      <c r="AHN20" s="368"/>
      <c r="AHO20" s="368"/>
      <c r="AHP20" s="368"/>
      <c r="AHQ20" s="368"/>
      <c r="AHR20" s="368"/>
      <c r="AHS20" s="368"/>
      <c r="AHT20" s="368"/>
      <c r="AHU20" s="368"/>
      <c r="AHV20" s="368"/>
      <c r="AHW20" s="368"/>
      <c r="AHX20" s="368"/>
      <c r="AHY20" s="368"/>
      <c r="AHZ20" s="368"/>
      <c r="AIA20" s="368"/>
      <c r="AIB20" s="368"/>
      <c r="AIC20" s="368"/>
      <c r="AID20" s="368"/>
      <c r="AIE20" s="368"/>
      <c r="AIF20" s="368"/>
      <c r="AIG20" s="368"/>
      <c r="AIH20" s="368"/>
      <c r="AII20" s="368"/>
      <c r="AIJ20" s="368"/>
      <c r="AIK20" s="368"/>
      <c r="AIL20" s="368"/>
      <c r="AIM20" s="368"/>
      <c r="AIN20" s="368"/>
      <c r="AIO20" s="368"/>
      <c r="AIP20" s="368"/>
      <c r="AIQ20" s="368"/>
      <c r="AIR20" s="368"/>
      <c r="AIS20" s="368"/>
      <c r="AIT20" s="368"/>
      <c r="AIU20" s="368"/>
      <c r="AIV20" s="368"/>
      <c r="AIW20" s="368"/>
      <c r="AIX20" s="368"/>
      <c r="AIY20" s="368"/>
      <c r="AIZ20" s="368"/>
      <c r="AJA20" s="368"/>
      <c r="AJB20" s="368"/>
      <c r="AJC20" s="368"/>
      <c r="AJD20" s="368"/>
      <c r="AJE20" s="368"/>
      <c r="AJF20" s="368"/>
      <c r="AJG20" s="368"/>
      <c r="AJH20" s="368"/>
      <c r="AJI20" s="368"/>
      <c r="AJJ20" s="368"/>
      <c r="AJK20" s="368"/>
      <c r="AJL20" s="368"/>
      <c r="AJM20" s="368"/>
      <c r="AJN20" s="368"/>
      <c r="AJO20" s="368"/>
      <c r="AJP20" s="368"/>
      <c r="AJQ20" s="368"/>
      <c r="AJR20" s="368"/>
      <c r="AJS20" s="368"/>
      <c r="AJT20" s="368"/>
      <c r="AJU20" s="368"/>
      <c r="AJV20" s="368"/>
      <c r="AJW20" s="368"/>
      <c r="AJX20" s="368"/>
      <c r="AJY20" s="368"/>
      <c r="AJZ20" s="368"/>
      <c r="AKA20" s="368"/>
      <c r="AKB20" s="368"/>
      <c r="AKC20" s="368"/>
      <c r="AKD20" s="368"/>
      <c r="AKE20" s="368"/>
      <c r="AKF20" s="368"/>
      <c r="AKG20" s="368"/>
      <c r="AKH20" s="368"/>
      <c r="AKI20" s="368"/>
      <c r="AKJ20" s="368"/>
      <c r="AKK20" s="368"/>
      <c r="AKL20" s="368"/>
      <c r="AKM20" s="368"/>
      <c r="AKN20" s="368"/>
    </row>
    <row r="21" spans="1:976" s="346" customFormat="1" ht="22.5" customHeight="1" x14ac:dyDescent="0.2">
      <c r="A21" s="370" t="s">
        <v>262</v>
      </c>
      <c r="B21" s="370"/>
      <c r="C21" s="370" t="s">
        <v>221</v>
      </c>
      <c r="D21" s="370" t="s">
        <v>222</v>
      </c>
      <c r="E21" s="371">
        <v>403192</v>
      </c>
      <c r="F21" s="371">
        <v>268</v>
      </c>
      <c r="G21" s="371">
        <v>39</v>
      </c>
      <c r="H21" s="371">
        <v>0</v>
      </c>
      <c r="I21" s="372">
        <v>45714</v>
      </c>
      <c r="J21" s="370" t="s">
        <v>299</v>
      </c>
      <c r="K21" s="370" t="s">
        <v>333</v>
      </c>
      <c r="L21" s="373">
        <v>119.61</v>
      </c>
      <c r="M21" s="373">
        <v>7.73</v>
      </c>
      <c r="N21" s="444">
        <v>127.34</v>
      </c>
      <c r="O21" s="370"/>
      <c r="P21" s="374">
        <v>45726</v>
      </c>
      <c r="Q21" s="373">
        <v>127.34</v>
      </c>
      <c r="R21" s="370" t="s">
        <v>334</v>
      </c>
      <c r="S21" s="373">
        <v>0</v>
      </c>
      <c r="T21" s="373">
        <v>0</v>
      </c>
      <c r="U21" s="373">
        <v>0</v>
      </c>
      <c r="V21" s="373">
        <v>0</v>
      </c>
      <c r="W21" s="370"/>
      <c r="X21" s="370" t="s">
        <v>293</v>
      </c>
      <c r="Y21" s="370" t="s">
        <v>294</v>
      </c>
      <c r="Z21" s="370" t="s">
        <v>42</v>
      </c>
      <c r="AA21" s="370" t="s">
        <v>228</v>
      </c>
      <c r="AB21" s="370" t="s">
        <v>235</v>
      </c>
      <c r="AC21" s="370" t="s">
        <v>331</v>
      </c>
      <c r="AD21" s="370" t="s">
        <v>231</v>
      </c>
      <c r="AE21" s="370" t="s">
        <v>232</v>
      </c>
      <c r="AF21" s="370" t="s">
        <v>231</v>
      </c>
      <c r="AG21" s="370" t="s">
        <v>232</v>
      </c>
      <c r="AH21" s="370"/>
      <c r="AI21" s="370"/>
      <c r="AJ21" s="370"/>
      <c r="AK21" s="370" t="s">
        <v>335</v>
      </c>
      <c r="AL21" s="371">
        <v>1</v>
      </c>
      <c r="AM21" s="371">
        <v>0</v>
      </c>
      <c r="AN21" s="372">
        <v>45726</v>
      </c>
      <c r="AO21" s="372">
        <v>45726</v>
      </c>
      <c r="AP21" s="373">
        <v>127.34</v>
      </c>
      <c r="AQ21" s="372">
        <v>45725</v>
      </c>
      <c r="AR21" s="368"/>
      <c r="AS21" s="368"/>
      <c r="AT21" s="368"/>
      <c r="AU21" s="368"/>
      <c r="AV21" s="368"/>
      <c r="AW21" s="368"/>
      <c r="AX21" s="368"/>
      <c r="AY21" s="368"/>
      <c r="AZ21" s="368"/>
      <c r="BA21" s="368"/>
      <c r="BB21" s="368"/>
      <c r="BC21" s="368"/>
      <c r="BD21" s="368"/>
      <c r="BE21" s="368"/>
      <c r="BF21" s="368"/>
      <c r="BG21" s="368"/>
      <c r="BH21" s="368"/>
      <c r="BI21" s="368"/>
      <c r="BJ21" s="368"/>
      <c r="BK21" s="368"/>
      <c r="BL21" s="368"/>
      <c r="BM21" s="368"/>
      <c r="BN21" s="368"/>
      <c r="BO21" s="368"/>
      <c r="BP21" s="368"/>
      <c r="BQ21" s="368"/>
      <c r="BR21" s="368"/>
      <c r="BS21" s="368"/>
      <c r="BT21" s="368"/>
      <c r="BU21" s="368"/>
      <c r="BV21" s="368"/>
      <c r="BW21" s="368"/>
      <c r="BX21" s="368"/>
      <c r="BY21" s="368"/>
      <c r="BZ21" s="368"/>
      <c r="CA21" s="368"/>
      <c r="CB21" s="368"/>
      <c r="CC21" s="368"/>
      <c r="CD21" s="368"/>
      <c r="CE21" s="368"/>
      <c r="CF21" s="368"/>
      <c r="CG21" s="368"/>
      <c r="CH21" s="368"/>
      <c r="CI21" s="368"/>
      <c r="CJ21" s="368"/>
      <c r="CK21" s="368"/>
      <c r="CL21" s="368"/>
      <c r="CM21" s="368"/>
      <c r="CN21" s="368"/>
      <c r="CO21" s="368"/>
      <c r="CP21" s="368"/>
      <c r="CQ21" s="368"/>
      <c r="CR21" s="368"/>
      <c r="CS21" s="368"/>
      <c r="CT21" s="368"/>
      <c r="CU21" s="368"/>
      <c r="CV21" s="368"/>
      <c r="CW21" s="368"/>
      <c r="CX21" s="368"/>
      <c r="CY21" s="368"/>
      <c r="CZ21" s="368"/>
      <c r="DA21" s="368"/>
      <c r="DB21" s="368"/>
      <c r="DC21" s="368"/>
      <c r="DD21" s="368"/>
      <c r="DE21" s="368"/>
      <c r="DF21" s="368"/>
      <c r="DG21" s="368"/>
      <c r="DH21" s="368"/>
      <c r="DI21" s="368"/>
      <c r="DJ21" s="368"/>
      <c r="DK21" s="368"/>
      <c r="DL21" s="368"/>
      <c r="DM21" s="368"/>
      <c r="DN21" s="368"/>
      <c r="DO21" s="368"/>
      <c r="DP21" s="368"/>
      <c r="DQ21" s="368"/>
      <c r="DR21" s="368"/>
      <c r="DS21" s="368"/>
      <c r="DT21" s="368"/>
      <c r="DU21" s="368"/>
      <c r="DV21" s="368"/>
      <c r="DW21" s="368"/>
      <c r="DX21" s="368"/>
      <c r="DY21" s="368"/>
      <c r="DZ21" s="368"/>
      <c r="EA21" s="368"/>
      <c r="EB21" s="368"/>
      <c r="EC21" s="368"/>
      <c r="ED21" s="368"/>
      <c r="EE21" s="368"/>
      <c r="EF21" s="368"/>
      <c r="EG21" s="368"/>
      <c r="EH21" s="368"/>
      <c r="EI21" s="368"/>
      <c r="EJ21" s="368"/>
      <c r="EK21" s="368"/>
      <c r="EL21" s="368"/>
      <c r="EM21" s="368"/>
      <c r="EN21" s="368"/>
      <c r="EO21" s="368"/>
      <c r="EP21" s="368"/>
      <c r="EQ21" s="368"/>
      <c r="ER21" s="368"/>
      <c r="ES21" s="368"/>
      <c r="ET21" s="368"/>
      <c r="EU21" s="368"/>
      <c r="EV21" s="368"/>
      <c r="EW21" s="368"/>
      <c r="EX21" s="368"/>
      <c r="EY21" s="368"/>
      <c r="EZ21" s="368"/>
      <c r="FA21" s="368"/>
      <c r="FB21" s="368"/>
      <c r="FC21" s="368"/>
      <c r="FD21" s="368"/>
      <c r="FE21" s="368"/>
      <c r="FF21" s="368"/>
      <c r="FG21" s="368"/>
      <c r="FH21" s="368"/>
      <c r="FI21" s="368"/>
      <c r="FJ21" s="368"/>
      <c r="FK21" s="368"/>
      <c r="FL21" s="368"/>
      <c r="FM21" s="368"/>
      <c r="FN21" s="368"/>
      <c r="FO21" s="368"/>
      <c r="FP21" s="368"/>
      <c r="FQ21" s="368"/>
      <c r="FR21" s="368"/>
      <c r="FS21" s="368"/>
      <c r="FT21" s="368"/>
      <c r="FU21" s="368"/>
      <c r="FV21" s="368"/>
      <c r="FW21" s="368"/>
      <c r="FX21" s="368"/>
      <c r="FY21" s="368"/>
      <c r="FZ21" s="368"/>
      <c r="GA21" s="368"/>
      <c r="GB21" s="368"/>
      <c r="GC21" s="368"/>
      <c r="GD21" s="368"/>
      <c r="GE21" s="368"/>
      <c r="GF21" s="368"/>
      <c r="GG21" s="368"/>
      <c r="GH21" s="368"/>
      <c r="GI21" s="368"/>
      <c r="GJ21" s="368"/>
      <c r="GK21" s="368"/>
      <c r="GL21" s="368"/>
      <c r="GM21" s="368"/>
      <c r="GN21" s="368"/>
      <c r="GO21" s="368"/>
      <c r="GP21" s="368"/>
      <c r="GQ21" s="368"/>
      <c r="GR21" s="368"/>
      <c r="GS21" s="368"/>
      <c r="GT21" s="368"/>
      <c r="GU21" s="368"/>
      <c r="GV21" s="368"/>
      <c r="GW21" s="368"/>
      <c r="GX21" s="368"/>
      <c r="GY21" s="368"/>
      <c r="GZ21" s="368"/>
      <c r="HA21" s="368"/>
      <c r="HB21" s="368"/>
      <c r="HC21" s="368"/>
      <c r="HD21" s="368"/>
      <c r="HE21" s="368"/>
      <c r="HF21" s="368"/>
      <c r="HG21" s="368"/>
      <c r="HH21" s="368"/>
      <c r="HI21" s="368"/>
      <c r="HJ21" s="368"/>
      <c r="HK21" s="368"/>
      <c r="HL21" s="368"/>
      <c r="HM21" s="368"/>
      <c r="HN21" s="368"/>
      <c r="HO21" s="368"/>
      <c r="HP21" s="368"/>
      <c r="HQ21" s="368"/>
      <c r="HR21" s="368"/>
      <c r="HS21" s="368"/>
      <c r="HT21" s="368"/>
      <c r="HU21" s="368"/>
      <c r="HV21" s="368"/>
      <c r="HW21" s="368"/>
      <c r="HX21" s="368"/>
      <c r="HY21" s="368"/>
      <c r="HZ21" s="368"/>
      <c r="IA21" s="368"/>
      <c r="IB21" s="368"/>
      <c r="IC21" s="368"/>
      <c r="ID21" s="368"/>
      <c r="IE21" s="368"/>
      <c r="IF21" s="368"/>
      <c r="IG21" s="368"/>
      <c r="IH21" s="368"/>
      <c r="II21" s="368"/>
      <c r="IJ21" s="368"/>
      <c r="IK21" s="368"/>
      <c r="IL21" s="368"/>
      <c r="IM21" s="368"/>
      <c r="IN21" s="368"/>
      <c r="IO21" s="368"/>
      <c r="IP21" s="368"/>
      <c r="IQ21" s="368"/>
      <c r="IR21" s="368"/>
      <c r="IS21" s="368"/>
      <c r="IT21" s="368"/>
      <c r="IU21" s="368"/>
      <c r="IV21" s="368"/>
      <c r="IW21" s="368"/>
      <c r="IX21" s="368"/>
      <c r="IY21" s="368"/>
      <c r="IZ21" s="368"/>
      <c r="JA21" s="368"/>
      <c r="JB21" s="368"/>
      <c r="JC21" s="368"/>
      <c r="JD21" s="368"/>
      <c r="JE21" s="368"/>
      <c r="JF21" s="368"/>
      <c r="JG21" s="368"/>
      <c r="JH21" s="368"/>
      <c r="JI21" s="368"/>
      <c r="JJ21" s="368"/>
      <c r="JK21" s="368"/>
      <c r="JL21" s="368"/>
      <c r="JM21" s="368"/>
      <c r="JN21" s="368"/>
      <c r="JO21" s="368"/>
      <c r="JP21" s="368"/>
      <c r="JQ21" s="368"/>
      <c r="JR21" s="368"/>
      <c r="JS21" s="368"/>
      <c r="JT21" s="368"/>
      <c r="JU21" s="368"/>
      <c r="JV21" s="368"/>
      <c r="JW21" s="368"/>
      <c r="JX21" s="368"/>
      <c r="JY21" s="368"/>
      <c r="JZ21" s="368"/>
      <c r="KA21" s="368"/>
      <c r="KB21" s="368"/>
      <c r="KC21" s="368"/>
      <c r="KD21" s="368"/>
      <c r="KE21" s="368"/>
      <c r="KF21" s="368"/>
      <c r="KG21" s="368"/>
      <c r="KH21" s="368"/>
      <c r="KI21" s="368"/>
      <c r="KJ21" s="368"/>
      <c r="KK21" s="368"/>
      <c r="KL21" s="368"/>
      <c r="KM21" s="368"/>
      <c r="KN21" s="368"/>
      <c r="KO21" s="368"/>
      <c r="KP21" s="368"/>
      <c r="KQ21" s="368"/>
      <c r="KR21" s="368"/>
      <c r="KS21" s="368"/>
      <c r="KT21" s="368"/>
      <c r="KU21" s="368"/>
      <c r="KV21" s="368"/>
      <c r="KW21" s="368"/>
      <c r="KX21" s="368"/>
      <c r="KY21" s="368"/>
      <c r="KZ21" s="368"/>
      <c r="LA21" s="368"/>
      <c r="LB21" s="368"/>
      <c r="LC21" s="368"/>
      <c r="LD21" s="368"/>
      <c r="LE21" s="368"/>
      <c r="LF21" s="368"/>
      <c r="LG21" s="368"/>
      <c r="LH21" s="368"/>
      <c r="LI21" s="368"/>
      <c r="LJ21" s="368"/>
      <c r="LK21" s="368"/>
      <c r="LL21" s="368"/>
      <c r="LM21" s="368"/>
      <c r="LN21" s="368"/>
      <c r="LO21" s="368"/>
      <c r="LP21" s="368"/>
      <c r="LQ21" s="368"/>
      <c r="LR21" s="368"/>
      <c r="LS21" s="368"/>
      <c r="LT21" s="368"/>
      <c r="LU21" s="368"/>
      <c r="LV21" s="368"/>
      <c r="LW21" s="368"/>
      <c r="LX21" s="368"/>
      <c r="LY21" s="368"/>
      <c r="LZ21" s="368"/>
      <c r="MA21" s="368"/>
      <c r="MB21" s="368"/>
      <c r="MC21" s="368"/>
      <c r="MD21" s="368"/>
      <c r="ME21" s="368"/>
      <c r="MF21" s="368"/>
      <c r="MG21" s="368"/>
      <c r="MH21" s="368"/>
      <c r="MI21" s="368"/>
      <c r="MJ21" s="368"/>
      <c r="MK21" s="368"/>
      <c r="ML21" s="368"/>
      <c r="MM21" s="368"/>
      <c r="MN21" s="368"/>
      <c r="MO21" s="368"/>
      <c r="MP21" s="368"/>
      <c r="MQ21" s="368"/>
      <c r="MR21" s="368"/>
      <c r="MS21" s="368"/>
      <c r="MT21" s="368"/>
      <c r="MU21" s="368"/>
      <c r="MV21" s="368"/>
      <c r="MW21" s="368"/>
      <c r="MX21" s="368"/>
      <c r="MY21" s="368"/>
      <c r="MZ21" s="368"/>
      <c r="NA21" s="368"/>
      <c r="NB21" s="368"/>
      <c r="NC21" s="368"/>
      <c r="ND21" s="368"/>
      <c r="NE21" s="368"/>
      <c r="NF21" s="368"/>
      <c r="NG21" s="368"/>
      <c r="NH21" s="368"/>
      <c r="NI21" s="368"/>
      <c r="NJ21" s="368"/>
      <c r="NK21" s="368"/>
      <c r="NL21" s="368"/>
      <c r="NM21" s="368"/>
      <c r="NN21" s="368"/>
      <c r="NO21" s="368"/>
      <c r="NP21" s="368"/>
      <c r="NQ21" s="368"/>
      <c r="NR21" s="368"/>
      <c r="NS21" s="368"/>
      <c r="NT21" s="368"/>
      <c r="NU21" s="368"/>
      <c r="NV21" s="368"/>
      <c r="NW21" s="368"/>
      <c r="NX21" s="368"/>
      <c r="NY21" s="368"/>
      <c r="NZ21" s="368"/>
      <c r="OA21" s="368"/>
      <c r="OB21" s="368"/>
      <c r="OC21" s="368"/>
      <c r="OD21" s="368"/>
      <c r="OE21" s="368"/>
      <c r="OF21" s="368"/>
      <c r="OG21" s="368"/>
      <c r="OH21" s="368"/>
      <c r="OI21" s="368"/>
      <c r="OJ21" s="368"/>
      <c r="OK21" s="368"/>
      <c r="OL21" s="368"/>
      <c r="OM21" s="368"/>
      <c r="ON21" s="368"/>
      <c r="OO21" s="368"/>
      <c r="OP21" s="368"/>
      <c r="OQ21" s="368"/>
      <c r="OR21" s="368"/>
      <c r="OS21" s="368"/>
      <c r="OT21" s="368"/>
      <c r="OU21" s="368"/>
      <c r="OV21" s="368"/>
      <c r="OW21" s="368"/>
      <c r="OX21" s="368"/>
      <c r="OY21" s="368"/>
      <c r="OZ21" s="368"/>
      <c r="PA21" s="368"/>
      <c r="PB21" s="368"/>
      <c r="PC21" s="368"/>
      <c r="PD21" s="368"/>
      <c r="PE21" s="368"/>
      <c r="PF21" s="368"/>
      <c r="PG21" s="368"/>
      <c r="PH21" s="368"/>
      <c r="PI21" s="368"/>
      <c r="PJ21" s="368"/>
      <c r="PK21" s="368"/>
      <c r="PL21" s="368"/>
      <c r="PM21" s="368"/>
      <c r="PN21" s="368"/>
      <c r="PO21" s="368"/>
      <c r="PP21" s="368"/>
      <c r="PQ21" s="368"/>
      <c r="PR21" s="368"/>
      <c r="PS21" s="368"/>
      <c r="PT21" s="368"/>
      <c r="PU21" s="368"/>
      <c r="PV21" s="368"/>
      <c r="PW21" s="368"/>
      <c r="PX21" s="368"/>
      <c r="PY21" s="368"/>
      <c r="PZ21" s="368"/>
      <c r="QA21" s="368"/>
      <c r="QB21" s="368"/>
      <c r="QC21" s="368"/>
      <c r="QD21" s="368"/>
      <c r="QE21" s="368"/>
      <c r="QF21" s="368"/>
      <c r="QG21" s="368"/>
      <c r="QH21" s="368"/>
      <c r="QI21" s="368"/>
      <c r="QJ21" s="368"/>
      <c r="QK21" s="368"/>
      <c r="QL21" s="368"/>
      <c r="QM21" s="368"/>
      <c r="QN21" s="368"/>
      <c r="QO21" s="368"/>
      <c r="QP21" s="368"/>
      <c r="QQ21" s="368"/>
      <c r="QR21" s="368"/>
      <c r="QS21" s="368"/>
      <c r="QT21" s="368"/>
      <c r="QU21" s="368"/>
      <c r="QV21" s="368"/>
      <c r="QW21" s="368"/>
      <c r="QX21" s="368"/>
      <c r="QY21" s="368"/>
      <c r="QZ21" s="368"/>
      <c r="RA21" s="368"/>
      <c r="RB21" s="368"/>
      <c r="RC21" s="368"/>
      <c r="RD21" s="368"/>
      <c r="RE21" s="368"/>
      <c r="RF21" s="368"/>
      <c r="RG21" s="368"/>
      <c r="RH21" s="368"/>
      <c r="RI21" s="368"/>
      <c r="RJ21" s="368"/>
      <c r="RK21" s="368"/>
      <c r="RL21" s="368"/>
      <c r="RM21" s="368"/>
      <c r="RN21" s="368"/>
      <c r="RO21" s="368"/>
      <c r="RP21" s="368"/>
      <c r="RQ21" s="368"/>
      <c r="RR21" s="368"/>
      <c r="RS21" s="368"/>
      <c r="RT21" s="368"/>
      <c r="RU21" s="368"/>
      <c r="RV21" s="368"/>
      <c r="RW21" s="368"/>
      <c r="RX21" s="368"/>
      <c r="RY21" s="368"/>
      <c r="RZ21" s="368"/>
      <c r="SA21" s="368"/>
      <c r="SB21" s="368"/>
      <c r="SC21" s="368"/>
      <c r="SD21" s="368"/>
      <c r="SE21" s="368"/>
      <c r="SF21" s="368"/>
      <c r="SG21" s="368"/>
      <c r="SH21" s="368"/>
      <c r="SI21" s="368"/>
      <c r="SJ21" s="368"/>
      <c r="SK21" s="368"/>
      <c r="SL21" s="368"/>
      <c r="SM21" s="368"/>
      <c r="SN21" s="368"/>
      <c r="SO21" s="368"/>
      <c r="SP21" s="368"/>
      <c r="SQ21" s="368"/>
      <c r="SR21" s="368"/>
      <c r="SS21" s="368"/>
      <c r="ST21" s="368"/>
      <c r="SU21" s="368"/>
      <c r="SV21" s="368"/>
      <c r="SW21" s="368"/>
      <c r="SX21" s="368"/>
      <c r="SY21" s="368"/>
      <c r="SZ21" s="368"/>
      <c r="TA21" s="368"/>
      <c r="TB21" s="368"/>
      <c r="TC21" s="368"/>
      <c r="TD21" s="368"/>
      <c r="TE21" s="368"/>
      <c r="TF21" s="368"/>
      <c r="TG21" s="368"/>
      <c r="TH21" s="368"/>
      <c r="TI21" s="368"/>
      <c r="TJ21" s="368"/>
      <c r="TK21" s="368"/>
      <c r="TL21" s="368"/>
      <c r="TM21" s="368"/>
      <c r="TN21" s="368"/>
      <c r="TO21" s="368"/>
      <c r="TP21" s="368"/>
      <c r="TQ21" s="368"/>
      <c r="TR21" s="368"/>
      <c r="TS21" s="368"/>
      <c r="TT21" s="368"/>
      <c r="TU21" s="368"/>
      <c r="TV21" s="368"/>
      <c r="TW21" s="368"/>
      <c r="TX21" s="368"/>
      <c r="TY21" s="368"/>
      <c r="TZ21" s="368"/>
      <c r="UA21" s="368"/>
      <c r="UB21" s="368"/>
      <c r="UC21" s="368"/>
      <c r="UD21" s="368"/>
      <c r="UE21" s="368"/>
      <c r="UF21" s="368"/>
      <c r="UG21" s="368"/>
      <c r="UH21" s="368"/>
      <c r="UI21" s="368"/>
      <c r="UJ21" s="368"/>
      <c r="UK21" s="368"/>
      <c r="UL21" s="368"/>
      <c r="UM21" s="368"/>
      <c r="UN21" s="368"/>
      <c r="UO21" s="368"/>
      <c r="UP21" s="368"/>
      <c r="UQ21" s="368"/>
      <c r="UR21" s="368"/>
      <c r="US21" s="368"/>
      <c r="UT21" s="368"/>
      <c r="UU21" s="368"/>
      <c r="UV21" s="368"/>
      <c r="UW21" s="368"/>
      <c r="UX21" s="368"/>
      <c r="UY21" s="368"/>
      <c r="UZ21" s="368"/>
      <c r="VA21" s="368"/>
      <c r="VB21" s="368"/>
      <c r="VC21" s="368"/>
      <c r="VD21" s="368"/>
      <c r="VE21" s="368"/>
      <c r="VF21" s="368"/>
      <c r="VG21" s="368"/>
      <c r="VH21" s="368"/>
      <c r="VI21" s="368"/>
      <c r="VJ21" s="368"/>
      <c r="VK21" s="368"/>
      <c r="VL21" s="368"/>
      <c r="VM21" s="368"/>
      <c r="VN21" s="368"/>
      <c r="VO21" s="368"/>
      <c r="VP21" s="368"/>
      <c r="VQ21" s="368"/>
      <c r="VR21" s="368"/>
      <c r="VS21" s="368"/>
      <c r="VT21" s="368"/>
      <c r="VU21" s="368"/>
      <c r="VV21" s="368"/>
      <c r="VW21" s="368"/>
      <c r="VX21" s="368"/>
      <c r="VY21" s="368"/>
      <c r="VZ21" s="368"/>
      <c r="WA21" s="368"/>
      <c r="WB21" s="368"/>
      <c r="WC21" s="368"/>
      <c r="WD21" s="368"/>
      <c r="WE21" s="368"/>
      <c r="WF21" s="368"/>
      <c r="WG21" s="368"/>
      <c r="WH21" s="368"/>
      <c r="WI21" s="368"/>
      <c r="WJ21" s="368"/>
      <c r="WK21" s="368"/>
      <c r="WL21" s="368"/>
      <c r="WM21" s="368"/>
      <c r="WN21" s="368"/>
      <c r="WO21" s="368"/>
      <c r="WP21" s="368"/>
      <c r="WQ21" s="368"/>
      <c r="WR21" s="368"/>
      <c r="WS21" s="368"/>
      <c r="WT21" s="368"/>
      <c r="WU21" s="368"/>
      <c r="WV21" s="368"/>
      <c r="WW21" s="368"/>
      <c r="WX21" s="368"/>
      <c r="WY21" s="368"/>
      <c r="WZ21" s="368"/>
      <c r="XA21" s="368"/>
      <c r="XB21" s="368"/>
      <c r="XC21" s="368"/>
      <c r="XD21" s="368"/>
      <c r="XE21" s="368"/>
      <c r="XF21" s="368"/>
      <c r="XG21" s="368"/>
      <c r="XH21" s="368"/>
      <c r="XI21" s="368"/>
      <c r="XJ21" s="368"/>
      <c r="XK21" s="368"/>
      <c r="XL21" s="368"/>
      <c r="XM21" s="368"/>
      <c r="XN21" s="368"/>
      <c r="XO21" s="368"/>
      <c r="XP21" s="368"/>
      <c r="XQ21" s="368"/>
      <c r="XR21" s="368"/>
      <c r="XS21" s="368"/>
      <c r="XT21" s="368"/>
      <c r="XU21" s="368"/>
      <c r="XV21" s="368"/>
      <c r="XW21" s="368"/>
      <c r="XX21" s="368"/>
      <c r="XY21" s="368"/>
      <c r="XZ21" s="368"/>
      <c r="YA21" s="368"/>
      <c r="YB21" s="368"/>
      <c r="YC21" s="368"/>
      <c r="YD21" s="368"/>
      <c r="YE21" s="368"/>
      <c r="YF21" s="368"/>
      <c r="YG21" s="368"/>
      <c r="YH21" s="368"/>
      <c r="YI21" s="368"/>
      <c r="YJ21" s="368"/>
      <c r="YK21" s="368"/>
      <c r="YL21" s="368"/>
      <c r="YM21" s="368"/>
      <c r="YN21" s="368"/>
      <c r="YO21" s="368"/>
      <c r="YP21" s="368"/>
      <c r="YQ21" s="368"/>
      <c r="YR21" s="368"/>
      <c r="YS21" s="368"/>
      <c r="YT21" s="368"/>
      <c r="YU21" s="368"/>
      <c r="YV21" s="368"/>
      <c r="YW21" s="368"/>
      <c r="YX21" s="368"/>
      <c r="YY21" s="368"/>
      <c r="YZ21" s="368"/>
      <c r="ZA21" s="368"/>
      <c r="ZB21" s="368"/>
      <c r="ZC21" s="368"/>
      <c r="ZD21" s="368"/>
      <c r="ZE21" s="368"/>
      <c r="ZF21" s="368"/>
      <c r="ZG21" s="368"/>
      <c r="ZH21" s="368"/>
      <c r="ZI21" s="368"/>
      <c r="ZJ21" s="368"/>
      <c r="ZK21" s="368"/>
      <c r="ZL21" s="368"/>
      <c r="ZM21" s="368"/>
      <c r="ZN21" s="368"/>
      <c r="ZO21" s="368"/>
      <c r="ZP21" s="368"/>
      <c r="ZQ21" s="368"/>
      <c r="ZR21" s="368"/>
      <c r="ZS21" s="368"/>
      <c r="ZT21" s="368"/>
      <c r="ZU21" s="368"/>
      <c r="ZV21" s="368"/>
      <c r="ZW21" s="368"/>
      <c r="ZX21" s="368"/>
      <c r="ZY21" s="368"/>
      <c r="ZZ21" s="368"/>
      <c r="AAA21" s="368"/>
      <c r="AAB21" s="368"/>
      <c r="AAC21" s="368"/>
      <c r="AAD21" s="368"/>
      <c r="AAE21" s="368"/>
      <c r="AAF21" s="368"/>
      <c r="AAG21" s="368"/>
      <c r="AAH21" s="368"/>
      <c r="AAI21" s="368"/>
      <c r="AAJ21" s="368"/>
      <c r="AAK21" s="368"/>
      <c r="AAL21" s="368"/>
      <c r="AAM21" s="368"/>
      <c r="AAN21" s="368"/>
      <c r="AAO21" s="368"/>
      <c r="AAP21" s="368"/>
      <c r="AAQ21" s="368"/>
      <c r="AAR21" s="368"/>
      <c r="AAS21" s="368"/>
      <c r="AAT21" s="368"/>
      <c r="AAU21" s="368"/>
      <c r="AAV21" s="368"/>
      <c r="AAW21" s="368"/>
      <c r="AAX21" s="368"/>
      <c r="AAY21" s="368"/>
      <c r="AAZ21" s="368"/>
      <c r="ABA21" s="368"/>
      <c r="ABB21" s="368"/>
      <c r="ABC21" s="368"/>
      <c r="ABD21" s="368"/>
      <c r="ABE21" s="368"/>
      <c r="ABF21" s="368"/>
      <c r="ABG21" s="368"/>
      <c r="ABH21" s="368"/>
      <c r="ABI21" s="368"/>
      <c r="ABJ21" s="368"/>
      <c r="ABK21" s="368"/>
      <c r="ABL21" s="368"/>
      <c r="ABM21" s="368"/>
      <c r="ABN21" s="368"/>
      <c r="ABO21" s="368"/>
      <c r="ABP21" s="368"/>
      <c r="ABQ21" s="368"/>
      <c r="ABR21" s="368"/>
      <c r="ABS21" s="368"/>
      <c r="ABT21" s="368"/>
      <c r="ABU21" s="368"/>
      <c r="ABV21" s="368"/>
      <c r="ABW21" s="368"/>
      <c r="ABX21" s="368"/>
      <c r="ABY21" s="368"/>
      <c r="ABZ21" s="368"/>
      <c r="ACA21" s="368"/>
      <c r="ACB21" s="368"/>
      <c r="ACC21" s="368"/>
      <c r="ACD21" s="368"/>
      <c r="ACE21" s="368"/>
      <c r="ACF21" s="368"/>
      <c r="ACG21" s="368"/>
      <c r="ACH21" s="368"/>
      <c r="ACI21" s="368"/>
      <c r="ACJ21" s="368"/>
      <c r="ACK21" s="368"/>
      <c r="ACL21" s="368"/>
      <c r="ACM21" s="368"/>
      <c r="ACN21" s="368"/>
      <c r="ACO21" s="368"/>
      <c r="ACP21" s="368"/>
      <c r="ACQ21" s="368"/>
      <c r="ACR21" s="368"/>
      <c r="ACS21" s="368"/>
      <c r="ACT21" s="368"/>
      <c r="ACU21" s="368"/>
      <c r="ACV21" s="368"/>
      <c r="ACW21" s="368"/>
      <c r="ACX21" s="368"/>
      <c r="ACY21" s="368"/>
      <c r="ACZ21" s="368"/>
      <c r="ADA21" s="368"/>
      <c r="ADB21" s="368"/>
      <c r="ADC21" s="368"/>
      <c r="ADD21" s="368"/>
      <c r="ADE21" s="368"/>
      <c r="ADF21" s="368"/>
      <c r="ADG21" s="368"/>
      <c r="ADH21" s="368"/>
      <c r="ADI21" s="368"/>
      <c r="ADJ21" s="368"/>
      <c r="ADK21" s="368"/>
      <c r="ADL21" s="368"/>
      <c r="ADM21" s="368"/>
      <c r="ADN21" s="368"/>
      <c r="ADO21" s="368"/>
      <c r="ADP21" s="368"/>
      <c r="ADQ21" s="368"/>
      <c r="ADR21" s="368"/>
      <c r="ADS21" s="368"/>
      <c r="ADT21" s="368"/>
      <c r="ADU21" s="368"/>
      <c r="ADV21" s="368"/>
      <c r="ADW21" s="368"/>
      <c r="ADX21" s="368"/>
      <c r="ADY21" s="368"/>
      <c r="ADZ21" s="368"/>
      <c r="AEA21" s="368"/>
      <c r="AEB21" s="368"/>
      <c r="AEC21" s="368"/>
      <c r="AED21" s="368"/>
      <c r="AEE21" s="368"/>
      <c r="AEF21" s="368"/>
      <c r="AEG21" s="368"/>
      <c r="AEH21" s="368"/>
      <c r="AEI21" s="368"/>
      <c r="AEJ21" s="368"/>
      <c r="AEK21" s="368"/>
      <c r="AEL21" s="368"/>
      <c r="AEM21" s="368"/>
      <c r="AEN21" s="368"/>
      <c r="AEO21" s="368"/>
      <c r="AEP21" s="368"/>
      <c r="AEQ21" s="368"/>
      <c r="AER21" s="368"/>
      <c r="AES21" s="368"/>
      <c r="AET21" s="368"/>
      <c r="AEU21" s="368"/>
      <c r="AEV21" s="368"/>
      <c r="AEW21" s="368"/>
      <c r="AEX21" s="368"/>
      <c r="AEY21" s="368"/>
      <c r="AEZ21" s="368"/>
      <c r="AFA21" s="368"/>
      <c r="AFB21" s="368"/>
      <c r="AFC21" s="368"/>
      <c r="AFD21" s="368"/>
      <c r="AFE21" s="368"/>
      <c r="AFF21" s="368"/>
      <c r="AFG21" s="368"/>
      <c r="AFH21" s="368"/>
      <c r="AFI21" s="368"/>
      <c r="AFJ21" s="368"/>
      <c r="AFK21" s="368"/>
      <c r="AFL21" s="368"/>
      <c r="AFM21" s="368"/>
      <c r="AFN21" s="368"/>
      <c r="AFO21" s="368"/>
      <c r="AFP21" s="368"/>
      <c r="AFQ21" s="368"/>
      <c r="AFR21" s="368"/>
      <c r="AFS21" s="368"/>
      <c r="AFT21" s="368"/>
      <c r="AFU21" s="368"/>
      <c r="AFV21" s="368"/>
      <c r="AFW21" s="368"/>
      <c r="AFX21" s="368"/>
      <c r="AFY21" s="368"/>
      <c r="AFZ21" s="368"/>
      <c r="AGA21" s="368"/>
      <c r="AGB21" s="368"/>
      <c r="AGC21" s="368"/>
      <c r="AGD21" s="368"/>
      <c r="AGE21" s="368"/>
      <c r="AGF21" s="368"/>
      <c r="AGG21" s="368"/>
      <c r="AGH21" s="368"/>
      <c r="AGI21" s="368"/>
      <c r="AGJ21" s="368"/>
      <c r="AGK21" s="368"/>
      <c r="AGL21" s="368"/>
      <c r="AGM21" s="368"/>
      <c r="AGN21" s="368"/>
      <c r="AGO21" s="368"/>
      <c r="AGP21" s="368"/>
      <c r="AGQ21" s="368"/>
      <c r="AGR21" s="368"/>
      <c r="AGS21" s="368"/>
      <c r="AGT21" s="368"/>
      <c r="AGU21" s="368"/>
      <c r="AGV21" s="368"/>
      <c r="AGW21" s="368"/>
      <c r="AGX21" s="368"/>
      <c r="AGY21" s="368"/>
      <c r="AGZ21" s="368"/>
      <c r="AHA21" s="368"/>
      <c r="AHB21" s="368"/>
      <c r="AHC21" s="368"/>
      <c r="AHD21" s="368"/>
      <c r="AHE21" s="368"/>
      <c r="AHF21" s="368"/>
      <c r="AHG21" s="368"/>
      <c r="AHH21" s="368"/>
      <c r="AHI21" s="368"/>
      <c r="AHJ21" s="368"/>
      <c r="AHK21" s="368"/>
      <c r="AHL21" s="368"/>
      <c r="AHM21" s="368"/>
      <c r="AHN21" s="368"/>
      <c r="AHO21" s="368"/>
      <c r="AHP21" s="368"/>
      <c r="AHQ21" s="368"/>
      <c r="AHR21" s="368"/>
      <c r="AHS21" s="368"/>
      <c r="AHT21" s="368"/>
      <c r="AHU21" s="368"/>
      <c r="AHV21" s="368"/>
      <c r="AHW21" s="368"/>
      <c r="AHX21" s="368"/>
      <c r="AHY21" s="368"/>
      <c r="AHZ21" s="368"/>
      <c r="AIA21" s="368"/>
      <c r="AIB21" s="368"/>
      <c r="AIC21" s="368"/>
      <c r="AID21" s="368"/>
      <c r="AIE21" s="368"/>
      <c r="AIF21" s="368"/>
      <c r="AIG21" s="368"/>
      <c r="AIH21" s="368"/>
      <c r="AII21" s="368"/>
      <c r="AIJ21" s="368"/>
      <c r="AIK21" s="368"/>
      <c r="AIL21" s="368"/>
      <c r="AIM21" s="368"/>
      <c r="AIN21" s="368"/>
      <c r="AIO21" s="368"/>
      <c r="AIP21" s="368"/>
      <c r="AIQ21" s="368"/>
      <c r="AIR21" s="368"/>
      <c r="AIS21" s="368"/>
      <c r="AIT21" s="368"/>
      <c r="AIU21" s="368"/>
      <c r="AIV21" s="368"/>
      <c r="AIW21" s="368"/>
      <c r="AIX21" s="368"/>
      <c r="AIY21" s="368"/>
      <c r="AIZ21" s="368"/>
      <c r="AJA21" s="368"/>
      <c r="AJB21" s="368"/>
      <c r="AJC21" s="368"/>
      <c r="AJD21" s="368"/>
      <c r="AJE21" s="368"/>
      <c r="AJF21" s="368"/>
      <c r="AJG21" s="368"/>
      <c r="AJH21" s="368"/>
      <c r="AJI21" s="368"/>
      <c r="AJJ21" s="368"/>
      <c r="AJK21" s="368"/>
      <c r="AJL21" s="368"/>
      <c r="AJM21" s="368"/>
      <c r="AJN21" s="368"/>
      <c r="AJO21" s="368"/>
      <c r="AJP21" s="368"/>
      <c r="AJQ21" s="368"/>
      <c r="AJR21" s="368"/>
      <c r="AJS21" s="368"/>
      <c r="AJT21" s="368"/>
      <c r="AJU21" s="368"/>
      <c r="AJV21" s="368"/>
      <c r="AJW21" s="368"/>
      <c r="AJX21" s="368"/>
      <c r="AJY21" s="368"/>
      <c r="AJZ21" s="368"/>
      <c r="AKA21" s="368"/>
      <c r="AKB21" s="368"/>
      <c r="AKC21" s="368"/>
      <c r="AKD21" s="368"/>
      <c r="AKE21" s="368"/>
      <c r="AKF21" s="368"/>
      <c r="AKG21" s="368"/>
      <c r="AKH21" s="368"/>
      <c r="AKI21" s="368"/>
      <c r="AKJ21" s="368"/>
      <c r="AKK21" s="368"/>
      <c r="AKL21" s="368"/>
      <c r="AKM21" s="368"/>
      <c r="AKN21" s="368"/>
    </row>
    <row r="22" spans="1:976" s="346" customFormat="1" ht="22.5" customHeight="1" x14ac:dyDescent="0.2">
      <c r="A22" s="370" t="s">
        <v>262</v>
      </c>
      <c r="B22" s="370"/>
      <c r="C22" s="370" t="s">
        <v>221</v>
      </c>
      <c r="D22" s="370" t="s">
        <v>222</v>
      </c>
      <c r="E22" s="371">
        <v>403193</v>
      </c>
      <c r="F22" s="371">
        <v>269</v>
      </c>
      <c r="G22" s="371">
        <v>39</v>
      </c>
      <c r="H22" s="371">
        <v>0</v>
      </c>
      <c r="I22" s="372">
        <v>45714</v>
      </c>
      <c r="J22" s="370" t="s">
        <v>299</v>
      </c>
      <c r="K22" s="370" t="s">
        <v>336</v>
      </c>
      <c r="L22" s="373">
        <v>93.69</v>
      </c>
      <c r="M22" s="373">
        <v>6.3</v>
      </c>
      <c r="N22" s="444">
        <v>99.99</v>
      </c>
      <c r="O22" s="370"/>
      <c r="P22" s="374">
        <v>45726</v>
      </c>
      <c r="Q22" s="373">
        <v>99.99</v>
      </c>
      <c r="R22" s="370" t="s">
        <v>337</v>
      </c>
      <c r="S22" s="373">
        <v>0</v>
      </c>
      <c r="T22" s="373">
        <v>0</v>
      </c>
      <c r="U22" s="373">
        <v>0</v>
      </c>
      <c r="V22" s="373">
        <v>0</v>
      </c>
      <c r="W22" s="370"/>
      <c r="X22" s="370" t="s">
        <v>293</v>
      </c>
      <c r="Y22" s="370" t="s">
        <v>294</v>
      </c>
      <c r="Z22" s="370" t="s">
        <v>42</v>
      </c>
      <c r="AA22" s="370" t="s">
        <v>228</v>
      </c>
      <c r="AB22" s="370" t="s">
        <v>235</v>
      </c>
      <c r="AC22" s="370" t="s">
        <v>331</v>
      </c>
      <c r="AD22" s="370" t="s">
        <v>231</v>
      </c>
      <c r="AE22" s="370" t="s">
        <v>232</v>
      </c>
      <c r="AF22" s="370" t="s">
        <v>231</v>
      </c>
      <c r="AG22" s="370" t="s">
        <v>232</v>
      </c>
      <c r="AH22" s="370"/>
      <c r="AI22" s="370"/>
      <c r="AJ22" s="370"/>
      <c r="AK22" s="370" t="s">
        <v>338</v>
      </c>
      <c r="AL22" s="371">
        <v>1</v>
      </c>
      <c r="AM22" s="371">
        <v>0</v>
      </c>
      <c r="AN22" s="372">
        <v>45726</v>
      </c>
      <c r="AO22" s="372">
        <v>45726</v>
      </c>
      <c r="AP22" s="373">
        <v>99.99</v>
      </c>
      <c r="AQ22" s="372">
        <v>45725</v>
      </c>
      <c r="AR22" s="368"/>
      <c r="AS22" s="368"/>
      <c r="AT22" s="368"/>
      <c r="AU22" s="368"/>
      <c r="AV22" s="368"/>
      <c r="AW22" s="368"/>
      <c r="AX22" s="368"/>
      <c r="AY22" s="368"/>
      <c r="AZ22" s="368"/>
      <c r="BA22" s="368"/>
      <c r="BB22" s="368"/>
      <c r="BC22" s="368"/>
      <c r="BD22" s="368"/>
      <c r="BE22" s="368"/>
      <c r="BF22" s="368"/>
      <c r="BG22" s="368"/>
      <c r="BH22" s="368"/>
      <c r="BI22" s="368"/>
      <c r="BJ22" s="368"/>
      <c r="BK22" s="368"/>
      <c r="BL22" s="368"/>
      <c r="BM22" s="368"/>
      <c r="BN22" s="368"/>
      <c r="BO22" s="368"/>
      <c r="BP22" s="368"/>
      <c r="BQ22" s="368"/>
      <c r="BR22" s="368"/>
      <c r="BS22" s="368"/>
      <c r="BT22" s="368"/>
      <c r="BU22" s="368"/>
      <c r="BV22" s="368"/>
      <c r="BW22" s="368"/>
      <c r="BX22" s="368"/>
      <c r="BY22" s="368"/>
      <c r="BZ22" s="368"/>
      <c r="CA22" s="368"/>
      <c r="CB22" s="368"/>
      <c r="CC22" s="368"/>
      <c r="CD22" s="368"/>
      <c r="CE22" s="368"/>
      <c r="CF22" s="368"/>
      <c r="CG22" s="368"/>
      <c r="CH22" s="368"/>
      <c r="CI22" s="368"/>
      <c r="CJ22" s="368"/>
      <c r="CK22" s="368"/>
      <c r="CL22" s="368"/>
      <c r="CM22" s="368"/>
      <c r="CN22" s="368"/>
      <c r="CO22" s="368"/>
      <c r="CP22" s="368"/>
      <c r="CQ22" s="368"/>
      <c r="CR22" s="368"/>
      <c r="CS22" s="368"/>
      <c r="CT22" s="368"/>
      <c r="CU22" s="368"/>
      <c r="CV22" s="368"/>
      <c r="CW22" s="368"/>
      <c r="CX22" s="368"/>
      <c r="CY22" s="368"/>
      <c r="CZ22" s="368"/>
      <c r="DA22" s="368"/>
      <c r="DB22" s="368"/>
      <c r="DC22" s="368"/>
      <c r="DD22" s="368"/>
      <c r="DE22" s="368"/>
      <c r="DF22" s="368"/>
      <c r="DG22" s="368"/>
      <c r="DH22" s="368"/>
      <c r="DI22" s="368"/>
      <c r="DJ22" s="368"/>
      <c r="DK22" s="368"/>
      <c r="DL22" s="368"/>
      <c r="DM22" s="368"/>
      <c r="DN22" s="368"/>
      <c r="DO22" s="368"/>
      <c r="DP22" s="368"/>
      <c r="DQ22" s="368"/>
      <c r="DR22" s="368"/>
      <c r="DS22" s="368"/>
      <c r="DT22" s="368"/>
      <c r="DU22" s="368"/>
      <c r="DV22" s="368"/>
      <c r="DW22" s="368"/>
      <c r="DX22" s="368"/>
      <c r="DY22" s="368"/>
      <c r="DZ22" s="368"/>
      <c r="EA22" s="368"/>
      <c r="EB22" s="368"/>
      <c r="EC22" s="368"/>
      <c r="ED22" s="368"/>
      <c r="EE22" s="368"/>
      <c r="EF22" s="368"/>
      <c r="EG22" s="368"/>
      <c r="EH22" s="368"/>
      <c r="EI22" s="368"/>
      <c r="EJ22" s="368"/>
      <c r="EK22" s="368"/>
      <c r="EL22" s="368"/>
      <c r="EM22" s="368"/>
      <c r="EN22" s="368"/>
      <c r="EO22" s="368"/>
      <c r="EP22" s="368"/>
      <c r="EQ22" s="368"/>
      <c r="ER22" s="368"/>
      <c r="ES22" s="368"/>
      <c r="ET22" s="368"/>
      <c r="EU22" s="368"/>
      <c r="EV22" s="368"/>
      <c r="EW22" s="368"/>
      <c r="EX22" s="368"/>
      <c r="EY22" s="368"/>
      <c r="EZ22" s="368"/>
      <c r="FA22" s="368"/>
      <c r="FB22" s="368"/>
      <c r="FC22" s="368"/>
      <c r="FD22" s="368"/>
      <c r="FE22" s="368"/>
      <c r="FF22" s="368"/>
      <c r="FG22" s="368"/>
      <c r="FH22" s="368"/>
      <c r="FI22" s="368"/>
      <c r="FJ22" s="368"/>
      <c r="FK22" s="368"/>
      <c r="FL22" s="368"/>
      <c r="FM22" s="368"/>
      <c r="FN22" s="368"/>
      <c r="FO22" s="368"/>
      <c r="FP22" s="368"/>
      <c r="FQ22" s="368"/>
      <c r="FR22" s="368"/>
      <c r="FS22" s="368"/>
      <c r="FT22" s="368"/>
      <c r="FU22" s="368"/>
      <c r="FV22" s="368"/>
      <c r="FW22" s="368"/>
      <c r="FX22" s="368"/>
      <c r="FY22" s="368"/>
      <c r="FZ22" s="368"/>
      <c r="GA22" s="368"/>
      <c r="GB22" s="368"/>
      <c r="GC22" s="368"/>
      <c r="GD22" s="368"/>
      <c r="GE22" s="368"/>
      <c r="GF22" s="368"/>
      <c r="GG22" s="368"/>
      <c r="GH22" s="368"/>
      <c r="GI22" s="368"/>
      <c r="GJ22" s="368"/>
      <c r="GK22" s="368"/>
      <c r="GL22" s="368"/>
      <c r="GM22" s="368"/>
      <c r="GN22" s="368"/>
      <c r="GO22" s="368"/>
      <c r="GP22" s="368"/>
      <c r="GQ22" s="368"/>
      <c r="GR22" s="368"/>
      <c r="GS22" s="368"/>
      <c r="GT22" s="368"/>
      <c r="GU22" s="368"/>
      <c r="GV22" s="368"/>
      <c r="GW22" s="368"/>
      <c r="GX22" s="368"/>
      <c r="GY22" s="368"/>
      <c r="GZ22" s="368"/>
      <c r="HA22" s="368"/>
      <c r="HB22" s="368"/>
      <c r="HC22" s="368"/>
      <c r="HD22" s="368"/>
      <c r="HE22" s="368"/>
      <c r="HF22" s="368"/>
      <c r="HG22" s="368"/>
      <c r="HH22" s="368"/>
      <c r="HI22" s="368"/>
      <c r="HJ22" s="368"/>
      <c r="HK22" s="368"/>
      <c r="HL22" s="368"/>
      <c r="HM22" s="368"/>
      <c r="HN22" s="368"/>
      <c r="HO22" s="368"/>
      <c r="HP22" s="368"/>
      <c r="HQ22" s="368"/>
      <c r="HR22" s="368"/>
      <c r="HS22" s="368"/>
      <c r="HT22" s="368"/>
      <c r="HU22" s="368"/>
      <c r="HV22" s="368"/>
      <c r="HW22" s="368"/>
      <c r="HX22" s="368"/>
      <c r="HY22" s="368"/>
      <c r="HZ22" s="368"/>
      <c r="IA22" s="368"/>
      <c r="IB22" s="368"/>
      <c r="IC22" s="368"/>
      <c r="ID22" s="368"/>
      <c r="IE22" s="368"/>
      <c r="IF22" s="368"/>
      <c r="IG22" s="368"/>
      <c r="IH22" s="368"/>
      <c r="II22" s="368"/>
      <c r="IJ22" s="368"/>
      <c r="IK22" s="368"/>
      <c r="IL22" s="368"/>
      <c r="IM22" s="368"/>
      <c r="IN22" s="368"/>
      <c r="IO22" s="368"/>
      <c r="IP22" s="368"/>
      <c r="IQ22" s="368"/>
      <c r="IR22" s="368"/>
      <c r="IS22" s="368"/>
      <c r="IT22" s="368"/>
      <c r="IU22" s="368"/>
      <c r="IV22" s="368"/>
      <c r="IW22" s="368"/>
      <c r="IX22" s="368"/>
      <c r="IY22" s="368"/>
      <c r="IZ22" s="368"/>
      <c r="JA22" s="368"/>
      <c r="JB22" s="368"/>
      <c r="JC22" s="368"/>
      <c r="JD22" s="368"/>
      <c r="JE22" s="368"/>
      <c r="JF22" s="368"/>
      <c r="JG22" s="368"/>
      <c r="JH22" s="368"/>
      <c r="JI22" s="368"/>
      <c r="JJ22" s="368"/>
      <c r="JK22" s="368"/>
      <c r="JL22" s="368"/>
      <c r="JM22" s="368"/>
      <c r="JN22" s="368"/>
      <c r="JO22" s="368"/>
      <c r="JP22" s="368"/>
      <c r="JQ22" s="368"/>
      <c r="JR22" s="368"/>
      <c r="JS22" s="368"/>
      <c r="JT22" s="368"/>
      <c r="JU22" s="368"/>
      <c r="JV22" s="368"/>
      <c r="JW22" s="368"/>
      <c r="JX22" s="368"/>
      <c r="JY22" s="368"/>
      <c r="JZ22" s="368"/>
      <c r="KA22" s="368"/>
      <c r="KB22" s="368"/>
      <c r="KC22" s="368"/>
      <c r="KD22" s="368"/>
      <c r="KE22" s="368"/>
      <c r="KF22" s="368"/>
      <c r="KG22" s="368"/>
      <c r="KH22" s="368"/>
      <c r="KI22" s="368"/>
      <c r="KJ22" s="368"/>
      <c r="KK22" s="368"/>
      <c r="KL22" s="368"/>
      <c r="KM22" s="368"/>
      <c r="KN22" s="368"/>
      <c r="KO22" s="368"/>
      <c r="KP22" s="368"/>
      <c r="KQ22" s="368"/>
      <c r="KR22" s="368"/>
      <c r="KS22" s="368"/>
      <c r="KT22" s="368"/>
      <c r="KU22" s="368"/>
      <c r="KV22" s="368"/>
      <c r="KW22" s="368"/>
      <c r="KX22" s="368"/>
      <c r="KY22" s="368"/>
      <c r="KZ22" s="368"/>
      <c r="LA22" s="368"/>
      <c r="LB22" s="368"/>
      <c r="LC22" s="368"/>
      <c r="LD22" s="368"/>
      <c r="LE22" s="368"/>
      <c r="LF22" s="368"/>
      <c r="LG22" s="368"/>
      <c r="LH22" s="368"/>
      <c r="LI22" s="368"/>
      <c r="LJ22" s="368"/>
      <c r="LK22" s="368"/>
      <c r="LL22" s="368"/>
      <c r="LM22" s="368"/>
      <c r="LN22" s="368"/>
      <c r="LO22" s="368"/>
      <c r="LP22" s="368"/>
      <c r="LQ22" s="368"/>
      <c r="LR22" s="368"/>
      <c r="LS22" s="368"/>
      <c r="LT22" s="368"/>
      <c r="LU22" s="368"/>
      <c r="LV22" s="368"/>
      <c r="LW22" s="368"/>
      <c r="LX22" s="368"/>
      <c r="LY22" s="368"/>
      <c r="LZ22" s="368"/>
      <c r="MA22" s="368"/>
      <c r="MB22" s="368"/>
      <c r="MC22" s="368"/>
      <c r="MD22" s="368"/>
      <c r="ME22" s="368"/>
      <c r="MF22" s="368"/>
      <c r="MG22" s="368"/>
      <c r="MH22" s="368"/>
      <c r="MI22" s="368"/>
      <c r="MJ22" s="368"/>
      <c r="MK22" s="368"/>
      <c r="ML22" s="368"/>
      <c r="MM22" s="368"/>
      <c r="MN22" s="368"/>
      <c r="MO22" s="368"/>
      <c r="MP22" s="368"/>
      <c r="MQ22" s="368"/>
      <c r="MR22" s="368"/>
      <c r="MS22" s="368"/>
      <c r="MT22" s="368"/>
      <c r="MU22" s="368"/>
      <c r="MV22" s="368"/>
      <c r="MW22" s="368"/>
      <c r="MX22" s="368"/>
      <c r="MY22" s="368"/>
      <c r="MZ22" s="368"/>
      <c r="NA22" s="368"/>
      <c r="NB22" s="368"/>
      <c r="NC22" s="368"/>
      <c r="ND22" s="368"/>
      <c r="NE22" s="368"/>
      <c r="NF22" s="368"/>
      <c r="NG22" s="368"/>
      <c r="NH22" s="368"/>
      <c r="NI22" s="368"/>
      <c r="NJ22" s="368"/>
      <c r="NK22" s="368"/>
      <c r="NL22" s="368"/>
      <c r="NM22" s="368"/>
      <c r="NN22" s="368"/>
      <c r="NO22" s="368"/>
      <c r="NP22" s="368"/>
      <c r="NQ22" s="368"/>
      <c r="NR22" s="368"/>
      <c r="NS22" s="368"/>
      <c r="NT22" s="368"/>
      <c r="NU22" s="368"/>
      <c r="NV22" s="368"/>
      <c r="NW22" s="368"/>
      <c r="NX22" s="368"/>
      <c r="NY22" s="368"/>
      <c r="NZ22" s="368"/>
      <c r="OA22" s="368"/>
      <c r="OB22" s="368"/>
      <c r="OC22" s="368"/>
      <c r="OD22" s="368"/>
      <c r="OE22" s="368"/>
      <c r="OF22" s="368"/>
      <c r="OG22" s="368"/>
      <c r="OH22" s="368"/>
      <c r="OI22" s="368"/>
      <c r="OJ22" s="368"/>
      <c r="OK22" s="368"/>
      <c r="OL22" s="368"/>
      <c r="OM22" s="368"/>
      <c r="ON22" s="368"/>
      <c r="OO22" s="368"/>
      <c r="OP22" s="368"/>
      <c r="OQ22" s="368"/>
      <c r="OR22" s="368"/>
      <c r="OS22" s="368"/>
      <c r="OT22" s="368"/>
      <c r="OU22" s="368"/>
      <c r="OV22" s="368"/>
      <c r="OW22" s="368"/>
      <c r="OX22" s="368"/>
      <c r="OY22" s="368"/>
      <c r="OZ22" s="368"/>
      <c r="PA22" s="368"/>
      <c r="PB22" s="368"/>
      <c r="PC22" s="368"/>
      <c r="PD22" s="368"/>
      <c r="PE22" s="368"/>
      <c r="PF22" s="368"/>
      <c r="PG22" s="368"/>
      <c r="PH22" s="368"/>
      <c r="PI22" s="368"/>
      <c r="PJ22" s="368"/>
      <c r="PK22" s="368"/>
      <c r="PL22" s="368"/>
      <c r="PM22" s="368"/>
      <c r="PN22" s="368"/>
      <c r="PO22" s="368"/>
      <c r="PP22" s="368"/>
      <c r="PQ22" s="368"/>
      <c r="PR22" s="368"/>
      <c r="PS22" s="368"/>
      <c r="PT22" s="368"/>
      <c r="PU22" s="368"/>
      <c r="PV22" s="368"/>
      <c r="PW22" s="368"/>
      <c r="PX22" s="368"/>
      <c r="PY22" s="368"/>
      <c r="PZ22" s="368"/>
      <c r="QA22" s="368"/>
      <c r="QB22" s="368"/>
      <c r="QC22" s="368"/>
      <c r="QD22" s="368"/>
      <c r="QE22" s="368"/>
      <c r="QF22" s="368"/>
      <c r="QG22" s="368"/>
      <c r="QH22" s="368"/>
      <c r="QI22" s="368"/>
      <c r="QJ22" s="368"/>
      <c r="QK22" s="368"/>
      <c r="QL22" s="368"/>
      <c r="QM22" s="368"/>
      <c r="QN22" s="368"/>
      <c r="QO22" s="368"/>
      <c r="QP22" s="368"/>
      <c r="QQ22" s="368"/>
      <c r="QR22" s="368"/>
      <c r="QS22" s="368"/>
      <c r="QT22" s="368"/>
      <c r="QU22" s="368"/>
      <c r="QV22" s="368"/>
      <c r="QW22" s="368"/>
      <c r="QX22" s="368"/>
      <c r="QY22" s="368"/>
      <c r="QZ22" s="368"/>
      <c r="RA22" s="368"/>
      <c r="RB22" s="368"/>
      <c r="RC22" s="368"/>
      <c r="RD22" s="368"/>
      <c r="RE22" s="368"/>
      <c r="RF22" s="368"/>
      <c r="RG22" s="368"/>
      <c r="RH22" s="368"/>
      <c r="RI22" s="368"/>
      <c r="RJ22" s="368"/>
      <c r="RK22" s="368"/>
      <c r="RL22" s="368"/>
      <c r="RM22" s="368"/>
      <c r="RN22" s="368"/>
      <c r="RO22" s="368"/>
      <c r="RP22" s="368"/>
      <c r="RQ22" s="368"/>
      <c r="RR22" s="368"/>
      <c r="RS22" s="368"/>
      <c r="RT22" s="368"/>
      <c r="RU22" s="368"/>
      <c r="RV22" s="368"/>
      <c r="RW22" s="368"/>
      <c r="RX22" s="368"/>
      <c r="RY22" s="368"/>
      <c r="RZ22" s="368"/>
      <c r="SA22" s="368"/>
      <c r="SB22" s="368"/>
      <c r="SC22" s="368"/>
      <c r="SD22" s="368"/>
      <c r="SE22" s="368"/>
      <c r="SF22" s="368"/>
      <c r="SG22" s="368"/>
      <c r="SH22" s="368"/>
      <c r="SI22" s="368"/>
      <c r="SJ22" s="368"/>
      <c r="SK22" s="368"/>
      <c r="SL22" s="368"/>
      <c r="SM22" s="368"/>
      <c r="SN22" s="368"/>
      <c r="SO22" s="368"/>
      <c r="SP22" s="368"/>
      <c r="SQ22" s="368"/>
      <c r="SR22" s="368"/>
      <c r="SS22" s="368"/>
      <c r="ST22" s="368"/>
      <c r="SU22" s="368"/>
      <c r="SV22" s="368"/>
      <c r="SW22" s="368"/>
      <c r="SX22" s="368"/>
      <c r="SY22" s="368"/>
      <c r="SZ22" s="368"/>
      <c r="TA22" s="368"/>
      <c r="TB22" s="368"/>
      <c r="TC22" s="368"/>
      <c r="TD22" s="368"/>
      <c r="TE22" s="368"/>
      <c r="TF22" s="368"/>
      <c r="TG22" s="368"/>
      <c r="TH22" s="368"/>
      <c r="TI22" s="368"/>
      <c r="TJ22" s="368"/>
      <c r="TK22" s="368"/>
      <c r="TL22" s="368"/>
      <c r="TM22" s="368"/>
      <c r="TN22" s="368"/>
      <c r="TO22" s="368"/>
      <c r="TP22" s="368"/>
      <c r="TQ22" s="368"/>
      <c r="TR22" s="368"/>
      <c r="TS22" s="368"/>
      <c r="TT22" s="368"/>
      <c r="TU22" s="368"/>
      <c r="TV22" s="368"/>
      <c r="TW22" s="368"/>
      <c r="TX22" s="368"/>
      <c r="TY22" s="368"/>
      <c r="TZ22" s="368"/>
      <c r="UA22" s="368"/>
      <c r="UB22" s="368"/>
      <c r="UC22" s="368"/>
      <c r="UD22" s="368"/>
      <c r="UE22" s="368"/>
      <c r="UF22" s="368"/>
      <c r="UG22" s="368"/>
      <c r="UH22" s="368"/>
      <c r="UI22" s="368"/>
      <c r="UJ22" s="368"/>
      <c r="UK22" s="368"/>
      <c r="UL22" s="368"/>
      <c r="UM22" s="368"/>
      <c r="UN22" s="368"/>
      <c r="UO22" s="368"/>
      <c r="UP22" s="368"/>
      <c r="UQ22" s="368"/>
      <c r="UR22" s="368"/>
      <c r="US22" s="368"/>
      <c r="UT22" s="368"/>
      <c r="UU22" s="368"/>
      <c r="UV22" s="368"/>
      <c r="UW22" s="368"/>
      <c r="UX22" s="368"/>
      <c r="UY22" s="368"/>
      <c r="UZ22" s="368"/>
      <c r="VA22" s="368"/>
      <c r="VB22" s="368"/>
      <c r="VC22" s="368"/>
      <c r="VD22" s="368"/>
      <c r="VE22" s="368"/>
      <c r="VF22" s="368"/>
      <c r="VG22" s="368"/>
      <c r="VH22" s="368"/>
      <c r="VI22" s="368"/>
      <c r="VJ22" s="368"/>
      <c r="VK22" s="368"/>
      <c r="VL22" s="368"/>
      <c r="VM22" s="368"/>
      <c r="VN22" s="368"/>
      <c r="VO22" s="368"/>
      <c r="VP22" s="368"/>
      <c r="VQ22" s="368"/>
      <c r="VR22" s="368"/>
      <c r="VS22" s="368"/>
      <c r="VT22" s="368"/>
      <c r="VU22" s="368"/>
      <c r="VV22" s="368"/>
      <c r="VW22" s="368"/>
      <c r="VX22" s="368"/>
      <c r="VY22" s="368"/>
      <c r="VZ22" s="368"/>
      <c r="WA22" s="368"/>
      <c r="WB22" s="368"/>
      <c r="WC22" s="368"/>
      <c r="WD22" s="368"/>
      <c r="WE22" s="368"/>
      <c r="WF22" s="368"/>
      <c r="WG22" s="368"/>
      <c r="WH22" s="368"/>
      <c r="WI22" s="368"/>
      <c r="WJ22" s="368"/>
      <c r="WK22" s="368"/>
      <c r="WL22" s="368"/>
      <c r="WM22" s="368"/>
      <c r="WN22" s="368"/>
      <c r="WO22" s="368"/>
      <c r="WP22" s="368"/>
      <c r="WQ22" s="368"/>
      <c r="WR22" s="368"/>
      <c r="WS22" s="368"/>
      <c r="WT22" s="368"/>
      <c r="WU22" s="368"/>
      <c r="WV22" s="368"/>
      <c r="WW22" s="368"/>
      <c r="WX22" s="368"/>
      <c r="WY22" s="368"/>
      <c r="WZ22" s="368"/>
      <c r="XA22" s="368"/>
      <c r="XB22" s="368"/>
      <c r="XC22" s="368"/>
      <c r="XD22" s="368"/>
      <c r="XE22" s="368"/>
      <c r="XF22" s="368"/>
      <c r="XG22" s="368"/>
      <c r="XH22" s="368"/>
      <c r="XI22" s="368"/>
      <c r="XJ22" s="368"/>
      <c r="XK22" s="368"/>
      <c r="XL22" s="368"/>
      <c r="XM22" s="368"/>
      <c r="XN22" s="368"/>
      <c r="XO22" s="368"/>
      <c r="XP22" s="368"/>
      <c r="XQ22" s="368"/>
      <c r="XR22" s="368"/>
      <c r="XS22" s="368"/>
      <c r="XT22" s="368"/>
      <c r="XU22" s="368"/>
      <c r="XV22" s="368"/>
      <c r="XW22" s="368"/>
      <c r="XX22" s="368"/>
      <c r="XY22" s="368"/>
      <c r="XZ22" s="368"/>
      <c r="YA22" s="368"/>
      <c r="YB22" s="368"/>
      <c r="YC22" s="368"/>
      <c r="YD22" s="368"/>
      <c r="YE22" s="368"/>
      <c r="YF22" s="368"/>
      <c r="YG22" s="368"/>
      <c r="YH22" s="368"/>
      <c r="YI22" s="368"/>
      <c r="YJ22" s="368"/>
      <c r="YK22" s="368"/>
      <c r="YL22" s="368"/>
      <c r="YM22" s="368"/>
      <c r="YN22" s="368"/>
      <c r="YO22" s="368"/>
      <c r="YP22" s="368"/>
      <c r="YQ22" s="368"/>
      <c r="YR22" s="368"/>
      <c r="YS22" s="368"/>
      <c r="YT22" s="368"/>
      <c r="YU22" s="368"/>
      <c r="YV22" s="368"/>
      <c r="YW22" s="368"/>
      <c r="YX22" s="368"/>
      <c r="YY22" s="368"/>
      <c r="YZ22" s="368"/>
      <c r="ZA22" s="368"/>
      <c r="ZB22" s="368"/>
      <c r="ZC22" s="368"/>
      <c r="ZD22" s="368"/>
      <c r="ZE22" s="368"/>
      <c r="ZF22" s="368"/>
      <c r="ZG22" s="368"/>
      <c r="ZH22" s="368"/>
      <c r="ZI22" s="368"/>
      <c r="ZJ22" s="368"/>
      <c r="ZK22" s="368"/>
      <c r="ZL22" s="368"/>
      <c r="ZM22" s="368"/>
      <c r="ZN22" s="368"/>
      <c r="ZO22" s="368"/>
      <c r="ZP22" s="368"/>
      <c r="ZQ22" s="368"/>
      <c r="ZR22" s="368"/>
      <c r="ZS22" s="368"/>
      <c r="ZT22" s="368"/>
      <c r="ZU22" s="368"/>
      <c r="ZV22" s="368"/>
      <c r="ZW22" s="368"/>
      <c r="ZX22" s="368"/>
      <c r="ZY22" s="368"/>
      <c r="ZZ22" s="368"/>
      <c r="AAA22" s="368"/>
      <c r="AAB22" s="368"/>
      <c r="AAC22" s="368"/>
      <c r="AAD22" s="368"/>
      <c r="AAE22" s="368"/>
      <c r="AAF22" s="368"/>
      <c r="AAG22" s="368"/>
      <c r="AAH22" s="368"/>
      <c r="AAI22" s="368"/>
      <c r="AAJ22" s="368"/>
      <c r="AAK22" s="368"/>
      <c r="AAL22" s="368"/>
      <c r="AAM22" s="368"/>
      <c r="AAN22" s="368"/>
      <c r="AAO22" s="368"/>
      <c r="AAP22" s="368"/>
      <c r="AAQ22" s="368"/>
      <c r="AAR22" s="368"/>
      <c r="AAS22" s="368"/>
      <c r="AAT22" s="368"/>
      <c r="AAU22" s="368"/>
      <c r="AAV22" s="368"/>
      <c r="AAW22" s="368"/>
      <c r="AAX22" s="368"/>
      <c r="AAY22" s="368"/>
      <c r="AAZ22" s="368"/>
      <c r="ABA22" s="368"/>
      <c r="ABB22" s="368"/>
      <c r="ABC22" s="368"/>
      <c r="ABD22" s="368"/>
      <c r="ABE22" s="368"/>
      <c r="ABF22" s="368"/>
      <c r="ABG22" s="368"/>
      <c r="ABH22" s="368"/>
      <c r="ABI22" s="368"/>
      <c r="ABJ22" s="368"/>
      <c r="ABK22" s="368"/>
      <c r="ABL22" s="368"/>
      <c r="ABM22" s="368"/>
      <c r="ABN22" s="368"/>
      <c r="ABO22" s="368"/>
      <c r="ABP22" s="368"/>
      <c r="ABQ22" s="368"/>
      <c r="ABR22" s="368"/>
      <c r="ABS22" s="368"/>
      <c r="ABT22" s="368"/>
      <c r="ABU22" s="368"/>
      <c r="ABV22" s="368"/>
      <c r="ABW22" s="368"/>
      <c r="ABX22" s="368"/>
      <c r="ABY22" s="368"/>
      <c r="ABZ22" s="368"/>
      <c r="ACA22" s="368"/>
      <c r="ACB22" s="368"/>
      <c r="ACC22" s="368"/>
      <c r="ACD22" s="368"/>
      <c r="ACE22" s="368"/>
      <c r="ACF22" s="368"/>
      <c r="ACG22" s="368"/>
      <c r="ACH22" s="368"/>
      <c r="ACI22" s="368"/>
      <c r="ACJ22" s="368"/>
      <c r="ACK22" s="368"/>
      <c r="ACL22" s="368"/>
      <c r="ACM22" s="368"/>
      <c r="ACN22" s="368"/>
      <c r="ACO22" s="368"/>
      <c r="ACP22" s="368"/>
      <c r="ACQ22" s="368"/>
      <c r="ACR22" s="368"/>
      <c r="ACS22" s="368"/>
      <c r="ACT22" s="368"/>
      <c r="ACU22" s="368"/>
      <c r="ACV22" s="368"/>
      <c r="ACW22" s="368"/>
      <c r="ACX22" s="368"/>
      <c r="ACY22" s="368"/>
      <c r="ACZ22" s="368"/>
      <c r="ADA22" s="368"/>
      <c r="ADB22" s="368"/>
      <c r="ADC22" s="368"/>
      <c r="ADD22" s="368"/>
      <c r="ADE22" s="368"/>
      <c r="ADF22" s="368"/>
      <c r="ADG22" s="368"/>
      <c r="ADH22" s="368"/>
      <c r="ADI22" s="368"/>
      <c r="ADJ22" s="368"/>
      <c r="ADK22" s="368"/>
      <c r="ADL22" s="368"/>
      <c r="ADM22" s="368"/>
      <c r="ADN22" s="368"/>
      <c r="ADO22" s="368"/>
      <c r="ADP22" s="368"/>
      <c r="ADQ22" s="368"/>
      <c r="ADR22" s="368"/>
      <c r="ADS22" s="368"/>
      <c r="ADT22" s="368"/>
      <c r="ADU22" s="368"/>
      <c r="ADV22" s="368"/>
      <c r="ADW22" s="368"/>
      <c r="ADX22" s="368"/>
      <c r="ADY22" s="368"/>
      <c r="ADZ22" s="368"/>
      <c r="AEA22" s="368"/>
      <c r="AEB22" s="368"/>
      <c r="AEC22" s="368"/>
      <c r="AED22" s="368"/>
      <c r="AEE22" s="368"/>
      <c r="AEF22" s="368"/>
      <c r="AEG22" s="368"/>
      <c r="AEH22" s="368"/>
      <c r="AEI22" s="368"/>
      <c r="AEJ22" s="368"/>
      <c r="AEK22" s="368"/>
      <c r="AEL22" s="368"/>
      <c r="AEM22" s="368"/>
      <c r="AEN22" s="368"/>
      <c r="AEO22" s="368"/>
      <c r="AEP22" s="368"/>
      <c r="AEQ22" s="368"/>
      <c r="AER22" s="368"/>
      <c r="AES22" s="368"/>
      <c r="AET22" s="368"/>
      <c r="AEU22" s="368"/>
      <c r="AEV22" s="368"/>
      <c r="AEW22" s="368"/>
      <c r="AEX22" s="368"/>
      <c r="AEY22" s="368"/>
      <c r="AEZ22" s="368"/>
      <c r="AFA22" s="368"/>
      <c r="AFB22" s="368"/>
      <c r="AFC22" s="368"/>
      <c r="AFD22" s="368"/>
      <c r="AFE22" s="368"/>
      <c r="AFF22" s="368"/>
      <c r="AFG22" s="368"/>
      <c r="AFH22" s="368"/>
      <c r="AFI22" s="368"/>
      <c r="AFJ22" s="368"/>
      <c r="AFK22" s="368"/>
      <c r="AFL22" s="368"/>
      <c r="AFM22" s="368"/>
      <c r="AFN22" s="368"/>
      <c r="AFO22" s="368"/>
      <c r="AFP22" s="368"/>
      <c r="AFQ22" s="368"/>
      <c r="AFR22" s="368"/>
      <c r="AFS22" s="368"/>
      <c r="AFT22" s="368"/>
      <c r="AFU22" s="368"/>
      <c r="AFV22" s="368"/>
      <c r="AFW22" s="368"/>
      <c r="AFX22" s="368"/>
      <c r="AFY22" s="368"/>
      <c r="AFZ22" s="368"/>
      <c r="AGA22" s="368"/>
      <c r="AGB22" s="368"/>
      <c r="AGC22" s="368"/>
      <c r="AGD22" s="368"/>
      <c r="AGE22" s="368"/>
      <c r="AGF22" s="368"/>
      <c r="AGG22" s="368"/>
      <c r="AGH22" s="368"/>
      <c r="AGI22" s="368"/>
      <c r="AGJ22" s="368"/>
      <c r="AGK22" s="368"/>
      <c r="AGL22" s="368"/>
      <c r="AGM22" s="368"/>
      <c r="AGN22" s="368"/>
      <c r="AGO22" s="368"/>
      <c r="AGP22" s="368"/>
      <c r="AGQ22" s="368"/>
      <c r="AGR22" s="368"/>
      <c r="AGS22" s="368"/>
      <c r="AGT22" s="368"/>
      <c r="AGU22" s="368"/>
      <c r="AGV22" s="368"/>
      <c r="AGW22" s="368"/>
      <c r="AGX22" s="368"/>
      <c r="AGY22" s="368"/>
      <c r="AGZ22" s="368"/>
      <c r="AHA22" s="368"/>
      <c r="AHB22" s="368"/>
      <c r="AHC22" s="368"/>
      <c r="AHD22" s="368"/>
      <c r="AHE22" s="368"/>
      <c r="AHF22" s="368"/>
      <c r="AHG22" s="368"/>
      <c r="AHH22" s="368"/>
      <c r="AHI22" s="368"/>
      <c r="AHJ22" s="368"/>
      <c r="AHK22" s="368"/>
      <c r="AHL22" s="368"/>
      <c r="AHM22" s="368"/>
      <c r="AHN22" s="368"/>
      <c r="AHO22" s="368"/>
      <c r="AHP22" s="368"/>
      <c r="AHQ22" s="368"/>
      <c r="AHR22" s="368"/>
      <c r="AHS22" s="368"/>
      <c r="AHT22" s="368"/>
      <c r="AHU22" s="368"/>
      <c r="AHV22" s="368"/>
      <c r="AHW22" s="368"/>
      <c r="AHX22" s="368"/>
      <c r="AHY22" s="368"/>
      <c r="AHZ22" s="368"/>
      <c r="AIA22" s="368"/>
      <c r="AIB22" s="368"/>
      <c r="AIC22" s="368"/>
      <c r="AID22" s="368"/>
      <c r="AIE22" s="368"/>
      <c r="AIF22" s="368"/>
      <c r="AIG22" s="368"/>
      <c r="AIH22" s="368"/>
      <c r="AII22" s="368"/>
      <c r="AIJ22" s="368"/>
      <c r="AIK22" s="368"/>
      <c r="AIL22" s="368"/>
      <c r="AIM22" s="368"/>
      <c r="AIN22" s="368"/>
      <c r="AIO22" s="368"/>
      <c r="AIP22" s="368"/>
      <c r="AIQ22" s="368"/>
      <c r="AIR22" s="368"/>
      <c r="AIS22" s="368"/>
      <c r="AIT22" s="368"/>
      <c r="AIU22" s="368"/>
      <c r="AIV22" s="368"/>
      <c r="AIW22" s="368"/>
      <c r="AIX22" s="368"/>
      <c r="AIY22" s="368"/>
      <c r="AIZ22" s="368"/>
      <c r="AJA22" s="368"/>
      <c r="AJB22" s="368"/>
      <c r="AJC22" s="368"/>
      <c r="AJD22" s="368"/>
      <c r="AJE22" s="368"/>
      <c r="AJF22" s="368"/>
      <c r="AJG22" s="368"/>
      <c r="AJH22" s="368"/>
      <c r="AJI22" s="368"/>
      <c r="AJJ22" s="368"/>
      <c r="AJK22" s="368"/>
      <c r="AJL22" s="368"/>
      <c r="AJM22" s="368"/>
      <c r="AJN22" s="368"/>
      <c r="AJO22" s="368"/>
      <c r="AJP22" s="368"/>
      <c r="AJQ22" s="368"/>
      <c r="AJR22" s="368"/>
      <c r="AJS22" s="368"/>
      <c r="AJT22" s="368"/>
      <c r="AJU22" s="368"/>
      <c r="AJV22" s="368"/>
      <c r="AJW22" s="368"/>
      <c r="AJX22" s="368"/>
      <c r="AJY22" s="368"/>
      <c r="AJZ22" s="368"/>
      <c r="AKA22" s="368"/>
      <c r="AKB22" s="368"/>
      <c r="AKC22" s="368"/>
      <c r="AKD22" s="368"/>
      <c r="AKE22" s="368"/>
      <c r="AKF22" s="368"/>
      <c r="AKG22" s="368"/>
      <c r="AKH22" s="368"/>
      <c r="AKI22" s="368"/>
      <c r="AKJ22" s="368"/>
      <c r="AKK22" s="368"/>
      <c r="AKL22" s="368"/>
      <c r="AKM22" s="368"/>
      <c r="AKN22" s="368"/>
    </row>
    <row r="23" spans="1:976" s="346" customFormat="1" ht="22.5" customHeight="1" x14ac:dyDescent="0.2">
      <c r="A23" s="370" t="s">
        <v>262</v>
      </c>
      <c r="B23" s="370"/>
      <c r="C23" s="370" t="s">
        <v>221</v>
      </c>
      <c r="D23" s="370" t="s">
        <v>222</v>
      </c>
      <c r="E23" s="371">
        <v>403194</v>
      </c>
      <c r="F23" s="371">
        <v>270</v>
      </c>
      <c r="G23" s="371">
        <v>39</v>
      </c>
      <c r="H23" s="371">
        <v>0</v>
      </c>
      <c r="I23" s="372">
        <v>45714</v>
      </c>
      <c r="J23" s="370" t="s">
        <v>299</v>
      </c>
      <c r="K23" s="370" t="s">
        <v>339</v>
      </c>
      <c r="L23" s="373">
        <v>27.47</v>
      </c>
      <c r="M23" s="373">
        <v>2.17</v>
      </c>
      <c r="N23" s="444">
        <v>29.64</v>
      </c>
      <c r="O23" s="370"/>
      <c r="P23" s="374">
        <v>45726</v>
      </c>
      <c r="Q23" s="373">
        <v>29.64</v>
      </c>
      <c r="R23" s="370" t="s">
        <v>340</v>
      </c>
      <c r="S23" s="373">
        <v>0</v>
      </c>
      <c r="T23" s="373">
        <v>0</v>
      </c>
      <c r="U23" s="373">
        <v>0</v>
      </c>
      <c r="V23" s="373">
        <v>0</v>
      </c>
      <c r="W23" s="370"/>
      <c r="X23" s="370" t="s">
        <v>293</v>
      </c>
      <c r="Y23" s="370" t="s">
        <v>294</v>
      </c>
      <c r="Z23" s="370" t="s">
        <v>42</v>
      </c>
      <c r="AA23" s="370" t="s">
        <v>228</v>
      </c>
      <c r="AB23" s="370" t="s">
        <v>235</v>
      </c>
      <c r="AC23" s="370" t="s">
        <v>331</v>
      </c>
      <c r="AD23" s="370" t="s">
        <v>231</v>
      </c>
      <c r="AE23" s="370" t="s">
        <v>232</v>
      </c>
      <c r="AF23" s="370" t="s">
        <v>231</v>
      </c>
      <c r="AG23" s="370" t="s">
        <v>232</v>
      </c>
      <c r="AH23" s="370"/>
      <c r="AI23" s="370"/>
      <c r="AJ23" s="370"/>
      <c r="AK23" s="370" t="s">
        <v>341</v>
      </c>
      <c r="AL23" s="371">
        <v>1</v>
      </c>
      <c r="AM23" s="371">
        <v>0</v>
      </c>
      <c r="AN23" s="372">
        <v>45726</v>
      </c>
      <c r="AO23" s="372">
        <v>45726</v>
      </c>
      <c r="AP23" s="373">
        <v>29.64</v>
      </c>
      <c r="AQ23" s="372">
        <v>45725</v>
      </c>
      <c r="AR23" s="368"/>
      <c r="AS23" s="368"/>
      <c r="AT23" s="368"/>
      <c r="AU23" s="368"/>
      <c r="AV23" s="368"/>
      <c r="AW23" s="368"/>
      <c r="AX23" s="368"/>
      <c r="AY23" s="368"/>
      <c r="AZ23" s="368"/>
      <c r="BA23" s="368"/>
      <c r="BB23" s="368"/>
      <c r="BC23" s="368"/>
      <c r="BD23" s="368"/>
      <c r="BE23" s="368"/>
      <c r="BF23" s="368"/>
      <c r="BG23" s="368"/>
      <c r="BH23" s="368"/>
      <c r="BI23" s="368"/>
      <c r="BJ23" s="368"/>
      <c r="BK23" s="368"/>
      <c r="BL23" s="368"/>
      <c r="BM23" s="368"/>
      <c r="BN23" s="368"/>
      <c r="BO23" s="368"/>
      <c r="BP23" s="368"/>
      <c r="BQ23" s="368"/>
      <c r="BR23" s="368"/>
      <c r="BS23" s="368"/>
      <c r="BT23" s="368"/>
      <c r="BU23" s="368"/>
      <c r="BV23" s="368"/>
      <c r="BW23" s="368"/>
      <c r="BX23" s="368"/>
      <c r="BY23" s="368"/>
      <c r="BZ23" s="368"/>
      <c r="CA23" s="368"/>
      <c r="CB23" s="368"/>
      <c r="CC23" s="368"/>
      <c r="CD23" s="368"/>
      <c r="CE23" s="368"/>
      <c r="CF23" s="368"/>
      <c r="CG23" s="368"/>
      <c r="CH23" s="368"/>
      <c r="CI23" s="368"/>
      <c r="CJ23" s="368"/>
      <c r="CK23" s="368"/>
      <c r="CL23" s="368"/>
      <c r="CM23" s="368"/>
      <c r="CN23" s="368"/>
      <c r="CO23" s="368"/>
      <c r="CP23" s="368"/>
      <c r="CQ23" s="368"/>
      <c r="CR23" s="368"/>
      <c r="CS23" s="368"/>
      <c r="CT23" s="368"/>
      <c r="CU23" s="368"/>
      <c r="CV23" s="368"/>
      <c r="CW23" s="368"/>
      <c r="CX23" s="368"/>
      <c r="CY23" s="368"/>
      <c r="CZ23" s="368"/>
      <c r="DA23" s="368"/>
      <c r="DB23" s="368"/>
      <c r="DC23" s="368"/>
      <c r="DD23" s="368"/>
      <c r="DE23" s="368"/>
      <c r="DF23" s="368"/>
      <c r="DG23" s="368"/>
      <c r="DH23" s="368"/>
      <c r="DI23" s="368"/>
      <c r="DJ23" s="368"/>
      <c r="DK23" s="368"/>
      <c r="DL23" s="368"/>
      <c r="DM23" s="368"/>
      <c r="DN23" s="368"/>
      <c r="DO23" s="368"/>
      <c r="DP23" s="368"/>
      <c r="DQ23" s="368"/>
      <c r="DR23" s="368"/>
      <c r="DS23" s="368"/>
      <c r="DT23" s="368"/>
      <c r="DU23" s="368"/>
      <c r="DV23" s="368"/>
      <c r="DW23" s="368"/>
      <c r="DX23" s="368"/>
      <c r="DY23" s="368"/>
      <c r="DZ23" s="368"/>
      <c r="EA23" s="368"/>
      <c r="EB23" s="368"/>
      <c r="EC23" s="368"/>
      <c r="ED23" s="368"/>
      <c r="EE23" s="368"/>
      <c r="EF23" s="368"/>
      <c r="EG23" s="368"/>
      <c r="EH23" s="368"/>
      <c r="EI23" s="368"/>
      <c r="EJ23" s="368"/>
      <c r="EK23" s="368"/>
      <c r="EL23" s="368"/>
      <c r="EM23" s="368"/>
      <c r="EN23" s="368"/>
      <c r="EO23" s="368"/>
      <c r="EP23" s="368"/>
      <c r="EQ23" s="368"/>
      <c r="ER23" s="368"/>
      <c r="ES23" s="368"/>
      <c r="ET23" s="368"/>
      <c r="EU23" s="368"/>
      <c r="EV23" s="368"/>
      <c r="EW23" s="368"/>
      <c r="EX23" s="368"/>
      <c r="EY23" s="368"/>
      <c r="EZ23" s="368"/>
      <c r="FA23" s="368"/>
      <c r="FB23" s="368"/>
      <c r="FC23" s="368"/>
      <c r="FD23" s="368"/>
      <c r="FE23" s="368"/>
      <c r="FF23" s="368"/>
      <c r="FG23" s="368"/>
      <c r="FH23" s="368"/>
      <c r="FI23" s="368"/>
      <c r="FJ23" s="368"/>
      <c r="FK23" s="368"/>
      <c r="FL23" s="368"/>
      <c r="FM23" s="368"/>
      <c r="FN23" s="368"/>
      <c r="FO23" s="368"/>
      <c r="FP23" s="368"/>
      <c r="FQ23" s="368"/>
      <c r="FR23" s="368"/>
      <c r="FS23" s="368"/>
      <c r="FT23" s="368"/>
      <c r="FU23" s="368"/>
      <c r="FV23" s="368"/>
      <c r="FW23" s="368"/>
      <c r="FX23" s="368"/>
      <c r="FY23" s="368"/>
      <c r="FZ23" s="368"/>
      <c r="GA23" s="368"/>
      <c r="GB23" s="368"/>
      <c r="GC23" s="368"/>
      <c r="GD23" s="368"/>
      <c r="GE23" s="368"/>
      <c r="GF23" s="368"/>
      <c r="GG23" s="368"/>
      <c r="GH23" s="368"/>
      <c r="GI23" s="368"/>
      <c r="GJ23" s="368"/>
      <c r="GK23" s="368"/>
      <c r="GL23" s="368"/>
      <c r="GM23" s="368"/>
      <c r="GN23" s="368"/>
      <c r="GO23" s="368"/>
      <c r="GP23" s="368"/>
      <c r="GQ23" s="368"/>
      <c r="GR23" s="368"/>
      <c r="GS23" s="368"/>
      <c r="GT23" s="368"/>
      <c r="GU23" s="368"/>
      <c r="GV23" s="368"/>
      <c r="GW23" s="368"/>
      <c r="GX23" s="368"/>
      <c r="GY23" s="368"/>
      <c r="GZ23" s="368"/>
      <c r="HA23" s="368"/>
      <c r="HB23" s="368"/>
      <c r="HC23" s="368"/>
      <c r="HD23" s="368"/>
      <c r="HE23" s="368"/>
      <c r="HF23" s="368"/>
      <c r="HG23" s="368"/>
      <c r="HH23" s="368"/>
      <c r="HI23" s="368"/>
      <c r="HJ23" s="368"/>
      <c r="HK23" s="368"/>
      <c r="HL23" s="368"/>
      <c r="HM23" s="368"/>
      <c r="HN23" s="368"/>
      <c r="HO23" s="368"/>
      <c r="HP23" s="368"/>
      <c r="HQ23" s="368"/>
      <c r="HR23" s="368"/>
      <c r="HS23" s="368"/>
      <c r="HT23" s="368"/>
      <c r="HU23" s="368"/>
      <c r="HV23" s="368"/>
      <c r="HW23" s="368"/>
      <c r="HX23" s="368"/>
      <c r="HY23" s="368"/>
      <c r="HZ23" s="368"/>
      <c r="IA23" s="368"/>
      <c r="IB23" s="368"/>
      <c r="IC23" s="368"/>
      <c r="ID23" s="368"/>
      <c r="IE23" s="368"/>
      <c r="IF23" s="368"/>
      <c r="IG23" s="368"/>
      <c r="IH23" s="368"/>
      <c r="II23" s="368"/>
      <c r="IJ23" s="368"/>
      <c r="IK23" s="368"/>
      <c r="IL23" s="368"/>
      <c r="IM23" s="368"/>
      <c r="IN23" s="368"/>
      <c r="IO23" s="368"/>
      <c r="IP23" s="368"/>
      <c r="IQ23" s="368"/>
      <c r="IR23" s="368"/>
      <c r="IS23" s="368"/>
      <c r="IT23" s="368"/>
      <c r="IU23" s="368"/>
      <c r="IV23" s="368"/>
      <c r="IW23" s="368"/>
      <c r="IX23" s="368"/>
      <c r="IY23" s="368"/>
      <c r="IZ23" s="368"/>
      <c r="JA23" s="368"/>
      <c r="JB23" s="368"/>
      <c r="JC23" s="368"/>
      <c r="JD23" s="368"/>
      <c r="JE23" s="368"/>
      <c r="JF23" s="368"/>
      <c r="JG23" s="368"/>
      <c r="JH23" s="368"/>
      <c r="JI23" s="368"/>
      <c r="JJ23" s="368"/>
      <c r="JK23" s="368"/>
      <c r="JL23" s="368"/>
      <c r="JM23" s="368"/>
      <c r="JN23" s="368"/>
      <c r="JO23" s="368"/>
      <c r="JP23" s="368"/>
      <c r="JQ23" s="368"/>
      <c r="JR23" s="368"/>
      <c r="JS23" s="368"/>
      <c r="JT23" s="368"/>
      <c r="JU23" s="368"/>
      <c r="JV23" s="368"/>
      <c r="JW23" s="368"/>
      <c r="JX23" s="368"/>
      <c r="JY23" s="368"/>
      <c r="JZ23" s="368"/>
      <c r="KA23" s="368"/>
      <c r="KB23" s="368"/>
      <c r="KC23" s="368"/>
      <c r="KD23" s="368"/>
      <c r="KE23" s="368"/>
      <c r="KF23" s="368"/>
      <c r="KG23" s="368"/>
      <c r="KH23" s="368"/>
      <c r="KI23" s="368"/>
      <c r="KJ23" s="368"/>
      <c r="KK23" s="368"/>
      <c r="KL23" s="368"/>
      <c r="KM23" s="368"/>
      <c r="KN23" s="368"/>
      <c r="KO23" s="368"/>
      <c r="KP23" s="368"/>
      <c r="KQ23" s="368"/>
      <c r="KR23" s="368"/>
      <c r="KS23" s="368"/>
      <c r="KT23" s="368"/>
      <c r="KU23" s="368"/>
      <c r="KV23" s="368"/>
      <c r="KW23" s="368"/>
      <c r="KX23" s="368"/>
      <c r="KY23" s="368"/>
      <c r="KZ23" s="368"/>
      <c r="LA23" s="368"/>
      <c r="LB23" s="368"/>
      <c r="LC23" s="368"/>
      <c r="LD23" s="368"/>
      <c r="LE23" s="368"/>
      <c r="LF23" s="368"/>
      <c r="LG23" s="368"/>
      <c r="LH23" s="368"/>
      <c r="LI23" s="368"/>
      <c r="LJ23" s="368"/>
      <c r="LK23" s="368"/>
      <c r="LL23" s="368"/>
      <c r="LM23" s="368"/>
      <c r="LN23" s="368"/>
      <c r="LO23" s="368"/>
      <c r="LP23" s="368"/>
      <c r="LQ23" s="368"/>
      <c r="LR23" s="368"/>
      <c r="LS23" s="368"/>
      <c r="LT23" s="368"/>
      <c r="LU23" s="368"/>
      <c r="LV23" s="368"/>
      <c r="LW23" s="368"/>
      <c r="LX23" s="368"/>
      <c r="LY23" s="368"/>
      <c r="LZ23" s="368"/>
      <c r="MA23" s="368"/>
      <c r="MB23" s="368"/>
      <c r="MC23" s="368"/>
      <c r="MD23" s="368"/>
      <c r="ME23" s="368"/>
      <c r="MF23" s="368"/>
      <c r="MG23" s="368"/>
      <c r="MH23" s="368"/>
      <c r="MI23" s="368"/>
      <c r="MJ23" s="368"/>
      <c r="MK23" s="368"/>
      <c r="ML23" s="368"/>
      <c r="MM23" s="368"/>
      <c r="MN23" s="368"/>
      <c r="MO23" s="368"/>
      <c r="MP23" s="368"/>
      <c r="MQ23" s="368"/>
      <c r="MR23" s="368"/>
      <c r="MS23" s="368"/>
      <c r="MT23" s="368"/>
      <c r="MU23" s="368"/>
      <c r="MV23" s="368"/>
      <c r="MW23" s="368"/>
      <c r="MX23" s="368"/>
      <c r="MY23" s="368"/>
      <c r="MZ23" s="368"/>
      <c r="NA23" s="368"/>
      <c r="NB23" s="368"/>
      <c r="NC23" s="368"/>
      <c r="ND23" s="368"/>
      <c r="NE23" s="368"/>
      <c r="NF23" s="368"/>
      <c r="NG23" s="368"/>
      <c r="NH23" s="368"/>
      <c r="NI23" s="368"/>
      <c r="NJ23" s="368"/>
      <c r="NK23" s="368"/>
      <c r="NL23" s="368"/>
      <c r="NM23" s="368"/>
      <c r="NN23" s="368"/>
      <c r="NO23" s="368"/>
      <c r="NP23" s="368"/>
      <c r="NQ23" s="368"/>
      <c r="NR23" s="368"/>
      <c r="NS23" s="368"/>
      <c r="NT23" s="368"/>
      <c r="NU23" s="368"/>
      <c r="NV23" s="368"/>
      <c r="NW23" s="368"/>
      <c r="NX23" s="368"/>
      <c r="NY23" s="368"/>
      <c r="NZ23" s="368"/>
      <c r="OA23" s="368"/>
      <c r="OB23" s="368"/>
      <c r="OC23" s="368"/>
      <c r="OD23" s="368"/>
      <c r="OE23" s="368"/>
      <c r="OF23" s="368"/>
      <c r="OG23" s="368"/>
      <c r="OH23" s="368"/>
      <c r="OI23" s="368"/>
      <c r="OJ23" s="368"/>
      <c r="OK23" s="368"/>
      <c r="OL23" s="368"/>
      <c r="OM23" s="368"/>
      <c r="ON23" s="368"/>
      <c r="OO23" s="368"/>
      <c r="OP23" s="368"/>
      <c r="OQ23" s="368"/>
      <c r="OR23" s="368"/>
      <c r="OS23" s="368"/>
      <c r="OT23" s="368"/>
      <c r="OU23" s="368"/>
      <c r="OV23" s="368"/>
      <c r="OW23" s="368"/>
      <c r="OX23" s="368"/>
      <c r="OY23" s="368"/>
      <c r="OZ23" s="368"/>
      <c r="PA23" s="368"/>
      <c r="PB23" s="368"/>
      <c r="PC23" s="368"/>
      <c r="PD23" s="368"/>
      <c r="PE23" s="368"/>
      <c r="PF23" s="368"/>
      <c r="PG23" s="368"/>
      <c r="PH23" s="368"/>
      <c r="PI23" s="368"/>
      <c r="PJ23" s="368"/>
      <c r="PK23" s="368"/>
      <c r="PL23" s="368"/>
      <c r="PM23" s="368"/>
      <c r="PN23" s="368"/>
      <c r="PO23" s="368"/>
      <c r="PP23" s="368"/>
      <c r="PQ23" s="368"/>
      <c r="PR23" s="368"/>
      <c r="PS23" s="368"/>
      <c r="PT23" s="368"/>
      <c r="PU23" s="368"/>
      <c r="PV23" s="368"/>
      <c r="PW23" s="368"/>
      <c r="PX23" s="368"/>
      <c r="PY23" s="368"/>
      <c r="PZ23" s="368"/>
      <c r="QA23" s="368"/>
      <c r="QB23" s="368"/>
      <c r="QC23" s="368"/>
      <c r="QD23" s="368"/>
      <c r="QE23" s="368"/>
      <c r="QF23" s="368"/>
      <c r="QG23" s="368"/>
      <c r="QH23" s="368"/>
      <c r="QI23" s="368"/>
      <c r="QJ23" s="368"/>
      <c r="QK23" s="368"/>
      <c r="QL23" s="368"/>
      <c r="QM23" s="368"/>
      <c r="QN23" s="368"/>
      <c r="QO23" s="368"/>
      <c r="QP23" s="368"/>
      <c r="QQ23" s="368"/>
      <c r="QR23" s="368"/>
      <c r="QS23" s="368"/>
      <c r="QT23" s="368"/>
      <c r="QU23" s="368"/>
      <c r="QV23" s="368"/>
      <c r="QW23" s="368"/>
      <c r="QX23" s="368"/>
      <c r="QY23" s="368"/>
      <c r="QZ23" s="368"/>
      <c r="RA23" s="368"/>
      <c r="RB23" s="368"/>
      <c r="RC23" s="368"/>
      <c r="RD23" s="368"/>
      <c r="RE23" s="368"/>
      <c r="RF23" s="368"/>
      <c r="RG23" s="368"/>
      <c r="RH23" s="368"/>
      <c r="RI23" s="368"/>
      <c r="RJ23" s="368"/>
      <c r="RK23" s="368"/>
      <c r="RL23" s="368"/>
      <c r="RM23" s="368"/>
      <c r="RN23" s="368"/>
      <c r="RO23" s="368"/>
      <c r="RP23" s="368"/>
      <c r="RQ23" s="368"/>
      <c r="RR23" s="368"/>
      <c r="RS23" s="368"/>
      <c r="RT23" s="368"/>
      <c r="RU23" s="368"/>
      <c r="RV23" s="368"/>
      <c r="RW23" s="368"/>
      <c r="RX23" s="368"/>
      <c r="RY23" s="368"/>
      <c r="RZ23" s="368"/>
      <c r="SA23" s="368"/>
      <c r="SB23" s="368"/>
      <c r="SC23" s="368"/>
      <c r="SD23" s="368"/>
      <c r="SE23" s="368"/>
      <c r="SF23" s="368"/>
      <c r="SG23" s="368"/>
      <c r="SH23" s="368"/>
      <c r="SI23" s="368"/>
      <c r="SJ23" s="368"/>
      <c r="SK23" s="368"/>
      <c r="SL23" s="368"/>
      <c r="SM23" s="368"/>
      <c r="SN23" s="368"/>
      <c r="SO23" s="368"/>
      <c r="SP23" s="368"/>
      <c r="SQ23" s="368"/>
      <c r="SR23" s="368"/>
      <c r="SS23" s="368"/>
      <c r="ST23" s="368"/>
      <c r="SU23" s="368"/>
      <c r="SV23" s="368"/>
      <c r="SW23" s="368"/>
      <c r="SX23" s="368"/>
      <c r="SY23" s="368"/>
      <c r="SZ23" s="368"/>
      <c r="TA23" s="368"/>
      <c r="TB23" s="368"/>
      <c r="TC23" s="368"/>
      <c r="TD23" s="368"/>
      <c r="TE23" s="368"/>
      <c r="TF23" s="368"/>
      <c r="TG23" s="368"/>
      <c r="TH23" s="368"/>
      <c r="TI23" s="368"/>
      <c r="TJ23" s="368"/>
      <c r="TK23" s="368"/>
      <c r="TL23" s="368"/>
      <c r="TM23" s="368"/>
      <c r="TN23" s="368"/>
      <c r="TO23" s="368"/>
      <c r="TP23" s="368"/>
      <c r="TQ23" s="368"/>
      <c r="TR23" s="368"/>
      <c r="TS23" s="368"/>
      <c r="TT23" s="368"/>
      <c r="TU23" s="368"/>
      <c r="TV23" s="368"/>
      <c r="TW23" s="368"/>
      <c r="TX23" s="368"/>
      <c r="TY23" s="368"/>
      <c r="TZ23" s="368"/>
      <c r="UA23" s="368"/>
      <c r="UB23" s="368"/>
      <c r="UC23" s="368"/>
      <c r="UD23" s="368"/>
      <c r="UE23" s="368"/>
      <c r="UF23" s="368"/>
      <c r="UG23" s="368"/>
      <c r="UH23" s="368"/>
      <c r="UI23" s="368"/>
      <c r="UJ23" s="368"/>
      <c r="UK23" s="368"/>
      <c r="UL23" s="368"/>
      <c r="UM23" s="368"/>
      <c r="UN23" s="368"/>
      <c r="UO23" s="368"/>
      <c r="UP23" s="368"/>
      <c r="UQ23" s="368"/>
      <c r="UR23" s="368"/>
      <c r="US23" s="368"/>
      <c r="UT23" s="368"/>
      <c r="UU23" s="368"/>
      <c r="UV23" s="368"/>
      <c r="UW23" s="368"/>
      <c r="UX23" s="368"/>
      <c r="UY23" s="368"/>
      <c r="UZ23" s="368"/>
      <c r="VA23" s="368"/>
      <c r="VB23" s="368"/>
      <c r="VC23" s="368"/>
      <c r="VD23" s="368"/>
      <c r="VE23" s="368"/>
      <c r="VF23" s="368"/>
      <c r="VG23" s="368"/>
      <c r="VH23" s="368"/>
      <c r="VI23" s="368"/>
      <c r="VJ23" s="368"/>
      <c r="VK23" s="368"/>
      <c r="VL23" s="368"/>
      <c r="VM23" s="368"/>
      <c r="VN23" s="368"/>
      <c r="VO23" s="368"/>
      <c r="VP23" s="368"/>
      <c r="VQ23" s="368"/>
      <c r="VR23" s="368"/>
      <c r="VS23" s="368"/>
      <c r="VT23" s="368"/>
      <c r="VU23" s="368"/>
      <c r="VV23" s="368"/>
      <c r="VW23" s="368"/>
      <c r="VX23" s="368"/>
      <c r="VY23" s="368"/>
      <c r="VZ23" s="368"/>
      <c r="WA23" s="368"/>
      <c r="WB23" s="368"/>
      <c r="WC23" s="368"/>
      <c r="WD23" s="368"/>
      <c r="WE23" s="368"/>
      <c r="WF23" s="368"/>
      <c r="WG23" s="368"/>
      <c r="WH23" s="368"/>
      <c r="WI23" s="368"/>
      <c r="WJ23" s="368"/>
      <c r="WK23" s="368"/>
      <c r="WL23" s="368"/>
      <c r="WM23" s="368"/>
      <c r="WN23" s="368"/>
      <c r="WO23" s="368"/>
      <c r="WP23" s="368"/>
      <c r="WQ23" s="368"/>
      <c r="WR23" s="368"/>
      <c r="WS23" s="368"/>
      <c r="WT23" s="368"/>
      <c r="WU23" s="368"/>
      <c r="WV23" s="368"/>
      <c r="WW23" s="368"/>
      <c r="WX23" s="368"/>
      <c r="WY23" s="368"/>
      <c r="WZ23" s="368"/>
      <c r="XA23" s="368"/>
      <c r="XB23" s="368"/>
      <c r="XC23" s="368"/>
      <c r="XD23" s="368"/>
      <c r="XE23" s="368"/>
      <c r="XF23" s="368"/>
      <c r="XG23" s="368"/>
      <c r="XH23" s="368"/>
      <c r="XI23" s="368"/>
      <c r="XJ23" s="368"/>
      <c r="XK23" s="368"/>
      <c r="XL23" s="368"/>
      <c r="XM23" s="368"/>
      <c r="XN23" s="368"/>
      <c r="XO23" s="368"/>
      <c r="XP23" s="368"/>
      <c r="XQ23" s="368"/>
      <c r="XR23" s="368"/>
      <c r="XS23" s="368"/>
      <c r="XT23" s="368"/>
      <c r="XU23" s="368"/>
      <c r="XV23" s="368"/>
      <c r="XW23" s="368"/>
      <c r="XX23" s="368"/>
      <c r="XY23" s="368"/>
      <c r="XZ23" s="368"/>
      <c r="YA23" s="368"/>
      <c r="YB23" s="368"/>
      <c r="YC23" s="368"/>
      <c r="YD23" s="368"/>
      <c r="YE23" s="368"/>
      <c r="YF23" s="368"/>
      <c r="YG23" s="368"/>
      <c r="YH23" s="368"/>
      <c r="YI23" s="368"/>
      <c r="YJ23" s="368"/>
      <c r="YK23" s="368"/>
      <c r="YL23" s="368"/>
      <c r="YM23" s="368"/>
      <c r="YN23" s="368"/>
      <c r="YO23" s="368"/>
      <c r="YP23" s="368"/>
      <c r="YQ23" s="368"/>
      <c r="YR23" s="368"/>
      <c r="YS23" s="368"/>
      <c r="YT23" s="368"/>
      <c r="YU23" s="368"/>
      <c r="YV23" s="368"/>
      <c r="YW23" s="368"/>
      <c r="YX23" s="368"/>
      <c r="YY23" s="368"/>
      <c r="YZ23" s="368"/>
      <c r="ZA23" s="368"/>
      <c r="ZB23" s="368"/>
      <c r="ZC23" s="368"/>
      <c r="ZD23" s="368"/>
      <c r="ZE23" s="368"/>
      <c r="ZF23" s="368"/>
      <c r="ZG23" s="368"/>
      <c r="ZH23" s="368"/>
      <c r="ZI23" s="368"/>
      <c r="ZJ23" s="368"/>
      <c r="ZK23" s="368"/>
      <c r="ZL23" s="368"/>
      <c r="ZM23" s="368"/>
      <c r="ZN23" s="368"/>
      <c r="ZO23" s="368"/>
      <c r="ZP23" s="368"/>
      <c r="ZQ23" s="368"/>
      <c r="ZR23" s="368"/>
      <c r="ZS23" s="368"/>
      <c r="ZT23" s="368"/>
      <c r="ZU23" s="368"/>
      <c r="ZV23" s="368"/>
      <c r="ZW23" s="368"/>
      <c r="ZX23" s="368"/>
      <c r="ZY23" s="368"/>
      <c r="ZZ23" s="368"/>
      <c r="AAA23" s="368"/>
      <c r="AAB23" s="368"/>
      <c r="AAC23" s="368"/>
      <c r="AAD23" s="368"/>
      <c r="AAE23" s="368"/>
      <c r="AAF23" s="368"/>
      <c r="AAG23" s="368"/>
      <c r="AAH23" s="368"/>
      <c r="AAI23" s="368"/>
      <c r="AAJ23" s="368"/>
      <c r="AAK23" s="368"/>
      <c r="AAL23" s="368"/>
      <c r="AAM23" s="368"/>
      <c r="AAN23" s="368"/>
      <c r="AAO23" s="368"/>
      <c r="AAP23" s="368"/>
      <c r="AAQ23" s="368"/>
      <c r="AAR23" s="368"/>
      <c r="AAS23" s="368"/>
      <c r="AAT23" s="368"/>
      <c r="AAU23" s="368"/>
      <c r="AAV23" s="368"/>
      <c r="AAW23" s="368"/>
      <c r="AAX23" s="368"/>
      <c r="AAY23" s="368"/>
      <c r="AAZ23" s="368"/>
      <c r="ABA23" s="368"/>
      <c r="ABB23" s="368"/>
      <c r="ABC23" s="368"/>
      <c r="ABD23" s="368"/>
      <c r="ABE23" s="368"/>
      <c r="ABF23" s="368"/>
      <c r="ABG23" s="368"/>
      <c r="ABH23" s="368"/>
      <c r="ABI23" s="368"/>
      <c r="ABJ23" s="368"/>
      <c r="ABK23" s="368"/>
      <c r="ABL23" s="368"/>
      <c r="ABM23" s="368"/>
      <c r="ABN23" s="368"/>
      <c r="ABO23" s="368"/>
      <c r="ABP23" s="368"/>
      <c r="ABQ23" s="368"/>
      <c r="ABR23" s="368"/>
      <c r="ABS23" s="368"/>
      <c r="ABT23" s="368"/>
      <c r="ABU23" s="368"/>
      <c r="ABV23" s="368"/>
      <c r="ABW23" s="368"/>
      <c r="ABX23" s="368"/>
      <c r="ABY23" s="368"/>
      <c r="ABZ23" s="368"/>
      <c r="ACA23" s="368"/>
      <c r="ACB23" s="368"/>
      <c r="ACC23" s="368"/>
      <c r="ACD23" s="368"/>
      <c r="ACE23" s="368"/>
      <c r="ACF23" s="368"/>
      <c r="ACG23" s="368"/>
      <c r="ACH23" s="368"/>
      <c r="ACI23" s="368"/>
      <c r="ACJ23" s="368"/>
      <c r="ACK23" s="368"/>
      <c r="ACL23" s="368"/>
      <c r="ACM23" s="368"/>
      <c r="ACN23" s="368"/>
      <c r="ACO23" s="368"/>
      <c r="ACP23" s="368"/>
      <c r="ACQ23" s="368"/>
      <c r="ACR23" s="368"/>
      <c r="ACS23" s="368"/>
      <c r="ACT23" s="368"/>
      <c r="ACU23" s="368"/>
      <c r="ACV23" s="368"/>
      <c r="ACW23" s="368"/>
      <c r="ACX23" s="368"/>
      <c r="ACY23" s="368"/>
      <c r="ACZ23" s="368"/>
      <c r="ADA23" s="368"/>
      <c r="ADB23" s="368"/>
      <c r="ADC23" s="368"/>
      <c r="ADD23" s="368"/>
      <c r="ADE23" s="368"/>
      <c r="ADF23" s="368"/>
      <c r="ADG23" s="368"/>
      <c r="ADH23" s="368"/>
      <c r="ADI23" s="368"/>
      <c r="ADJ23" s="368"/>
      <c r="ADK23" s="368"/>
      <c r="ADL23" s="368"/>
      <c r="ADM23" s="368"/>
      <c r="ADN23" s="368"/>
      <c r="ADO23" s="368"/>
      <c r="ADP23" s="368"/>
      <c r="ADQ23" s="368"/>
      <c r="ADR23" s="368"/>
      <c r="ADS23" s="368"/>
      <c r="ADT23" s="368"/>
      <c r="ADU23" s="368"/>
      <c r="ADV23" s="368"/>
      <c r="ADW23" s="368"/>
      <c r="ADX23" s="368"/>
      <c r="ADY23" s="368"/>
      <c r="ADZ23" s="368"/>
      <c r="AEA23" s="368"/>
      <c r="AEB23" s="368"/>
      <c r="AEC23" s="368"/>
      <c r="AED23" s="368"/>
      <c r="AEE23" s="368"/>
      <c r="AEF23" s="368"/>
      <c r="AEG23" s="368"/>
      <c r="AEH23" s="368"/>
      <c r="AEI23" s="368"/>
      <c r="AEJ23" s="368"/>
      <c r="AEK23" s="368"/>
      <c r="AEL23" s="368"/>
      <c r="AEM23" s="368"/>
      <c r="AEN23" s="368"/>
      <c r="AEO23" s="368"/>
      <c r="AEP23" s="368"/>
      <c r="AEQ23" s="368"/>
      <c r="AER23" s="368"/>
      <c r="AES23" s="368"/>
      <c r="AET23" s="368"/>
      <c r="AEU23" s="368"/>
      <c r="AEV23" s="368"/>
      <c r="AEW23" s="368"/>
      <c r="AEX23" s="368"/>
      <c r="AEY23" s="368"/>
      <c r="AEZ23" s="368"/>
      <c r="AFA23" s="368"/>
      <c r="AFB23" s="368"/>
      <c r="AFC23" s="368"/>
      <c r="AFD23" s="368"/>
      <c r="AFE23" s="368"/>
      <c r="AFF23" s="368"/>
      <c r="AFG23" s="368"/>
      <c r="AFH23" s="368"/>
      <c r="AFI23" s="368"/>
      <c r="AFJ23" s="368"/>
      <c r="AFK23" s="368"/>
      <c r="AFL23" s="368"/>
      <c r="AFM23" s="368"/>
      <c r="AFN23" s="368"/>
      <c r="AFO23" s="368"/>
      <c r="AFP23" s="368"/>
      <c r="AFQ23" s="368"/>
      <c r="AFR23" s="368"/>
      <c r="AFS23" s="368"/>
      <c r="AFT23" s="368"/>
      <c r="AFU23" s="368"/>
      <c r="AFV23" s="368"/>
      <c r="AFW23" s="368"/>
      <c r="AFX23" s="368"/>
      <c r="AFY23" s="368"/>
      <c r="AFZ23" s="368"/>
      <c r="AGA23" s="368"/>
      <c r="AGB23" s="368"/>
      <c r="AGC23" s="368"/>
      <c r="AGD23" s="368"/>
      <c r="AGE23" s="368"/>
      <c r="AGF23" s="368"/>
      <c r="AGG23" s="368"/>
      <c r="AGH23" s="368"/>
      <c r="AGI23" s="368"/>
      <c r="AGJ23" s="368"/>
      <c r="AGK23" s="368"/>
      <c r="AGL23" s="368"/>
      <c r="AGM23" s="368"/>
      <c r="AGN23" s="368"/>
      <c r="AGO23" s="368"/>
      <c r="AGP23" s="368"/>
      <c r="AGQ23" s="368"/>
      <c r="AGR23" s="368"/>
      <c r="AGS23" s="368"/>
      <c r="AGT23" s="368"/>
      <c r="AGU23" s="368"/>
      <c r="AGV23" s="368"/>
      <c r="AGW23" s="368"/>
      <c r="AGX23" s="368"/>
      <c r="AGY23" s="368"/>
      <c r="AGZ23" s="368"/>
      <c r="AHA23" s="368"/>
      <c r="AHB23" s="368"/>
      <c r="AHC23" s="368"/>
      <c r="AHD23" s="368"/>
      <c r="AHE23" s="368"/>
      <c r="AHF23" s="368"/>
      <c r="AHG23" s="368"/>
      <c r="AHH23" s="368"/>
      <c r="AHI23" s="368"/>
      <c r="AHJ23" s="368"/>
      <c r="AHK23" s="368"/>
      <c r="AHL23" s="368"/>
      <c r="AHM23" s="368"/>
      <c r="AHN23" s="368"/>
      <c r="AHO23" s="368"/>
      <c r="AHP23" s="368"/>
      <c r="AHQ23" s="368"/>
      <c r="AHR23" s="368"/>
      <c r="AHS23" s="368"/>
      <c r="AHT23" s="368"/>
      <c r="AHU23" s="368"/>
      <c r="AHV23" s="368"/>
      <c r="AHW23" s="368"/>
      <c r="AHX23" s="368"/>
      <c r="AHY23" s="368"/>
      <c r="AHZ23" s="368"/>
      <c r="AIA23" s="368"/>
      <c r="AIB23" s="368"/>
      <c r="AIC23" s="368"/>
      <c r="AID23" s="368"/>
      <c r="AIE23" s="368"/>
      <c r="AIF23" s="368"/>
      <c r="AIG23" s="368"/>
      <c r="AIH23" s="368"/>
      <c r="AII23" s="368"/>
      <c r="AIJ23" s="368"/>
      <c r="AIK23" s="368"/>
      <c r="AIL23" s="368"/>
      <c r="AIM23" s="368"/>
      <c r="AIN23" s="368"/>
      <c r="AIO23" s="368"/>
      <c r="AIP23" s="368"/>
      <c r="AIQ23" s="368"/>
      <c r="AIR23" s="368"/>
      <c r="AIS23" s="368"/>
      <c r="AIT23" s="368"/>
      <c r="AIU23" s="368"/>
      <c r="AIV23" s="368"/>
      <c r="AIW23" s="368"/>
      <c r="AIX23" s="368"/>
      <c r="AIY23" s="368"/>
      <c r="AIZ23" s="368"/>
      <c r="AJA23" s="368"/>
      <c r="AJB23" s="368"/>
      <c r="AJC23" s="368"/>
      <c r="AJD23" s="368"/>
      <c r="AJE23" s="368"/>
      <c r="AJF23" s="368"/>
      <c r="AJG23" s="368"/>
      <c r="AJH23" s="368"/>
      <c r="AJI23" s="368"/>
      <c r="AJJ23" s="368"/>
      <c r="AJK23" s="368"/>
      <c r="AJL23" s="368"/>
      <c r="AJM23" s="368"/>
      <c r="AJN23" s="368"/>
      <c r="AJO23" s="368"/>
      <c r="AJP23" s="368"/>
      <c r="AJQ23" s="368"/>
      <c r="AJR23" s="368"/>
      <c r="AJS23" s="368"/>
      <c r="AJT23" s="368"/>
      <c r="AJU23" s="368"/>
      <c r="AJV23" s="368"/>
      <c r="AJW23" s="368"/>
      <c r="AJX23" s="368"/>
      <c r="AJY23" s="368"/>
      <c r="AJZ23" s="368"/>
      <c r="AKA23" s="368"/>
      <c r="AKB23" s="368"/>
      <c r="AKC23" s="368"/>
      <c r="AKD23" s="368"/>
      <c r="AKE23" s="368"/>
      <c r="AKF23" s="368"/>
      <c r="AKG23" s="368"/>
      <c r="AKH23" s="368"/>
      <c r="AKI23" s="368"/>
      <c r="AKJ23" s="368"/>
      <c r="AKK23" s="368"/>
      <c r="AKL23" s="368"/>
      <c r="AKM23" s="368"/>
      <c r="AKN23" s="368"/>
    </row>
    <row r="24" spans="1:976" s="346" customFormat="1" ht="22.5" customHeight="1" x14ac:dyDescent="0.2">
      <c r="A24" s="370" t="s">
        <v>262</v>
      </c>
      <c r="B24" s="370"/>
      <c r="C24" s="370" t="s">
        <v>221</v>
      </c>
      <c r="D24" s="370" t="s">
        <v>222</v>
      </c>
      <c r="E24" s="371">
        <v>403208</v>
      </c>
      <c r="F24" s="371">
        <v>289</v>
      </c>
      <c r="G24" s="371">
        <v>43</v>
      </c>
      <c r="H24" s="371">
        <v>0</v>
      </c>
      <c r="I24" s="372">
        <v>45715</v>
      </c>
      <c r="J24" s="370" t="s">
        <v>290</v>
      </c>
      <c r="K24" s="370" t="s">
        <v>342</v>
      </c>
      <c r="L24" s="373">
        <v>27.42</v>
      </c>
      <c r="M24" s="373">
        <v>1.51</v>
      </c>
      <c r="N24" s="444">
        <v>28.93</v>
      </c>
      <c r="O24" s="370"/>
      <c r="P24" s="374">
        <v>45726</v>
      </c>
      <c r="Q24" s="373">
        <v>28.93</v>
      </c>
      <c r="R24" s="370" t="s">
        <v>343</v>
      </c>
      <c r="S24" s="373">
        <v>0</v>
      </c>
      <c r="T24" s="373">
        <v>0</v>
      </c>
      <c r="U24" s="373">
        <v>0</v>
      </c>
      <c r="V24" s="373">
        <v>0</v>
      </c>
      <c r="W24" s="370"/>
      <c r="X24" s="370" t="s">
        <v>293</v>
      </c>
      <c r="Y24" s="370" t="s">
        <v>294</v>
      </c>
      <c r="Z24" s="370" t="s">
        <v>42</v>
      </c>
      <c r="AA24" s="370" t="s">
        <v>228</v>
      </c>
      <c r="AB24" s="370" t="s">
        <v>235</v>
      </c>
      <c r="AC24" s="370" t="s">
        <v>331</v>
      </c>
      <c r="AD24" s="370" t="s">
        <v>231</v>
      </c>
      <c r="AE24" s="370" t="s">
        <v>232</v>
      </c>
      <c r="AF24" s="370" t="s">
        <v>231</v>
      </c>
      <c r="AG24" s="370" t="s">
        <v>232</v>
      </c>
      <c r="AH24" s="370"/>
      <c r="AI24" s="370"/>
      <c r="AJ24" s="370"/>
      <c r="AK24" s="370" t="s">
        <v>344</v>
      </c>
      <c r="AL24" s="371">
        <v>1</v>
      </c>
      <c r="AM24" s="371">
        <v>0</v>
      </c>
      <c r="AN24" s="372">
        <v>45726</v>
      </c>
      <c r="AO24" s="372">
        <v>45726</v>
      </c>
      <c r="AP24" s="373">
        <v>28.93</v>
      </c>
      <c r="AQ24" s="372">
        <v>45725</v>
      </c>
      <c r="AR24" s="368"/>
      <c r="AS24" s="368"/>
      <c r="AT24" s="368"/>
      <c r="AU24" s="368"/>
      <c r="AV24" s="368"/>
      <c r="AW24" s="368"/>
      <c r="AX24" s="368"/>
      <c r="AY24" s="368"/>
      <c r="AZ24" s="368"/>
      <c r="BA24" s="368"/>
      <c r="BB24" s="368"/>
      <c r="BC24" s="368"/>
      <c r="BD24" s="368"/>
      <c r="BE24" s="368"/>
      <c r="BF24" s="368"/>
      <c r="BG24" s="368"/>
      <c r="BH24" s="368"/>
      <c r="BI24" s="368"/>
      <c r="BJ24" s="368"/>
      <c r="BK24" s="368"/>
      <c r="BL24" s="368"/>
      <c r="BM24" s="368"/>
      <c r="BN24" s="368"/>
      <c r="BO24" s="368"/>
      <c r="BP24" s="368"/>
      <c r="BQ24" s="368"/>
      <c r="BR24" s="368"/>
      <c r="BS24" s="368"/>
      <c r="BT24" s="368"/>
      <c r="BU24" s="368"/>
      <c r="BV24" s="368"/>
      <c r="BW24" s="368"/>
      <c r="BX24" s="368"/>
      <c r="BY24" s="368"/>
      <c r="BZ24" s="368"/>
      <c r="CA24" s="368"/>
      <c r="CB24" s="368"/>
      <c r="CC24" s="368"/>
      <c r="CD24" s="368"/>
      <c r="CE24" s="368"/>
      <c r="CF24" s="368"/>
      <c r="CG24" s="368"/>
      <c r="CH24" s="368"/>
      <c r="CI24" s="368"/>
      <c r="CJ24" s="368"/>
      <c r="CK24" s="368"/>
      <c r="CL24" s="368"/>
      <c r="CM24" s="368"/>
      <c r="CN24" s="368"/>
      <c r="CO24" s="368"/>
      <c r="CP24" s="368"/>
      <c r="CQ24" s="368"/>
      <c r="CR24" s="368"/>
      <c r="CS24" s="368"/>
      <c r="CT24" s="368"/>
      <c r="CU24" s="368"/>
      <c r="CV24" s="368"/>
      <c r="CW24" s="368"/>
      <c r="CX24" s="368"/>
      <c r="CY24" s="368"/>
      <c r="CZ24" s="368"/>
      <c r="DA24" s="368"/>
      <c r="DB24" s="368"/>
      <c r="DC24" s="368"/>
      <c r="DD24" s="368"/>
      <c r="DE24" s="368"/>
      <c r="DF24" s="368"/>
      <c r="DG24" s="368"/>
      <c r="DH24" s="368"/>
      <c r="DI24" s="368"/>
      <c r="DJ24" s="368"/>
      <c r="DK24" s="368"/>
      <c r="DL24" s="368"/>
      <c r="DM24" s="368"/>
      <c r="DN24" s="368"/>
      <c r="DO24" s="368"/>
      <c r="DP24" s="368"/>
      <c r="DQ24" s="368"/>
      <c r="DR24" s="368"/>
      <c r="DS24" s="368"/>
      <c r="DT24" s="368"/>
      <c r="DU24" s="368"/>
      <c r="DV24" s="368"/>
      <c r="DW24" s="368"/>
      <c r="DX24" s="368"/>
      <c r="DY24" s="368"/>
      <c r="DZ24" s="368"/>
      <c r="EA24" s="368"/>
      <c r="EB24" s="368"/>
      <c r="EC24" s="368"/>
      <c r="ED24" s="368"/>
      <c r="EE24" s="368"/>
      <c r="EF24" s="368"/>
      <c r="EG24" s="368"/>
      <c r="EH24" s="368"/>
      <c r="EI24" s="368"/>
      <c r="EJ24" s="368"/>
      <c r="EK24" s="368"/>
      <c r="EL24" s="368"/>
      <c r="EM24" s="368"/>
      <c r="EN24" s="368"/>
      <c r="EO24" s="368"/>
      <c r="EP24" s="368"/>
      <c r="EQ24" s="368"/>
      <c r="ER24" s="368"/>
      <c r="ES24" s="368"/>
      <c r="ET24" s="368"/>
      <c r="EU24" s="368"/>
      <c r="EV24" s="368"/>
      <c r="EW24" s="368"/>
      <c r="EX24" s="368"/>
      <c r="EY24" s="368"/>
      <c r="EZ24" s="368"/>
      <c r="FA24" s="368"/>
      <c r="FB24" s="368"/>
      <c r="FC24" s="368"/>
      <c r="FD24" s="368"/>
      <c r="FE24" s="368"/>
      <c r="FF24" s="368"/>
      <c r="FG24" s="368"/>
      <c r="FH24" s="368"/>
      <c r="FI24" s="368"/>
      <c r="FJ24" s="368"/>
      <c r="FK24" s="368"/>
      <c r="FL24" s="368"/>
      <c r="FM24" s="368"/>
      <c r="FN24" s="368"/>
      <c r="FO24" s="368"/>
      <c r="FP24" s="368"/>
      <c r="FQ24" s="368"/>
      <c r="FR24" s="368"/>
      <c r="FS24" s="368"/>
      <c r="FT24" s="368"/>
      <c r="FU24" s="368"/>
      <c r="FV24" s="368"/>
      <c r="FW24" s="368"/>
      <c r="FX24" s="368"/>
      <c r="FY24" s="368"/>
      <c r="FZ24" s="368"/>
      <c r="GA24" s="368"/>
      <c r="GB24" s="368"/>
      <c r="GC24" s="368"/>
      <c r="GD24" s="368"/>
      <c r="GE24" s="368"/>
      <c r="GF24" s="368"/>
      <c r="GG24" s="368"/>
      <c r="GH24" s="368"/>
      <c r="GI24" s="368"/>
      <c r="GJ24" s="368"/>
      <c r="GK24" s="368"/>
      <c r="GL24" s="368"/>
      <c r="GM24" s="368"/>
      <c r="GN24" s="368"/>
      <c r="GO24" s="368"/>
      <c r="GP24" s="368"/>
      <c r="GQ24" s="368"/>
      <c r="GR24" s="368"/>
      <c r="GS24" s="368"/>
      <c r="GT24" s="368"/>
      <c r="GU24" s="368"/>
      <c r="GV24" s="368"/>
      <c r="GW24" s="368"/>
      <c r="GX24" s="368"/>
      <c r="GY24" s="368"/>
      <c r="GZ24" s="368"/>
      <c r="HA24" s="368"/>
      <c r="HB24" s="368"/>
      <c r="HC24" s="368"/>
      <c r="HD24" s="368"/>
      <c r="HE24" s="368"/>
      <c r="HF24" s="368"/>
      <c r="HG24" s="368"/>
      <c r="HH24" s="368"/>
      <c r="HI24" s="368"/>
      <c r="HJ24" s="368"/>
      <c r="HK24" s="368"/>
      <c r="HL24" s="368"/>
      <c r="HM24" s="368"/>
      <c r="HN24" s="368"/>
      <c r="HO24" s="368"/>
      <c r="HP24" s="368"/>
      <c r="HQ24" s="368"/>
      <c r="HR24" s="368"/>
      <c r="HS24" s="368"/>
      <c r="HT24" s="368"/>
      <c r="HU24" s="368"/>
      <c r="HV24" s="368"/>
      <c r="HW24" s="368"/>
      <c r="HX24" s="368"/>
      <c r="HY24" s="368"/>
      <c r="HZ24" s="368"/>
      <c r="IA24" s="368"/>
      <c r="IB24" s="368"/>
      <c r="IC24" s="368"/>
      <c r="ID24" s="368"/>
      <c r="IE24" s="368"/>
      <c r="IF24" s="368"/>
      <c r="IG24" s="368"/>
      <c r="IH24" s="368"/>
      <c r="II24" s="368"/>
      <c r="IJ24" s="368"/>
      <c r="IK24" s="368"/>
      <c r="IL24" s="368"/>
      <c r="IM24" s="368"/>
      <c r="IN24" s="368"/>
      <c r="IO24" s="368"/>
      <c r="IP24" s="368"/>
      <c r="IQ24" s="368"/>
      <c r="IR24" s="368"/>
      <c r="IS24" s="368"/>
      <c r="IT24" s="368"/>
      <c r="IU24" s="368"/>
      <c r="IV24" s="368"/>
      <c r="IW24" s="368"/>
      <c r="IX24" s="368"/>
      <c r="IY24" s="368"/>
      <c r="IZ24" s="368"/>
      <c r="JA24" s="368"/>
      <c r="JB24" s="368"/>
      <c r="JC24" s="368"/>
      <c r="JD24" s="368"/>
      <c r="JE24" s="368"/>
      <c r="JF24" s="368"/>
      <c r="JG24" s="368"/>
      <c r="JH24" s="368"/>
      <c r="JI24" s="368"/>
      <c r="JJ24" s="368"/>
      <c r="JK24" s="368"/>
      <c r="JL24" s="368"/>
      <c r="JM24" s="368"/>
      <c r="JN24" s="368"/>
      <c r="JO24" s="368"/>
      <c r="JP24" s="368"/>
      <c r="JQ24" s="368"/>
      <c r="JR24" s="368"/>
      <c r="JS24" s="368"/>
      <c r="JT24" s="368"/>
      <c r="JU24" s="368"/>
      <c r="JV24" s="368"/>
      <c r="JW24" s="368"/>
      <c r="JX24" s="368"/>
      <c r="JY24" s="368"/>
      <c r="JZ24" s="368"/>
      <c r="KA24" s="368"/>
      <c r="KB24" s="368"/>
      <c r="KC24" s="368"/>
      <c r="KD24" s="368"/>
      <c r="KE24" s="368"/>
      <c r="KF24" s="368"/>
      <c r="KG24" s="368"/>
      <c r="KH24" s="368"/>
      <c r="KI24" s="368"/>
      <c r="KJ24" s="368"/>
      <c r="KK24" s="368"/>
      <c r="KL24" s="368"/>
      <c r="KM24" s="368"/>
      <c r="KN24" s="368"/>
      <c r="KO24" s="368"/>
      <c r="KP24" s="368"/>
      <c r="KQ24" s="368"/>
      <c r="KR24" s="368"/>
      <c r="KS24" s="368"/>
      <c r="KT24" s="368"/>
      <c r="KU24" s="368"/>
      <c r="KV24" s="368"/>
      <c r="KW24" s="368"/>
      <c r="KX24" s="368"/>
      <c r="KY24" s="368"/>
      <c r="KZ24" s="368"/>
      <c r="LA24" s="368"/>
      <c r="LB24" s="368"/>
      <c r="LC24" s="368"/>
      <c r="LD24" s="368"/>
      <c r="LE24" s="368"/>
      <c r="LF24" s="368"/>
      <c r="LG24" s="368"/>
      <c r="LH24" s="368"/>
      <c r="LI24" s="368"/>
      <c r="LJ24" s="368"/>
      <c r="LK24" s="368"/>
      <c r="LL24" s="368"/>
      <c r="LM24" s="368"/>
      <c r="LN24" s="368"/>
      <c r="LO24" s="368"/>
      <c r="LP24" s="368"/>
      <c r="LQ24" s="368"/>
      <c r="LR24" s="368"/>
      <c r="LS24" s="368"/>
      <c r="LT24" s="368"/>
      <c r="LU24" s="368"/>
      <c r="LV24" s="368"/>
      <c r="LW24" s="368"/>
      <c r="LX24" s="368"/>
      <c r="LY24" s="368"/>
      <c r="LZ24" s="368"/>
      <c r="MA24" s="368"/>
      <c r="MB24" s="368"/>
      <c r="MC24" s="368"/>
      <c r="MD24" s="368"/>
      <c r="ME24" s="368"/>
      <c r="MF24" s="368"/>
      <c r="MG24" s="368"/>
      <c r="MH24" s="368"/>
      <c r="MI24" s="368"/>
      <c r="MJ24" s="368"/>
      <c r="MK24" s="368"/>
      <c r="ML24" s="368"/>
      <c r="MM24" s="368"/>
      <c r="MN24" s="368"/>
      <c r="MO24" s="368"/>
      <c r="MP24" s="368"/>
      <c r="MQ24" s="368"/>
      <c r="MR24" s="368"/>
      <c r="MS24" s="368"/>
      <c r="MT24" s="368"/>
      <c r="MU24" s="368"/>
      <c r="MV24" s="368"/>
      <c r="MW24" s="368"/>
      <c r="MX24" s="368"/>
      <c r="MY24" s="368"/>
      <c r="MZ24" s="368"/>
      <c r="NA24" s="368"/>
      <c r="NB24" s="368"/>
      <c r="NC24" s="368"/>
      <c r="ND24" s="368"/>
      <c r="NE24" s="368"/>
      <c r="NF24" s="368"/>
      <c r="NG24" s="368"/>
      <c r="NH24" s="368"/>
      <c r="NI24" s="368"/>
      <c r="NJ24" s="368"/>
      <c r="NK24" s="368"/>
      <c r="NL24" s="368"/>
      <c r="NM24" s="368"/>
      <c r="NN24" s="368"/>
      <c r="NO24" s="368"/>
      <c r="NP24" s="368"/>
      <c r="NQ24" s="368"/>
      <c r="NR24" s="368"/>
      <c r="NS24" s="368"/>
      <c r="NT24" s="368"/>
      <c r="NU24" s="368"/>
      <c r="NV24" s="368"/>
      <c r="NW24" s="368"/>
      <c r="NX24" s="368"/>
      <c r="NY24" s="368"/>
      <c r="NZ24" s="368"/>
      <c r="OA24" s="368"/>
      <c r="OB24" s="368"/>
      <c r="OC24" s="368"/>
      <c r="OD24" s="368"/>
      <c r="OE24" s="368"/>
      <c r="OF24" s="368"/>
      <c r="OG24" s="368"/>
      <c r="OH24" s="368"/>
      <c r="OI24" s="368"/>
      <c r="OJ24" s="368"/>
      <c r="OK24" s="368"/>
      <c r="OL24" s="368"/>
      <c r="OM24" s="368"/>
      <c r="ON24" s="368"/>
      <c r="OO24" s="368"/>
      <c r="OP24" s="368"/>
      <c r="OQ24" s="368"/>
      <c r="OR24" s="368"/>
      <c r="OS24" s="368"/>
      <c r="OT24" s="368"/>
      <c r="OU24" s="368"/>
      <c r="OV24" s="368"/>
      <c r="OW24" s="368"/>
      <c r="OX24" s="368"/>
      <c r="OY24" s="368"/>
      <c r="OZ24" s="368"/>
      <c r="PA24" s="368"/>
      <c r="PB24" s="368"/>
      <c r="PC24" s="368"/>
      <c r="PD24" s="368"/>
      <c r="PE24" s="368"/>
      <c r="PF24" s="368"/>
      <c r="PG24" s="368"/>
      <c r="PH24" s="368"/>
      <c r="PI24" s="368"/>
      <c r="PJ24" s="368"/>
      <c r="PK24" s="368"/>
      <c r="PL24" s="368"/>
      <c r="PM24" s="368"/>
      <c r="PN24" s="368"/>
      <c r="PO24" s="368"/>
      <c r="PP24" s="368"/>
      <c r="PQ24" s="368"/>
      <c r="PR24" s="368"/>
      <c r="PS24" s="368"/>
      <c r="PT24" s="368"/>
      <c r="PU24" s="368"/>
      <c r="PV24" s="368"/>
      <c r="PW24" s="368"/>
      <c r="PX24" s="368"/>
      <c r="PY24" s="368"/>
      <c r="PZ24" s="368"/>
      <c r="QA24" s="368"/>
      <c r="QB24" s="368"/>
      <c r="QC24" s="368"/>
      <c r="QD24" s="368"/>
      <c r="QE24" s="368"/>
      <c r="QF24" s="368"/>
      <c r="QG24" s="368"/>
      <c r="QH24" s="368"/>
      <c r="QI24" s="368"/>
      <c r="QJ24" s="368"/>
      <c r="QK24" s="368"/>
      <c r="QL24" s="368"/>
      <c r="QM24" s="368"/>
      <c r="QN24" s="368"/>
      <c r="QO24" s="368"/>
      <c r="QP24" s="368"/>
      <c r="QQ24" s="368"/>
      <c r="QR24" s="368"/>
      <c r="QS24" s="368"/>
      <c r="QT24" s="368"/>
      <c r="QU24" s="368"/>
      <c r="QV24" s="368"/>
      <c r="QW24" s="368"/>
      <c r="QX24" s="368"/>
      <c r="QY24" s="368"/>
      <c r="QZ24" s="368"/>
      <c r="RA24" s="368"/>
      <c r="RB24" s="368"/>
      <c r="RC24" s="368"/>
      <c r="RD24" s="368"/>
      <c r="RE24" s="368"/>
      <c r="RF24" s="368"/>
      <c r="RG24" s="368"/>
      <c r="RH24" s="368"/>
      <c r="RI24" s="368"/>
      <c r="RJ24" s="368"/>
      <c r="RK24" s="368"/>
      <c r="RL24" s="368"/>
      <c r="RM24" s="368"/>
      <c r="RN24" s="368"/>
      <c r="RO24" s="368"/>
      <c r="RP24" s="368"/>
      <c r="RQ24" s="368"/>
      <c r="RR24" s="368"/>
      <c r="RS24" s="368"/>
      <c r="RT24" s="368"/>
      <c r="RU24" s="368"/>
      <c r="RV24" s="368"/>
      <c r="RW24" s="368"/>
      <c r="RX24" s="368"/>
      <c r="RY24" s="368"/>
      <c r="RZ24" s="368"/>
      <c r="SA24" s="368"/>
      <c r="SB24" s="368"/>
      <c r="SC24" s="368"/>
      <c r="SD24" s="368"/>
      <c r="SE24" s="368"/>
      <c r="SF24" s="368"/>
      <c r="SG24" s="368"/>
      <c r="SH24" s="368"/>
      <c r="SI24" s="368"/>
      <c r="SJ24" s="368"/>
      <c r="SK24" s="368"/>
      <c r="SL24" s="368"/>
      <c r="SM24" s="368"/>
      <c r="SN24" s="368"/>
      <c r="SO24" s="368"/>
      <c r="SP24" s="368"/>
      <c r="SQ24" s="368"/>
      <c r="SR24" s="368"/>
      <c r="SS24" s="368"/>
      <c r="ST24" s="368"/>
      <c r="SU24" s="368"/>
      <c r="SV24" s="368"/>
      <c r="SW24" s="368"/>
      <c r="SX24" s="368"/>
      <c r="SY24" s="368"/>
      <c r="SZ24" s="368"/>
      <c r="TA24" s="368"/>
      <c r="TB24" s="368"/>
      <c r="TC24" s="368"/>
      <c r="TD24" s="368"/>
      <c r="TE24" s="368"/>
      <c r="TF24" s="368"/>
      <c r="TG24" s="368"/>
      <c r="TH24" s="368"/>
      <c r="TI24" s="368"/>
      <c r="TJ24" s="368"/>
      <c r="TK24" s="368"/>
      <c r="TL24" s="368"/>
      <c r="TM24" s="368"/>
      <c r="TN24" s="368"/>
      <c r="TO24" s="368"/>
      <c r="TP24" s="368"/>
      <c r="TQ24" s="368"/>
      <c r="TR24" s="368"/>
      <c r="TS24" s="368"/>
      <c r="TT24" s="368"/>
      <c r="TU24" s="368"/>
      <c r="TV24" s="368"/>
      <c r="TW24" s="368"/>
      <c r="TX24" s="368"/>
      <c r="TY24" s="368"/>
      <c r="TZ24" s="368"/>
      <c r="UA24" s="368"/>
      <c r="UB24" s="368"/>
      <c r="UC24" s="368"/>
      <c r="UD24" s="368"/>
      <c r="UE24" s="368"/>
      <c r="UF24" s="368"/>
      <c r="UG24" s="368"/>
      <c r="UH24" s="368"/>
      <c r="UI24" s="368"/>
      <c r="UJ24" s="368"/>
      <c r="UK24" s="368"/>
      <c r="UL24" s="368"/>
      <c r="UM24" s="368"/>
      <c r="UN24" s="368"/>
      <c r="UO24" s="368"/>
      <c r="UP24" s="368"/>
      <c r="UQ24" s="368"/>
      <c r="UR24" s="368"/>
      <c r="US24" s="368"/>
      <c r="UT24" s="368"/>
      <c r="UU24" s="368"/>
      <c r="UV24" s="368"/>
      <c r="UW24" s="368"/>
      <c r="UX24" s="368"/>
      <c r="UY24" s="368"/>
      <c r="UZ24" s="368"/>
      <c r="VA24" s="368"/>
      <c r="VB24" s="368"/>
      <c r="VC24" s="368"/>
      <c r="VD24" s="368"/>
      <c r="VE24" s="368"/>
      <c r="VF24" s="368"/>
      <c r="VG24" s="368"/>
      <c r="VH24" s="368"/>
      <c r="VI24" s="368"/>
      <c r="VJ24" s="368"/>
      <c r="VK24" s="368"/>
      <c r="VL24" s="368"/>
      <c r="VM24" s="368"/>
      <c r="VN24" s="368"/>
      <c r="VO24" s="368"/>
      <c r="VP24" s="368"/>
      <c r="VQ24" s="368"/>
      <c r="VR24" s="368"/>
      <c r="VS24" s="368"/>
      <c r="VT24" s="368"/>
      <c r="VU24" s="368"/>
      <c r="VV24" s="368"/>
      <c r="VW24" s="368"/>
      <c r="VX24" s="368"/>
      <c r="VY24" s="368"/>
      <c r="VZ24" s="368"/>
      <c r="WA24" s="368"/>
      <c r="WB24" s="368"/>
      <c r="WC24" s="368"/>
      <c r="WD24" s="368"/>
      <c r="WE24" s="368"/>
      <c r="WF24" s="368"/>
      <c r="WG24" s="368"/>
      <c r="WH24" s="368"/>
      <c r="WI24" s="368"/>
      <c r="WJ24" s="368"/>
      <c r="WK24" s="368"/>
      <c r="WL24" s="368"/>
      <c r="WM24" s="368"/>
      <c r="WN24" s="368"/>
      <c r="WO24" s="368"/>
      <c r="WP24" s="368"/>
      <c r="WQ24" s="368"/>
      <c r="WR24" s="368"/>
      <c r="WS24" s="368"/>
      <c r="WT24" s="368"/>
      <c r="WU24" s="368"/>
      <c r="WV24" s="368"/>
      <c r="WW24" s="368"/>
      <c r="WX24" s="368"/>
      <c r="WY24" s="368"/>
      <c r="WZ24" s="368"/>
      <c r="XA24" s="368"/>
      <c r="XB24" s="368"/>
      <c r="XC24" s="368"/>
      <c r="XD24" s="368"/>
      <c r="XE24" s="368"/>
      <c r="XF24" s="368"/>
      <c r="XG24" s="368"/>
      <c r="XH24" s="368"/>
      <c r="XI24" s="368"/>
      <c r="XJ24" s="368"/>
      <c r="XK24" s="368"/>
      <c r="XL24" s="368"/>
      <c r="XM24" s="368"/>
      <c r="XN24" s="368"/>
      <c r="XO24" s="368"/>
      <c r="XP24" s="368"/>
      <c r="XQ24" s="368"/>
      <c r="XR24" s="368"/>
      <c r="XS24" s="368"/>
      <c r="XT24" s="368"/>
      <c r="XU24" s="368"/>
      <c r="XV24" s="368"/>
      <c r="XW24" s="368"/>
      <c r="XX24" s="368"/>
      <c r="XY24" s="368"/>
      <c r="XZ24" s="368"/>
      <c r="YA24" s="368"/>
      <c r="YB24" s="368"/>
      <c r="YC24" s="368"/>
      <c r="YD24" s="368"/>
      <c r="YE24" s="368"/>
      <c r="YF24" s="368"/>
      <c r="YG24" s="368"/>
      <c r="YH24" s="368"/>
      <c r="YI24" s="368"/>
      <c r="YJ24" s="368"/>
      <c r="YK24" s="368"/>
      <c r="YL24" s="368"/>
      <c r="YM24" s="368"/>
      <c r="YN24" s="368"/>
      <c r="YO24" s="368"/>
      <c r="YP24" s="368"/>
      <c r="YQ24" s="368"/>
      <c r="YR24" s="368"/>
      <c r="YS24" s="368"/>
      <c r="YT24" s="368"/>
      <c r="YU24" s="368"/>
      <c r="YV24" s="368"/>
      <c r="YW24" s="368"/>
      <c r="YX24" s="368"/>
      <c r="YY24" s="368"/>
      <c r="YZ24" s="368"/>
      <c r="ZA24" s="368"/>
      <c r="ZB24" s="368"/>
      <c r="ZC24" s="368"/>
      <c r="ZD24" s="368"/>
      <c r="ZE24" s="368"/>
      <c r="ZF24" s="368"/>
      <c r="ZG24" s="368"/>
      <c r="ZH24" s="368"/>
      <c r="ZI24" s="368"/>
      <c r="ZJ24" s="368"/>
      <c r="ZK24" s="368"/>
      <c r="ZL24" s="368"/>
      <c r="ZM24" s="368"/>
      <c r="ZN24" s="368"/>
      <c r="ZO24" s="368"/>
      <c r="ZP24" s="368"/>
      <c r="ZQ24" s="368"/>
      <c r="ZR24" s="368"/>
      <c r="ZS24" s="368"/>
      <c r="ZT24" s="368"/>
      <c r="ZU24" s="368"/>
      <c r="ZV24" s="368"/>
      <c r="ZW24" s="368"/>
      <c r="ZX24" s="368"/>
      <c r="ZY24" s="368"/>
      <c r="ZZ24" s="368"/>
      <c r="AAA24" s="368"/>
      <c r="AAB24" s="368"/>
      <c r="AAC24" s="368"/>
      <c r="AAD24" s="368"/>
      <c r="AAE24" s="368"/>
      <c r="AAF24" s="368"/>
      <c r="AAG24" s="368"/>
      <c r="AAH24" s="368"/>
      <c r="AAI24" s="368"/>
      <c r="AAJ24" s="368"/>
      <c r="AAK24" s="368"/>
      <c r="AAL24" s="368"/>
      <c r="AAM24" s="368"/>
      <c r="AAN24" s="368"/>
      <c r="AAO24" s="368"/>
      <c r="AAP24" s="368"/>
      <c r="AAQ24" s="368"/>
      <c r="AAR24" s="368"/>
      <c r="AAS24" s="368"/>
      <c r="AAT24" s="368"/>
      <c r="AAU24" s="368"/>
      <c r="AAV24" s="368"/>
      <c r="AAW24" s="368"/>
      <c r="AAX24" s="368"/>
      <c r="AAY24" s="368"/>
      <c r="AAZ24" s="368"/>
      <c r="ABA24" s="368"/>
      <c r="ABB24" s="368"/>
      <c r="ABC24" s="368"/>
      <c r="ABD24" s="368"/>
      <c r="ABE24" s="368"/>
      <c r="ABF24" s="368"/>
      <c r="ABG24" s="368"/>
      <c r="ABH24" s="368"/>
      <c r="ABI24" s="368"/>
      <c r="ABJ24" s="368"/>
      <c r="ABK24" s="368"/>
      <c r="ABL24" s="368"/>
      <c r="ABM24" s="368"/>
      <c r="ABN24" s="368"/>
      <c r="ABO24" s="368"/>
      <c r="ABP24" s="368"/>
      <c r="ABQ24" s="368"/>
      <c r="ABR24" s="368"/>
      <c r="ABS24" s="368"/>
      <c r="ABT24" s="368"/>
      <c r="ABU24" s="368"/>
      <c r="ABV24" s="368"/>
      <c r="ABW24" s="368"/>
      <c r="ABX24" s="368"/>
      <c r="ABY24" s="368"/>
      <c r="ABZ24" s="368"/>
      <c r="ACA24" s="368"/>
      <c r="ACB24" s="368"/>
      <c r="ACC24" s="368"/>
      <c r="ACD24" s="368"/>
      <c r="ACE24" s="368"/>
      <c r="ACF24" s="368"/>
      <c r="ACG24" s="368"/>
      <c r="ACH24" s="368"/>
      <c r="ACI24" s="368"/>
      <c r="ACJ24" s="368"/>
      <c r="ACK24" s="368"/>
      <c r="ACL24" s="368"/>
      <c r="ACM24" s="368"/>
      <c r="ACN24" s="368"/>
      <c r="ACO24" s="368"/>
      <c r="ACP24" s="368"/>
      <c r="ACQ24" s="368"/>
      <c r="ACR24" s="368"/>
      <c r="ACS24" s="368"/>
      <c r="ACT24" s="368"/>
      <c r="ACU24" s="368"/>
      <c r="ACV24" s="368"/>
      <c r="ACW24" s="368"/>
      <c r="ACX24" s="368"/>
      <c r="ACY24" s="368"/>
      <c r="ACZ24" s="368"/>
      <c r="ADA24" s="368"/>
      <c r="ADB24" s="368"/>
      <c r="ADC24" s="368"/>
      <c r="ADD24" s="368"/>
      <c r="ADE24" s="368"/>
      <c r="ADF24" s="368"/>
      <c r="ADG24" s="368"/>
      <c r="ADH24" s="368"/>
      <c r="ADI24" s="368"/>
      <c r="ADJ24" s="368"/>
      <c r="ADK24" s="368"/>
      <c r="ADL24" s="368"/>
      <c r="ADM24" s="368"/>
      <c r="ADN24" s="368"/>
      <c r="ADO24" s="368"/>
      <c r="ADP24" s="368"/>
      <c r="ADQ24" s="368"/>
      <c r="ADR24" s="368"/>
      <c r="ADS24" s="368"/>
      <c r="ADT24" s="368"/>
      <c r="ADU24" s="368"/>
      <c r="ADV24" s="368"/>
      <c r="ADW24" s="368"/>
      <c r="ADX24" s="368"/>
      <c r="ADY24" s="368"/>
      <c r="ADZ24" s="368"/>
      <c r="AEA24" s="368"/>
      <c r="AEB24" s="368"/>
      <c r="AEC24" s="368"/>
      <c r="AED24" s="368"/>
      <c r="AEE24" s="368"/>
      <c r="AEF24" s="368"/>
      <c r="AEG24" s="368"/>
      <c r="AEH24" s="368"/>
      <c r="AEI24" s="368"/>
      <c r="AEJ24" s="368"/>
      <c r="AEK24" s="368"/>
      <c r="AEL24" s="368"/>
      <c r="AEM24" s="368"/>
      <c r="AEN24" s="368"/>
      <c r="AEO24" s="368"/>
      <c r="AEP24" s="368"/>
      <c r="AEQ24" s="368"/>
      <c r="AER24" s="368"/>
      <c r="AES24" s="368"/>
      <c r="AET24" s="368"/>
      <c r="AEU24" s="368"/>
      <c r="AEV24" s="368"/>
      <c r="AEW24" s="368"/>
      <c r="AEX24" s="368"/>
      <c r="AEY24" s="368"/>
      <c r="AEZ24" s="368"/>
      <c r="AFA24" s="368"/>
      <c r="AFB24" s="368"/>
      <c r="AFC24" s="368"/>
      <c r="AFD24" s="368"/>
      <c r="AFE24" s="368"/>
      <c r="AFF24" s="368"/>
      <c r="AFG24" s="368"/>
      <c r="AFH24" s="368"/>
      <c r="AFI24" s="368"/>
      <c r="AFJ24" s="368"/>
      <c r="AFK24" s="368"/>
      <c r="AFL24" s="368"/>
      <c r="AFM24" s="368"/>
      <c r="AFN24" s="368"/>
      <c r="AFO24" s="368"/>
      <c r="AFP24" s="368"/>
      <c r="AFQ24" s="368"/>
      <c r="AFR24" s="368"/>
      <c r="AFS24" s="368"/>
      <c r="AFT24" s="368"/>
      <c r="AFU24" s="368"/>
      <c r="AFV24" s="368"/>
      <c r="AFW24" s="368"/>
      <c r="AFX24" s="368"/>
      <c r="AFY24" s="368"/>
      <c r="AFZ24" s="368"/>
      <c r="AGA24" s="368"/>
      <c r="AGB24" s="368"/>
      <c r="AGC24" s="368"/>
      <c r="AGD24" s="368"/>
      <c r="AGE24" s="368"/>
      <c r="AGF24" s="368"/>
      <c r="AGG24" s="368"/>
      <c r="AGH24" s="368"/>
      <c r="AGI24" s="368"/>
      <c r="AGJ24" s="368"/>
      <c r="AGK24" s="368"/>
      <c r="AGL24" s="368"/>
      <c r="AGM24" s="368"/>
      <c r="AGN24" s="368"/>
      <c r="AGO24" s="368"/>
      <c r="AGP24" s="368"/>
      <c r="AGQ24" s="368"/>
      <c r="AGR24" s="368"/>
      <c r="AGS24" s="368"/>
      <c r="AGT24" s="368"/>
      <c r="AGU24" s="368"/>
      <c r="AGV24" s="368"/>
      <c r="AGW24" s="368"/>
      <c r="AGX24" s="368"/>
      <c r="AGY24" s="368"/>
      <c r="AGZ24" s="368"/>
      <c r="AHA24" s="368"/>
      <c r="AHB24" s="368"/>
      <c r="AHC24" s="368"/>
      <c r="AHD24" s="368"/>
      <c r="AHE24" s="368"/>
      <c r="AHF24" s="368"/>
      <c r="AHG24" s="368"/>
      <c r="AHH24" s="368"/>
      <c r="AHI24" s="368"/>
      <c r="AHJ24" s="368"/>
      <c r="AHK24" s="368"/>
      <c r="AHL24" s="368"/>
      <c r="AHM24" s="368"/>
      <c r="AHN24" s="368"/>
      <c r="AHO24" s="368"/>
      <c r="AHP24" s="368"/>
      <c r="AHQ24" s="368"/>
      <c r="AHR24" s="368"/>
      <c r="AHS24" s="368"/>
      <c r="AHT24" s="368"/>
      <c r="AHU24" s="368"/>
      <c r="AHV24" s="368"/>
      <c r="AHW24" s="368"/>
      <c r="AHX24" s="368"/>
      <c r="AHY24" s="368"/>
      <c r="AHZ24" s="368"/>
      <c r="AIA24" s="368"/>
      <c r="AIB24" s="368"/>
      <c r="AIC24" s="368"/>
      <c r="AID24" s="368"/>
      <c r="AIE24" s="368"/>
      <c r="AIF24" s="368"/>
      <c r="AIG24" s="368"/>
      <c r="AIH24" s="368"/>
      <c r="AII24" s="368"/>
      <c r="AIJ24" s="368"/>
      <c r="AIK24" s="368"/>
      <c r="AIL24" s="368"/>
      <c r="AIM24" s="368"/>
      <c r="AIN24" s="368"/>
      <c r="AIO24" s="368"/>
      <c r="AIP24" s="368"/>
      <c r="AIQ24" s="368"/>
      <c r="AIR24" s="368"/>
      <c r="AIS24" s="368"/>
      <c r="AIT24" s="368"/>
      <c r="AIU24" s="368"/>
      <c r="AIV24" s="368"/>
      <c r="AIW24" s="368"/>
      <c r="AIX24" s="368"/>
      <c r="AIY24" s="368"/>
      <c r="AIZ24" s="368"/>
      <c r="AJA24" s="368"/>
      <c r="AJB24" s="368"/>
      <c r="AJC24" s="368"/>
      <c r="AJD24" s="368"/>
      <c r="AJE24" s="368"/>
      <c r="AJF24" s="368"/>
      <c r="AJG24" s="368"/>
      <c r="AJH24" s="368"/>
      <c r="AJI24" s="368"/>
      <c r="AJJ24" s="368"/>
      <c r="AJK24" s="368"/>
      <c r="AJL24" s="368"/>
      <c r="AJM24" s="368"/>
      <c r="AJN24" s="368"/>
      <c r="AJO24" s="368"/>
      <c r="AJP24" s="368"/>
      <c r="AJQ24" s="368"/>
      <c r="AJR24" s="368"/>
      <c r="AJS24" s="368"/>
      <c r="AJT24" s="368"/>
      <c r="AJU24" s="368"/>
      <c r="AJV24" s="368"/>
      <c r="AJW24" s="368"/>
      <c r="AJX24" s="368"/>
      <c r="AJY24" s="368"/>
      <c r="AJZ24" s="368"/>
      <c r="AKA24" s="368"/>
      <c r="AKB24" s="368"/>
      <c r="AKC24" s="368"/>
      <c r="AKD24" s="368"/>
      <c r="AKE24" s="368"/>
      <c r="AKF24" s="368"/>
      <c r="AKG24" s="368"/>
      <c r="AKH24" s="368"/>
      <c r="AKI24" s="368"/>
      <c r="AKJ24" s="368"/>
      <c r="AKK24" s="368"/>
      <c r="AKL24" s="368"/>
      <c r="AKM24" s="368"/>
      <c r="AKN24" s="368"/>
    </row>
    <row r="25" spans="1:976" s="346" customFormat="1" ht="22.5" customHeight="1" x14ac:dyDescent="0.2">
      <c r="A25" s="370" t="s">
        <v>262</v>
      </c>
      <c r="B25" s="370"/>
      <c r="C25" s="370" t="s">
        <v>221</v>
      </c>
      <c r="D25" s="370" t="s">
        <v>222</v>
      </c>
      <c r="E25" s="371">
        <v>403209</v>
      </c>
      <c r="F25" s="371">
        <v>290</v>
      </c>
      <c r="G25" s="371">
        <v>43</v>
      </c>
      <c r="H25" s="371">
        <v>0</v>
      </c>
      <c r="I25" s="372">
        <v>45715</v>
      </c>
      <c r="J25" s="370" t="s">
        <v>290</v>
      </c>
      <c r="K25" s="370" t="s">
        <v>345</v>
      </c>
      <c r="L25" s="373">
        <v>26.15</v>
      </c>
      <c r="M25" s="373">
        <v>1.66</v>
      </c>
      <c r="N25" s="444">
        <v>27.81</v>
      </c>
      <c r="O25" s="370"/>
      <c r="P25" s="374">
        <v>45726</v>
      </c>
      <c r="Q25" s="373">
        <v>27.81</v>
      </c>
      <c r="R25" s="370" t="s">
        <v>346</v>
      </c>
      <c r="S25" s="373">
        <v>0</v>
      </c>
      <c r="T25" s="373">
        <v>0</v>
      </c>
      <c r="U25" s="373">
        <v>0</v>
      </c>
      <c r="V25" s="373">
        <v>0</v>
      </c>
      <c r="W25" s="370"/>
      <c r="X25" s="370" t="s">
        <v>293</v>
      </c>
      <c r="Y25" s="370" t="s">
        <v>294</v>
      </c>
      <c r="Z25" s="370" t="s">
        <v>42</v>
      </c>
      <c r="AA25" s="370" t="s">
        <v>228</v>
      </c>
      <c r="AB25" s="370" t="s">
        <v>235</v>
      </c>
      <c r="AC25" s="370" t="s">
        <v>331</v>
      </c>
      <c r="AD25" s="370" t="s">
        <v>231</v>
      </c>
      <c r="AE25" s="370" t="s">
        <v>232</v>
      </c>
      <c r="AF25" s="370" t="s">
        <v>231</v>
      </c>
      <c r="AG25" s="370" t="s">
        <v>232</v>
      </c>
      <c r="AH25" s="370"/>
      <c r="AI25" s="370"/>
      <c r="AJ25" s="370"/>
      <c r="AK25" s="370" t="s">
        <v>347</v>
      </c>
      <c r="AL25" s="371">
        <v>1</v>
      </c>
      <c r="AM25" s="371">
        <v>0</v>
      </c>
      <c r="AN25" s="372">
        <v>45726</v>
      </c>
      <c r="AO25" s="372">
        <v>45726</v>
      </c>
      <c r="AP25" s="373">
        <v>27.81</v>
      </c>
      <c r="AQ25" s="372">
        <v>45725</v>
      </c>
      <c r="AR25" s="368"/>
      <c r="AS25" s="368"/>
      <c r="AT25" s="368"/>
      <c r="AU25" s="368"/>
      <c r="AV25" s="368"/>
      <c r="AW25" s="368"/>
      <c r="AX25" s="368"/>
      <c r="AY25" s="368"/>
      <c r="AZ25" s="368"/>
      <c r="BA25" s="368"/>
      <c r="BB25" s="368"/>
      <c r="BC25" s="368"/>
      <c r="BD25" s="368"/>
      <c r="BE25" s="368"/>
      <c r="BF25" s="368"/>
      <c r="BG25" s="368"/>
      <c r="BH25" s="368"/>
      <c r="BI25" s="368"/>
      <c r="BJ25" s="368"/>
      <c r="BK25" s="368"/>
      <c r="BL25" s="368"/>
      <c r="BM25" s="368"/>
      <c r="BN25" s="368"/>
      <c r="BO25" s="368"/>
      <c r="BP25" s="368"/>
      <c r="BQ25" s="368"/>
      <c r="BR25" s="368"/>
      <c r="BS25" s="368"/>
      <c r="BT25" s="368"/>
      <c r="BU25" s="368"/>
      <c r="BV25" s="368"/>
      <c r="BW25" s="368"/>
      <c r="BX25" s="368"/>
      <c r="BY25" s="368"/>
      <c r="BZ25" s="368"/>
      <c r="CA25" s="368"/>
      <c r="CB25" s="368"/>
      <c r="CC25" s="368"/>
      <c r="CD25" s="368"/>
      <c r="CE25" s="368"/>
      <c r="CF25" s="368"/>
      <c r="CG25" s="368"/>
      <c r="CH25" s="368"/>
      <c r="CI25" s="368"/>
      <c r="CJ25" s="368"/>
      <c r="CK25" s="368"/>
      <c r="CL25" s="368"/>
      <c r="CM25" s="368"/>
      <c r="CN25" s="368"/>
      <c r="CO25" s="368"/>
      <c r="CP25" s="368"/>
      <c r="CQ25" s="368"/>
      <c r="CR25" s="368"/>
      <c r="CS25" s="368"/>
      <c r="CT25" s="368"/>
      <c r="CU25" s="368"/>
      <c r="CV25" s="368"/>
      <c r="CW25" s="368"/>
      <c r="CX25" s="368"/>
      <c r="CY25" s="368"/>
      <c r="CZ25" s="368"/>
      <c r="DA25" s="368"/>
      <c r="DB25" s="368"/>
      <c r="DC25" s="368"/>
      <c r="DD25" s="368"/>
      <c r="DE25" s="368"/>
      <c r="DF25" s="368"/>
      <c r="DG25" s="368"/>
      <c r="DH25" s="368"/>
      <c r="DI25" s="368"/>
      <c r="DJ25" s="368"/>
      <c r="DK25" s="368"/>
      <c r="DL25" s="368"/>
      <c r="DM25" s="368"/>
      <c r="DN25" s="368"/>
      <c r="DO25" s="368"/>
      <c r="DP25" s="368"/>
      <c r="DQ25" s="368"/>
      <c r="DR25" s="368"/>
      <c r="DS25" s="368"/>
      <c r="DT25" s="368"/>
      <c r="DU25" s="368"/>
      <c r="DV25" s="368"/>
      <c r="DW25" s="368"/>
      <c r="DX25" s="368"/>
      <c r="DY25" s="368"/>
      <c r="DZ25" s="368"/>
      <c r="EA25" s="368"/>
      <c r="EB25" s="368"/>
      <c r="EC25" s="368"/>
      <c r="ED25" s="368"/>
      <c r="EE25" s="368"/>
      <c r="EF25" s="368"/>
      <c r="EG25" s="368"/>
      <c r="EH25" s="368"/>
      <c r="EI25" s="368"/>
      <c r="EJ25" s="368"/>
      <c r="EK25" s="368"/>
      <c r="EL25" s="368"/>
      <c r="EM25" s="368"/>
      <c r="EN25" s="368"/>
      <c r="EO25" s="368"/>
      <c r="EP25" s="368"/>
      <c r="EQ25" s="368"/>
      <c r="ER25" s="368"/>
      <c r="ES25" s="368"/>
      <c r="ET25" s="368"/>
      <c r="EU25" s="368"/>
      <c r="EV25" s="368"/>
      <c r="EW25" s="368"/>
      <c r="EX25" s="368"/>
      <c r="EY25" s="368"/>
      <c r="EZ25" s="368"/>
      <c r="FA25" s="368"/>
      <c r="FB25" s="368"/>
      <c r="FC25" s="368"/>
      <c r="FD25" s="368"/>
      <c r="FE25" s="368"/>
      <c r="FF25" s="368"/>
      <c r="FG25" s="368"/>
      <c r="FH25" s="368"/>
      <c r="FI25" s="368"/>
      <c r="FJ25" s="368"/>
      <c r="FK25" s="368"/>
      <c r="FL25" s="368"/>
      <c r="FM25" s="368"/>
      <c r="FN25" s="368"/>
      <c r="FO25" s="368"/>
      <c r="FP25" s="368"/>
      <c r="FQ25" s="368"/>
      <c r="FR25" s="368"/>
      <c r="FS25" s="368"/>
      <c r="FT25" s="368"/>
      <c r="FU25" s="368"/>
      <c r="FV25" s="368"/>
      <c r="FW25" s="368"/>
      <c r="FX25" s="368"/>
      <c r="FY25" s="368"/>
      <c r="FZ25" s="368"/>
      <c r="GA25" s="368"/>
      <c r="GB25" s="368"/>
      <c r="GC25" s="368"/>
      <c r="GD25" s="368"/>
      <c r="GE25" s="368"/>
      <c r="GF25" s="368"/>
      <c r="GG25" s="368"/>
      <c r="GH25" s="368"/>
      <c r="GI25" s="368"/>
      <c r="GJ25" s="368"/>
      <c r="GK25" s="368"/>
      <c r="GL25" s="368"/>
      <c r="GM25" s="368"/>
      <c r="GN25" s="368"/>
      <c r="GO25" s="368"/>
      <c r="GP25" s="368"/>
      <c r="GQ25" s="368"/>
      <c r="GR25" s="368"/>
      <c r="GS25" s="368"/>
      <c r="GT25" s="368"/>
      <c r="GU25" s="368"/>
      <c r="GV25" s="368"/>
      <c r="GW25" s="368"/>
      <c r="GX25" s="368"/>
      <c r="GY25" s="368"/>
      <c r="GZ25" s="368"/>
      <c r="HA25" s="368"/>
      <c r="HB25" s="368"/>
      <c r="HC25" s="368"/>
      <c r="HD25" s="368"/>
      <c r="HE25" s="368"/>
      <c r="HF25" s="368"/>
      <c r="HG25" s="368"/>
      <c r="HH25" s="368"/>
      <c r="HI25" s="368"/>
      <c r="HJ25" s="368"/>
      <c r="HK25" s="368"/>
      <c r="HL25" s="368"/>
      <c r="HM25" s="368"/>
      <c r="HN25" s="368"/>
      <c r="HO25" s="368"/>
      <c r="HP25" s="368"/>
      <c r="HQ25" s="368"/>
      <c r="HR25" s="368"/>
      <c r="HS25" s="368"/>
      <c r="HT25" s="368"/>
      <c r="HU25" s="368"/>
      <c r="HV25" s="368"/>
      <c r="HW25" s="368"/>
      <c r="HX25" s="368"/>
      <c r="HY25" s="368"/>
      <c r="HZ25" s="368"/>
      <c r="IA25" s="368"/>
      <c r="IB25" s="368"/>
      <c r="IC25" s="368"/>
      <c r="ID25" s="368"/>
      <c r="IE25" s="368"/>
      <c r="IF25" s="368"/>
      <c r="IG25" s="368"/>
      <c r="IH25" s="368"/>
      <c r="II25" s="368"/>
      <c r="IJ25" s="368"/>
      <c r="IK25" s="368"/>
      <c r="IL25" s="368"/>
      <c r="IM25" s="368"/>
      <c r="IN25" s="368"/>
      <c r="IO25" s="368"/>
      <c r="IP25" s="368"/>
      <c r="IQ25" s="368"/>
      <c r="IR25" s="368"/>
      <c r="IS25" s="368"/>
      <c r="IT25" s="368"/>
      <c r="IU25" s="368"/>
      <c r="IV25" s="368"/>
      <c r="IW25" s="368"/>
      <c r="IX25" s="368"/>
      <c r="IY25" s="368"/>
      <c r="IZ25" s="368"/>
      <c r="JA25" s="368"/>
      <c r="JB25" s="368"/>
      <c r="JC25" s="368"/>
      <c r="JD25" s="368"/>
      <c r="JE25" s="368"/>
      <c r="JF25" s="368"/>
      <c r="JG25" s="368"/>
      <c r="JH25" s="368"/>
      <c r="JI25" s="368"/>
      <c r="JJ25" s="368"/>
      <c r="JK25" s="368"/>
      <c r="JL25" s="368"/>
      <c r="JM25" s="368"/>
      <c r="JN25" s="368"/>
      <c r="JO25" s="368"/>
      <c r="JP25" s="368"/>
      <c r="JQ25" s="368"/>
      <c r="JR25" s="368"/>
      <c r="JS25" s="368"/>
      <c r="JT25" s="368"/>
      <c r="JU25" s="368"/>
      <c r="JV25" s="368"/>
      <c r="JW25" s="368"/>
      <c r="JX25" s="368"/>
      <c r="JY25" s="368"/>
      <c r="JZ25" s="368"/>
      <c r="KA25" s="368"/>
      <c r="KB25" s="368"/>
      <c r="KC25" s="368"/>
      <c r="KD25" s="368"/>
      <c r="KE25" s="368"/>
      <c r="KF25" s="368"/>
      <c r="KG25" s="368"/>
      <c r="KH25" s="368"/>
      <c r="KI25" s="368"/>
      <c r="KJ25" s="368"/>
      <c r="KK25" s="368"/>
      <c r="KL25" s="368"/>
      <c r="KM25" s="368"/>
      <c r="KN25" s="368"/>
      <c r="KO25" s="368"/>
      <c r="KP25" s="368"/>
      <c r="KQ25" s="368"/>
      <c r="KR25" s="368"/>
      <c r="KS25" s="368"/>
      <c r="KT25" s="368"/>
      <c r="KU25" s="368"/>
      <c r="KV25" s="368"/>
      <c r="KW25" s="368"/>
      <c r="KX25" s="368"/>
      <c r="KY25" s="368"/>
      <c r="KZ25" s="368"/>
      <c r="LA25" s="368"/>
      <c r="LB25" s="368"/>
      <c r="LC25" s="368"/>
      <c r="LD25" s="368"/>
      <c r="LE25" s="368"/>
      <c r="LF25" s="368"/>
      <c r="LG25" s="368"/>
      <c r="LH25" s="368"/>
      <c r="LI25" s="368"/>
      <c r="LJ25" s="368"/>
      <c r="LK25" s="368"/>
      <c r="LL25" s="368"/>
      <c r="LM25" s="368"/>
      <c r="LN25" s="368"/>
      <c r="LO25" s="368"/>
      <c r="LP25" s="368"/>
      <c r="LQ25" s="368"/>
      <c r="LR25" s="368"/>
      <c r="LS25" s="368"/>
      <c r="LT25" s="368"/>
      <c r="LU25" s="368"/>
      <c r="LV25" s="368"/>
      <c r="LW25" s="368"/>
      <c r="LX25" s="368"/>
      <c r="LY25" s="368"/>
      <c r="LZ25" s="368"/>
      <c r="MA25" s="368"/>
      <c r="MB25" s="368"/>
      <c r="MC25" s="368"/>
      <c r="MD25" s="368"/>
      <c r="ME25" s="368"/>
      <c r="MF25" s="368"/>
      <c r="MG25" s="368"/>
      <c r="MH25" s="368"/>
      <c r="MI25" s="368"/>
      <c r="MJ25" s="368"/>
      <c r="MK25" s="368"/>
      <c r="ML25" s="368"/>
      <c r="MM25" s="368"/>
      <c r="MN25" s="368"/>
      <c r="MO25" s="368"/>
      <c r="MP25" s="368"/>
      <c r="MQ25" s="368"/>
      <c r="MR25" s="368"/>
      <c r="MS25" s="368"/>
      <c r="MT25" s="368"/>
      <c r="MU25" s="368"/>
      <c r="MV25" s="368"/>
      <c r="MW25" s="368"/>
      <c r="MX25" s="368"/>
      <c r="MY25" s="368"/>
      <c r="MZ25" s="368"/>
      <c r="NA25" s="368"/>
      <c r="NB25" s="368"/>
      <c r="NC25" s="368"/>
      <c r="ND25" s="368"/>
      <c r="NE25" s="368"/>
      <c r="NF25" s="368"/>
      <c r="NG25" s="368"/>
      <c r="NH25" s="368"/>
      <c r="NI25" s="368"/>
      <c r="NJ25" s="368"/>
      <c r="NK25" s="368"/>
      <c r="NL25" s="368"/>
      <c r="NM25" s="368"/>
      <c r="NN25" s="368"/>
      <c r="NO25" s="368"/>
      <c r="NP25" s="368"/>
      <c r="NQ25" s="368"/>
      <c r="NR25" s="368"/>
      <c r="NS25" s="368"/>
      <c r="NT25" s="368"/>
      <c r="NU25" s="368"/>
      <c r="NV25" s="368"/>
      <c r="NW25" s="368"/>
      <c r="NX25" s="368"/>
      <c r="NY25" s="368"/>
      <c r="NZ25" s="368"/>
      <c r="OA25" s="368"/>
      <c r="OB25" s="368"/>
      <c r="OC25" s="368"/>
      <c r="OD25" s="368"/>
      <c r="OE25" s="368"/>
      <c r="OF25" s="368"/>
      <c r="OG25" s="368"/>
      <c r="OH25" s="368"/>
      <c r="OI25" s="368"/>
      <c r="OJ25" s="368"/>
      <c r="OK25" s="368"/>
      <c r="OL25" s="368"/>
      <c r="OM25" s="368"/>
      <c r="ON25" s="368"/>
      <c r="OO25" s="368"/>
      <c r="OP25" s="368"/>
      <c r="OQ25" s="368"/>
      <c r="OR25" s="368"/>
      <c r="OS25" s="368"/>
      <c r="OT25" s="368"/>
      <c r="OU25" s="368"/>
      <c r="OV25" s="368"/>
      <c r="OW25" s="368"/>
      <c r="OX25" s="368"/>
      <c r="OY25" s="368"/>
      <c r="OZ25" s="368"/>
      <c r="PA25" s="368"/>
      <c r="PB25" s="368"/>
      <c r="PC25" s="368"/>
      <c r="PD25" s="368"/>
      <c r="PE25" s="368"/>
      <c r="PF25" s="368"/>
      <c r="PG25" s="368"/>
      <c r="PH25" s="368"/>
      <c r="PI25" s="368"/>
      <c r="PJ25" s="368"/>
      <c r="PK25" s="368"/>
      <c r="PL25" s="368"/>
      <c r="PM25" s="368"/>
      <c r="PN25" s="368"/>
      <c r="PO25" s="368"/>
      <c r="PP25" s="368"/>
      <c r="PQ25" s="368"/>
      <c r="PR25" s="368"/>
      <c r="PS25" s="368"/>
      <c r="PT25" s="368"/>
      <c r="PU25" s="368"/>
      <c r="PV25" s="368"/>
      <c r="PW25" s="368"/>
      <c r="PX25" s="368"/>
      <c r="PY25" s="368"/>
      <c r="PZ25" s="368"/>
      <c r="QA25" s="368"/>
      <c r="QB25" s="368"/>
      <c r="QC25" s="368"/>
      <c r="QD25" s="368"/>
      <c r="QE25" s="368"/>
      <c r="QF25" s="368"/>
      <c r="QG25" s="368"/>
      <c r="QH25" s="368"/>
      <c r="QI25" s="368"/>
      <c r="QJ25" s="368"/>
      <c r="QK25" s="368"/>
      <c r="QL25" s="368"/>
      <c r="QM25" s="368"/>
      <c r="QN25" s="368"/>
      <c r="QO25" s="368"/>
      <c r="QP25" s="368"/>
      <c r="QQ25" s="368"/>
      <c r="QR25" s="368"/>
      <c r="QS25" s="368"/>
      <c r="QT25" s="368"/>
      <c r="QU25" s="368"/>
      <c r="QV25" s="368"/>
      <c r="QW25" s="368"/>
      <c r="QX25" s="368"/>
      <c r="QY25" s="368"/>
      <c r="QZ25" s="368"/>
      <c r="RA25" s="368"/>
      <c r="RB25" s="368"/>
      <c r="RC25" s="368"/>
      <c r="RD25" s="368"/>
      <c r="RE25" s="368"/>
      <c r="RF25" s="368"/>
      <c r="RG25" s="368"/>
      <c r="RH25" s="368"/>
      <c r="RI25" s="368"/>
      <c r="RJ25" s="368"/>
      <c r="RK25" s="368"/>
      <c r="RL25" s="368"/>
      <c r="RM25" s="368"/>
      <c r="RN25" s="368"/>
      <c r="RO25" s="368"/>
      <c r="RP25" s="368"/>
      <c r="RQ25" s="368"/>
      <c r="RR25" s="368"/>
      <c r="RS25" s="368"/>
      <c r="RT25" s="368"/>
      <c r="RU25" s="368"/>
      <c r="RV25" s="368"/>
      <c r="RW25" s="368"/>
      <c r="RX25" s="368"/>
      <c r="RY25" s="368"/>
      <c r="RZ25" s="368"/>
      <c r="SA25" s="368"/>
      <c r="SB25" s="368"/>
      <c r="SC25" s="368"/>
      <c r="SD25" s="368"/>
      <c r="SE25" s="368"/>
      <c r="SF25" s="368"/>
      <c r="SG25" s="368"/>
      <c r="SH25" s="368"/>
      <c r="SI25" s="368"/>
      <c r="SJ25" s="368"/>
      <c r="SK25" s="368"/>
      <c r="SL25" s="368"/>
      <c r="SM25" s="368"/>
      <c r="SN25" s="368"/>
      <c r="SO25" s="368"/>
      <c r="SP25" s="368"/>
      <c r="SQ25" s="368"/>
      <c r="SR25" s="368"/>
      <c r="SS25" s="368"/>
      <c r="ST25" s="368"/>
      <c r="SU25" s="368"/>
      <c r="SV25" s="368"/>
      <c r="SW25" s="368"/>
      <c r="SX25" s="368"/>
      <c r="SY25" s="368"/>
      <c r="SZ25" s="368"/>
      <c r="TA25" s="368"/>
      <c r="TB25" s="368"/>
      <c r="TC25" s="368"/>
      <c r="TD25" s="368"/>
      <c r="TE25" s="368"/>
      <c r="TF25" s="368"/>
      <c r="TG25" s="368"/>
      <c r="TH25" s="368"/>
      <c r="TI25" s="368"/>
      <c r="TJ25" s="368"/>
      <c r="TK25" s="368"/>
      <c r="TL25" s="368"/>
      <c r="TM25" s="368"/>
      <c r="TN25" s="368"/>
      <c r="TO25" s="368"/>
      <c r="TP25" s="368"/>
      <c r="TQ25" s="368"/>
      <c r="TR25" s="368"/>
      <c r="TS25" s="368"/>
      <c r="TT25" s="368"/>
      <c r="TU25" s="368"/>
      <c r="TV25" s="368"/>
      <c r="TW25" s="368"/>
      <c r="TX25" s="368"/>
      <c r="TY25" s="368"/>
      <c r="TZ25" s="368"/>
      <c r="UA25" s="368"/>
      <c r="UB25" s="368"/>
      <c r="UC25" s="368"/>
      <c r="UD25" s="368"/>
      <c r="UE25" s="368"/>
      <c r="UF25" s="368"/>
      <c r="UG25" s="368"/>
      <c r="UH25" s="368"/>
      <c r="UI25" s="368"/>
      <c r="UJ25" s="368"/>
      <c r="UK25" s="368"/>
      <c r="UL25" s="368"/>
      <c r="UM25" s="368"/>
      <c r="UN25" s="368"/>
      <c r="UO25" s="368"/>
      <c r="UP25" s="368"/>
      <c r="UQ25" s="368"/>
      <c r="UR25" s="368"/>
      <c r="US25" s="368"/>
      <c r="UT25" s="368"/>
      <c r="UU25" s="368"/>
      <c r="UV25" s="368"/>
      <c r="UW25" s="368"/>
      <c r="UX25" s="368"/>
      <c r="UY25" s="368"/>
      <c r="UZ25" s="368"/>
      <c r="VA25" s="368"/>
      <c r="VB25" s="368"/>
      <c r="VC25" s="368"/>
      <c r="VD25" s="368"/>
      <c r="VE25" s="368"/>
      <c r="VF25" s="368"/>
      <c r="VG25" s="368"/>
      <c r="VH25" s="368"/>
      <c r="VI25" s="368"/>
      <c r="VJ25" s="368"/>
      <c r="VK25" s="368"/>
      <c r="VL25" s="368"/>
      <c r="VM25" s="368"/>
      <c r="VN25" s="368"/>
      <c r="VO25" s="368"/>
      <c r="VP25" s="368"/>
      <c r="VQ25" s="368"/>
      <c r="VR25" s="368"/>
      <c r="VS25" s="368"/>
      <c r="VT25" s="368"/>
      <c r="VU25" s="368"/>
      <c r="VV25" s="368"/>
      <c r="VW25" s="368"/>
      <c r="VX25" s="368"/>
      <c r="VY25" s="368"/>
      <c r="VZ25" s="368"/>
      <c r="WA25" s="368"/>
      <c r="WB25" s="368"/>
      <c r="WC25" s="368"/>
      <c r="WD25" s="368"/>
      <c r="WE25" s="368"/>
      <c r="WF25" s="368"/>
      <c r="WG25" s="368"/>
      <c r="WH25" s="368"/>
      <c r="WI25" s="368"/>
      <c r="WJ25" s="368"/>
      <c r="WK25" s="368"/>
      <c r="WL25" s="368"/>
      <c r="WM25" s="368"/>
      <c r="WN25" s="368"/>
      <c r="WO25" s="368"/>
      <c r="WP25" s="368"/>
      <c r="WQ25" s="368"/>
      <c r="WR25" s="368"/>
      <c r="WS25" s="368"/>
      <c r="WT25" s="368"/>
      <c r="WU25" s="368"/>
      <c r="WV25" s="368"/>
      <c r="WW25" s="368"/>
      <c r="WX25" s="368"/>
      <c r="WY25" s="368"/>
      <c r="WZ25" s="368"/>
      <c r="XA25" s="368"/>
      <c r="XB25" s="368"/>
      <c r="XC25" s="368"/>
      <c r="XD25" s="368"/>
      <c r="XE25" s="368"/>
      <c r="XF25" s="368"/>
      <c r="XG25" s="368"/>
      <c r="XH25" s="368"/>
      <c r="XI25" s="368"/>
      <c r="XJ25" s="368"/>
      <c r="XK25" s="368"/>
      <c r="XL25" s="368"/>
      <c r="XM25" s="368"/>
      <c r="XN25" s="368"/>
      <c r="XO25" s="368"/>
      <c r="XP25" s="368"/>
      <c r="XQ25" s="368"/>
      <c r="XR25" s="368"/>
      <c r="XS25" s="368"/>
      <c r="XT25" s="368"/>
      <c r="XU25" s="368"/>
      <c r="XV25" s="368"/>
      <c r="XW25" s="368"/>
      <c r="XX25" s="368"/>
      <c r="XY25" s="368"/>
      <c r="XZ25" s="368"/>
      <c r="YA25" s="368"/>
      <c r="YB25" s="368"/>
      <c r="YC25" s="368"/>
      <c r="YD25" s="368"/>
      <c r="YE25" s="368"/>
      <c r="YF25" s="368"/>
      <c r="YG25" s="368"/>
      <c r="YH25" s="368"/>
      <c r="YI25" s="368"/>
      <c r="YJ25" s="368"/>
      <c r="YK25" s="368"/>
      <c r="YL25" s="368"/>
      <c r="YM25" s="368"/>
      <c r="YN25" s="368"/>
      <c r="YO25" s="368"/>
      <c r="YP25" s="368"/>
      <c r="YQ25" s="368"/>
      <c r="YR25" s="368"/>
      <c r="YS25" s="368"/>
      <c r="YT25" s="368"/>
      <c r="YU25" s="368"/>
      <c r="YV25" s="368"/>
      <c r="YW25" s="368"/>
      <c r="YX25" s="368"/>
      <c r="YY25" s="368"/>
      <c r="YZ25" s="368"/>
      <c r="ZA25" s="368"/>
      <c r="ZB25" s="368"/>
      <c r="ZC25" s="368"/>
      <c r="ZD25" s="368"/>
      <c r="ZE25" s="368"/>
      <c r="ZF25" s="368"/>
      <c r="ZG25" s="368"/>
      <c r="ZH25" s="368"/>
      <c r="ZI25" s="368"/>
      <c r="ZJ25" s="368"/>
      <c r="ZK25" s="368"/>
      <c r="ZL25" s="368"/>
      <c r="ZM25" s="368"/>
      <c r="ZN25" s="368"/>
      <c r="ZO25" s="368"/>
      <c r="ZP25" s="368"/>
      <c r="ZQ25" s="368"/>
      <c r="ZR25" s="368"/>
      <c r="ZS25" s="368"/>
      <c r="ZT25" s="368"/>
      <c r="ZU25" s="368"/>
      <c r="ZV25" s="368"/>
      <c r="ZW25" s="368"/>
      <c r="ZX25" s="368"/>
      <c r="ZY25" s="368"/>
      <c r="ZZ25" s="368"/>
      <c r="AAA25" s="368"/>
      <c r="AAB25" s="368"/>
      <c r="AAC25" s="368"/>
      <c r="AAD25" s="368"/>
      <c r="AAE25" s="368"/>
      <c r="AAF25" s="368"/>
      <c r="AAG25" s="368"/>
      <c r="AAH25" s="368"/>
      <c r="AAI25" s="368"/>
      <c r="AAJ25" s="368"/>
      <c r="AAK25" s="368"/>
      <c r="AAL25" s="368"/>
      <c r="AAM25" s="368"/>
      <c r="AAN25" s="368"/>
      <c r="AAO25" s="368"/>
      <c r="AAP25" s="368"/>
      <c r="AAQ25" s="368"/>
      <c r="AAR25" s="368"/>
      <c r="AAS25" s="368"/>
      <c r="AAT25" s="368"/>
      <c r="AAU25" s="368"/>
      <c r="AAV25" s="368"/>
      <c r="AAW25" s="368"/>
      <c r="AAX25" s="368"/>
      <c r="AAY25" s="368"/>
      <c r="AAZ25" s="368"/>
      <c r="ABA25" s="368"/>
      <c r="ABB25" s="368"/>
      <c r="ABC25" s="368"/>
      <c r="ABD25" s="368"/>
      <c r="ABE25" s="368"/>
      <c r="ABF25" s="368"/>
      <c r="ABG25" s="368"/>
      <c r="ABH25" s="368"/>
      <c r="ABI25" s="368"/>
      <c r="ABJ25" s="368"/>
      <c r="ABK25" s="368"/>
      <c r="ABL25" s="368"/>
      <c r="ABM25" s="368"/>
      <c r="ABN25" s="368"/>
      <c r="ABO25" s="368"/>
      <c r="ABP25" s="368"/>
      <c r="ABQ25" s="368"/>
      <c r="ABR25" s="368"/>
      <c r="ABS25" s="368"/>
      <c r="ABT25" s="368"/>
      <c r="ABU25" s="368"/>
      <c r="ABV25" s="368"/>
      <c r="ABW25" s="368"/>
      <c r="ABX25" s="368"/>
      <c r="ABY25" s="368"/>
      <c r="ABZ25" s="368"/>
      <c r="ACA25" s="368"/>
      <c r="ACB25" s="368"/>
      <c r="ACC25" s="368"/>
      <c r="ACD25" s="368"/>
      <c r="ACE25" s="368"/>
      <c r="ACF25" s="368"/>
      <c r="ACG25" s="368"/>
      <c r="ACH25" s="368"/>
      <c r="ACI25" s="368"/>
      <c r="ACJ25" s="368"/>
      <c r="ACK25" s="368"/>
      <c r="ACL25" s="368"/>
      <c r="ACM25" s="368"/>
      <c r="ACN25" s="368"/>
      <c r="ACO25" s="368"/>
      <c r="ACP25" s="368"/>
      <c r="ACQ25" s="368"/>
      <c r="ACR25" s="368"/>
      <c r="ACS25" s="368"/>
      <c r="ACT25" s="368"/>
      <c r="ACU25" s="368"/>
      <c r="ACV25" s="368"/>
      <c r="ACW25" s="368"/>
      <c r="ACX25" s="368"/>
      <c r="ACY25" s="368"/>
      <c r="ACZ25" s="368"/>
      <c r="ADA25" s="368"/>
      <c r="ADB25" s="368"/>
      <c r="ADC25" s="368"/>
      <c r="ADD25" s="368"/>
      <c r="ADE25" s="368"/>
      <c r="ADF25" s="368"/>
      <c r="ADG25" s="368"/>
      <c r="ADH25" s="368"/>
      <c r="ADI25" s="368"/>
      <c r="ADJ25" s="368"/>
      <c r="ADK25" s="368"/>
      <c r="ADL25" s="368"/>
      <c r="ADM25" s="368"/>
      <c r="ADN25" s="368"/>
      <c r="ADO25" s="368"/>
      <c r="ADP25" s="368"/>
      <c r="ADQ25" s="368"/>
      <c r="ADR25" s="368"/>
      <c r="ADS25" s="368"/>
      <c r="ADT25" s="368"/>
      <c r="ADU25" s="368"/>
      <c r="ADV25" s="368"/>
      <c r="ADW25" s="368"/>
      <c r="ADX25" s="368"/>
      <c r="ADY25" s="368"/>
      <c r="ADZ25" s="368"/>
      <c r="AEA25" s="368"/>
      <c r="AEB25" s="368"/>
      <c r="AEC25" s="368"/>
      <c r="AED25" s="368"/>
      <c r="AEE25" s="368"/>
      <c r="AEF25" s="368"/>
      <c r="AEG25" s="368"/>
      <c r="AEH25" s="368"/>
      <c r="AEI25" s="368"/>
      <c r="AEJ25" s="368"/>
      <c r="AEK25" s="368"/>
      <c r="AEL25" s="368"/>
      <c r="AEM25" s="368"/>
      <c r="AEN25" s="368"/>
      <c r="AEO25" s="368"/>
      <c r="AEP25" s="368"/>
      <c r="AEQ25" s="368"/>
      <c r="AER25" s="368"/>
      <c r="AES25" s="368"/>
      <c r="AET25" s="368"/>
      <c r="AEU25" s="368"/>
      <c r="AEV25" s="368"/>
      <c r="AEW25" s="368"/>
      <c r="AEX25" s="368"/>
      <c r="AEY25" s="368"/>
      <c r="AEZ25" s="368"/>
      <c r="AFA25" s="368"/>
      <c r="AFB25" s="368"/>
      <c r="AFC25" s="368"/>
      <c r="AFD25" s="368"/>
      <c r="AFE25" s="368"/>
      <c r="AFF25" s="368"/>
      <c r="AFG25" s="368"/>
      <c r="AFH25" s="368"/>
      <c r="AFI25" s="368"/>
      <c r="AFJ25" s="368"/>
      <c r="AFK25" s="368"/>
      <c r="AFL25" s="368"/>
      <c r="AFM25" s="368"/>
      <c r="AFN25" s="368"/>
      <c r="AFO25" s="368"/>
      <c r="AFP25" s="368"/>
      <c r="AFQ25" s="368"/>
      <c r="AFR25" s="368"/>
      <c r="AFS25" s="368"/>
      <c r="AFT25" s="368"/>
      <c r="AFU25" s="368"/>
      <c r="AFV25" s="368"/>
      <c r="AFW25" s="368"/>
      <c r="AFX25" s="368"/>
      <c r="AFY25" s="368"/>
      <c r="AFZ25" s="368"/>
      <c r="AGA25" s="368"/>
      <c r="AGB25" s="368"/>
      <c r="AGC25" s="368"/>
      <c r="AGD25" s="368"/>
      <c r="AGE25" s="368"/>
      <c r="AGF25" s="368"/>
      <c r="AGG25" s="368"/>
      <c r="AGH25" s="368"/>
      <c r="AGI25" s="368"/>
      <c r="AGJ25" s="368"/>
      <c r="AGK25" s="368"/>
      <c r="AGL25" s="368"/>
      <c r="AGM25" s="368"/>
      <c r="AGN25" s="368"/>
      <c r="AGO25" s="368"/>
      <c r="AGP25" s="368"/>
      <c r="AGQ25" s="368"/>
      <c r="AGR25" s="368"/>
      <c r="AGS25" s="368"/>
      <c r="AGT25" s="368"/>
      <c r="AGU25" s="368"/>
      <c r="AGV25" s="368"/>
      <c r="AGW25" s="368"/>
      <c r="AGX25" s="368"/>
      <c r="AGY25" s="368"/>
      <c r="AGZ25" s="368"/>
      <c r="AHA25" s="368"/>
      <c r="AHB25" s="368"/>
      <c r="AHC25" s="368"/>
      <c r="AHD25" s="368"/>
      <c r="AHE25" s="368"/>
      <c r="AHF25" s="368"/>
      <c r="AHG25" s="368"/>
      <c r="AHH25" s="368"/>
      <c r="AHI25" s="368"/>
      <c r="AHJ25" s="368"/>
      <c r="AHK25" s="368"/>
      <c r="AHL25" s="368"/>
      <c r="AHM25" s="368"/>
      <c r="AHN25" s="368"/>
      <c r="AHO25" s="368"/>
      <c r="AHP25" s="368"/>
      <c r="AHQ25" s="368"/>
      <c r="AHR25" s="368"/>
      <c r="AHS25" s="368"/>
      <c r="AHT25" s="368"/>
      <c r="AHU25" s="368"/>
      <c r="AHV25" s="368"/>
      <c r="AHW25" s="368"/>
      <c r="AHX25" s="368"/>
      <c r="AHY25" s="368"/>
      <c r="AHZ25" s="368"/>
      <c r="AIA25" s="368"/>
      <c r="AIB25" s="368"/>
      <c r="AIC25" s="368"/>
      <c r="AID25" s="368"/>
      <c r="AIE25" s="368"/>
      <c r="AIF25" s="368"/>
      <c r="AIG25" s="368"/>
      <c r="AIH25" s="368"/>
      <c r="AII25" s="368"/>
      <c r="AIJ25" s="368"/>
      <c r="AIK25" s="368"/>
      <c r="AIL25" s="368"/>
      <c r="AIM25" s="368"/>
      <c r="AIN25" s="368"/>
      <c r="AIO25" s="368"/>
      <c r="AIP25" s="368"/>
      <c r="AIQ25" s="368"/>
      <c r="AIR25" s="368"/>
      <c r="AIS25" s="368"/>
      <c r="AIT25" s="368"/>
      <c r="AIU25" s="368"/>
      <c r="AIV25" s="368"/>
      <c r="AIW25" s="368"/>
      <c r="AIX25" s="368"/>
      <c r="AIY25" s="368"/>
      <c r="AIZ25" s="368"/>
      <c r="AJA25" s="368"/>
      <c r="AJB25" s="368"/>
      <c r="AJC25" s="368"/>
      <c r="AJD25" s="368"/>
      <c r="AJE25" s="368"/>
      <c r="AJF25" s="368"/>
      <c r="AJG25" s="368"/>
      <c r="AJH25" s="368"/>
      <c r="AJI25" s="368"/>
      <c r="AJJ25" s="368"/>
      <c r="AJK25" s="368"/>
      <c r="AJL25" s="368"/>
      <c r="AJM25" s="368"/>
      <c r="AJN25" s="368"/>
      <c r="AJO25" s="368"/>
      <c r="AJP25" s="368"/>
      <c r="AJQ25" s="368"/>
      <c r="AJR25" s="368"/>
      <c r="AJS25" s="368"/>
      <c r="AJT25" s="368"/>
      <c r="AJU25" s="368"/>
      <c r="AJV25" s="368"/>
      <c r="AJW25" s="368"/>
      <c r="AJX25" s="368"/>
      <c r="AJY25" s="368"/>
      <c r="AJZ25" s="368"/>
      <c r="AKA25" s="368"/>
      <c r="AKB25" s="368"/>
      <c r="AKC25" s="368"/>
      <c r="AKD25" s="368"/>
      <c r="AKE25" s="368"/>
      <c r="AKF25" s="368"/>
      <c r="AKG25" s="368"/>
      <c r="AKH25" s="368"/>
      <c r="AKI25" s="368"/>
      <c r="AKJ25" s="368"/>
      <c r="AKK25" s="368"/>
      <c r="AKL25" s="368"/>
      <c r="AKM25" s="368"/>
      <c r="AKN25" s="368"/>
    </row>
    <row r="26" spans="1:976" s="346" customFormat="1" ht="22.5" customHeight="1" x14ac:dyDescent="0.2">
      <c r="A26" s="370" t="s">
        <v>262</v>
      </c>
      <c r="B26" s="370"/>
      <c r="C26" s="370" t="s">
        <v>221</v>
      </c>
      <c r="D26" s="370" t="s">
        <v>222</v>
      </c>
      <c r="E26" s="371">
        <v>403211</v>
      </c>
      <c r="F26" s="371">
        <v>291</v>
      </c>
      <c r="G26" s="371">
        <v>43</v>
      </c>
      <c r="H26" s="371">
        <v>0</v>
      </c>
      <c r="I26" s="372">
        <v>45715</v>
      </c>
      <c r="J26" s="370" t="s">
        <v>290</v>
      </c>
      <c r="K26" s="370" t="s">
        <v>348</v>
      </c>
      <c r="L26" s="373">
        <v>25.48</v>
      </c>
      <c r="M26" s="373">
        <v>3.6</v>
      </c>
      <c r="N26" s="444">
        <v>29.08</v>
      </c>
      <c r="O26" s="370"/>
      <c r="P26" s="374">
        <v>45726</v>
      </c>
      <c r="Q26" s="373">
        <v>29.08</v>
      </c>
      <c r="R26" s="370" t="s">
        <v>349</v>
      </c>
      <c r="S26" s="373">
        <v>0</v>
      </c>
      <c r="T26" s="373">
        <v>0</v>
      </c>
      <c r="U26" s="373">
        <v>0</v>
      </c>
      <c r="V26" s="373">
        <v>0</v>
      </c>
      <c r="W26" s="370"/>
      <c r="X26" s="370" t="s">
        <v>293</v>
      </c>
      <c r="Y26" s="370" t="s">
        <v>294</v>
      </c>
      <c r="Z26" s="370" t="s">
        <v>42</v>
      </c>
      <c r="AA26" s="370" t="s">
        <v>228</v>
      </c>
      <c r="AB26" s="370" t="s">
        <v>235</v>
      </c>
      <c r="AC26" s="370" t="s">
        <v>331</v>
      </c>
      <c r="AD26" s="370" t="s">
        <v>231</v>
      </c>
      <c r="AE26" s="370" t="s">
        <v>232</v>
      </c>
      <c r="AF26" s="370" t="s">
        <v>231</v>
      </c>
      <c r="AG26" s="370" t="s">
        <v>232</v>
      </c>
      <c r="AH26" s="370"/>
      <c r="AI26" s="370"/>
      <c r="AJ26" s="370"/>
      <c r="AK26" s="370" t="s">
        <v>350</v>
      </c>
      <c r="AL26" s="371">
        <v>1</v>
      </c>
      <c r="AM26" s="371">
        <v>0</v>
      </c>
      <c r="AN26" s="372">
        <v>45726</v>
      </c>
      <c r="AO26" s="372">
        <v>45726</v>
      </c>
      <c r="AP26" s="373">
        <v>29.08</v>
      </c>
      <c r="AQ26" s="372">
        <v>45725</v>
      </c>
      <c r="AR26" s="368"/>
      <c r="AS26" s="368"/>
      <c r="AT26" s="368"/>
      <c r="AU26" s="368"/>
      <c r="AV26" s="368"/>
      <c r="AW26" s="368"/>
      <c r="AX26" s="368"/>
      <c r="AY26" s="368"/>
      <c r="AZ26" s="368"/>
      <c r="BA26" s="368"/>
      <c r="BB26" s="368"/>
      <c r="BC26" s="368"/>
      <c r="BD26" s="368"/>
      <c r="BE26" s="368"/>
      <c r="BF26" s="368"/>
      <c r="BG26" s="368"/>
      <c r="BH26" s="368"/>
      <c r="BI26" s="368"/>
      <c r="BJ26" s="368"/>
      <c r="BK26" s="368"/>
      <c r="BL26" s="368"/>
      <c r="BM26" s="368"/>
      <c r="BN26" s="368"/>
      <c r="BO26" s="368"/>
      <c r="BP26" s="368"/>
      <c r="BQ26" s="368"/>
      <c r="BR26" s="368"/>
      <c r="BS26" s="368"/>
      <c r="BT26" s="368"/>
      <c r="BU26" s="368"/>
      <c r="BV26" s="368"/>
      <c r="BW26" s="368"/>
      <c r="BX26" s="368"/>
      <c r="BY26" s="368"/>
      <c r="BZ26" s="368"/>
      <c r="CA26" s="368"/>
      <c r="CB26" s="368"/>
      <c r="CC26" s="368"/>
      <c r="CD26" s="368"/>
      <c r="CE26" s="368"/>
      <c r="CF26" s="368"/>
      <c r="CG26" s="368"/>
      <c r="CH26" s="368"/>
      <c r="CI26" s="368"/>
      <c r="CJ26" s="368"/>
      <c r="CK26" s="368"/>
      <c r="CL26" s="368"/>
      <c r="CM26" s="368"/>
      <c r="CN26" s="368"/>
      <c r="CO26" s="368"/>
      <c r="CP26" s="368"/>
      <c r="CQ26" s="368"/>
      <c r="CR26" s="368"/>
      <c r="CS26" s="368"/>
      <c r="CT26" s="368"/>
      <c r="CU26" s="368"/>
      <c r="CV26" s="368"/>
      <c r="CW26" s="368"/>
      <c r="CX26" s="368"/>
      <c r="CY26" s="368"/>
      <c r="CZ26" s="368"/>
      <c r="DA26" s="368"/>
      <c r="DB26" s="368"/>
      <c r="DC26" s="368"/>
      <c r="DD26" s="368"/>
      <c r="DE26" s="368"/>
      <c r="DF26" s="368"/>
      <c r="DG26" s="368"/>
      <c r="DH26" s="368"/>
      <c r="DI26" s="368"/>
      <c r="DJ26" s="368"/>
      <c r="DK26" s="368"/>
      <c r="DL26" s="368"/>
      <c r="DM26" s="368"/>
      <c r="DN26" s="368"/>
      <c r="DO26" s="368"/>
      <c r="DP26" s="368"/>
      <c r="DQ26" s="368"/>
      <c r="DR26" s="368"/>
      <c r="DS26" s="368"/>
      <c r="DT26" s="368"/>
      <c r="DU26" s="368"/>
      <c r="DV26" s="368"/>
      <c r="DW26" s="368"/>
      <c r="DX26" s="368"/>
      <c r="DY26" s="368"/>
      <c r="DZ26" s="368"/>
      <c r="EA26" s="368"/>
      <c r="EB26" s="368"/>
      <c r="EC26" s="368"/>
      <c r="ED26" s="368"/>
      <c r="EE26" s="368"/>
      <c r="EF26" s="368"/>
      <c r="EG26" s="368"/>
      <c r="EH26" s="368"/>
      <c r="EI26" s="368"/>
      <c r="EJ26" s="368"/>
      <c r="EK26" s="368"/>
      <c r="EL26" s="368"/>
      <c r="EM26" s="368"/>
      <c r="EN26" s="368"/>
      <c r="EO26" s="368"/>
      <c r="EP26" s="368"/>
      <c r="EQ26" s="368"/>
      <c r="ER26" s="368"/>
      <c r="ES26" s="368"/>
      <c r="ET26" s="368"/>
      <c r="EU26" s="368"/>
      <c r="EV26" s="368"/>
      <c r="EW26" s="368"/>
      <c r="EX26" s="368"/>
      <c r="EY26" s="368"/>
      <c r="EZ26" s="368"/>
      <c r="FA26" s="368"/>
      <c r="FB26" s="368"/>
      <c r="FC26" s="368"/>
      <c r="FD26" s="368"/>
      <c r="FE26" s="368"/>
      <c r="FF26" s="368"/>
      <c r="FG26" s="368"/>
      <c r="FH26" s="368"/>
      <c r="FI26" s="368"/>
      <c r="FJ26" s="368"/>
      <c r="FK26" s="368"/>
      <c r="FL26" s="368"/>
      <c r="FM26" s="368"/>
      <c r="FN26" s="368"/>
      <c r="FO26" s="368"/>
      <c r="FP26" s="368"/>
      <c r="FQ26" s="368"/>
      <c r="FR26" s="368"/>
      <c r="FS26" s="368"/>
      <c r="FT26" s="368"/>
      <c r="FU26" s="368"/>
      <c r="FV26" s="368"/>
      <c r="FW26" s="368"/>
      <c r="FX26" s="368"/>
      <c r="FY26" s="368"/>
      <c r="FZ26" s="368"/>
      <c r="GA26" s="368"/>
      <c r="GB26" s="368"/>
      <c r="GC26" s="368"/>
      <c r="GD26" s="368"/>
      <c r="GE26" s="368"/>
      <c r="GF26" s="368"/>
      <c r="GG26" s="368"/>
      <c r="GH26" s="368"/>
      <c r="GI26" s="368"/>
      <c r="GJ26" s="368"/>
      <c r="GK26" s="368"/>
      <c r="GL26" s="368"/>
      <c r="GM26" s="368"/>
      <c r="GN26" s="368"/>
      <c r="GO26" s="368"/>
      <c r="GP26" s="368"/>
      <c r="GQ26" s="368"/>
      <c r="GR26" s="368"/>
      <c r="GS26" s="368"/>
      <c r="GT26" s="368"/>
      <c r="GU26" s="368"/>
      <c r="GV26" s="368"/>
      <c r="GW26" s="368"/>
      <c r="GX26" s="368"/>
      <c r="GY26" s="368"/>
      <c r="GZ26" s="368"/>
      <c r="HA26" s="368"/>
      <c r="HB26" s="368"/>
      <c r="HC26" s="368"/>
      <c r="HD26" s="368"/>
      <c r="HE26" s="368"/>
      <c r="HF26" s="368"/>
      <c r="HG26" s="368"/>
      <c r="HH26" s="368"/>
      <c r="HI26" s="368"/>
      <c r="HJ26" s="368"/>
      <c r="HK26" s="368"/>
      <c r="HL26" s="368"/>
      <c r="HM26" s="368"/>
      <c r="HN26" s="368"/>
      <c r="HO26" s="368"/>
      <c r="HP26" s="368"/>
      <c r="HQ26" s="368"/>
      <c r="HR26" s="368"/>
      <c r="HS26" s="368"/>
      <c r="HT26" s="368"/>
      <c r="HU26" s="368"/>
      <c r="HV26" s="368"/>
      <c r="HW26" s="368"/>
      <c r="HX26" s="368"/>
      <c r="HY26" s="368"/>
      <c r="HZ26" s="368"/>
      <c r="IA26" s="368"/>
      <c r="IB26" s="368"/>
      <c r="IC26" s="368"/>
      <c r="ID26" s="368"/>
      <c r="IE26" s="368"/>
      <c r="IF26" s="368"/>
      <c r="IG26" s="368"/>
      <c r="IH26" s="368"/>
      <c r="II26" s="368"/>
      <c r="IJ26" s="368"/>
      <c r="IK26" s="368"/>
      <c r="IL26" s="368"/>
      <c r="IM26" s="368"/>
      <c r="IN26" s="368"/>
      <c r="IO26" s="368"/>
      <c r="IP26" s="368"/>
      <c r="IQ26" s="368"/>
      <c r="IR26" s="368"/>
      <c r="IS26" s="368"/>
      <c r="IT26" s="368"/>
      <c r="IU26" s="368"/>
      <c r="IV26" s="368"/>
      <c r="IW26" s="368"/>
      <c r="IX26" s="368"/>
      <c r="IY26" s="368"/>
      <c r="IZ26" s="368"/>
      <c r="JA26" s="368"/>
      <c r="JB26" s="368"/>
      <c r="JC26" s="368"/>
      <c r="JD26" s="368"/>
      <c r="JE26" s="368"/>
      <c r="JF26" s="368"/>
      <c r="JG26" s="368"/>
      <c r="JH26" s="368"/>
      <c r="JI26" s="368"/>
      <c r="JJ26" s="368"/>
      <c r="JK26" s="368"/>
      <c r="JL26" s="368"/>
      <c r="JM26" s="368"/>
      <c r="JN26" s="368"/>
      <c r="JO26" s="368"/>
      <c r="JP26" s="368"/>
      <c r="JQ26" s="368"/>
      <c r="JR26" s="368"/>
      <c r="JS26" s="368"/>
      <c r="JT26" s="368"/>
      <c r="JU26" s="368"/>
      <c r="JV26" s="368"/>
      <c r="JW26" s="368"/>
      <c r="JX26" s="368"/>
      <c r="JY26" s="368"/>
      <c r="JZ26" s="368"/>
      <c r="KA26" s="368"/>
      <c r="KB26" s="368"/>
      <c r="KC26" s="368"/>
      <c r="KD26" s="368"/>
      <c r="KE26" s="368"/>
      <c r="KF26" s="368"/>
      <c r="KG26" s="368"/>
      <c r="KH26" s="368"/>
      <c r="KI26" s="368"/>
      <c r="KJ26" s="368"/>
      <c r="KK26" s="368"/>
      <c r="KL26" s="368"/>
      <c r="KM26" s="368"/>
      <c r="KN26" s="368"/>
      <c r="KO26" s="368"/>
      <c r="KP26" s="368"/>
      <c r="KQ26" s="368"/>
      <c r="KR26" s="368"/>
      <c r="KS26" s="368"/>
      <c r="KT26" s="368"/>
      <c r="KU26" s="368"/>
      <c r="KV26" s="368"/>
      <c r="KW26" s="368"/>
      <c r="KX26" s="368"/>
      <c r="KY26" s="368"/>
      <c r="KZ26" s="368"/>
      <c r="LA26" s="368"/>
      <c r="LB26" s="368"/>
      <c r="LC26" s="368"/>
      <c r="LD26" s="368"/>
      <c r="LE26" s="368"/>
      <c r="LF26" s="368"/>
      <c r="LG26" s="368"/>
      <c r="LH26" s="368"/>
      <c r="LI26" s="368"/>
      <c r="LJ26" s="368"/>
      <c r="LK26" s="368"/>
      <c r="LL26" s="368"/>
      <c r="LM26" s="368"/>
      <c r="LN26" s="368"/>
      <c r="LO26" s="368"/>
      <c r="LP26" s="368"/>
      <c r="LQ26" s="368"/>
      <c r="LR26" s="368"/>
      <c r="LS26" s="368"/>
      <c r="LT26" s="368"/>
      <c r="LU26" s="368"/>
      <c r="LV26" s="368"/>
      <c r="LW26" s="368"/>
      <c r="LX26" s="368"/>
      <c r="LY26" s="368"/>
      <c r="LZ26" s="368"/>
      <c r="MA26" s="368"/>
      <c r="MB26" s="368"/>
      <c r="MC26" s="368"/>
      <c r="MD26" s="368"/>
      <c r="ME26" s="368"/>
      <c r="MF26" s="368"/>
      <c r="MG26" s="368"/>
      <c r="MH26" s="368"/>
      <c r="MI26" s="368"/>
      <c r="MJ26" s="368"/>
      <c r="MK26" s="368"/>
      <c r="ML26" s="368"/>
      <c r="MM26" s="368"/>
      <c r="MN26" s="368"/>
      <c r="MO26" s="368"/>
      <c r="MP26" s="368"/>
      <c r="MQ26" s="368"/>
      <c r="MR26" s="368"/>
      <c r="MS26" s="368"/>
      <c r="MT26" s="368"/>
      <c r="MU26" s="368"/>
      <c r="MV26" s="368"/>
      <c r="MW26" s="368"/>
      <c r="MX26" s="368"/>
      <c r="MY26" s="368"/>
      <c r="MZ26" s="368"/>
      <c r="NA26" s="368"/>
      <c r="NB26" s="368"/>
      <c r="NC26" s="368"/>
      <c r="ND26" s="368"/>
      <c r="NE26" s="368"/>
      <c r="NF26" s="368"/>
      <c r="NG26" s="368"/>
      <c r="NH26" s="368"/>
      <c r="NI26" s="368"/>
      <c r="NJ26" s="368"/>
      <c r="NK26" s="368"/>
      <c r="NL26" s="368"/>
      <c r="NM26" s="368"/>
      <c r="NN26" s="368"/>
      <c r="NO26" s="368"/>
      <c r="NP26" s="368"/>
      <c r="NQ26" s="368"/>
      <c r="NR26" s="368"/>
      <c r="NS26" s="368"/>
      <c r="NT26" s="368"/>
      <c r="NU26" s="368"/>
      <c r="NV26" s="368"/>
      <c r="NW26" s="368"/>
      <c r="NX26" s="368"/>
      <c r="NY26" s="368"/>
      <c r="NZ26" s="368"/>
      <c r="OA26" s="368"/>
      <c r="OB26" s="368"/>
      <c r="OC26" s="368"/>
      <c r="OD26" s="368"/>
      <c r="OE26" s="368"/>
      <c r="OF26" s="368"/>
      <c r="OG26" s="368"/>
      <c r="OH26" s="368"/>
      <c r="OI26" s="368"/>
      <c r="OJ26" s="368"/>
      <c r="OK26" s="368"/>
      <c r="OL26" s="368"/>
      <c r="OM26" s="368"/>
      <c r="ON26" s="368"/>
      <c r="OO26" s="368"/>
      <c r="OP26" s="368"/>
      <c r="OQ26" s="368"/>
      <c r="OR26" s="368"/>
      <c r="OS26" s="368"/>
      <c r="OT26" s="368"/>
      <c r="OU26" s="368"/>
      <c r="OV26" s="368"/>
      <c r="OW26" s="368"/>
      <c r="OX26" s="368"/>
      <c r="OY26" s="368"/>
      <c r="OZ26" s="368"/>
      <c r="PA26" s="368"/>
      <c r="PB26" s="368"/>
      <c r="PC26" s="368"/>
      <c r="PD26" s="368"/>
      <c r="PE26" s="368"/>
      <c r="PF26" s="368"/>
      <c r="PG26" s="368"/>
      <c r="PH26" s="368"/>
      <c r="PI26" s="368"/>
      <c r="PJ26" s="368"/>
      <c r="PK26" s="368"/>
      <c r="PL26" s="368"/>
      <c r="PM26" s="368"/>
      <c r="PN26" s="368"/>
      <c r="PO26" s="368"/>
      <c r="PP26" s="368"/>
      <c r="PQ26" s="368"/>
      <c r="PR26" s="368"/>
      <c r="PS26" s="368"/>
      <c r="PT26" s="368"/>
      <c r="PU26" s="368"/>
      <c r="PV26" s="368"/>
      <c r="PW26" s="368"/>
      <c r="PX26" s="368"/>
      <c r="PY26" s="368"/>
      <c r="PZ26" s="368"/>
      <c r="QA26" s="368"/>
      <c r="QB26" s="368"/>
      <c r="QC26" s="368"/>
      <c r="QD26" s="368"/>
      <c r="QE26" s="368"/>
      <c r="QF26" s="368"/>
      <c r="QG26" s="368"/>
      <c r="QH26" s="368"/>
      <c r="QI26" s="368"/>
      <c r="QJ26" s="368"/>
      <c r="QK26" s="368"/>
      <c r="QL26" s="368"/>
      <c r="QM26" s="368"/>
      <c r="QN26" s="368"/>
      <c r="QO26" s="368"/>
      <c r="QP26" s="368"/>
      <c r="QQ26" s="368"/>
      <c r="QR26" s="368"/>
      <c r="QS26" s="368"/>
      <c r="QT26" s="368"/>
      <c r="QU26" s="368"/>
      <c r="QV26" s="368"/>
      <c r="QW26" s="368"/>
      <c r="QX26" s="368"/>
      <c r="QY26" s="368"/>
      <c r="QZ26" s="368"/>
      <c r="RA26" s="368"/>
      <c r="RB26" s="368"/>
      <c r="RC26" s="368"/>
      <c r="RD26" s="368"/>
      <c r="RE26" s="368"/>
      <c r="RF26" s="368"/>
      <c r="RG26" s="368"/>
      <c r="RH26" s="368"/>
      <c r="RI26" s="368"/>
      <c r="RJ26" s="368"/>
      <c r="RK26" s="368"/>
      <c r="RL26" s="368"/>
      <c r="RM26" s="368"/>
      <c r="RN26" s="368"/>
      <c r="RO26" s="368"/>
      <c r="RP26" s="368"/>
      <c r="RQ26" s="368"/>
      <c r="RR26" s="368"/>
      <c r="RS26" s="368"/>
      <c r="RT26" s="368"/>
      <c r="RU26" s="368"/>
      <c r="RV26" s="368"/>
      <c r="RW26" s="368"/>
      <c r="RX26" s="368"/>
      <c r="RY26" s="368"/>
      <c r="RZ26" s="368"/>
      <c r="SA26" s="368"/>
      <c r="SB26" s="368"/>
      <c r="SC26" s="368"/>
      <c r="SD26" s="368"/>
      <c r="SE26" s="368"/>
      <c r="SF26" s="368"/>
      <c r="SG26" s="368"/>
      <c r="SH26" s="368"/>
      <c r="SI26" s="368"/>
      <c r="SJ26" s="368"/>
      <c r="SK26" s="368"/>
      <c r="SL26" s="368"/>
      <c r="SM26" s="368"/>
      <c r="SN26" s="368"/>
      <c r="SO26" s="368"/>
      <c r="SP26" s="368"/>
      <c r="SQ26" s="368"/>
      <c r="SR26" s="368"/>
      <c r="SS26" s="368"/>
      <c r="ST26" s="368"/>
      <c r="SU26" s="368"/>
      <c r="SV26" s="368"/>
      <c r="SW26" s="368"/>
      <c r="SX26" s="368"/>
      <c r="SY26" s="368"/>
      <c r="SZ26" s="368"/>
      <c r="TA26" s="368"/>
      <c r="TB26" s="368"/>
      <c r="TC26" s="368"/>
      <c r="TD26" s="368"/>
      <c r="TE26" s="368"/>
      <c r="TF26" s="368"/>
      <c r="TG26" s="368"/>
      <c r="TH26" s="368"/>
      <c r="TI26" s="368"/>
      <c r="TJ26" s="368"/>
      <c r="TK26" s="368"/>
      <c r="TL26" s="368"/>
      <c r="TM26" s="368"/>
      <c r="TN26" s="368"/>
      <c r="TO26" s="368"/>
      <c r="TP26" s="368"/>
      <c r="TQ26" s="368"/>
      <c r="TR26" s="368"/>
      <c r="TS26" s="368"/>
      <c r="TT26" s="368"/>
      <c r="TU26" s="368"/>
      <c r="TV26" s="368"/>
      <c r="TW26" s="368"/>
      <c r="TX26" s="368"/>
      <c r="TY26" s="368"/>
      <c r="TZ26" s="368"/>
      <c r="UA26" s="368"/>
      <c r="UB26" s="368"/>
      <c r="UC26" s="368"/>
      <c r="UD26" s="368"/>
      <c r="UE26" s="368"/>
      <c r="UF26" s="368"/>
      <c r="UG26" s="368"/>
      <c r="UH26" s="368"/>
      <c r="UI26" s="368"/>
      <c r="UJ26" s="368"/>
      <c r="UK26" s="368"/>
      <c r="UL26" s="368"/>
      <c r="UM26" s="368"/>
      <c r="UN26" s="368"/>
      <c r="UO26" s="368"/>
      <c r="UP26" s="368"/>
      <c r="UQ26" s="368"/>
      <c r="UR26" s="368"/>
      <c r="US26" s="368"/>
      <c r="UT26" s="368"/>
      <c r="UU26" s="368"/>
      <c r="UV26" s="368"/>
      <c r="UW26" s="368"/>
      <c r="UX26" s="368"/>
      <c r="UY26" s="368"/>
      <c r="UZ26" s="368"/>
      <c r="VA26" s="368"/>
      <c r="VB26" s="368"/>
      <c r="VC26" s="368"/>
      <c r="VD26" s="368"/>
      <c r="VE26" s="368"/>
      <c r="VF26" s="368"/>
      <c r="VG26" s="368"/>
      <c r="VH26" s="368"/>
      <c r="VI26" s="368"/>
      <c r="VJ26" s="368"/>
      <c r="VK26" s="368"/>
      <c r="VL26" s="368"/>
      <c r="VM26" s="368"/>
      <c r="VN26" s="368"/>
      <c r="VO26" s="368"/>
      <c r="VP26" s="368"/>
      <c r="VQ26" s="368"/>
      <c r="VR26" s="368"/>
      <c r="VS26" s="368"/>
      <c r="VT26" s="368"/>
      <c r="VU26" s="368"/>
      <c r="VV26" s="368"/>
      <c r="VW26" s="368"/>
      <c r="VX26" s="368"/>
      <c r="VY26" s="368"/>
      <c r="VZ26" s="368"/>
      <c r="WA26" s="368"/>
      <c r="WB26" s="368"/>
      <c r="WC26" s="368"/>
      <c r="WD26" s="368"/>
      <c r="WE26" s="368"/>
      <c r="WF26" s="368"/>
      <c r="WG26" s="368"/>
      <c r="WH26" s="368"/>
      <c r="WI26" s="368"/>
      <c r="WJ26" s="368"/>
      <c r="WK26" s="368"/>
      <c r="WL26" s="368"/>
      <c r="WM26" s="368"/>
      <c r="WN26" s="368"/>
      <c r="WO26" s="368"/>
      <c r="WP26" s="368"/>
      <c r="WQ26" s="368"/>
      <c r="WR26" s="368"/>
      <c r="WS26" s="368"/>
      <c r="WT26" s="368"/>
      <c r="WU26" s="368"/>
      <c r="WV26" s="368"/>
      <c r="WW26" s="368"/>
      <c r="WX26" s="368"/>
      <c r="WY26" s="368"/>
      <c r="WZ26" s="368"/>
      <c r="XA26" s="368"/>
      <c r="XB26" s="368"/>
      <c r="XC26" s="368"/>
      <c r="XD26" s="368"/>
      <c r="XE26" s="368"/>
      <c r="XF26" s="368"/>
      <c r="XG26" s="368"/>
      <c r="XH26" s="368"/>
      <c r="XI26" s="368"/>
      <c r="XJ26" s="368"/>
      <c r="XK26" s="368"/>
      <c r="XL26" s="368"/>
      <c r="XM26" s="368"/>
      <c r="XN26" s="368"/>
      <c r="XO26" s="368"/>
      <c r="XP26" s="368"/>
      <c r="XQ26" s="368"/>
      <c r="XR26" s="368"/>
      <c r="XS26" s="368"/>
      <c r="XT26" s="368"/>
      <c r="XU26" s="368"/>
      <c r="XV26" s="368"/>
      <c r="XW26" s="368"/>
      <c r="XX26" s="368"/>
      <c r="XY26" s="368"/>
      <c r="XZ26" s="368"/>
      <c r="YA26" s="368"/>
      <c r="YB26" s="368"/>
      <c r="YC26" s="368"/>
      <c r="YD26" s="368"/>
      <c r="YE26" s="368"/>
      <c r="YF26" s="368"/>
      <c r="YG26" s="368"/>
      <c r="YH26" s="368"/>
      <c r="YI26" s="368"/>
      <c r="YJ26" s="368"/>
      <c r="YK26" s="368"/>
      <c r="YL26" s="368"/>
      <c r="YM26" s="368"/>
      <c r="YN26" s="368"/>
      <c r="YO26" s="368"/>
      <c r="YP26" s="368"/>
      <c r="YQ26" s="368"/>
      <c r="YR26" s="368"/>
      <c r="YS26" s="368"/>
      <c r="YT26" s="368"/>
      <c r="YU26" s="368"/>
      <c r="YV26" s="368"/>
      <c r="YW26" s="368"/>
      <c r="YX26" s="368"/>
      <c r="YY26" s="368"/>
      <c r="YZ26" s="368"/>
      <c r="ZA26" s="368"/>
      <c r="ZB26" s="368"/>
      <c r="ZC26" s="368"/>
      <c r="ZD26" s="368"/>
      <c r="ZE26" s="368"/>
      <c r="ZF26" s="368"/>
      <c r="ZG26" s="368"/>
      <c r="ZH26" s="368"/>
      <c r="ZI26" s="368"/>
      <c r="ZJ26" s="368"/>
      <c r="ZK26" s="368"/>
      <c r="ZL26" s="368"/>
      <c r="ZM26" s="368"/>
      <c r="ZN26" s="368"/>
      <c r="ZO26" s="368"/>
      <c r="ZP26" s="368"/>
      <c r="ZQ26" s="368"/>
      <c r="ZR26" s="368"/>
      <c r="ZS26" s="368"/>
      <c r="ZT26" s="368"/>
      <c r="ZU26" s="368"/>
      <c r="ZV26" s="368"/>
      <c r="ZW26" s="368"/>
      <c r="ZX26" s="368"/>
      <c r="ZY26" s="368"/>
      <c r="ZZ26" s="368"/>
      <c r="AAA26" s="368"/>
      <c r="AAB26" s="368"/>
      <c r="AAC26" s="368"/>
      <c r="AAD26" s="368"/>
      <c r="AAE26" s="368"/>
      <c r="AAF26" s="368"/>
      <c r="AAG26" s="368"/>
      <c r="AAH26" s="368"/>
      <c r="AAI26" s="368"/>
      <c r="AAJ26" s="368"/>
      <c r="AAK26" s="368"/>
      <c r="AAL26" s="368"/>
      <c r="AAM26" s="368"/>
      <c r="AAN26" s="368"/>
      <c r="AAO26" s="368"/>
      <c r="AAP26" s="368"/>
      <c r="AAQ26" s="368"/>
      <c r="AAR26" s="368"/>
      <c r="AAS26" s="368"/>
      <c r="AAT26" s="368"/>
      <c r="AAU26" s="368"/>
      <c r="AAV26" s="368"/>
      <c r="AAW26" s="368"/>
      <c r="AAX26" s="368"/>
      <c r="AAY26" s="368"/>
      <c r="AAZ26" s="368"/>
      <c r="ABA26" s="368"/>
      <c r="ABB26" s="368"/>
      <c r="ABC26" s="368"/>
      <c r="ABD26" s="368"/>
      <c r="ABE26" s="368"/>
      <c r="ABF26" s="368"/>
      <c r="ABG26" s="368"/>
      <c r="ABH26" s="368"/>
      <c r="ABI26" s="368"/>
      <c r="ABJ26" s="368"/>
      <c r="ABK26" s="368"/>
      <c r="ABL26" s="368"/>
      <c r="ABM26" s="368"/>
      <c r="ABN26" s="368"/>
      <c r="ABO26" s="368"/>
      <c r="ABP26" s="368"/>
      <c r="ABQ26" s="368"/>
      <c r="ABR26" s="368"/>
      <c r="ABS26" s="368"/>
      <c r="ABT26" s="368"/>
      <c r="ABU26" s="368"/>
      <c r="ABV26" s="368"/>
      <c r="ABW26" s="368"/>
      <c r="ABX26" s="368"/>
      <c r="ABY26" s="368"/>
      <c r="ABZ26" s="368"/>
      <c r="ACA26" s="368"/>
      <c r="ACB26" s="368"/>
      <c r="ACC26" s="368"/>
      <c r="ACD26" s="368"/>
      <c r="ACE26" s="368"/>
      <c r="ACF26" s="368"/>
      <c r="ACG26" s="368"/>
      <c r="ACH26" s="368"/>
      <c r="ACI26" s="368"/>
      <c r="ACJ26" s="368"/>
      <c r="ACK26" s="368"/>
      <c r="ACL26" s="368"/>
      <c r="ACM26" s="368"/>
      <c r="ACN26" s="368"/>
      <c r="ACO26" s="368"/>
      <c r="ACP26" s="368"/>
      <c r="ACQ26" s="368"/>
      <c r="ACR26" s="368"/>
      <c r="ACS26" s="368"/>
      <c r="ACT26" s="368"/>
      <c r="ACU26" s="368"/>
      <c r="ACV26" s="368"/>
      <c r="ACW26" s="368"/>
      <c r="ACX26" s="368"/>
      <c r="ACY26" s="368"/>
      <c r="ACZ26" s="368"/>
      <c r="ADA26" s="368"/>
      <c r="ADB26" s="368"/>
      <c r="ADC26" s="368"/>
      <c r="ADD26" s="368"/>
      <c r="ADE26" s="368"/>
      <c r="ADF26" s="368"/>
      <c r="ADG26" s="368"/>
      <c r="ADH26" s="368"/>
      <c r="ADI26" s="368"/>
      <c r="ADJ26" s="368"/>
      <c r="ADK26" s="368"/>
      <c r="ADL26" s="368"/>
      <c r="ADM26" s="368"/>
      <c r="ADN26" s="368"/>
      <c r="ADO26" s="368"/>
      <c r="ADP26" s="368"/>
      <c r="ADQ26" s="368"/>
      <c r="ADR26" s="368"/>
      <c r="ADS26" s="368"/>
      <c r="ADT26" s="368"/>
      <c r="ADU26" s="368"/>
      <c r="ADV26" s="368"/>
      <c r="ADW26" s="368"/>
      <c r="ADX26" s="368"/>
      <c r="ADY26" s="368"/>
      <c r="ADZ26" s="368"/>
      <c r="AEA26" s="368"/>
      <c r="AEB26" s="368"/>
      <c r="AEC26" s="368"/>
      <c r="AED26" s="368"/>
      <c r="AEE26" s="368"/>
      <c r="AEF26" s="368"/>
      <c r="AEG26" s="368"/>
      <c r="AEH26" s="368"/>
      <c r="AEI26" s="368"/>
      <c r="AEJ26" s="368"/>
      <c r="AEK26" s="368"/>
      <c r="AEL26" s="368"/>
      <c r="AEM26" s="368"/>
      <c r="AEN26" s="368"/>
      <c r="AEO26" s="368"/>
      <c r="AEP26" s="368"/>
      <c r="AEQ26" s="368"/>
      <c r="AER26" s="368"/>
      <c r="AES26" s="368"/>
      <c r="AET26" s="368"/>
      <c r="AEU26" s="368"/>
      <c r="AEV26" s="368"/>
      <c r="AEW26" s="368"/>
      <c r="AEX26" s="368"/>
      <c r="AEY26" s="368"/>
      <c r="AEZ26" s="368"/>
      <c r="AFA26" s="368"/>
      <c r="AFB26" s="368"/>
      <c r="AFC26" s="368"/>
      <c r="AFD26" s="368"/>
      <c r="AFE26" s="368"/>
      <c r="AFF26" s="368"/>
      <c r="AFG26" s="368"/>
      <c r="AFH26" s="368"/>
      <c r="AFI26" s="368"/>
      <c r="AFJ26" s="368"/>
      <c r="AFK26" s="368"/>
      <c r="AFL26" s="368"/>
      <c r="AFM26" s="368"/>
      <c r="AFN26" s="368"/>
      <c r="AFO26" s="368"/>
      <c r="AFP26" s="368"/>
      <c r="AFQ26" s="368"/>
      <c r="AFR26" s="368"/>
      <c r="AFS26" s="368"/>
      <c r="AFT26" s="368"/>
      <c r="AFU26" s="368"/>
      <c r="AFV26" s="368"/>
      <c r="AFW26" s="368"/>
      <c r="AFX26" s="368"/>
      <c r="AFY26" s="368"/>
      <c r="AFZ26" s="368"/>
      <c r="AGA26" s="368"/>
      <c r="AGB26" s="368"/>
      <c r="AGC26" s="368"/>
      <c r="AGD26" s="368"/>
      <c r="AGE26" s="368"/>
      <c r="AGF26" s="368"/>
      <c r="AGG26" s="368"/>
      <c r="AGH26" s="368"/>
      <c r="AGI26" s="368"/>
      <c r="AGJ26" s="368"/>
      <c r="AGK26" s="368"/>
      <c r="AGL26" s="368"/>
      <c r="AGM26" s="368"/>
      <c r="AGN26" s="368"/>
      <c r="AGO26" s="368"/>
      <c r="AGP26" s="368"/>
      <c r="AGQ26" s="368"/>
      <c r="AGR26" s="368"/>
      <c r="AGS26" s="368"/>
      <c r="AGT26" s="368"/>
      <c r="AGU26" s="368"/>
      <c r="AGV26" s="368"/>
      <c r="AGW26" s="368"/>
      <c r="AGX26" s="368"/>
      <c r="AGY26" s="368"/>
      <c r="AGZ26" s="368"/>
      <c r="AHA26" s="368"/>
      <c r="AHB26" s="368"/>
      <c r="AHC26" s="368"/>
      <c r="AHD26" s="368"/>
      <c r="AHE26" s="368"/>
      <c r="AHF26" s="368"/>
      <c r="AHG26" s="368"/>
      <c r="AHH26" s="368"/>
      <c r="AHI26" s="368"/>
      <c r="AHJ26" s="368"/>
      <c r="AHK26" s="368"/>
      <c r="AHL26" s="368"/>
      <c r="AHM26" s="368"/>
      <c r="AHN26" s="368"/>
      <c r="AHO26" s="368"/>
      <c r="AHP26" s="368"/>
      <c r="AHQ26" s="368"/>
      <c r="AHR26" s="368"/>
      <c r="AHS26" s="368"/>
      <c r="AHT26" s="368"/>
      <c r="AHU26" s="368"/>
      <c r="AHV26" s="368"/>
      <c r="AHW26" s="368"/>
      <c r="AHX26" s="368"/>
      <c r="AHY26" s="368"/>
      <c r="AHZ26" s="368"/>
      <c r="AIA26" s="368"/>
      <c r="AIB26" s="368"/>
      <c r="AIC26" s="368"/>
      <c r="AID26" s="368"/>
      <c r="AIE26" s="368"/>
      <c r="AIF26" s="368"/>
      <c r="AIG26" s="368"/>
      <c r="AIH26" s="368"/>
      <c r="AII26" s="368"/>
      <c r="AIJ26" s="368"/>
      <c r="AIK26" s="368"/>
      <c r="AIL26" s="368"/>
      <c r="AIM26" s="368"/>
      <c r="AIN26" s="368"/>
      <c r="AIO26" s="368"/>
      <c r="AIP26" s="368"/>
      <c r="AIQ26" s="368"/>
      <c r="AIR26" s="368"/>
      <c r="AIS26" s="368"/>
      <c r="AIT26" s="368"/>
      <c r="AIU26" s="368"/>
      <c r="AIV26" s="368"/>
      <c r="AIW26" s="368"/>
      <c r="AIX26" s="368"/>
      <c r="AIY26" s="368"/>
      <c r="AIZ26" s="368"/>
      <c r="AJA26" s="368"/>
      <c r="AJB26" s="368"/>
      <c r="AJC26" s="368"/>
      <c r="AJD26" s="368"/>
      <c r="AJE26" s="368"/>
      <c r="AJF26" s="368"/>
      <c r="AJG26" s="368"/>
      <c r="AJH26" s="368"/>
      <c r="AJI26" s="368"/>
      <c r="AJJ26" s="368"/>
      <c r="AJK26" s="368"/>
      <c r="AJL26" s="368"/>
      <c r="AJM26" s="368"/>
      <c r="AJN26" s="368"/>
      <c r="AJO26" s="368"/>
      <c r="AJP26" s="368"/>
      <c r="AJQ26" s="368"/>
      <c r="AJR26" s="368"/>
      <c r="AJS26" s="368"/>
      <c r="AJT26" s="368"/>
      <c r="AJU26" s="368"/>
      <c r="AJV26" s="368"/>
      <c r="AJW26" s="368"/>
      <c r="AJX26" s="368"/>
      <c r="AJY26" s="368"/>
      <c r="AJZ26" s="368"/>
      <c r="AKA26" s="368"/>
      <c r="AKB26" s="368"/>
      <c r="AKC26" s="368"/>
      <c r="AKD26" s="368"/>
      <c r="AKE26" s="368"/>
      <c r="AKF26" s="368"/>
      <c r="AKG26" s="368"/>
      <c r="AKH26" s="368"/>
      <c r="AKI26" s="368"/>
      <c r="AKJ26" s="368"/>
      <c r="AKK26" s="368"/>
      <c r="AKL26" s="368"/>
      <c r="AKM26" s="368"/>
      <c r="AKN26" s="368"/>
    </row>
    <row r="27" spans="1:976" s="346" customFormat="1" ht="22.5" customHeight="1" x14ac:dyDescent="0.2">
      <c r="A27" s="370" t="s">
        <v>262</v>
      </c>
      <c r="B27" s="370"/>
      <c r="C27" s="370" t="s">
        <v>221</v>
      </c>
      <c r="D27" s="370" t="s">
        <v>222</v>
      </c>
      <c r="E27" s="371">
        <v>403213</v>
      </c>
      <c r="F27" s="371">
        <v>293</v>
      </c>
      <c r="G27" s="371">
        <v>43</v>
      </c>
      <c r="H27" s="371">
        <v>0</v>
      </c>
      <c r="I27" s="372">
        <v>45715</v>
      </c>
      <c r="J27" s="370" t="s">
        <v>290</v>
      </c>
      <c r="K27" s="370" t="s">
        <v>351</v>
      </c>
      <c r="L27" s="373">
        <v>28.44</v>
      </c>
      <c r="M27" s="373">
        <v>1.56</v>
      </c>
      <c r="N27" s="444">
        <v>30</v>
      </c>
      <c r="O27" s="370"/>
      <c r="P27" s="374">
        <v>45726</v>
      </c>
      <c r="Q27" s="373">
        <v>30</v>
      </c>
      <c r="R27" s="370" t="s">
        <v>352</v>
      </c>
      <c r="S27" s="373">
        <v>0</v>
      </c>
      <c r="T27" s="373">
        <v>0</v>
      </c>
      <c r="U27" s="373">
        <v>0</v>
      </c>
      <c r="V27" s="373">
        <v>0</v>
      </c>
      <c r="W27" s="370"/>
      <c r="X27" s="370" t="s">
        <v>293</v>
      </c>
      <c r="Y27" s="370" t="s">
        <v>294</v>
      </c>
      <c r="Z27" s="370" t="s">
        <v>42</v>
      </c>
      <c r="AA27" s="370" t="s">
        <v>228</v>
      </c>
      <c r="AB27" s="370" t="s">
        <v>235</v>
      </c>
      <c r="AC27" s="370" t="s">
        <v>331</v>
      </c>
      <c r="AD27" s="370" t="s">
        <v>231</v>
      </c>
      <c r="AE27" s="370" t="s">
        <v>232</v>
      </c>
      <c r="AF27" s="370" t="s">
        <v>231</v>
      </c>
      <c r="AG27" s="370" t="s">
        <v>232</v>
      </c>
      <c r="AH27" s="370"/>
      <c r="AI27" s="370"/>
      <c r="AJ27" s="370"/>
      <c r="AK27" s="370" t="s">
        <v>353</v>
      </c>
      <c r="AL27" s="371">
        <v>1</v>
      </c>
      <c r="AM27" s="371">
        <v>0</v>
      </c>
      <c r="AN27" s="372">
        <v>45726</v>
      </c>
      <c r="AO27" s="372">
        <v>45726</v>
      </c>
      <c r="AP27" s="373">
        <v>30</v>
      </c>
      <c r="AQ27" s="372">
        <v>45725</v>
      </c>
      <c r="AR27" s="368"/>
      <c r="AS27" s="368"/>
      <c r="AT27" s="368"/>
      <c r="AU27" s="368"/>
      <c r="AV27" s="368"/>
      <c r="AW27" s="368"/>
      <c r="AX27" s="368"/>
      <c r="AY27" s="368"/>
      <c r="AZ27" s="368"/>
      <c r="BA27" s="368"/>
      <c r="BB27" s="368"/>
      <c r="BC27" s="368"/>
      <c r="BD27" s="368"/>
      <c r="BE27" s="368"/>
      <c r="BF27" s="368"/>
      <c r="BG27" s="368"/>
      <c r="BH27" s="368"/>
      <c r="BI27" s="368"/>
      <c r="BJ27" s="368"/>
      <c r="BK27" s="368"/>
      <c r="BL27" s="368"/>
      <c r="BM27" s="368"/>
      <c r="BN27" s="368"/>
      <c r="BO27" s="368"/>
      <c r="BP27" s="368"/>
      <c r="BQ27" s="368"/>
      <c r="BR27" s="368"/>
      <c r="BS27" s="368"/>
      <c r="BT27" s="368"/>
      <c r="BU27" s="368"/>
      <c r="BV27" s="368"/>
      <c r="BW27" s="368"/>
      <c r="BX27" s="368"/>
      <c r="BY27" s="368"/>
      <c r="BZ27" s="368"/>
      <c r="CA27" s="368"/>
      <c r="CB27" s="368"/>
      <c r="CC27" s="368"/>
      <c r="CD27" s="368"/>
      <c r="CE27" s="368"/>
      <c r="CF27" s="368"/>
      <c r="CG27" s="368"/>
      <c r="CH27" s="368"/>
      <c r="CI27" s="368"/>
      <c r="CJ27" s="368"/>
      <c r="CK27" s="368"/>
      <c r="CL27" s="368"/>
      <c r="CM27" s="368"/>
      <c r="CN27" s="368"/>
      <c r="CO27" s="368"/>
      <c r="CP27" s="368"/>
      <c r="CQ27" s="368"/>
      <c r="CR27" s="368"/>
      <c r="CS27" s="368"/>
      <c r="CT27" s="368"/>
      <c r="CU27" s="368"/>
      <c r="CV27" s="368"/>
      <c r="CW27" s="368"/>
      <c r="CX27" s="368"/>
      <c r="CY27" s="368"/>
      <c r="CZ27" s="368"/>
      <c r="DA27" s="368"/>
      <c r="DB27" s="368"/>
      <c r="DC27" s="368"/>
      <c r="DD27" s="368"/>
      <c r="DE27" s="368"/>
      <c r="DF27" s="368"/>
      <c r="DG27" s="368"/>
      <c r="DH27" s="368"/>
      <c r="DI27" s="368"/>
      <c r="DJ27" s="368"/>
      <c r="DK27" s="368"/>
      <c r="DL27" s="368"/>
      <c r="DM27" s="368"/>
      <c r="DN27" s="368"/>
      <c r="DO27" s="368"/>
      <c r="DP27" s="368"/>
      <c r="DQ27" s="368"/>
      <c r="DR27" s="368"/>
      <c r="DS27" s="368"/>
      <c r="DT27" s="368"/>
      <c r="DU27" s="368"/>
      <c r="DV27" s="368"/>
      <c r="DW27" s="368"/>
      <c r="DX27" s="368"/>
      <c r="DY27" s="368"/>
      <c r="DZ27" s="368"/>
      <c r="EA27" s="368"/>
      <c r="EB27" s="368"/>
      <c r="EC27" s="368"/>
      <c r="ED27" s="368"/>
      <c r="EE27" s="368"/>
      <c r="EF27" s="368"/>
      <c r="EG27" s="368"/>
      <c r="EH27" s="368"/>
      <c r="EI27" s="368"/>
      <c r="EJ27" s="368"/>
      <c r="EK27" s="368"/>
      <c r="EL27" s="368"/>
      <c r="EM27" s="368"/>
      <c r="EN27" s="368"/>
      <c r="EO27" s="368"/>
      <c r="EP27" s="368"/>
      <c r="EQ27" s="368"/>
      <c r="ER27" s="368"/>
      <c r="ES27" s="368"/>
      <c r="ET27" s="368"/>
      <c r="EU27" s="368"/>
      <c r="EV27" s="368"/>
      <c r="EW27" s="368"/>
      <c r="EX27" s="368"/>
      <c r="EY27" s="368"/>
      <c r="EZ27" s="368"/>
      <c r="FA27" s="368"/>
      <c r="FB27" s="368"/>
      <c r="FC27" s="368"/>
      <c r="FD27" s="368"/>
      <c r="FE27" s="368"/>
      <c r="FF27" s="368"/>
      <c r="FG27" s="368"/>
      <c r="FH27" s="368"/>
      <c r="FI27" s="368"/>
      <c r="FJ27" s="368"/>
      <c r="FK27" s="368"/>
      <c r="FL27" s="368"/>
      <c r="FM27" s="368"/>
      <c r="FN27" s="368"/>
      <c r="FO27" s="368"/>
      <c r="FP27" s="368"/>
      <c r="FQ27" s="368"/>
      <c r="FR27" s="368"/>
      <c r="FS27" s="368"/>
      <c r="FT27" s="368"/>
      <c r="FU27" s="368"/>
      <c r="FV27" s="368"/>
      <c r="FW27" s="368"/>
      <c r="FX27" s="368"/>
      <c r="FY27" s="368"/>
      <c r="FZ27" s="368"/>
      <c r="GA27" s="368"/>
      <c r="GB27" s="368"/>
      <c r="GC27" s="368"/>
      <c r="GD27" s="368"/>
      <c r="GE27" s="368"/>
      <c r="GF27" s="368"/>
      <c r="GG27" s="368"/>
      <c r="GH27" s="368"/>
      <c r="GI27" s="368"/>
      <c r="GJ27" s="368"/>
      <c r="GK27" s="368"/>
      <c r="GL27" s="368"/>
      <c r="GM27" s="368"/>
      <c r="GN27" s="368"/>
      <c r="GO27" s="368"/>
      <c r="GP27" s="368"/>
      <c r="GQ27" s="368"/>
      <c r="GR27" s="368"/>
      <c r="GS27" s="368"/>
      <c r="GT27" s="368"/>
      <c r="GU27" s="368"/>
      <c r="GV27" s="368"/>
      <c r="GW27" s="368"/>
      <c r="GX27" s="368"/>
      <c r="GY27" s="368"/>
      <c r="GZ27" s="368"/>
      <c r="HA27" s="368"/>
      <c r="HB27" s="368"/>
      <c r="HC27" s="368"/>
      <c r="HD27" s="368"/>
      <c r="HE27" s="368"/>
      <c r="HF27" s="368"/>
      <c r="HG27" s="368"/>
      <c r="HH27" s="368"/>
      <c r="HI27" s="368"/>
      <c r="HJ27" s="368"/>
      <c r="HK27" s="368"/>
      <c r="HL27" s="368"/>
      <c r="HM27" s="368"/>
      <c r="HN27" s="368"/>
      <c r="HO27" s="368"/>
      <c r="HP27" s="368"/>
      <c r="HQ27" s="368"/>
      <c r="HR27" s="368"/>
      <c r="HS27" s="368"/>
      <c r="HT27" s="368"/>
      <c r="HU27" s="368"/>
      <c r="HV27" s="368"/>
      <c r="HW27" s="368"/>
      <c r="HX27" s="368"/>
      <c r="HY27" s="368"/>
      <c r="HZ27" s="368"/>
      <c r="IA27" s="368"/>
      <c r="IB27" s="368"/>
      <c r="IC27" s="368"/>
      <c r="ID27" s="368"/>
      <c r="IE27" s="368"/>
      <c r="IF27" s="368"/>
      <c r="IG27" s="368"/>
      <c r="IH27" s="368"/>
      <c r="II27" s="368"/>
      <c r="IJ27" s="368"/>
      <c r="IK27" s="368"/>
      <c r="IL27" s="368"/>
      <c r="IM27" s="368"/>
      <c r="IN27" s="368"/>
      <c r="IO27" s="368"/>
      <c r="IP27" s="368"/>
      <c r="IQ27" s="368"/>
      <c r="IR27" s="368"/>
      <c r="IS27" s="368"/>
      <c r="IT27" s="368"/>
      <c r="IU27" s="368"/>
      <c r="IV27" s="368"/>
      <c r="IW27" s="368"/>
      <c r="IX27" s="368"/>
      <c r="IY27" s="368"/>
      <c r="IZ27" s="368"/>
      <c r="JA27" s="368"/>
      <c r="JB27" s="368"/>
      <c r="JC27" s="368"/>
      <c r="JD27" s="368"/>
      <c r="JE27" s="368"/>
      <c r="JF27" s="368"/>
      <c r="JG27" s="368"/>
      <c r="JH27" s="368"/>
      <c r="JI27" s="368"/>
      <c r="JJ27" s="368"/>
      <c r="JK27" s="368"/>
      <c r="JL27" s="368"/>
      <c r="JM27" s="368"/>
      <c r="JN27" s="368"/>
      <c r="JO27" s="368"/>
      <c r="JP27" s="368"/>
      <c r="JQ27" s="368"/>
      <c r="JR27" s="368"/>
      <c r="JS27" s="368"/>
      <c r="JT27" s="368"/>
      <c r="JU27" s="368"/>
      <c r="JV27" s="368"/>
      <c r="JW27" s="368"/>
      <c r="JX27" s="368"/>
      <c r="JY27" s="368"/>
      <c r="JZ27" s="368"/>
      <c r="KA27" s="368"/>
      <c r="KB27" s="368"/>
      <c r="KC27" s="368"/>
      <c r="KD27" s="368"/>
      <c r="KE27" s="368"/>
      <c r="KF27" s="368"/>
      <c r="KG27" s="368"/>
      <c r="KH27" s="368"/>
      <c r="KI27" s="368"/>
      <c r="KJ27" s="368"/>
      <c r="KK27" s="368"/>
      <c r="KL27" s="368"/>
      <c r="KM27" s="368"/>
      <c r="KN27" s="368"/>
      <c r="KO27" s="368"/>
      <c r="KP27" s="368"/>
      <c r="KQ27" s="368"/>
      <c r="KR27" s="368"/>
      <c r="KS27" s="368"/>
      <c r="KT27" s="368"/>
      <c r="KU27" s="368"/>
      <c r="KV27" s="368"/>
      <c r="KW27" s="368"/>
      <c r="KX27" s="368"/>
      <c r="KY27" s="368"/>
      <c r="KZ27" s="368"/>
      <c r="LA27" s="368"/>
      <c r="LB27" s="368"/>
      <c r="LC27" s="368"/>
      <c r="LD27" s="368"/>
      <c r="LE27" s="368"/>
      <c r="LF27" s="368"/>
      <c r="LG27" s="368"/>
      <c r="LH27" s="368"/>
      <c r="LI27" s="368"/>
      <c r="LJ27" s="368"/>
      <c r="LK27" s="368"/>
      <c r="LL27" s="368"/>
      <c r="LM27" s="368"/>
      <c r="LN27" s="368"/>
      <c r="LO27" s="368"/>
      <c r="LP27" s="368"/>
      <c r="LQ27" s="368"/>
      <c r="LR27" s="368"/>
      <c r="LS27" s="368"/>
      <c r="LT27" s="368"/>
      <c r="LU27" s="368"/>
      <c r="LV27" s="368"/>
      <c r="LW27" s="368"/>
      <c r="LX27" s="368"/>
      <c r="LY27" s="368"/>
      <c r="LZ27" s="368"/>
      <c r="MA27" s="368"/>
      <c r="MB27" s="368"/>
      <c r="MC27" s="368"/>
      <c r="MD27" s="368"/>
      <c r="ME27" s="368"/>
      <c r="MF27" s="368"/>
      <c r="MG27" s="368"/>
      <c r="MH27" s="368"/>
      <c r="MI27" s="368"/>
      <c r="MJ27" s="368"/>
      <c r="MK27" s="368"/>
      <c r="ML27" s="368"/>
      <c r="MM27" s="368"/>
      <c r="MN27" s="368"/>
      <c r="MO27" s="368"/>
      <c r="MP27" s="368"/>
      <c r="MQ27" s="368"/>
      <c r="MR27" s="368"/>
      <c r="MS27" s="368"/>
      <c r="MT27" s="368"/>
      <c r="MU27" s="368"/>
      <c r="MV27" s="368"/>
      <c r="MW27" s="368"/>
      <c r="MX27" s="368"/>
      <c r="MY27" s="368"/>
      <c r="MZ27" s="368"/>
      <c r="NA27" s="368"/>
      <c r="NB27" s="368"/>
      <c r="NC27" s="368"/>
      <c r="ND27" s="368"/>
      <c r="NE27" s="368"/>
      <c r="NF27" s="368"/>
      <c r="NG27" s="368"/>
      <c r="NH27" s="368"/>
      <c r="NI27" s="368"/>
      <c r="NJ27" s="368"/>
      <c r="NK27" s="368"/>
      <c r="NL27" s="368"/>
      <c r="NM27" s="368"/>
      <c r="NN27" s="368"/>
      <c r="NO27" s="368"/>
      <c r="NP27" s="368"/>
      <c r="NQ27" s="368"/>
      <c r="NR27" s="368"/>
      <c r="NS27" s="368"/>
      <c r="NT27" s="368"/>
      <c r="NU27" s="368"/>
      <c r="NV27" s="368"/>
      <c r="NW27" s="368"/>
      <c r="NX27" s="368"/>
      <c r="NY27" s="368"/>
      <c r="NZ27" s="368"/>
      <c r="OA27" s="368"/>
      <c r="OB27" s="368"/>
      <c r="OC27" s="368"/>
      <c r="OD27" s="368"/>
      <c r="OE27" s="368"/>
      <c r="OF27" s="368"/>
      <c r="OG27" s="368"/>
      <c r="OH27" s="368"/>
      <c r="OI27" s="368"/>
      <c r="OJ27" s="368"/>
      <c r="OK27" s="368"/>
      <c r="OL27" s="368"/>
      <c r="OM27" s="368"/>
      <c r="ON27" s="368"/>
      <c r="OO27" s="368"/>
      <c r="OP27" s="368"/>
      <c r="OQ27" s="368"/>
      <c r="OR27" s="368"/>
      <c r="OS27" s="368"/>
      <c r="OT27" s="368"/>
      <c r="OU27" s="368"/>
      <c r="OV27" s="368"/>
      <c r="OW27" s="368"/>
      <c r="OX27" s="368"/>
      <c r="OY27" s="368"/>
      <c r="OZ27" s="368"/>
      <c r="PA27" s="368"/>
      <c r="PB27" s="368"/>
      <c r="PC27" s="368"/>
      <c r="PD27" s="368"/>
      <c r="PE27" s="368"/>
      <c r="PF27" s="368"/>
      <c r="PG27" s="368"/>
      <c r="PH27" s="368"/>
      <c r="PI27" s="368"/>
      <c r="PJ27" s="368"/>
      <c r="PK27" s="368"/>
      <c r="PL27" s="368"/>
      <c r="PM27" s="368"/>
      <c r="PN27" s="368"/>
      <c r="PO27" s="368"/>
      <c r="PP27" s="368"/>
      <c r="PQ27" s="368"/>
      <c r="PR27" s="368"/>
      <c r="PS27" s="368"/>
      <c r="PT27" s="368"/>
      <c r="PU27" s="368"/>
      <c r="PV27" s="368"/>
      <c r="PW27" s="368"/>
      <c r="PX27" s="368"/>
      <c r="PY27" s="368"/>
      <c r="PZ27" s="368"/>
      <c r="QA27" s="368"/>
      <c r="QB27" s="368"/>
      <c r="QC27" s="368"/>
      <c r="QD27" s="368"/>
      <c r="QE27" s="368"/>
      <c r="QF27" s="368"/>
      <c r="QG27" s="368"/>
      <c r="QH27" s="368"/>
      <c r="QI27" s="368"/>
      <c r="QJ27" s="368"/>
      <c r="QK27" s="368"/>
      <c r="QL27" s="368"/>
      <c r="QM27" s="368"/>
      <c r="QN27" s="368"/>
      <c r="QO27" s="368"/>
      <c r="QP27" s="368"/>
      <c r="QQ27" s="368"/>
      <c r="QR27" s="368"/>
      <c r="QS27" s="368"/>
      <c r="QT27" s="368"/>
      <c r="QU27" s="368"/>
      <c r="QV27" s="368"/>
      <c r="QW27" s="368"/>
      <c r="QX27" s="368"/>
      <c r="QY27" s="368"/>
      <c r="QZ27" s="368"/>
      <c r="RA27" s="368"/>
      <c r="RB27" s="368"/>
      <c r="RC27" s="368"/>
      <c r="RD27" s="368"/>
      <c r="RE27" s="368"/>
      <c r="RF27" s="368"/>
      <c r="RG27" s="368"/>
      <c r="RH27" s="368"/>
      <c r="RI27" s="368"/>
      <c r="RJ27" s="368"/>
      <c r="RK27" s="368"/>
      <c r="RL27" s="368"/>
      <c r="RM27" s="368"/>
      <c r="RN27" s="368"/>
      <c r="RO27" s="368"/>
      <c r="RP27" s="368"/>
      <c r="RQ27" s="368"/>
      <c r="RR27" s="368"/>
      <c r="RS27" s="368"/>
      <c r="RT27" s="368"/>
      <c r="RU27" s="368"/>
      <c r="RV27" s="368"/>
      <c r="RW27" s="368"/>
      <c r="RX27" s="368"/>
      <c r="RY27" s="368"/>
      <c r="RZ27" s="368"/>
      <c r="SA27" s="368"/>
      <c r="SB27" s="368"/>
      <c r="SC27" s="368"/>
      <c r="SD27" s="368"/>
      <c r="SE27" s="368"/>
      <c r="SF27" s="368"/>
      <c r="SG27" s="368"/>
      <c r="SH27" s="368"/>
      <c r="SI27" s="368"/>
      <c r="SJ27" s="368"/>
      <c r="SK27" s="368"/>
      <c r="SL27" s="368"/>
      <c r="SM27" s="368"/>
      <c r="SN27" s="368"/>
      <c r="SO27" s="368"/>
      <c r="SP27" s="368"/>
      <c r="SQ27" s="368"/>
      <c r="SR27" s="368"/>
      <c r="SS27" s="368"/>
      <c r="ST27" s="368"/>
      <c r="SU27" s="368"/>
      <c r="SV27" s="368"/>
      <c r="SW27" s="368"/>
      <c r="SX27" s="368"/>
      <c r="SY27" s="368"/>
      <c r="SZ27" s="368"/>
      <c r="TA27" s="368"/>
      <c r="TB27" s="368"/>
      <c r="TC27" s="368"/>
      <c r="TD27" s="368"/>
      <c r="TE27" s="368"/>
      <c r="TF27" s="368"/>
      <c r="TG27" s="368"/>
      <c r="TH27" s="368"/>
      <c r="TI27" s="368"/>
      <c r="TJ27" s="368"/>
      <c r="TK27" s="368"/>
      <c r="TL27" s="368"/>
      <c r="TM27" s="368"/>
      <c r="TN27" s="368"/>
      <c r="TO27" s="368"/>
      <c r="TP27" s="368"/>
      <c r="TQ27" s="368"/>
      <c r="TR27" s="368"/>
      <c r="TS27" s="368"/>
      <c r="TT27" s="368"/>
      <c r="TU27" s="368"/>
      <c r="TV27" s="368"/>
      <c r="TW27" s="368"/>
      <c r="TX27" s="368"/>
      <c r="TY27" s="368"/>
      <c r="TZ27" s="368"/>
      <c r="UA27" s="368"/>
      <c r="UB27" s="368"/>
      <c r="UC27" s="368"/>
      <c r="UD27" s="368"/>
      <c r="UE27" s="368"/>
      <c r="UF27" s="368"/>
      <c r="UG27" s="368"/>
      <c r="UH27" s="368"/>
      <c r="UI27" s="368"/>
      <c r="UJ27" s="368"/>
      <c r="UK27" s="368"/>
      <c r="UL27" s="368"/>
      <c r="UM27" s="368"/>
      <c r="UN27" s="368"/>
      <c r="UO27" s="368"/>
      <c r="UP27" s="368"/>
      <c r="UQ27" s="368"/>
      <c r="UR27" s="368"/>
      <c r="US27" s="368"/>
      <c r="UT27" s="368"/>
      <c r="UU27" s="368"/>
      <c r="UV27" s="368"/>
      <c r="UW27" s="368"/>
      <c r="UX27" s="368"/>
      <c r="UY27" s="368"/>
      <c r="UZ27" s="368"/>
      <c r="VA27" s="368"/>
      <c r="VB27" s="368"/>
      <c r="VC27" s="368"/>
      <c r="VD27" s="368"/>
      <c r="VE27" s="368"/>
      <c r="VF27" s="368"/>
      <c r="VG27" s="368"/>
      <c r="VH27" s="368"/>
      <c r="VI27" s="368"/>
      <c r="VJ27" s="368"/>
      <c r="VK27" s="368"/>
      <c r="VL27" s="368"/>
      <c r="VM27" s="368"/>
      <c r="VN27" s="368"/>
      <c r="VO27" s="368"/>
      <c r="VP27" s="368"/>
      <c r="VQ27" s="368"/>
      <c r="VR27" s="368"/>
      <c r="VS27" s="368"/>
      <c r="VT27" s="368"/>
      <c r="VU27" s="368"/>
      <c r="VV27" s="368"/>
      <c r="VW27" s="368"/>
      <c r="VX27" s="368"/>
      <c r="VY27" s="368"/>
      <c r="VZ27" s="368"/>
      <c r="WA27" s="368"/>
      <c r="WB27" s="368"/>
      <c r="WC27" s="368"/>
      <c r="WD27" s="368"/>
      <c r="WE27" s="368"/>
      <c r="WF27" s="368"/>
      <c r="WG27" s="368"/>
      <c r="WH27" s="368"/>
      <c r="WI27" s="368"/>
      <c r="WJ27" s="368"/>
      <c r="WK27" s="368"/>
      <c r="WL27" s="368"/>
      <c r="WM27" s="368"/>
      <c r="WN27" s="368"/>
      <c r="WO27" s="368"/>
      <c r="WP27" s="368"/>
      <c r="WQ27" s="368"/>
      <c r="WR27" s="368"/>
      <c r="WS27" s="368"/>
      <c r="WT27" s="368"/>
      <c r="WU27" s="368"/>
      <c r="WV27" s="368"/>
      <c r="WW27" s="368"/>
      <c r="WX27" s="368"/>
      <c r="WY27" s="368"/>
      <c r="WZ27" s="368"/>
      <c r="XA27" s="368"/>
      <c r="XB27" s="368"/>
      <c r="XC27" s="368"/>
      <c r="XD27" s="368"/>
      <c r="XE27" s="368"/>
      <c r="XF27" s="368"/>
      <c r="XG27" s="368"/>
      <c r="XH27" s="368"/>
      <c r="XI27" s="368"/>
      <c r="XJ27" s="368"/>
      <c r="XK27" s="368"/>
      <c r="XL27" s="368"/>
      <c r="XM27" s="368"/>
      <c r="XN27" s="368"/>
      <c r="XO27" s="368"/>
      <c r="XP27" s="368"/>
      <c r="XQ27" s="368"/>
      <c r="XR27" s="368"/>
      <c r="XS27" s="368"/>
      <c r="XT27" s="368"/>
      <c r="XU27" s="368"/>
      <c r="XV27" s="368"/>
      <c r="XW27" s="368"/>
      <c r="XX27" s="368"/>
      <c r="XY27" s="368"/>
      <c r="XZ27" s="368"/>
      <c r="YA27" s="368"/>
      <c r="YB27" s="368"/>
      <c r="YC27" s="368"/>
      <c r="YD27" s="368"/>
      <c r="YE27" s="368"/>
      <c r="YF27" s="368"/>
      <c r="YG27" s="368"/>
      <c r="YH27" s="368"/>
      <c r="YI27" s="368"/>
      <c r="YJ27" s="368"/>
      <c r="YK27" s="368"/>
      <c r="YL27" s="368"/>
      <c r="YM27" s="368"/>
      <c r="YN27" s="368"/>
      <c r="YO27" s="368"/>
      <c r="YP27" s="368"/>
      <c r="YQ27" s="368"/>
      <c r="YR27" s="368"/>
      <c r="YS27" s="368"/>
      <c r="YT27" s="368"/>
      <c r="YU27" s="368"/>
      <c r="YV27" s="368"/>
      <c r="YW27" s="368"/>
      <c r="YX27" s="368"/>
      <c r="YY27" s="368"/>
      <c r="YZ27" s="368"/>
      <c r="ZA27" s="368"/>
      <c r="ZB27" s="368"/>
      <c r="ZC27" s="368"/>
      <c r="ZD27" s="368"/>
      <c r="ZE27" s="368"/>
      <c r="ZF27" s="368"/>
      <c r="ZG27" s="368"/>
      <c r="ZH27" s="368"/>
      <c r="ZI27" s="368"/>
      <c r="ZJ27" s="368"/>
      <c r="ZK27" s="368"/>
      <c r="ZL27" s="368"/>
      <c r="ZM27" s="368"/>
      <c r="ZN27" s="368"/>
      <c r="ZO27" s="368"/>
      <c r="ZP27" s="368"/>
      <c r="ZQ27" s="368"/>
      <c r="ZR27" s="368"/>
      <c r="ZS27" s="368"/>
      <c r="ZT27" s="368"/>
      <c r="ZU27" s="368"/>
      <c r="ZV27" s="368"/>
      <c r="ZW27" s="368"/>
      <c r="ZX27" s="368"/>
      <c r="ZY27" s="368"/>
      <c r="ZZ27" s="368"/>
      <c r="AAA27" s="368"/>
      <c r="AAB27" s="368"/>
      <c r="AAC27" s="368"/>
      <c r="AAD27" s="368"/>
      <c r="AAE27" s="368"/>
      <c r="AAF27" s="368"/>
      <c r="AAG27" s="368"/>
      <c r="AAH27" s="368"/>
      <c r="AAI27" s="368"/>
      <c r="AAJ27" s="368"/>
      <c r="AAK27" s="368"/>
      <c r="AAL27" s="368"/>
      <c r="AAM27" s="368"/>
      <c r="AAN27" s="368"/>
      <c r="AAO27" s="368"/>
      <c r="AAP27" s="368"/>
      <c r="AAQ27" s="368"/>
      <c r="AAR27" s="368"/>
      <c r="AAS27" s="368"/>
      <c r="AAT27" s="368"/>
      <c r="AAU27" s="368"/>
      <c r="AAV27" s="368"/>
      <c r="AAW27" s="368"/>
      <c r="AAX27" s="368"/>
      <c r="AAY27" s="368"/>
      <c r="AAZ27" s="368"/>
      <c r="ABA27" s="368"/>
      <c r="ABB27" s="368"/>
      <c r="ABC27" s="368"/>
      <c r="ABD27" s="368"/>
      <c r="ABE27" s="368"/>
      <c r="ABF27" s="368"/>
      <c r="ABG27" s="368"/>
      <c r="ABH27" s="368"/>
      <c r="ABI27" s="368"/>
      <c r="ABJ27" s="368"/>
      <c r="ABK27" s="368"/>
      <c r="ABL27" s="368"/>
      <c r="ABM27" s="368"/>
      <c r="ABN27" s="368"/>
      <c r="ABO27" s="368"/>
      <c r="ABP27" s="368"/>
      <c r="ABQ27" s="368"/>
      <c r="ABR27" s="368"/>
      <c r="ABS27" s="368"/>
      <c r="ABT27" s="368"/>
      <c r="ABU27" s="368"/>
      <c r="ABV27" s="368"/>
      <c r="ABW27" s="368"/>
      <c r="ABX27" s="368"/>
      <c r="ABY27" s="368"/>
      <c r="ABZ27" s="368"/>
      <c r="ACA27" s="368"/>
      <c r="ACB27" s="368"/>
      <c r="ACC27" s="368"/>
      <c r="ACD27" s="368"/>
      <c r="ACE27" s="368"/>
      <c r="ACF27" s="368"/>
      <c r="ACG27" s="368"/>
      <c r="ACH27" s="368"/>
      <c r="ACI27" s="368"/>
      <c r="ACJ27" s="368"/>
      <c r="ACK27" s="368"/>
      <c r="ACL27" s="368"/>
      <c r="ACM27" s="368"/>
      <c r="ACN27" s="368"/>
      <c r="ACO27" s="368"/>
      <c r="ACP27" s="368"/>
      <c r="ACQ27" s="368"/>
      <c r="ACR27" s="368"/>
      <c r="ACS27" s="368"/>
      <c r="ACT27" s="368"/>
      <c r="ACU27" s="368"/>
      <c r="ACV27" s="368"/>
      <c r="ACW27" s="368"/>
      <c r="ACX27" s="368"/>
      <c r="ACY27" s="368"/>
      <c r="ACZ27" s="368"/>
      <c r="ADA27" s="368"/>
      <c r="ADB27" s="368"/>
      <c r="ADC27" s="368"/>
      <c r="ADD27" s="368"/>
      <c r="ADE27" s="368"/>
      <c r="ADF27" s="368"/>
      <c r="ADG27" s="368"/>
      <c r="ADH27" s="368"/>
      <c r="ADI27" s="368"/>
      <c r="ADJ27" s="368"/>
      <c r="ADK27" s="368"/>
      <c r="ADL27" s="368"/>
      <c r="ADM27" s="368"/>
      <c r="ADN27" s="368"/>
      <c r="ADO27" s="368"/>
      <c r="ADP27" s="368"/>
      <c r="ADQ27" s="368"/>
      <c r="ADR27" s="368"/>
      <c r="ADS27" s="368"/>
      <c r="ADT27" s="368"/>
      <c r="ADU27" s="368"/>
      <c r="ADV27" s="368"/>
      <c r="ADW27" s="368"/>
      <c r="ADX27" s="368"/>
      <c r="ADY27" s="368"/>
      <c r="ADZ27" s="368"/>
      <c r="AEA27" s="368"/>
      <c r="AEB27" s="368"/>
      <c r="AEC27" s="368"/>
      <c r="AED27" s="368"/>
      <c r="AEE27" s="368"/>
      <c r="AEF27" s="368"/>
      <c r="AEG27" s="368"/>
      <c r="AEH27" s="368"/>
      <c r="AEI27" s="368"/>
      <c r="AEJ27" s="368"/>
      <c r="AEK27" s="368"/>
      <c r="AEL27" s="368"/>
      <c r="AEM27" s="368"/>
      <c r="AEN27" s="368"/>
      <c r="AEO27" s="368"/>
      <c r="AEP27" s="368"/>
      <c r="AEQ27" s="368"/>
      <c r="AER27" s="368"/>
      <c r="AES27" s="368"/>
      <c r="AET27" s="368"/>
      <c r="AEU27" s="368"/>
      <c r="AEV27" s="368"/>
      <c r="AEW27" s="368"/>
      <c r="AEX27" s="368"/>
      <c r="AEY27" s="368"/>
      <c r="AEZ27" s="368"/>
      <c r="AFA27" s="368"/>
      <c r="AFB27" s="368"/>
      <c r="AFC27" s="368"/>
      <c r="AFD27" s="368"/>
      <c r="AFE27" s="368"/>
      <c r="AFF27" s="368"/>
      <c r="AFG27" s="368"/>
      <c r="AFH27" s="368"/>
      <c r="AFI27" s="368"/>
      <c r="AFJ27" s="368"/>
      <c r="AFK27" s="368"/>
      <c r="AFL27" s="368"/>
      <c r="AFM27" s="368"/>
      <c r="AFN27" s="368"/>
      <c r="AFO27" s="368"/>
      <c r="AFP27" s="368"/>
      <c r="AFQ27" s="368"/>
      <c r="AFR27" s="368"/>
      <c r="AFS27" s="368"/>
      <c r="AFT27" s="368"/>
      <c r="AFU27" s="368"/>
      <c r="AFV27" s="368"/>
      <c r="AFW27" s="368"/>
      <c r="AFX27" s="368"/>
      <c r="AFY27" s="368"/>
      <c r="AFZ27" s="368"/>
      <c r="AGA27" s="368"/>
      <c r="AGB27" s="368"/>
      <c r="AGC27" s="368"/>
      <c r="AGD27" s="368"/>
      <c r="AGE27" s="368"/>
      <c r="AGF27" s="368"/>
      <c r="AGG27" s="368"/>
      <c r="AGH27" s="368"/>
      <c r="AGI27" s="368"/>
      <c r="AGJ27" s="368"/>
      <c r="AGK27" s="368"/>
      <c r="AGL27" s="368"/>
      <c r="AGM27" s="368"/>
      <c r="AGN27" s="368"/>
      <c r="AGO27" s="368"/>
      <c r="AGP27" s="368"/>
      <c r="AGQ27" s="368"/>
      <c r="AGR27" s="368"/>
      <c r="AGS27" s="368"/>
      <c r="AGT27" s="368"/>
      <c r="AGU27" s="368"/>
      <c r="AGV27" s="368"/>
      <c r="AGW27" s="368"/>
      <c r="AGX27" s="368"/>
      <c r="AGY27" s="368"/>
      <c r="AGZ27" s="368"/>
      <c r="AHA27" s="368"/>
      <c r="AHB27" s="368"/>
      <c r="AHC27" s="368"/>
      <c r="AHD27" s="368"/>
      <c r="AHE27" s="368"/>
      <c r="AHF27" s="368"/>
      <c r="AHG27" s="368"/>
      <c r="AHH27" s="368"/>
      <c r="AHI27" s="368"/>
      <c r="AHJ27" s="368"/>
      <c r="AHK27" s="368"/>
      <c r="AHL27" s="368"/>
      <c r="AHM27" s="368"/>
      <c r="AHN27" s="368"/>
      <c r="AHO27" s="368"/>
      <c r="AHP27" s="368"/>
      <c r="AHQ27" s="368"/>
      <c r="AHR27" s="368"/>
      <c r="AHS27" s="368"/>
      <c r="AHT27" s="368"/>
      <c r="AHU27" s="368"/>
      <c r="AHV27" s="368"/>
      <c r="AHW27" s="368"/>
      <c r="AHX27" s="368"/>
      <c r="AHY27" s="368"/>
      <c r="AHZ27" s="368"/>
      <c r="AIA27" s="368"/>
      <c r="AIB27" s="368"/>
      <c r="AIC27" s="368"/>
      <c r="AID27" s="368"/>
      <c r="AIE27" s="368"/>
      <c r="AIF27" s="368"/>
      <c r="AIG27" s="368"/>
      <c r="AIH27" s="368"/>
      <c r="AII27" s="368"/>
      <c r="AIJ27" s="368"/>
      <c r="AIK27" s="368"/>
      <c r="AIL27" s="368"/>
      <c r="AIM27" s="368"/>
      <c r="AIN27" s="368"/>
      <c r="AIO27" s="368"/>
      <c r="AIP27" s="368"/>
      <c r="AIQ27" s="368"/>
      <c r="AIR27" s="368"/>
      <c r="AIS27" s="368"/>
      <c r="AIT27" s="368"/>
      <c r="AIU27" s="368"/>
      <c r="AIV27" s="368"/>
      <c r="AIW27" s="368"/>
      <c r="AIX27" s="368"/>
      <c r="AIY27" s="368"/>
      <c r="AIZ27" s="368"/>
      <c r="AJA27" s="368"/>
      <c r="AJB27" s="368"/>
      <c r="AJC27" s="368"/>
      <c r="AJD27" s="368"/>
      <c r="AJE27" s="368"/>
      <c r="AJF27" s="368"/>
      <c r="AJG27" s="368"/>
      <c r="AJH27" s="368"/>
      <c r="AJI27" s="368"/>
      <c r="AJJ27" s="368"/>
      <c r="AJK27" s="368"/>
      <c r="AJL27" s="368"/>
      <c r="AJM27" s="368"/>
      <c r="AJN27" s="368"/>
      <c r="AJO27" s="368"/>
      <c r="AJP27" s="368"/>
      <c r="AJQ27" s="368"/>
      <c r="AJR27" s="368"/>
      <c r="AJS27" s="368"/>
      <c r="AJT27" s="368"/>
      <c r="AJU27" s="368"/>
      <c r="AJV27" s="368"/>
      <c r="AJW27" s="368"/>
      <c r="AJX27" s="368"/>
      <c r="AJY27" s="368"/>
      <c r="AJZ27" s="368"/>
      <c r="AKA27" s="368"/>
      <c r="AKB27" s="368"/>
      <c r="AKC27" s="368"/>
      <c r="AKD27" s="368"/>
      <c r="AKE27" s="368"/>
      <c r="AKF27" s="368"/>
      <c r="AKG27" s="368"/>
      <c r="AKH27" s="368"/>
      <c r="AKI27" s="368"/>
      <c r="AKJ27" s="368"/>
      <c r="AKK27" s="368"/>
      <c r="AKL27" s="368"/>
      <c r="AKM27" s="368"/>
      <c r="AKN27" s="368"/>
    </row>
    <row r="28" spans="1:976" s="346" customFormat="1" ht="22.5" customHeight="1" x14ac:dyDescent="0.2">
      <c r="A28" s="370" t="s">
        <v>262</v>
      </c>
      <c r="B28" s="370"/>
      <c r="C28" s="370" t="s">
        <v>221</v>
      </c>
      <c r="D28" s="370" t="s">
        <v>222</v>
      </c>
      <c r="E28" s="371">
        <v>403214</v>
      </c>
      <c r="F28" s="371">
        <v>294</v>
      </c>
      <c r="G28" s="371">
        <v>43</v>
      </c>
      <c r="H28" s="371">
        <v>0</v>
      </c>
      <c r="I28" s="372">
        <v>45715</v>
      </c>
      <c r="J28" s="370" t="s">
        <v>290</v>
      </c>
      <c r="K28" s="370" t="s">
        <v>354</v>
      </c>
      <c r="L28" s="373">
        <v>93.43</v>
      </c>
      <c r="M28" s="373">
        <v>5.96</v>
      </c>
      <c r="N28" s="444">
        <v>99.39</v>
      </c>
      <c r="O28" s="370"/>
      <c r="P28" s="374">
        <v>45726</v>
      </c>
      <c r="Q28" s="373">
        <v>99.39</v>
      </c>
      <c r="R28" s="370" t="s">
        <v>355</v>
      </c>
      <c r="S28" s="373">
        <v>0</v>
      </c>
      <c r="T28" s="373">
        <v>0</v>
      </c>
      <c r="U28" s="373">
        <v>0</v>
      </c>
      <c r="V28" s="373">
        <v>0</v>
      </c>
      <c r="W28" s="370"/>
      <c r="X28" s="370" t="s">
        <v>293</v>
      </c>
      <c r="Y28" s="370" t="s">
        <v>294</v>
      </c>
      <c r="Z28" s="370" t="s">
        <v>42</v>
      </c>
      <c r="AA28" s="370" t="s">
        <v>228</v>
      </c>
      <c r="AB28" s="370" t="s">
        <v>235</v>
      </c>
      <c r="AC28" s="370" t="s">
        <v>331</v>
      </c>
      <c r="AD28" s="370" t="s">
        <v>231</v>
      </c>
      <c r="AE28" s="370" t="s">
        <v>232</v>
      </c>
      <c r="AF28" s="370" t="s">
        <v>231</v>
      </c>
      <c r="AG28" s="370" t="s">
        <v>232</v>
      </c>
      <c r="AH28" s="370"/>
      <c r="AI28" s="370"/>
      <c r="AJ28" s="370"/>
      <c r="AK28" s="370" t="s">
        <v>356</v>
      </c>
      <c r="AL28" s="371">
        <v>1</v>
      </c>
      <c r="AM28" s="371">
        <v>0</v>
      </c>
      <c r="AN28" s="372">
        <v>45726</v>
      </c>
      <c r="AO28" s="372">
        <v>45726</v>
      </c>
      <c r="AP28" s="373">
        <v>99.39</v>
      </c>
      <c r="AQ28" s="372">
        <v>45725</v>
      </c>
      <c r="AR28" s="368"/>
      <c r="AS28" s="368"/>
      <c r="AT28" s="368"/>
      <c r="AU28" s="368"/>
      <c r="AV28" s="368"/>
      <c r="AW28" s="368"/>
      <c r="AX28" s="368"/>
      <c r="AY28" s="368"/>
      <c r="AZ28" s="368"/>
      <c r="BA28" s="368"/>
      <c r="BB28" s="368"/>
      <c r="BC28" s="368"/>
      <c r="BD28" s="368"/>
      <c r="BE28" s="368"/>
      <c r="BF28" s="368"/>
      <c r="BG28" s="368"/>
      <c r="BH28" s="368"/>
      <c r="BI28" s="368"/>
      <c r="BJ28" s="368"/>
      <c r="BK28" s="368"/>
      <c r="BL28" s="368"/>
      <c r="BM28" s="368"/>
      <c r="BN28" s="368"/>
      <c r="BO28" s="368"/>
      <c r="BP28" s="368"/>
      <c r="BQ28" s="368"/>
      <c r="BR28" s="368"/>
      <c r="BS28" s="368"/>
      <c r="BT28" s="368"/>
      <c r="BU28" s="368"/>
      <c r="BV28" s="368"/>
      <c r="BW28" s="368"/>
      <c r="BX28" s="368"/>
      <c r="BY28" s="368"/>
      <c r="BZ28" s="368"/>
      <c r="CA28" s="368"/>
      <c r="CB28" s="368"/>
      <c r="CC28" s="368"/>
      <c r="CD28" s="368"/>
      <c r="CE28" s="368"/>
      <c r="CF28" s="368"/>
      <c r="CG28" s="368"/>
      <c r="CH28" s="368"/>
      <c r="CI28" s="368"/>
      <c r="CJ28" s="368"/>
      <c r="CK28" s="368"/>
      <c r="CL28" s="368"/>
      <c r="CM28" s="368"/>
      <c r="CN28" s="368"/>
      <c r="CO28" s="368"/>
      <c r="CP28" s="368"/>
      <c r="CQ28" s="368"/>
      <c r="CR28" s="368"/>
      <c r="CS28" s="368"/>
      <c r="CT28" s="368"/>
      <c r="CU28" s="368"/>
      <c r="CV28" s="368"/>
      <c r="CW28" s="368"/>
      <c r="CX28" s="368"/>
      <c r="CY28" s="368"/>
      <c r="CZ28" s="368"/>
      <c r="DA28" s="368"/>
      <c r="DB28" s="368"/>
      <c r="DC28" s="368"/>
      <c r="DD28" s="368"/>
      <c r="DE28" s="368"/>
      <c r="DF28" s="368"/>
      <c r="DG28" s="368"/>
      <c r="DH28" s="368"/>
      <c r="DI28" s="368"/>
      <c r="DJ28" s="368"/>
      <c r="DK28" s="368"/>
      <c r="DL28" s="368"/>
      <c r="DM28" s="368"/>
      <c r="DN28" s="368"/>
      <c r="DO28" s="368"/>
      <c r="DP28" s="368"/>
      <c r="DQ28" s="368"/>
      <c r="DR28" s="368"/>
      <c r="DS28" s="368"/>
      <c r="DT28" s="368"/>
      <c r="DU28" s="368"/>
      <c r="DV28" s="368"/>
      <c r="DW28" s="368"/>
      <c r="DX28" s="368"/>
      <c r="DY28" s="368"/>
      <c r="DZ28" s="368"/>
      <c r="EA28" s="368"/>
      <c r="EB28" s="368"/>
      <c r="EC28" s="368"/>
      <c r="ED28" s="368"/>
      <c r="EE28" s="368"/>
      <c r="EF28" s="368"/>
      <c r="EG28" s="368"/>
      <c r="EH28" s="368"/>
      <c r="EI28" s="368"/>
      <c r="EJ28" s="368"/>
      <c r="EK28" s="368"/>
      <c r="EL28" s="368"/>
      <c r="EM28" s="368"/>
      <c r="EN28" s="368"/>
      <c r="EO28" s="368"/>
      <c r="EP28" s="368"/>
      <c r="EQ28" s="368"/>
      <c r="ER28" s="368"/>
      <c r="ES28" s="368"/>
      <c r="ET28" s="368"/>
      <c r="EU28" s="368"/>
      <c r="EV28" s="368"/>
      <c r="EW28" s="368"/>
      <c r="EX28" s="368"/>
      <c r="EY28" s="368"/>
      <c r="EZ28" s="368"/>
      <c r="FA28" s="368"/>
      <c r="FB28" s="368"/>
      <c r="FC28" s="368"/>
      <c r="FD28" s="368"/>
      <c r="FE28" s="368"/>
      <c r="FF28" s="368"/>
      <c r="FG28" s="368"/>
      <c r="FH28" s="368"/>
      <c r="FI28" s="368"/>
      <c r="FJ28" s="368"/>
      <c r="FK28" s="368"/>
      <c r="FL28" s="368"/>
      <c r="FM28" s="368"/>
      <c r="FN28" s="368"/>
      <c r="FO28" s="368"/>
      <c r="FP28" s="368"/>
      <c r="FQ28" s="368"/>
      <c r="FR28" s="368"/>
      <c r="FS28" s="368"/>
      <c r="FT28" s="368"/>
      <c r="FU28" s="368"/>
      <c r="FV28" s="368"/>
      <c r="FW28" s="368"/>
      <c r="FX28" s="368"/>
      <c r="FY28" s="368"/>
      <c r="FZ28" s="368"/>
      <c r="GA28" s="368"/>
      <c r="GB28" s="368"/>
      <c r="GC28" s="368"/>
      <c r="GD28" s="368"/>
      <c r="GE28" s="368"/>
      <c r="GF28" s="368"/>
      <c r="GG28" s="368"/>
      <c r="GH28" s="368"/>
      <c r="GI28" s="368"/>
      <c r="GJ28" s="368"/>
      <c r="GK28" s="368"/>
      <c r="GL28" s="368"/>
      <c r="GM28" s="368"/>
      <c r="GN28" s="368"/>
      <c r="GO28" s="368"/>
      <c r="GP28" s="368"/>
      <c r="GQ28" s="368"/>
      <c r="GR28" s="368"/>
      <c r="GS28" s="368"/>
      <c r="GT28" s="368"/>
      <c r="GU28" s="368"/>
      <c r="GV28" s="368"/>
      <c r="GW28" s="368"/>
      <c r="GX28" s="368"/>
      <c r="GY28" s="368"/>
      <c r="GZ28" s="368"/>
      <c r="HA28" s="368"/>
      <c r="HB28" s="368"/>
      <c r="HC28" s="368"/>
      <c r="HD28" s="368"/>
      <c r="HE28" s="368"/>
      <c r="HF28" s="368"/>
      <c r="HG28" s="368"/>
      <c r="HH28" s="368"/>
      <c r="HI28" s="368"/>
      <c r="HJ28" s="368"/>
      <c r="HK28" s="368"/>
      <c r="HL28" s="368"/>
      <c r="HM28" s="368"/>
      <c r="HN28" s="368"/>
      <c r="HO28" s="368"/>
      <c r="HP28" s="368"/>
      <c r="HQ28" s="368"/>
      <c r="HR28" s="368"/>
      <c r="HS28" s="368"/>
      <c r="HT28" s="368"/>
      <c r="HU28" s="368"/>
      <c r="HV28" s="368"/>
      <c r="HW28" s="368"/>
      <c r="HX28" s="368"/>
      <c r="HY28" s="368"/>
      <c r="HZ28" s="368"/>
      <c r="IA28" s="368"/>
      <c r="IB28" s="368"/>
      <c r="IC28" s="368"/>
      <c r="ID28" s="368"/>
      <c r="IE28" s="368"/>
      <c r="IF28" s="368"/>
      <c r="IG28" s="368"/>
      <c r="IH28" s="368"/>
      <c r="II28" s="368"/>
      <c r="IJ28" s="368"/>
      <c r="IK28" s="368"/>
      <c r="IL28" s="368"/>
      <c r="IM28" s="368"/>
      <c r="IN28" s="368"/>
      <c r="IO28" s="368"/>
      <c r="IP28" s="368"/>
      <c r="IQ28" s="368"/>
      <c r="IR28" s="368"/>
      <c r="IS28" s="368"/>
      <c r="IT28" s="368"/>
      <c r="IU28" s="368"/>
      <c r="IV28" s="368"/>
      <c r="IW28" s="368"/>
      <c r="IX28" s="368"/>
      <c r="IY28" s="368"/>
      <c r="IZ28" s="368"/>
      <c r="JA28" s="368"/>
      <c r="JB28" s="368"/>
      <c r="JC28" s="368"/>
      <c r="JD28" s="368"/>
      <c r="JE28" s="368"/>
      <c r="JF28" s="368"/>
      <c r="JG28" s="368"/>
      <c r="JH28" s="368"/>
      <c r="JI28" s="368"/>
      <c r="JJ28" s="368"/>
      <c r="JK28" s="368"/>
      <c r="JL28" s="368"/>
      <c r="JM28" s="368"/>
      <c r="JN28" s="368"/>
      <c r="JO28" s="368"/>
      <c r="JP28" s="368"/>
      <c r="JQ28" s="368"/>
      <c r="JR28" s="368"/>
      <c r="JS28" s="368"/>
      <c r="JT28" s="368"/>
      <c r="JU28" s="368"/>
      <c r="JV28" s="368"/>
      <c r="JW28" s="368"/>
      <c r="JX28" s="368"/>
      <c r="JY28" s="368"/>
      <c r="JZ28" s="368"/>
      <c r="KA28" s="368"/>
      <c r="KB28" s="368"/>
      <c r="KC28" s="368"/>
      <c r="KD28" s="368"/>
      <c r="KE28" s="368"/>
      <c r="KF28" s="368"/>
      <c r="KG28" s="368"/>
      <c r="KH28" s="368"/>
      <c r="KI28" s="368"/>
      <c r="KJ28" s="368"/>
      <c r="KK28" s="368"/>
      <c r="KL28" s="368"/>
      <c r="KM28" s="368"/>
      <c r="KN28" s="368"/>
      <c r="KO28" s="368"/>
      <c r="KP28" s="368"/>
      <c r="KQ28" s="368"/>
      <c r="KR28" s="368"/>
      <c r="KS28" s="368"/>
      <c r="KT28" s="368"/>
      <c r="KU28" s="368"/>
      <c r="KV28" s="368"/>
      <c r="KW28" s="368"/>
      <c r="KX28" s="368"/>
      <c r="KY28" s="368"/>
      <c r="KZ28" s="368"/>
      <c r="LA28" s="368"/>
      <c r="LB28" s="368"/>
      <c r="LC28" s="368"/>
      <c r="LD28" s="368"/>
      <c r="LE28" s="368"/>
      <c r="LF28" s="368"/>
      <c r="LG28" s="368"/>
      <c r="LH28" s="368"/>
      <c r="LI28" s="368"/>
      <c r="LJ28" s="368"/>
      <c r="LK28" s="368"/>
      <c r="LL28" s="368"/>
      <c r="LM28" s="368"/>
      <c r="LN28" s="368"/>
      <c r="LO28" s="368"/>
      <c r="LP28" s="368"/>
      <c r="LQ28" s="368"/>
      <c r="LR28" s="368"/>
      <c r="LS28" s="368"/>
      <c r="LT28" s="368"/>
      <c r="LU28" s="368"/>
      <c r="LV28" s="368"/>
      <c r="LW28" s="368"/>
      <c r="LX28" s="368"/>
      <c r="LY28" s="368"/>
      <c r="LZ28" s="368"/>
      <c r="MA28" s="368"/>
      <c r="MB28" s="368"/>
      <c r="MC28" s="368"/>
      <c r="MD28" s="368"/>
      <c r="ME28" s="368"/>
      <c r="MF28" s="368"/>
      <c r="MG28" s="368"/>
      <c r="MH28" s="368"/>
      <c r="MI28" s="368"/>
      <c r="MJ28" s="368"/>
      <c r="MK28" s="368"/>
      <c r="ML28" s="368"/>
      <c r="MM28" s="368"/>
      <c r="MN28" s="368"/>
      <c r="MO28" s="368"/>
      <c r="MP28" s="368"/>
      <c r="MQ28" s="368"/>
      <c r="MR28" s="368"/>
      <c r="MS28" s="368"/>
      <c r="MT28" s="368"/>
      <c r="MU28" s="368"/>
      <c r="MV28" s="368"/>
      <c r="MW28" s="368"/>
      <c r="MX28" s="368"/>
      <c r="MY28" s="368"/>
      <c r="MZ28" s="368"/>
      <c r="NA28" s="368"/>
      <c r="NB28" s="368"/>
      <c r="NC28" s="368"/>
      <c r="ND28" s="368"/>
      <c r="NE28" s="368"/>
      <c r="NF28" s="368"/>
      <c r="NG28" s="368"/>
      <c r="NH28" s="368"/>
      <c r="NI28" s="368"/>
      <c r="NJ28" s="368"/>
      <c r="NK28" s="368"/>
      <c r="NL28" s="368"/>
      <c r="NM28" s="368"/>
      <c r="NN28" s="368"/>
      <c r="NO28" s="368"/>
      <c r="NP28" s="368"/>
      <c r="NQ28" s="368"/>
      <c r="NR28" s="368"/>
      <c r="NS28" s="368"/>
      <c r="NT28" s="368"/>
      <c r="NU28" s="368"/>
      <c r="NV28" s="368"/>
      <c r="NW28" s="368"/>
      <c r="NX28" s="368"/>
      <c r="NY28" s="368"/>
      <c r="NZ28" s="368"/>
      <c r="OA28" s="368"/>
      <c r="OB28" s="368"/>
      <c r="OC28" s="368"/>
      <c r="OD28" s="368"/>
      <c r="OE28" s="368"/>
      <c r="OF28" s="368"/>
      <c r="OG28" s="368"/>
      <c r="OH28" s="368"/>
      <c r="OI28" s="368"/>
      <c r="OJ28" s="368"/>
      <c r="OK28" s="368"/>
      <c r="OL28" s="368"/>
      <c r="OM28" s="368"/>
      <c r="ON28" s="368"/>
      <c r="OO28" s="368"/>
      <c r="OP28" s="368"/>
      <c r="OQ28" s="368"/>
      <c r="OR28" s="368"/>
      <c r="OS28" s="368"/>
      <c r="OT28" s="368"/>
      <c r="OU28" s="368"/>
      <c r="OV28" s="368"/>
      <c r="OW28" s="368"/>
      <c r="OX28" s="368"/>
      <c r="OY28" s="368"/>
      <c r="OZ28" s="368"/>
      <c r="PA28" s="368"/>
      <c r="PB28" s="368"/>
      <c r="PC28" s="368"/>
      <c r="PD28" s="368"/>
      <c r="PE28" s="368"/>
      <c r="PF28" s="368"/>
      <c r="PG28" s="368"/>
      <c r="PH28" s="368"/>
      <c r="PI28" s="368"/>
      <c r="PJ28" s="368"/>
      <c r="PK28" s="368"/>
      <c r="PL28" s="368"/>
      <c r="PM28" s="368"/>
      <c r="PN28" s="368"/>
      <c r="PO28" s="368"/>
      <c r="PP28" s="368"/>
      <c r="PQ28" s="368"/>
      <c r="PR28" s="368"/>
      <c r="PS28" s="368"/>
      <c r="PT28" s="368"/>
      <c r="PU28" s="368"/>
      <c r="PV28" s="368"/>
      <c r="PW28" s="368"/>
      <c r="PX28" s="368"/>
      <c r="PY28" s="368"/>
      <c r="PZ28" s="368"/>
      <c r="QA28" s="368"/>
      <c r="QB28" s="368"/>
      <c r="QC28" s="368"/>
      <c r="QD28" s="368"/>
      <c r="QE28" s="368"/>
      <c r="QF28" s="368"/>
      <c r="QG28" s="368"/>
      <c r="QH28" s="368"/>
      <c r="QI28" s="368"/>
      <c r="QJ28" s="368"/>
      <c r="QK28" s="368"/>
      <c r="QL28" s="368"/>
      <c r="QM28" s="368"/>
      <c r="QN28" s="368"/>
      <c r="QO28" s="368"/>
      <c r="QP28" s="368"/>
      <c r="QQ28" s="368"/>
      <c r="QR28" s="368"/>
      <c r="QS28" s="368"/>
      <c r="QT28" s="368"/>
      <c r="QU28" s="368"/>
      <c r="QV28" s="368"/>
      <c r="QW28" s="368"/>
      <c r="QX28" s="368"/>
      <c r="QY28" s="368"/>
      <c r="QZ28" s="368"/>
      <c r="RA28" s="368"/>
      <c r="RB28" s="368"/>
      <c r="RC28" s="368"/>
      <c r="RD28" s="368"/>
      <c r="RE28" s="368"/>
      <c r="RF28" s="368"/>
      <c r="RG28" s="368"/>
      <c r="RH28" s="368"/>
      <c r="RI28" s="368"/>
      <c r="RJ28" s="368"/>
      <c r="RK28" s="368"/>
      <c r="RL28" s="368"/>
      <c r="RM28" s="368"/>
      <c r="RN28" s="368"/>
      <c r="RO28" s="368"/>
      <c r="RP28" s="368"/>
      <c r="RQ28" s="368"/>
      <c r="RR28" s="368"/>
      <c r="RS28" s="368"/>
      <c r="RT28" s="368"/>
      <c r="RU28" s="368"/>
      <c r="RV28" s="368"/>
      <c r="RW28" s="368"/>
      <c r="RX28" s="368"/>
      <c r="RY28" s="368"/>
      <c r="RZ28" s="368"/>
      <c r="SA28" s="368"/>
      <c r="SB28" s="368"/>
      <c r="SC28" s="368"/>
      <c r="SD28" s="368"/>
      <c r="SE28" s="368"/>
      <c r="SF28" s="368"/>
      <c r="SG28" s="368"/>
      <c r="SH28" s="368"/>
      <c r="SI28" s="368"/>
      <c r="SJ28" s="368"/>
      <c r="SK28" s="368"/>
      <c r="SL28" s="368"/>
      <c r="SM28" s="368"/>
      <c r="SN28" s="368"/>
      <c r="SO28" s="368"/>
      <c r="SP28" s="368"/>
      <c r="SQ28" s="368"/>
      <c r="SR28" s="368"/>
      <c r="SS28" s="368"/>
      <c r="ST28" s="368"/>
      <c r="SU28" s="368"/>
      <c r="SV28" s="368"/>
      <c r="SW28" s="368"/>
      <c r="SX28" s="368"/>
      <c r="SY28" s="368"/>
      <c r="SZ28" s="368"/>
      <c r="TA28" s="368"/>
      <c r="TB28" s="368"/>
      <c r="TC28" s="368"/>
      <c r="TD28" s="368"/>
      <c r="TE28" s="368"/>
      <c r="TF28" s="368"/>
      <c r="TG28" s="368"/>
      <c r="TH28" s="368"/>
      <c r="TI28" s="368"/>
      <c r="TJ28" s="368"/>
      <c r="TK28" s="368"/>
      <c r="TL28" s="368"/>
      <c r="TM28" s="368"/>
      <c r="TN28" s="368"/>
      <c r="TO28" s="368"/>
      <c r="TP28" s="368"/>
      <c r="TQ28" s="368"/>
      <c r="TR28" s="368"/>
      <c r="TS28" s="368"/>
      <c r="TT28" s="368"/>
      <c r="TU28" s="368"/>
      <c r="TV28" s="368"/>
      <c r="TW28" s="368"/>
      <c r="TX28" s="368"/>
      <c r="TY28" s="368"/>
      <c r="TZ28" s="368"/>
      <c r="UA28" s="368"/>
      <c r="UB28" s="368"/>
      <c r="UC28" s="368"/>
      <c r="UD28" s="368"/>
      <c r="UE28" s="368"/>
      <c r="UF28" s="368"/>
      <c r="UG28" s="368"/>
      <c r="UH28" s="368"/>
      <c r="UI28" s="368"/>
      <c r="UJ28" s="368"/>
      <c r="UK28" s="368"/>
      <c r="UL28" s="368"/>
      <c r="UM28" s="368"/>
      <c r="UN28" s="368"/>
      <c r="UO28" s="368"/>
      <c r="UP28" s="368"/>
      <c r="UQ28" s="368"/>
      <c r="UR28" s="368"/>
      <c r="US28" s="368"/>
      <c r="UT28" s="368"/>
      <c r="UU28" s="368"/>
      <c r="UV28" s="368"/>
      <c r="UW28" s="368"/>
      <c r="UX28" s="368"/>
      <c r="UY28" s="368"/>
      <c r="UZ28" s="368"/>
      <c r="VA28" s="368"/>
      <c r="VB28" s="368"/>
      <c r="VC28" s="368"/>
      <c r="VD28" s="368"/>
      <c r="VE28" s="368"/>
      <c r="VF28" s="368"/>
      <c r="VG28" s="368"/>
      <c r="VH28" s="368"/>
      <c r="VI28" s="368"/>
      <c r="VJ28" s="368"/>
      <c r="VK28" s="368"/>
      <c r="VL28" s="368"/>
      <c r="VM28" s="368"/>
      <c r="VN28" s="368"/>
      <c r="VO28" s="368"/>
      <c r="VP28" s="368"/>
      <c r="VQ28" s="368"/>
      <c r="VR28" s="368"/>
      <c r="VS28" s="368"/>
      <c r="VT28" s="368"/>
      <c r="VU28" s="368"/>
      <c r="VV28" s="368"/>
      <c r="VW28" s="368"/>
      <c r="VX28" s="368"/>
      <c r="VY28" s="368"/>
      <c r="VZ28" s="368"/>
      <c r="WA28" s="368"/>
      <c r="WB28" s="368"/>
      <c r="WC28" s="368"/>
      <c r="WD28" s="368"/>
      <c r="WE28" s="368"/>
      <c r="WF28" s="368"/>
      <c r="WG28" s="368"/>
      <c r="WH28" s="368"/>
      <c r="WI28" s="368"/>
      <c r="WJ28" s="368"/>
      <c r="WK28" s="368"/>
      <c r="WL28" s="368"/>
      <c r="WM28" s="368"/>
      <c r="WN28" s="368"/>
      <c r="WO28" s="368"/>
      <c r="WP28" s="368"/>
      <c r="WQ28" s="368"/>
      <c r="WR28" s="368"/>
      <c r="WS28" s="368"/>
      <c r="WT28" s="368"/>
      <c r="WU28" s="368"/>
      <c r="WV28" s="368"/>
      <c r="WW28" s="368"/>
      <c r="WX28" s="368"/>
      <c r="WY28" s="368"/>
      <c r="WZ28" s="368"/>
      <c r="XA28" s="368"/>
      <c r="XB28" s="368"/>
      <c r="XC28" s="368"/>
      <c r="XD28" s="368"/>
      <c r="XE28" s="368"/>
      <c r="XF28" s="368"/>
      <c r="XG28" s="368"/>
      <c r="XH28" s="368"/>
      <c r="XI28" s="368"/>
      <c r="XJ28" s="368"/>
      <c r="XK28" s="368"/>
      <c r="XL28" s="368"/>
      <c r="XM28" s="368"/>
      <c r="XN28" s="368"/>
      <c r="XO28" s="368"/>
      <c r="XP28" s="368"/>
      <c r="XQ28" s="368"/>
      <c r="XR28" s="368"/>
      <c r="XS28" s="368"/>
      <c r="XT28" s="368"/>
      <c r="XU28" s="368"/>
      <c r="XV28" s="368"/>
      <c r="XW28" s="368"/>
      <c r="XX28" s="368"/>
      <c r="XY28" s="368"/>
      <c r="XZ28" s="368"/>
      <c r="YA28" s="368"/>
      <c r="YB28" s="368"/>
      <c r="YC28" s="368"/>
      <c r="YD28" s="368"/>
      <c r="YE28" s="368"/>
      <c r="YF28" s="368"/>
      <c r="YG28" s="368"/>
      <c r="YH28" s="368"/>
      <c r="YI28" s="368"/>
      <c r="YJ28" s="368"/>
      <c r="YK28" s="368"/>
      <c r="YL28" s="368"/>
      <c r="YM28" s="368"/>
      <c r="YN28" s="368"/>
      <c r="YO28" s="368"/>
      <c r="YP28" s="368"/>
      <c r="YQ28" s="368"/>
      <c r="YR28" s="368"/>
      <c r="YS28" s="368"/>
      <c r="YT28" s="368"/>
      <c r="YU28" s="368"/>
      <c r="YV28" s="368"/>
      <c r="YW28" s="368"/>
      <c r="YX28" s="368"/>
      <c r="YY28" s="368"/>
      <c r="YZ28" s="368"/>
      <c r="ZA28" s="368"/>
      <c r="ZB28" s="368"/>
      <c r="ZC28" s="368"/>
      <c r="ZD28" s="368"/>
      <c r="ZE28" s="368"/>
      <c r="ZF28" s="368"/>
      <c r="ZG28" s="368"/>
      <c r="ZH28" s="368"/>
      <c r="ZI28" s="368"/>
      <c r="ZJ28" s="368"/>
      <c r="ZK28" s="368"/>
      <c r="ZL28" s="368"/>
      <c r="ZM28" s="368"/>
      <c r="ZN28" s="368"/>
      <c r="ZO28" s="368"/>
      <c r="ZP28" s="368"/>
      <c r="ZQ28" s="368"/>
      <c r="ZR28" s="368"/>
      <c r="ZS28" s="368"/>
      <c r="ZT28" s="368"/>
      <c r="ZU28" s="368"/>
      <c r="ZV28" s="368"/>
      <c r="ZW28" s="368"/>
      <c r="ZX28" s="368"/>
      <c r="ZY28" s="368"/>
      <c r="ZZ28" s="368"/>
      <c r="AAA28" s="368"/>
      <c r="AAB28" s="368"/>
      <c r="AAC28" s="368"/>
      <c r="AAD28" s="368"/>
      <c r="AAE28" s="368"/>
      <c r="AAF28" s="368"/>
      <c r="AAG28" s="368"/>
      <c r="AAH28" s="368"/>
      <c r="AAI28" s="368"/>
      <c r="AAJ28" s="368"/>
      <c r="AAK28" s="368"/>
      <c r="AAL28" s="368"/>
      <c r="AAM28" s="368"/>
      <c r="AAN28" s="368"/>
      <c r="AAO28" s="368"/>
      <c r="AAP28" s="368"/>
      <c r="AAQ28" s="368"/>
      <c r="AAR28" s="368"/>
      <c r="AAS28" s="368"/>
      <c r="AAT28" s="368"/>
      <c r="AAU28" s="368"/>
      <c r="AAV28" s="368"/>
      <c r="AAW28" s="368"/>
      <c r="AAX28" s="368"/>
      <c r="AAY28" s="368"/>
      <c r="AAZ28" s="368"/>
      <c r="ABA28" s="368"/>
      <c r="ABB28" s="368"/>
      <c r="ABC28" s="368"/>
      <c r="ABD28" s="368"/>
      <c r="ABE28" s="368"/>
      <c r="ABF28" s="368"/>
      <c r="ABG28" s="368"/>
      <c r="ABH28" s="368"/>
      <c r="ABI28" s="368"/>
      <c r="ABJ28" s="368"/>
      <c r="ABK28" s="368"/>
      <c r="ABL28" s="368"/>
      <c r="ABM28" s="368"/>
      <c r="ABN28" s="368"/>
      <c r="ABO28" s="368"/>
      <c r="ABP28" s="368"/>
      <c r="ABQ28" s="368"/>
      <c r="ABR28" s="368"/>
      <c r="ABS28" s="368"/>
      <c r="ABT28" s="368"/>
      <c r="ABU28" s="368"/>
      <c r="ABV28" s="368"/>
      <c r="ABW28" s="368"/>
      <c r="ABX28" s="368"/>
      <c r="ABY28" s="368"/>
      <c r="ABZ28" s="368"/>
      <c r="ACA28" s="368"/>
      <c r="ACB28" s="368"/>
      <c r="ACC28" s="368"/>
      <c r="ACD28" s="368"/>
      <c r="ACE28" s="368"/>
      <c r="ACF28" s="368"/>
      <c r="ACG28" s="368"/>
      <c r="ACH28" s="368"/>
      <c r="ACI28" s="368"/>
      <c r="ACJ28" s="368"/>
      <c r="ACK28" s="368"/>
      <c r="ACL28" s="368"/>
      <c r="ACM28" s="368"/>
      <c r="ACN28" s="368"/>
      <c r="ACO28" s="368"/>
      <c r="ACP28" s="368"/>
      <c r="ACQ28" s="368"/>
      <c r="ACR28" s="368"/>
      <c r="ACS28" s="368"/>
      <c r="ACT28" s="368"/>
      <c r="ACU28" s="368"/>
      <c r="ACV28" s="368"/>
      <c r="ACW28" s="368"/>
      <c r="ACX28" s="368"/>
      <c r="ACY28" s="368"/>
      <c r="ACZ28" s="368"/>
      <c r="ADA28" s="368"/>
      <c r="ADB28" s="368"/>
      <c r="ADC28" s="368"/>
      <c r="ADD28" s="368"/>
      <c r="ADE28" s="368"/>
      <c r="ADF28" s="368"/>
      <c r="ADG28" s="368"/>
      <c r="ADH28" s="368"/>
      <c r="ADI28" s="368"/>
      <c r="ADJ28" s="368"/>
      <c r="ADK28" s="368"/>
      <c r="ADL28" s="368"/>
      <c r="ADM28" s="368"/>
      <c r="ADN28" s="368"/>
      <c r="ADO28" s="368"/>
      <c r="ADP28" s="368"/>
      <c r="ADQ28" s="368"/>
      <c r="ADR28" s="368"/>
      <c r="ADS28" s="368"/>
      <c r="ADT28" s="368"/>
      <c r="ADU28" s="368"/>
      <c r="ADV28" s="368"/>
      <c r="ADW28" s="368"/>
      <c r="ADX28" s="368"/>
      <c r="ADY28" s="368"/>
      <c r="ADZ28" s="368"/>
      <c r="AEA28" s="368"/>
      <c r="AEB28" s="368"/>
      <c r="AEC28" s="368"/>
      <c r="AED28" s="368"/>
      <c r="AEE28" s="368"/>
      <c r="AEF28" s="368"/>
      <c r="AEG28" s="368"/>
      <c r="AEH28" s="368"/>
      <c r="AEI28" s="368"/>
      <c r="AEJ28" s="368"/>
      <c r="AEK28" s="368"/>
      <c r="AEL28" s="368"/>
      <c r="AEM28" s="368"/>
      <c r="AEN28" s="368"/>
      <c r="AEO28" s="368"/>
      <c r="AEP28" s="368"/>
      <c r="AEQ28" s="368"/>
      <c r="AER28" s="368"/>
      <c r="AES28" s="368"/>
      <c r="AET28" s="368"/>
      <c r="AEU28" s="368"/>
      <c r="AEV28" s="368"/>
      <c r="AEW28" s="368"/>
      <c r="AEX28" s="368"/>
      <c r="AEY28" s="368"/>
      <c r="AEZ28" s="368"/>
      <c r="AFA28" s="368"/>
      <c r="AFB28" s="368"/>
      <c r="AFC28" s="368"/>
      <c r="AFD28" s="368"/>
      <c r="AFE28" s="368"/>
      <c r="AFF28" s="368"/>
      <c r="AFG28" s="368"/>
      <c r="AFH28" s="368"/>
      <c r="AFI28" s="368"/>
      <c r="AFJ28" s="368"/>
      <c r="AFK28" s="368"/>
      <c r="AFL28" s="368"/>
      <c r="AFM28" s="368"/>
      <c r="AFN28" s="368"/>
      <c r="AFO28" s="368"/>
      <c r="AFP28" s="368"/>
      <c r="AFQ28" s="368"/>
      <c r="AFR28" s="368"/>
      <c r="AFS28" s="368"/>
      <c r="AFT28" s="368"/>
      <c r="AFU28" s="368"/>
      <c r="AFV28" s="368"/>
      <c r="AFW28" s="368"/>
      <c r="AFX28" s="368"/>
      <c r="AFY28" s="368"/>
      <c r="AFZ28" s="368"/>
      <c r="AGA28" s="368"/>
      <c r="AGB28" s="368"/>
      <c r="AGC28" s="368"/>
      <c r="AGD28" s="368"/>
      <c r="AGE28" s="368"/>
      <c r="AGF28" s="368"/>
      <c r="AGG28" s="368"/>
      <c r="AGH28" s="368"/>
      <c r="AGI28" s="368"/>
      <c r="AGJ28" s="368"/>
      <c r="AGK28" s="368"/>
      <c r="AGL28" s="368"/>
      <c r="AGM28" s="368"/>
      <c r="AGN28" s="368"/>
      <c r="AGO28" s="368"/>
      <c r="AGP28" s="368"/>
      <c r="AGQ28" s="368"/>
      <c r="AGR28" s="368"/>
      <c r="AGS28" s="368"/>
      <c r="AGT28" s="368"/>
      <c r="AGU28" s="368"/>
      <c r="AGV28" s="368"/>
      <c r="AGW28" s="368"/>
      <c r="AGX28" s="368"/>
      <c r="AGY28" s="368"/>
      <c r="AGZ28" s="368"/>
      <c r="AHA28" s="368"/>
      <c r="AHB28" s="368"/>
      <c r="AHC28" s="368"/>
      <c r="AHD28" s="368"/>
      <c r="AHE28" s="368"/>
      <c r="AHF28" s="368"/>
      <c r="AHG28" s="368"/>
      <c r="AHH28" s="368"/>
      <c r="AHI28" s="368"/>
      <c r="AHJ28" s="368"/>
      <c r="AHK28" s="368"/>
      <c r="AHL28" s="368"/>
      <c r="AHM28" s="368"/>
      <c r="AHN28" s="368"/>
      <c r="AHO28" s="368"/>
      <c r="AHP28" s="368"/>
      <c r="AHQ28" s="368"/>
      <c r="AHR28" s="368"/>
      <c r="AHS28" s="368"/>
      <c r="AHT28" s="368"/>
      <c r="AHU28" s="368"/>
      <c r="AHV28" s="368"/>
      <c r="AHW28" s="368"/>
      <c r="AHX28" s="368"/>
      <c r="AHY28" s="368"/>
      <c r="AHZ28" s="368"/>
      <c r="AIA28" s="368"/>
      <c r="AIB28" s="368"/>
      <c r="AIC28" s="368"/>
      <c r="AID28" s="368"/>
      <c r="AIE28" s="368"/>
      <c r="AIF28" s="368"/>
      <c r="AIG28" s="368"/>
      <c r="AIH28" s="368"/>
      <c r="AII28" s="368"/>
      <c r="AIJ28" s="368"/>
      <c r="AIK28" s="368"/>
      <c r="AIL28" s="368"/>
      <c r="AIM28" s="368"/>
      <c r="AIN28" s="368"/>
      <c r="AIO28" s="368"/>
      <c r="AIP28" s="368"/>
      <c r="AIQ28" s="368"/>
      <c r="AIR28" s="368"/>
      <c r="AIS28" s="368"/>
      <c r="AIT28" s="368"/>
      <c r="AIU28" s="368"/>
      <c r="AIV28" s="368"/>
      <c r="AIW28" s="368"/>
      <c r="AIX28" s="368"/>
      <c r="AIY28" s="368"/>
      <c r="AIZ28" s="368"/>
      <c r="AJA28" s="368"/>
      <c r="AJB28" s="368"/>
      <c r="AJC28" s="368"/>
      <c r="AJD28" s="368"/>
      <c r="AJE28" s="368"/>
      <c r="AJF28" s="368"/>
      <c r="AJG28" s="368"/>
      <c r="AJH28" s="368"/>
      <c r="AJI28" s="368"/>
      <c r="AJJ28" s="368"/>
      <c r="AJK28" s="368"/>
      <c r="AJL28" s="368"/>
      <c r="AJM28" s="368"/>
      <c r="AJN28" s="368"/>
      <c r="AJO28" s="368"/>
      <c r="AJP28" s="368"/>
      <c r="AJQ28" s="368"/>
      <c r="AJR28" s="368"/>
      <c r="AJS28" s="368"/>
      <c r="AJT28" s="368"/>
      <c r="AJU28" s="368"/>
      <c r="AJV28" s="368"/>
      <c r="AJW28" s="368"/>
      <c r="AJX28" s="368"/>
      <c r="AJY28" s="368"/>
      <c r="AJZ28" s="368"/>
      <c r="AKA28" s="368"/>
      <c r="AKB28" s="368"/>
      <c r="AKC28" s="368"/>
      <c r="AKD28" s="368"/>
      <c r="AKE28" s="368"/>
      <c r="AKF28" s="368"/>
      <c r="AKG28" s="368"/>
      <c r="AKH28" s="368"/>
      <c r="AKI28" s="368"/>
      <c r="AKJ28" s="368"/>
      <c r="AKK28" s="368"/>
      <c r="AKL28" s="368"/>
      <c r="AKM28" s="368"/>
      <c r="AKN28" s="368"/>
    </row>
    <row r="29" spans="1:976" s="14" customFormat="1" ht="22.5" customHeight="1" x14ac:dyDescent="0.2">
      <c r="A29" s="408" t="s">
        <v>262</v>
      </c>
      <c r="B29" s="408"/>
      <c r="C29" s="408" t="s">
        <v>221</v>
      </c>
      <c r="D29" s="408" t="s">
        <v>222</v>
      </c>
      <c r="E29" s="409">
        <v>403221</v>
      </c>
      <c r="F29" s="409">
        <v>299</v>
      </c>
      <c r="G29" s="409">
        <v>43</v>
      </c>
      <c r="H29" s="409">
        <v>0</v>
      </c>
      <c r="I29" s="410">
        <v>45715</v>
      </c>
      <c r="J29" s="408" t="s">
        <v>290</v>
      </c>
      <c r="K29" s="408" t="s">
        <v>357</v>
      </c>
      <c r="L29" s="411">
        <v>121.05</v>
      </c>
      <c r="M29" s="411">
        <v>24.21</v>
      </c>
      <c r="N29" s="450">
        <v>145.26</v>
      </c>
      <c r="O29" s="408"/>
      <c r="P29" s="412">
        <v>45726</v>
      </c>
      <c r="Q29" s="411">
        <v>145.26</v>
      </c>
      <c r="R29" s="408" t="s">
        <v>358</v>
      </c>
      <c r="S29" s="411">
        <v>0</v>
      </c>
      <c r="T29" s="411">
        <v>0</v>
      </c>
      <c r="U29" s="411">
        <v>0</v>
      </c>
      <c r="V29" s="411">
        <v>0</v>
      </c>
      <c r="W29" s="408"/>
      <c r="X29" s="408" t="s">
        <v>293</v>
      </c>
      <c r="Y29" s="408" t="s">
        <v>294</v>
      </c>
      <c r="Z29" s="408" t="s">
        <v>53</v>
      </c>
      <c r="AA29" s="408" t="s">
        <v>228</v>
      </c>
      <c r="AB29" s="408" t="s">
        <v>239</v>
      </c>
      <c r="AC29" s="408" t="s">
        <v>240</v>
      </c>
      <c r="AD29" s="408" t="s">
        <v>231</v>
      </c>
      <c r="AE29" s="408" t="s">
        <v>232</v>
      </c>
      <c r="AF29" s="408" t="s">
        <v>231</v>
      </c>
      <c r="AG29" s="408" t="s">
        <v>232</v>
      </c>
      <c r="AH29" s="408"/>
      <c r="AI29" s="408"/>
      <c r="AJ29" s="408"/>
      <c r="AK29" s="408" t="s">
        <v>359</v>
      </c>
      <c r="AL29" s="409">
        <v>1</v>
      </c>
      <c r="AM29" s="409">
        <v>0</v>
      </c>
      <c r="AN29" s="410">
        <v>45726</v>
      </c>
      <c r="AO29" s="410">
        <v>45726</v>
      </c>
      <c r="AP29" s="411">
        <v>145.26</v>
      </c>
      <c r="AQ29" s="410">
        <v>45725</v>
      </c>
    </row>
    <row r="30" spans="1:976" s="345" customFormat="1" ht="22.5" customHeight="1" x14ac:dyDescent="0.2">
      <c r="A30" s="423" t="s">
        <v>262</v>
      </c>
      <c r="B30" s="423"/>
      <c r="C30" s="423" t="s">
        <v>221</v>
      </c>
      <c r="D30" s="423" t="s">
        <v>222</v>
      </c>
      <c r="E30" s="424">
        <v>403373</v>
      </c>
      <c r="F30" s="424">
        <v>486</v>
      </c>
      <c r="G30" s="424">
        <v>65</v>
      </c>
      <c r="H30" s="424">
        <v>0</v>
      </c>
      <c r="I30" s="425">
        <v>45736</v>
      </c>
      <c r="J30" s="423" t="s">
        <v>290</v>
      </c>
      <c r="K30" s="423" t="s">
        <v>360</v>
      </c>
      <c r="L30" s="426">
        <v>138.07</v>
      </c>
      <c r="M30" s="426">
        <v>10.77</v>
      </c>
      <c r="N30" s="451">
        <v>148.84</v>
      </c>
      <c r="O30" s="423"/>
      <c r="P30" s="427">
        <v>45741</v>
      </c>
      <c r="Q30" s="426">
        <v>148.84</v>
      </c>
      <c r="R30" s="423" t="s">
        <v>361</v>
      </c>
      <c r="S30" s="426">
        <v>0</v>
      </c>
      <c r="T30" s="426">
        <v>0</v>
      </c>
      <c r="U30" s="426">
        <v>0</v>
      </c>
      <c r="V30" s="426">
        <v>0</v>
      </c>
      <c r="W30" s="423"/>
      <c r="X30" s="423" t="s">
        <v>293</v>
      </c>
      <c r="Y30" s="423" t="s">
        <v>294</v>
      </c>
      <c r="Z30" s="423" t="s">
        <v>53</v>
      </c>
      <c r="AA30" s="423" t="s">
        <v>228</v>
      </c>
      <c r="AB30" s="423" t="s">
        <v>239</v>
      </c>
      <c r="AC30" s="423" t="s">
        <v>243</v>
      </c>
      <c r="AD30" s="423" t="s">
        <v>231</v>
      </c>
      <c r="AE30" s="423" t="s">
        <v>232</v>
      </c>
      <c r="AF30" s="423" t="s">
        <v>231</v>
      </c>
      <c r="AG30" s="423" t="s">
        <v>232</v>
      </c>
      <c r="AH30" s="423"/>
      <c r="AI30" s="423"/>
      <c r="AJ30" s="423"/>
      <c r="AK30" s="423" t="s">
        <v>362</v>
      </c>
      <c r="AL30" s="424">
        <v>1</v>
      </c>
      <c r="AM30" s="424">
        <v>0</v>
      </c>
      <c r="AN30" s="425">
        <v>45740</v>
      </c>
      <c r="AO30" s="425">
        <v>45740</v>
      </c>
      <c r="AP30" s="426">
        <v>148.84</v>
      </c>
      <c r="AQ30" s="425">
        <v>45739</v>
      </c>
    </row>
    <row r="31" spans="1:976" s="351" customFormat="1" ht="22.5" customHeight="1" x14ac:dyDescent="0.2">
      <c r="A31" s="418" t="s">
        <v>262</v>
      </c>
      <c r="B31" s="418"/>
      <c r="C31" s="418" t="s">
        <v>221</v>
      </c>
      <c r="D31" s="418" t="s">
        <v>222</v>
      </c>
      <c r="E31" s="419">
        <v>404335</v>
      </c>
      <c r="F31" s="419">
        <v>407</v>
      </c>
      <c r="G31" s="419">
        <v>58</v>
      </c>
      <c r="H31" s="419">
        <v>0</v>
      </c>
      <c r="I31" s="420">
        <v>45728</v>
      </c>
      <c r="J31" s="418" t="s">
        <v>263</v>
      </c>
      <c r="K31" s="418" t="s">
        <v>363</v>
      </c>
      <c r="L31" s="421">
        <v>187.08</v>
      </c>
      <c r="M31" s="421">
        <v>11.81</v>
      </c>
      <c r="N31" s="443">
        <v>198.89</v>
      </c>
      <c r="O31" s="418"/>
      <c r="P31" s="422">
        <v>45733</v>
      </c>
      <c r="Q31" s="421">
        <v>198.89</v>
      </c>
      <c r="R31" s="418" t="s">
        <v>364</v>
      </c>
      <c r="S31" s="421">
        <v>0</v>
      </c>
      <c r="T31" s="421">
        <v>0</v>
      </c>
      <c r="U31" s="421">
        <v>0</v>
      </c>
      <c r="V31" s="421">
        <v>0</v>
      </c>
      <c r="W31" s="418"/>
      <c r="X31" s="418" t="s">
        <v>365</v>
      </c>
      <c r="Y31" s="418" t="s">
        <v>366</v>
      </c>
      <c r="Z31" s="418" t="s">
        <v>42</v>
      </c>
      <c r="AA31" s="418" t="s">
        <v>228</v>
      </c>
      <c r="AB31" s="418" t="s">
        <v>235</v>
      </c>
      <c r="AC31" s="418" t="s">
        <v>250</v>
      </c>
      <c r="AD31" s="418" t="s">
        <v>231</v>
      </c>
      <c r="AE31" s="418" t="s">
        <v>232</v>
      </c>
      <c r="AF31" s="418" t="s">
        <v>231</v>
      </c>
      <c r="AG31" s="418" t="s">
        <v>232</v>
      </c>
      <c r="AH31" s="418"/>
      <c r="AI31" s="418"/>
      <c r="AJ31" s="418"/>
      <c r="AK31" s="418" t="s">
        <v>367</v>
      </c>
      <c r="AL31" s="419">
        <v>1</v>
      </c>
      <c r="AM31" s="419">
        <v>0</v>
      </c>
      <c r="AN31" s="420">
        <v>45733</v>
      </c>
      <c r="AO31" s="420">
        <v>45733</v>
      </c>
      <c r="AP31" s="421">
        <v>198.89</v>
      </c>
      <c r="AQ31" s="420">
        <v>45732</v>
      </c>
      <c r="AR31" s="368"/>
      <c r="AS31" s="368"/>
      <c r="AT31" s="368"/>
      <c r="AU31" s="368"/>
      <c r="AV31" s="368"/>
      <c r="AW31" s="368"/>
      <c r="AX31" s="368"/>
      <c r="AY31" s="368"/>
      <c r="AZ31" s="368"/>
      <c r="BA31" s="368"/>
      <c r="BB31" s="368"/>
      <c r="BC31" s="368"/>
      <c r="BD31" s="368"/>
      <c r="BE31" s="368"/>
      <c r="BF31" s="368"/>
      <c r="BG31" s="368"/>
      <c r="BH31" s="368"/>
      <c r="BI31" s="368"/>
      <c r="BJ31" s="368"/>
      <c r="BK31" s="368"/>
      <c r="BL31" s="368"/>
      <c r="BM31" s="368"/>
      <c r="BN31" s="368"/>
      <c r="BO31" s="368"/>
      <c r="BP31" s="368"/>
      <c r="BQ31" s="368"/>
      <c r="BR31" s="368"/>
      <c r="BS31" s="368"/>
      <c r="BT31" s="368"/>
      <c r="BU31" s="368"/>
      <c r="BV31" s="368"/>
      <c r="BW31" s="368"/>
      <c r="BX31" s="368"/>
      <c r="BY31" s="368"/>
      <c r="BZ31" s="368"/>
      <c r="CA31" s="368"/>
      <c r="CB31" s="368"/>
      <c r="CC31" s="368"/>
      <c r="CD31" s="368"/>
      <c r="CE31" s="368"/>
      <c r="CF31" s="368"/>
      <c r="CG31" s="368"/>
      <c r="CH31" s="368"/>
      <c r="CI31" s="368"/>
      <c r="CJ31" s="368"/>
      <c r="CK31" s="368"/>
      <c r="CL31" s="368"/>
      <c r="CM31" s="368"/>
      <c r="CN31" s="368"/>
      <c r="CO31" s="368"/>
      <c r="CP31" s="368"/>
      <c r="CQ31" s="368"/>
      <c r="CR31" s="368"/>
      <c r="CS31" s="368"/>
      <c r="CT31" s="368"/>
      <c r="CU31" s="368"/>
      <c r="CV31" s="368"/>
      <c r="CW31" s="368"/>
      <c r="CX31" s="368"/>
      <c r="CY31" s="368"/>
      <c r="CZ31" s="368"/>
      <c r="DA31" s="368"/>
      <c r="DB31" s="368"/>
      <c r="DC31" s="368"/>
      <c r="DD31" s="368"/>
      <c r="DE31" s="368"/>
      <c r="DF31" s="368"/>
      <c r="DG31" s="368"/>
      <c r="DH31" s="368"/>
      <c r="DI31" s="368"/>
      <c r="DJ31" s="368"/>
      <c r="DK31" s="368"/>
      <c r="DL31" s="368"/>
      <c r="DM31" s="368"/>
      <c r="DN31" s="368"/>
      <c r="DO31" s="368"/>
      <c r="DP31" s="368"/>
      <c r="DQ31" s="368"/>
      <c r="DR31" s="368"/>
      <c r="DS31" s="368"/>
      <c r="DT31" s="368"/>
      <c r="DU31" s="368"/>
      <c r="DV31" s="368"/>
      <c r="DW31" s="368"/>
      <c r="DX31" s="368"/>
      <c r="DY31" s="368"/>
      <c r="DZ31" s="368"/>
      <c r="EA31" s="368"/>
      <c r="EB31" s="368"/>
      <c r="EC31" s="368"/>
      <c r="ED31" s="368"/>
      <c r="EE31" s="368"/>
      <c r="EF31" s="368"/>
      <c r="EG31" s="368"/>
      <c r="EH31" s="368"/>
      <c r="EI31" s="368"/>
      <c r="EJ31" s="368"/>
      <c r="EK31" s="368"/>
      <c r="EL31" s="368"/>
      <c r="EM31" s="368"/>
      <c r="EN31" s="368"/>
      <c r="EO31" s="368"/>
      <c r="EP31" s="368"/>
      <c r="EQ31" s="368"/>
      <c r="ER31" s="368"/>
      <c r="ES31" s="368"/>
      <c r="ET31" s="368"/>
      <c r="EU31" s="368"/>
      <c r="EV31" s="368"/>
      <c r="EW31" s="368"/>
      <c r="EX31" s="368"/>
      <c r="EY31" s="368"/>
      <c r="EZ31" s="368"/>
      <c r="FA31" s="368"/>
      <c r="FB31" s="368"/>
      <c r="FC31" s="368"/>
      <c r="FD31" s="368"/>
      <c r="FE31" s="368"/>
      <c r="FF31" s="368"/>
      <c r="FG31" s="368"/>
      <c r="FH31" s="368"/>
      <c r="FI31" s="368"/>
      <c r="FJ31" s="368"/>
      <c r="FK31" s="368"/>
      <c r="FL31" s="368"/>
      <c r="FM31" s="368"/>
      <c r="FN31" s="368"/>
      <c r="FO31" s="368"/>
      <c r="FP31" s="368"/>
      <c r="FQ31" s="368"/>
      <c r="FR31" s="368"/>
      <c r="FS31" s="368"/>
      <c r="FT31" s="368"/>
      <c r="FU31" s="368"/>
      <c r="FV31" s="368"/>
      <c r="FW31" s="368"/>
      <c r="FX31" s="368"/>
      <c r="FY31" s="368"/>
      <c r="FZ31" s="368"/>
      <c r="GA31" s="368"/>
      <c r="GB31" s="368"/>
      <c r="GC31" s="368"/>
      <c r="GD31" s="368"/>
      <c r="GE31" s="368"/>
      <c r="GF31" s="368"/>
      <c r="GG31" s="368"/>
      <c r="GH31" s="368"/>
      <c r="GI31" s="368"/>
      <c r="GJ31" s="368"/>
      <c r="GK31" s="368"/>
      <c r="GL31" s="368"/>
      <c r="GM31" s="368"/>
      <c r="GN31" s="368"/>
      <c r="GO31" s="368"/>
      <c r="GP31" s="368"/>
      <c r="GQ31" s="368"/>
      <c r="GR31" s="368"/>
      <c r="GS31" s="368"/>
      <c r="GT31" s="368"/>
      <c r="GU31" s="368"/>
      <c r="GV31" s="368"/>
      <c r="GW31" s="368"/>
      <c r="GX31" s="368"/>
      <c r="GY31" s="368"/>
      <c r="GZ31" s="368"/>
      <c r="HA31" s="368"/>
      <c r="HB31" s="368"/>
      <c r="HC31" s="368"/>
      <c r="HD31" s="368"/>
      <c r="HE31" s="368"/>
      <c r="HF31" s="368"/>
      <c r="HG31" s="368"/>
      <c r="HH31" s="368"/>
      <c r="HI31" s="368"/>
      <c r="HJ31" s="368"/>
      <c r="HK31" s="368"/>
      <c r="HL31" s="368"/>
      <c r="HM31" s="368"/>
      <c r="HN31" s="368"/>
      <c r="HO31" s="368"/>
      <c r="HP31" s="368"/>
      <c r="HQ31" s="368"/>
      <c r="HR31" s="368"/>
      <c r="HS31" s="368"/>
      <c r="HT31" s="368"/>
      <c r="HU31" s="368"/>
      <c r="HV31" s="368"/>
      <c r="HW31" s="368"/>
      <c r="HX31" s="368"/>
      <c r="HY31" s="368"/>
      <c r="HZ31" s="368"/>
      <c r="IA31" s="368"/>
      <c r="IB31" s="368"/>
      <c r="IC31" s="368"/>
      <c r="ID31" s="368"/>
      <c r="IE31" s="368"/>
      <c r="IF31" s="368"/>
      <c r="IG31" s="368"/>
      <c r="IH31" s="368"/>
      <c r="II31" s="368"/>
      <c r="IJ31" s="368"/>
      <c r="IK31" s="368"/>
      <c r="IL31" s="368"/>
      <c r="IM31" s="368"/>
      <c r="IN31" s="368"/>
      <c r="IO31" s="368"/>
      <c r="IP31" s="368"/>
      <c r="IQ31" s="368"/>
      <c r="IR31" s="368"/>
      <c r="IS31" s="368"/>
      <c r="IT31" s="368"/>
      <c r="IU31" s="368"/>
      <c r="IV31" s="368"/>
      <c r="IW31" s="368"/>
      <c r="IX31" s="368"/>
      <c r="IY31" s="368"/>
      <c r="IZ31" s="368"/>
      <c r="JA31" s="368"/>
      <c r="JB31" s="368"/>
      <c r="JC31" s="368"/>
      <c r="JD31" s="368"/>
      <c r="JE31" s="368"/>
      <c r="JF31" s="368"/>
      <c r="JG31" s="368"/>
      <c r="JH31" s="368"/>
      <c r="JI31" s="368"/>
      <c r="JJ31" s="368"/>
      <c r="JK31" s="368"/>
      <c r="JL31" s="368"/>
      <c r="JM31" s="368"/>
      <c r="JN31" s="368"/>
      <c r="JO31" s="368"/>
      <c r="JP31" s="368"/>
      <c r="JQ31" s="368"/>
      <c r="JR31" s="368"/>
      <c r="JS31" s="368"/>
      <c r="JT31" s="368"/>
      <c r="JU31" s="368"/>
      <c r="JV31" s="368"/>
      <c r="JW31" s="368"/>
      <c r="JX31" s="368"/>
      <c r="JY31" s="368"/>
      <c r="JZ31" s="368"/>
      <c r="KA31" s="368"/>
      <c r="KB31" s="368"/>
      <c r="KC31" s="368"/>
      <c r="KD31" s="368"/>
      <c r="KE31" s="368"/>
      <c r="KF31" s="368"/>
      <c r="KG31" s="368"/>
      <c r="KH31" s="368"/>
      <c r="KI31" s="368"/>
      <c r="KJ31" s="368"/>
      <c r="KK31" s="368"/>
      <c r="KL31" s="368"/>
      <c r="KM31" s="368"/>
      <c r="KN31" s="368"/>
      <c r="KO31" s="368"/>
      <c r="KP31" s="368"/>
      <c r="KQ31" s="368"/>
      <c r="KR31" s="368"/>
      <c r="KS31" s="368"/>
      <c r="KT31" s="368"/>
      <c r="KU31" s="368"/>
      <c r="KV31" s="368"/>
      <c r="KW31" s="368"/>
      <c r="KX31" s="368"/>
      <c r="KY31" s="368"/>
      <c r="KZ31" s="368"/>
      <c r="LA31" s="368"/>
      <c r="LB31" s="368"/>
      <c r="LC31" s="368"/>
      <c r="LD31" s="368"/>
      <c r="LE31" s="368"/>
      <c r="LF31" s="368"/>
      <c r="LG31" s="368"/>
      <c r="LH31" s="368"/>
      <c r="LI31" s="368"/>
      <c r="LJ31" s="368"/>
      <c r="LK31" s="368"/>
      <c r="LL31" s="368"/>
      <c r="LM31" s="368"/>
      <c r="LN31" s="368"/>
      <c r="LO31" s="368"/>
      <c r="LP31" s="368"/>
      <c r="LQ31" s="368"/>
      <c r="LR31" s="368"/>
      <c r="LS31" s="368"/>
      <c r="LT31" s="368"/>
      <c r="LU31" s="368"/>
      <c r="LV31" s="368"/>
      <c r="LW31" s="368"/>
      <c r="LX31" s="368"/>
      <c r="LY31" s="368"/>
      <c r="LZ31" s="368"/>
      <c r="MA31" s="368"/>
      <c r="MB31" s="368"/>
      <c r="MC31" s="368"/>
      <c r="MD31" s="368"/>
      <c r="ME31" s="368"/>
      <c r="MF31" s="368"/>
      <c r="MG31" s="368"/>
      <c r="MH31" s="368"/>
      <c r="MI31" s="368"/>
      <c r="MJ31" s="368"/>
      <c r="MK31" s="368"/>
      <c r="ML31" s="368"/>
      <c r="MM31" s="368"/>
      <c r="MN31" s="368"/>
      <c r="MO31" s="368"/>
      <c r="MP31" s="368"/>
      <c r="MQ31" s="368"/>
      <c r="MR31" s="368"/>
      <c r="MS31" s="368"/>
      <c r="MT31" s="368"/>
      <c r="MU31" s="368"/>
      <c r="MV31" s="368"/>
      <c r="MW31" s="368"/>
      <c r="MX31" s="368"/>
      <c r="MY31" s="368"/>
      <c r="MZ31" s="368"/>
      <c r="NA31" s="368"/>
      <c r="NB31" s="368"/>
      <c r="NC31" s="368"/>
      <c r="ND31" s="368"/>
      <c r="NE31" s="368"/>
      <c r="NF31" s="368"/>
      <c r="NG31" s="368"/>
      <c r="NH31" s="368"/>
      <c r="NI31" s="368"/>
      <c r="NJ31" s="368"/>
      <c r="NK31" s="368"/>
      <c r="NL31" s="368"/>
      <c r="NM31" s="368"/>
      <c r="NN31" s="368"/>
      <c r="NO31" s="368"/>
      <c r="NP31" s="368"/>
      <c r="NQ31" s="368"/>
      <c r="NR31" s="368"/>
      <c r="NS31" s="368"/>
      <c r="NT31" s="368"/>
      <c r="NU31" s="368"/>
      <c r="NV31" s="368"/>
      <c r="NW31" s="368"/>
      <c r="NX31" s="368"/>
      <c r="NY31" s="368"/>
      <c r="NZ31" s="368"/>
      <c r="OA31" s="368"/>
      <c r="OB31" s="368"/>
      <c r="OC31" s="368"/>
      <c r="OD31" s="368"/>
      <c r="OE31" s="368"/>
      <c r="OF31" s="368"/>
      <c r="OG31" s="368"/>
      <c r="OH31" s="368"/>
      <c r="OI31" s="368"/>
      <c r="OJ31" s="368"/>
      <c r="OK31" s="368"/>
      <c r="OL31" s="368"/>
      <c r="OM31" s="368"/>
      <c r="ON31" s="368"/>
      <c r="OO31" s="368"/>
      <c r="OP31" s="368"/>
      <c r="OQ31" s="368"/>
      <c r="OR31" s="368"/>
      <c r="OS31" s="368"/>
      <c r="OT31" s="368"/>
      <c r="OU31" s="368"/>
      <c r="OV31" s="368"/>
      <c r="OW31" s="368"/>
      <c r="OX31" s="368"/>
      <c r="OY31" s="368"/>
      <c r="OZ31" s="368"/>
      <c r="PA31" s="368"/>
      <c r="PB31" s="368"/>
      <c r="PC31" s="368"/>
      <c r="PD31" s="368"/>
      <c r="PE31" s="368"/>
      <c r="PF31" s="368"/>
      <c r="PG31" s="368"/>
      <c r="PH31" s="368"/>
      <c r="PI31" s="368"/>
      <c r="PJ31" s="368"/>
      <c r="PK31" s="368"/>
      <c r="PL31" s="368"/>
      <c r="PM31" s="368"/>
      <c r="PN31" s="368"/>
      <c r="PO31" s="368"/>
      <c r="PP31" s="368"/>
      <c r="PQ31" s="368"/>
      <c r="PR31" s="368"/>
      <c r="PS31" s="368"/>
      <c r="PT31" s="368"/>
      <c r="PU31" s="368"/>
      <c r="PV31" s="368"/>
      <c r="PW31" s="368"/>
      <c r="PX31" s="368"/>
      <c r="PY31" s="368"/>
      <c r="PZ31" s="368"/>
      <c r="QA31" s="368"/>
      <c r="QB31" s="368"/>
      <c r="QC31" s="368"/>
      <c r="QD31" s="368"/>
      <c r="QE31" s="368"/>
      <c r="QF31" s="368"/>
      <c r="QG31" s="368"/>
      <c r="QH31" s="368"/>
      <c r="QI31" s="368"/>
      <c r="QJ31" s="368"/>
      <c r="QK31" s="368"/>
      <c r="QL31" s="368"/>
      <c r="QM31" s="368"/>
      <c r="QN31" s="368"/>
      <c r="QO31" s="368"/>
      <c r="QP31" s="368"/>
      <c r="QQ31" s="368"/>
      <c r="QR31" s="368"/>
      <c r="QS31" s="368"/>
      <c r="QT31" s="368"/>
      <c r="QU31" s="368"/>
      <c r="QV31" s="368"/>
      <c r="QW31" s="368"/>
      <c r="QX31" s="368"/>
      <c r="QY31" s="368"/>
      <c r="QZ31" s="368"/>
      <c r="RA31" s="368"/>
      <c r="RB31" s="368"/>
      <c r="RC31" s="368"/>
      <c r="RD31" s="368"/>
      <c r="RE31" s="368"/>
      <c r="RF31" s="368"/>
      <c r="RG31" s="368"/>
      <c r="RH31" s="368"/>
      <c r="RI31" s="368"/>
      <c r="RJ31" s="368"/>
      <c r="RK31" s="368"/>
      <c r="RL31" s="368"/>
      <c r="RM31" s="368"/>
      <c r="RN31" s="368"/>
      <c r="RO31" s="368"/>
      <c r="RP31" s="368"/>
      <c r="RQ31" s="368"/>
      <c r="RR31" s="368"/>
      <c r="RS31" s="368"/>
      <c r="RT31" s="368"/>
      <c r="RU31" s="368"/>
      <c r="RV31" s="368"/>
      <c r="RW31" s="368"/>
      <c r="RX31" s="368"/>
      <c r="RY31" s="368"/>
      <c r="RZ31" s="368"/>
      <c r="SA31" s="368"/>
      <c r="SB31" s="368"/>
      <c r="SC31" s="368"/>
      <c r="SD31" s="368"/>
      <c r="SE31" s="368"/>
      <c r="SF31" s="368"/>
      <c r="SG31" s="368"/>
      <c r="SH31" s="368"/>
      <c r="SI31" s="368"/>
      <c r="SJ31" s="368"/>
      <c r="SK31" s="368"/>
      <c r="SL31" s="368"/>
      <c r="SM31" s="368"/>
      <c r="SN31" s="368"/>
      <c r="SO31" s="368"/>
      <c r="SP31" s="368"/>
      <c r="SQ31" s="368"/>
      <c r="SR31" s="368"/>
      <c r="SS31" s="368"/>
      <c r="ST31" s="368"/>
      <c r="SU31" s="368"/>
      <c r="SV31" s="368"/>
      <c r="SW31" s="368"/>
      <c r="SX31" s="368"/>
      <c r="SY31" s="368"/>
      <c r="SZ31" s="368"/>
      <c r="TA31" s="368"/>
      <c r="TB31" s="368"/>
      <c r="TC31" s="368"/>
      <c r="TD31" s="368"/>
      <c r="TE31" s="368"/>
      <c r="TF31" s="368"/>
      <c r="TG31" s="368"/>
      <c r="TH31" s="368"/>
      <c r="TI31" s="368"/>
      <c r="TJ31" s="368"/>
      <c r="TK31" s="368"/>
      <c r="TL31" s="368"/>
      <c r="TM31" s="368"/>
      <c r="TN31" s="368"/>
      <c r="TO31" s="368"/>
      <c r="TP31" s="368"/>
      <c r="TQ31" s="368"/>
      <c r="TR31" s="368"/>
      <c r="TS31" s="368"/>
      <c r="TT31" s="368"/>
      <c r="TU31" s="368"/>
      <c r="TV31" s="368"/>
      <c r="TW31" s="368"/>
      <c r="TX31" s="368"/>
      <c r="TY31" s="368"/>
      <c r="TZ31" s="368"/>
      <c r="UA31" s="368"/>
      <c r="UB31" s="368"/>
      <c r="UC31" s="368"/>
      <c r="UD31" s="368"/>
      <c r="UE31" s="368"/>
      <c r="UF31" s="368"/>
      <c r="UG31" s="368"/>
      <c r="UH31" s="368"/>
      <c r="UI31" s="368"/>
      <c r="UJ31" s="368"/>
      <c r="UK31" s="368"/>
      <c r="UL31" s="368"/>
      <c r="UM31" s="368"/>
      <c r="UN31" s="368"/>
      <c r="UO31" s="368"/>
      <c r="UP31" s="368"/>
      <c r="UQ31" s="368"/>
      <c r="UR31" s="368"/>
      <c r="US31" s="368"/>
      <c r="UT31" s="368"/>
      <c r="UU31" s="368"/>
      <c r="UV31" s="368"/>
      <c r="UW31" s="368"/>
      <c r="UX31" s="368"/>
      <c r="UY31" s="368"/>
      <c r="UZ31" s="368"/>
      <c r="VA31" s="368"/>
      <c r="VB31" s="368"/>
      <c r="VC31" s="368"/>
      <c r="VD31" s="368"/>
      <c r="VE31" s="368"/>
      <c r="VF31" s="368"/>
      <c r="VG31" s="368"/>
      <c r="VH31" s="368"/>
      <c r="VI31" s="368"/>
      <c r="VJ31" s="368"/>
      <c r="VK31" s="368"/>
      <c r="VL31" s="368"/>
      <c r="VM31" s="368"/>
      <c r="VN31" s="368"/>
      <c r="VO31" s="368"/>
      <c r="VP31" s="368"/>
      <c r="VQ31" s="368"/>
      <c r="VR31" s="368"/>
      <c r="VS31" s="368"/>
      <c r="VT31" s="368"/>
      <c r="VU31" s="368"/>
      <c r="VV31" s="368"/>
      <c r="VW31" s="368"/>
      <c r="VX31" s="368"/>
      <c r="VY31" s="368"/>
      <c r="VZ31" s="368"/>
      <c r="WA31" s="368"/>
      <c r="WB31" s="368"/>
      <c r="WC31" s="368"/>
      <c r="WD31" s="368"/>
      <c r="WE31" s="368"/>
      <c r="WF31" s="368"/>
      <c r="WG31" s="368"/>
      <c r="WH31" s="368"/>
      <c r="WI31" s="368"/>
      <c r="WJ31" s="368"/>
      <c r="WK31" s="368"/>
      <c r="WL31" s="368"/>
      <c r="WM31" s="368"/>
      <c r="WN31" s="368"/>
      <c r="WO31" s="368"/>
      <c r="WP31" s="368"/>
      <c r="WQ31" s="368"/>
      <c r="WR31" s="368"/>
      <c r="WS31" s="368"/>
      <c r="WT31" s="368"/>
      <c r="WU31" s="368"/>
      <c r="WV31" s="368"/>
      <c r="WW31" s="368"/>
      <c r="WX31" s="368"/>
      <c r="WY31" s="368"/>
      <c r="WZ31" s="368"/>
      <c r="XA31" s="368"/>
      <c r="XB31" s="368"/>
      <c r="XC31" s="368"/>
      <c r="XD31" s="368"/>
      <c r="XE31" s="368"/>
      <c r="XF31" s="368"/>
      <c r="XG31" s="368"/>
      <c r="XH31" s="368"/>
      <c r="XI31" s="368"/>
      <c r="XJ31" s="368"/>
      <c r="XK31" s="368"/>
      <c r="XL31" s="368"/>
      <c r="XM31" s="368"/>
      <c r="XN31" s="368"/>
      <c r="XO31" s="368"/>
      <c r="XP31" s="368"/>
      <c r="XQ31" s="368"/>
      <c r="XR31" s="368"/>
      <c r="XS31" s="368"/>
      <c r="XT31" s="368"/>
      <c r="XU31" s="368"/>
      <c r="XV31" s="368"/>
      <c r="XW31" s="368"/>
      <c r="XX31" s="368"/>
      <c r="XY31" s="368"/>
      <c r="XZ31" s="368"/>
      <c r="YA31" s="368"/>
      <c r="YB31" s="368"/>
      <c r="YC31" s="368"/>
      <c r="YD31" s="368"/>
      <c r="YE31" s="368"/>
      <c r="YF31" s="368"/>
      <c r="YG31" s="368"/>
      <c r="YH31" s="368"/>
      <c r="YI31" s="368"/>
      <c r="YJ31" s="368"/>
      <c r="YK31" s="368"/>
      <c r="YL31" s="368"/>
      <c r="YM31" s="368"/>
      <c r="YN31" s="368"/>
      <c r="YO31" s="368"/>
      <c r="YP31" s="368"/>
      <c r="YQ31" s="368"/>
      <c r="YR31" s="368"/>
      <c r="YS31" s="368"/>
      <c r="YT31" s="368"/>
      <c r="YU31" s="368"/>
      <c r="YV31" s="368"/>
      <c r="YW31" s="368"/>
      <c r="YX31" s="368"/>
      <c r="YY31" s="368"/>
      <c r="YZ31" s="368"/>
      <c r="ZA31" s="368"/>
      <c r="ZB31" s="368"/>
      <c r="ZC31" s="368"/>
      <c r="ZD31" s="368"/>
      <c r="ZE31" s="368"/>
      <c r="ZF31" s="368"/>
      <c r="ZG31" s="368"/>
      <c r="ZH31" s="368"/>
      <c r="ZI31" s="368"/>
      <c r="ZJ31" s="368"/>
      <c r="ZK31" s="368"/>
      <c r="ZL31" s="368"/>
      <c r="ZM31" s="368"/>
      <c r="ZN31" s="368"/>
      <c r="ZO31" s="368"/>
      <c r="ZP31" s="368"/>
      <c r="ZQ31" s="368"/>
      <c r="ZR31" s="368"/>
      <c r="ZS31" s="368"/>
      <c r="ZT31" s="368"/>
      <c r="ZU31" s="368"/>
      <c r="ZV31" s="368"/>
      <c r="ZW31" s="368"/>
      <c r="ZX31" s="368"/>
      <c r="ZY31" s="368"/>
      <c r="ZZ31" s="368"/>
      <c r="AAA31" s="368"/>
      <c r="AAB31" s="368"/>
      <c r="AAC31" s="368"/>
      <c r="AAD31" s="368"/>
      <c r="AAE31" s="368"/>
      <c r="AAF31" s="368"/>
      <c r="AAG31" s="368"/>
      <c r="AAH31" s="368"/>
      <c r="AAI31" s="368"/>
      <c r="AAJ31" s="368"/>
      <c r="AAK31" s="368"/>
      <c r="AAL31" s="368"/>
      <c r="AAM31" s="368"/>
      <c r="AAN31" s="368"/>
      <c r="AAO31" s="368"/>
      <c r="AAP31" s="368"/>
      <c r="AAQ31" s="368"/>
      <c r="AAR31" s="368"/>
      <c r="AAS31" s="368"/>
      <c r="AAT31" s="368"/>
      <c r="AAU31" s="368"/>
      <c r="AAV31" s="368"/>
      <c r="AAW31" s="368"/>
      <c r="AAX31" s="368"/>
      <c r="AAY31" s="368"/>
      <c r="AAZ31" s="368"/>
      <c r="ABA31" s="368"/>
      <c r="ABB31" s="368"/>
      <c r="ABC31" s="368"/>
      <c r="ABD31" s="368"/>
      <c r="ABE31" s="368"/>
      <c r="ABF31" s="368"/>
      <c r="ABG31" s="368"/>
      <c r="ABH31" s="368"/>
      <c r="ABI31" s="368"/>
      <c r="ABJ31" s="368"/>
      <c r="ABK31" s="368"/>
      <c r="ABL31" s="368"/>
      <c r="ABM31" s="368"/>
      <c r="ABN31" s="368"/>
      <c r="ABO31" s="368"/>
      <c r="ABP31" s="368"/>
      <c r="ABQ31" s="368"/>
      <c r="ABR31" s="368"/>
      <c r="ABS31" s="368"/>
      <c r="ABT31" s="368"/>
      <c r="ABU31" s="368"/>
      <c r="ABV31" s="368"/>
      <c r="ABW31" s="368"/>
      <c r="ABX31" s="368"/>
      <c r="ABY31" s="368"/>
      <c r="ABZ31" s="368"/>
      <c r="ACA31" s="368"/>
      <c r="ACB31" s="368"/>
      <c r="ACC31" s="368"/>
      <c r="ACD31" s="368"/>
      <c r="ACE31" s="368"/>
      <c r="ACF31" s="368"/>
      <c r="ACG31" s="368"/>
      <c r="ACH31" s="368"/>
      <c r="ACI31" s="368"/>
      <c r="ACJ31" s="368"/>
      <c r="ACK31" s="368"/>
      <c r="ACL31" s="368"/>
      <c r="ACM31" s="368"/>
      <c r="ACN31" s="368"/>
      <c r="ACO31" s="368"/>
      <c r="ACP31" s="368"/>
      <c r="ACQ31" s="368"/>
      <c r="ACR31" s="368"/>
      <c r="ACS31" s="368"/>
      <c r="ACT31" s="368"/>
      <c r="ACU31" s="368"/>
      <c r="ACV31" s="368"/>
      <c r="ACW31" s="368"/>
      <c r="ACX31" s="368"/>
      <c r="ACY31" s="368"/>
      <c r="ACZ31" s="368"/>
      <c r="ADA31" s="368"/>
      <c r="ADB31" s="368"/>
      <c r="ADC31" s="368"/>
      <c r="ADD31" s="368"/>
      <c r="ADE31" s="368"/>
      <c r="ADF31" s="368"/>
      <c r="ADG31" s="368"/>
      <c r="ADH31" s="368"/>
      <c r="ADI31" s="368"/>
      <c r="ADJ31" s="368"/>
      <c r="ADK31" s="368"/>
      <c r="ADL31" s="368"/>
      <c r="ADM31" s="368"/>
      <c r="ADN31" s="368"/>
      <c r="ADO31" s="368"/>
      <c r="ADP31" s="368"/>
      <c r="ADQ31" s="368"/>
      <c r="ADR31" s="368"/>
      <c r="ADS31" s="368"/>
      <c r="ADT31" s="368"/>
      <c r="ADU31" s="368"/>
      <c r="ADV31" s="368"/>
      <c r="ADW31" s="368"/>
      <c r="ADX31" s="368"/>
      <c r="ADY31" s="368"/>
      <c r="ADZ31" s="368"/>
      <c r="AEA31" s="368"/>
      <c r="AEB31" s="368"/>
      <c r="AEC31" s="368"/>
      <c r="AED31" s="368"/>
      <c r="AEE31" s="368"/>
      <c r="AEF31" s="368"/>
      <c r="AEG31" s="368"/>
      <c r="AEH31" s="368"/>
      <c r="AEI31" s="368"/>
      <c r="AEJ31" s="368"/>
      <c r="AEK31" s="368"/>
      <c r="AEL31" s="368"/>
      <c r="AEM31" s="368"/>
      <c r="AEN31" s="368"/>
      <c r="AEO31" s="368"/>
      <c r="AEP31" s="368"/>
      <c r="AEQ31" s="368"/>
      <c r="AER31" s="368"/>
      <c r="AES31" s="368"/>
      <c r="AET31" s="368"/>
      <c r="AEU31" s="368"/>
      <c r="AEV31" s="368"/>
      <c r="AEW31" s="368"/>
      <c r="AEX31" s="368"/>
      <c r="AEY31" s="368"/>
      <c r="AEZ31" s="368"/>
      <c r="AFA31" s="368"/>
      <c r="AFB31" s="368"/>
      <c r="AFC31" s="368"/>
      <c r="AFD31" s="368"/>
      <c r="AFE31" s="368"/>
      <c r="AFF31" s="368"/>
      <c r="AFG31" s="368"/>
      <c r="AFH31" s="368"/>
      <c r="AFI31" s="368"/>
      <c r="AFJ31" s="368"/>
      <c r="AFK31" s="368"/>
      <c r="AFL31" s="368"/>
      <c r="AFM31" s="368"/>
      <c r="AFN31" s="368"/>
      <c r="AFO31" s="368"/>
      <c r="AFP31" s="368"/>
      <c r="AFQ31" s="368"/>
      <c r="AFR31" s="368"/>
      <c r="AFS31" s="368"/>
      <c r="AFT31" s="368"/>
      <c r="AFU31" s="368"/>
      <c r="AFV31" s="368"/>
      <c r="AFW31" s="368"/>
      <c r="AFX31" s="368"/>
      <c r="AFY31" s="368"/>
      <c r="AFZ31" s="368"/>
      <c r="AGA31" s="368"/>
      <c r="AGB31" s="368"/>
      <c r="AGC31" s="368"/>
      <c r="AGD31" s="368"/>
      <c r="AGE31" s="368"/>
      <c r="AGF31" s="368"/>
      <c r="AGG31" s="368"/>
      <c r="AGH31" s="368"/>
      <c r="AGI31" s="368"/>
      <c r="AGJ31" s="368"/>
      <c r="AGK31" s="368"/>
      <c r="AGL31" s="368"/>
      <c r="AGM31" s="368"/>
      <c r="AGN31" s="368"/>
      <c r="AGO31" s="368"/>
      <c r="AGP31" s="368"/>
      <c r="AGQ31" s="368"/>
      <c r="AGR31" s="368"/>
      <c r="AGS31" s="368"/>
      <c r="AGT31" s="368"/>
      <c r="AGU31" s="368"/>
      <c r="AGV31" s="368"/>
      <c r="AGW31" s="368"/>
      <c r="AGX31" s="368"/>
      <c r="AGY31" s="368"/>
      <c r="AGZ31" s="368"/>
      <c r="AHA31" s="368"/>
      <c r="AHB31" s="368"/>
      <c r="AHC31" s="368"/>
      <c r="AHD31" s="368"/>
      <c r="AHE31" s="368"/>
      <c r="AHF31" s="368"/>
      <c r="AHG31" s="368"/>
      <c r="AHH31" s="368"/>
      <c r="AHI31" s="368"/>
      <c r="AHJ31" s="368"/>
      <c r="AHK31" s="368"/>
      <c r="AHL31" s="368"/>
      <c r="AHM31" s="368"/>
      <c r="AHN31" s="368"/>
      <c r="AHO31" s="368"/>
      <c r="AHP31" s="368"/>
      <c r="AHQ31" s="368"/>
      <c r="AHR31" s="368"/>
      <c r="AHS31" s="368"/>
      <c r="AHT31" s="368"/>
      <c r="AHU31" s="368"/>
      <c r="AHV31" s="368"/>
      <c r="AHW31" s="368"/>
      <c r="AHX31" s="368"/>
      <c r="AHY31" s="368"/>
      <c r="AHZ31" s="368"/>
      <c r="AIA31" s="368"/>
      <c r="AIB31" s="368"/>
      <c r="AIC31" s="368"/>
      <c r="AID31" s="368"/>
      <c r="AIE31" s="368"/>
      <c r="AIF31" s="368"/>
      <c r="AIG31" s="368"/>
      <c r="AIH31" s="368"/>
      <c r="AII31" s="368"/>
      <c r="AIJ31" s="368"/>
      <c r="AIK31" s="368"/>
      <c r="AIL31" s="368"/>
      <c r="AIM31" s="368"/>
      <c r="AIN31" s="368"/>
      <c r="AIO31" s="368"/>
      <c r="AIP31" s="368"/>
      <c r="AIQ31" s="368"/>
      <c r="AIR31" s="368"/>
      <c r="AIS31" s="368"/>
      <c r="AIT31" s="368"/>
      <c r="AIU31" s="368"/>
      <c r="AIV31" s="368"/>
      <c r="AIW31" s="368"/>
      <c r="AIX31" s="368"/>
      <c r="AIY31" s="368"/>
      <c r="AIZ31" s="368"/>
      <c r="AJA31" s="368"/>
      <c r="AJB31" s="368"/>
      <c r="AJC31" s="368"/>
      <c r="AJD31" s="368"/>
      <c r="AJE31" s="368"/>
      <c r="AJF31" s="368"/>
      <c r="AJG31" s="368"/>
      <c r="AJH31" s="368"/>
      <c r="AJI31" s="368"/>
      <c r="AJJ31" s="368"/>
      <c r="AJK31" s="368"/>
      <c r="AJL31" s="368"/>
      <c r="AJM31" s="368"/>
      <c r="AJN31" s="368"/>
      <c r="AJO31" s="368"/>
      <c r="AJP31" s="368"/>
      <c r="AJQ31" s="368"/>
      <c r="AJR31" s="368"/>
      <c r="AJS31" s="368"/>
      <c r="AJT31" s="368"/>
      <c r="AJU31" s="368"/>
      <c r="AJV31" s="368"/>
      <c r="AJW31" s="368"/>
      <c r="AJX31" s="368"/>
      <c r="AJY31" s="368"/>
      <c r="AJZ31" s="368"/>
      <c r="AKA31" s="368"/>
      <c r="AKB31" s="368"/>
      <c r="AKC31" s="368"/>
      <c r="AKD31" s="368"/>
      <c r="AKE31" s="368"/>
      <c r="AKF31" s="368"/>
      <c r="AKG31" s="368"/>
      <c r="AKH31" s="368"/>
      <c r="AKI31" s="368"/>
      <c r="AKJ31" s="368"/>
      <c r="AKK31" s="368"/>
      <c r="AKL31" s="368"/>
      <c r="AKM31" s="368"/>
      <c r="AKN31" s="368"/>
    </row>
    <row r="32" spans="1:976" s="351" customFormat="1" ht="22.5" customHeight="1" x14ac:dyDescent="0.2">
      <c r="A32" s="418" t="s">
        <v>262</v>
      </c>
      <c r="B32" s="418"/>
      <c r="C32" s="418" t="s">
        <v>221</v>
      </c>
      <c r="D32" s="418" t="s">
        <v>222</v>
      </c>
      <c r="E32" s="419">
        <v>404336</v>
      </c>
      <c r="F32" s="419">
        <v>408</v>
      </c>
      <c r="G32" s="419">
        <v>58</v>
      </c>
      <c r="H32" s="419">
        <v>0</v>
      </c>
      <c r="I32" s="420">
        <v>45728</v>
      </c>
      <c r="J32" s="418" t="s">
        <v>263</v>
      </c>
      <c r="K32" s="418" t="s">
        <v>368</v>
      </c>
      <c r="L32" s="421">
        <v>142.55000000000001</v>
      </c>
      <c r="M32" s="421">
        <v>7.84</v>
      </c>
      <c r="N32" s="443">
        <v>150.38999999999999</v>
      </c>
      <c r="O32" s="418"/>
      <c r="P32" s="422">
        <v>45733</v>
      </c>
      <c r="Q32" s="421">
        <v>150.38999999999999</v>
      </c>
      <c r="R32" s="418" t="s">
        <v>369</v>
      </c>
      <c r="S32" s="421">
        <v>0</v>
      </c>
      <c r="T32" s="421">
        <v>0</v>
      </c>
      <c r="U32" s="421">
        <v>0</v>
      </c>
      <c r="V32" s="421">
        <v>0</v>
      </c>
      <c r="W32" s="418"/>
      <c r="X32" s="418" t="s">
        <v>365</v>
      </c>
      <c r="Y32" s="418" t="s">
        <v>366</v>
      </c>
      <c r="Z32" s="418" t="s">
        <v>42</v>
      </c>
      <c r="AA32" s="418" t="s">
        <v>228</v>
      </c>
      <c r="AB32" s="418" t="s">
        <v>235</v>
      </c>
      <c r="AC32" s="418" t="s">
        <v>250</v>
      </c>
      <c r="AD32" s="418" t="s">
        <v>231</v>
      </c>
      <c r="AE32" s="418" t="s">
        <v>232</v>
      </c>
      <c r="AF32" s="418" t="s">
        <v>231</v>
      </c>
      <c r="AG32" s="418" t="s">
        <v>232</v>
      </c>
      <c r="AH32" s="418"/>
      <c r="AI32" s="418"/>
      <c r="AJ32" s="418"/>
      <c r="AK32" s="418" t="s">
        <v>370</v>
      </c>
      <c r="AL32" s="419">
        <v>1</v>
      </c>
      <c r="AM32" s="419">
        <v>0</v>
      </c>
      <c r="AN32" s="420">
        <v>45733</v>
      </c>
      <c r="AO32" s="420">
        <v>45733</v>
      </c>
      <c r="AP32" s="421">
        <v>150.38999999999999</v>
      </c>
      <c r="AQ32" s="420">
        <v>45732</v>
      </c>
      <c r="AR32" s="368"/>
      <c r="AS32" s="368"/>
      <c r="AT32" s="368"/>
      <c r="AU32" s="368"/>
      <c r="AV32" s="368"/>
      <c r="AW32" s="368"/>
      <c r="AX32" s="368"/>
      <c r="AY32" s="368"/>
      <c r="AZ32" s="368"/>
      <c r="BA32" s="368"/>
      <c r="BB32" s="368"/>
      <c r="BC32" s="368"/>
      <c r="BD32" s="368"/>
      <c r="BE32" s="368"/>
      <c r="BF32" s="368"/>
      <c r="BG32" s="368"/>
      <c r="BH32" s="368"/>
      <c r="BI32" s="368"/>
      <c r="BJ32" s="368"/>
      <c r="BK32" s="368"/>
      <c r="BL32" s="368"/>
      <c r="BM32" s="368"/>
      <c r="BN32" s="368"/>
      <c r="BO32" s="368"/>
      <c r="BP32" s="368"/>
      <c r="BQ32" s="368"/>
      <c r="BR32" s="368"/>
      <c r="BS32" s="368"/>
      <c r="BT32" s="368"/>
      <c r="BU32" s="368"/>
      <c r="BV32" s="368"/>
      <c r="BW32" s="368"/>
      <c r="BX32" s="368"/>
      <c r="BY32" s="368"/>
      <c r="BZ32" s="368"/>
      <c r="CA32" s="368"/>
      <c r="CB32" s="368"/>
      <c r="CC32" s="368"/>
      <c r="CD32" s="368"/>
      <c r="CE32" s="368"/>
      <c r="CF32" s="368"/>
      <c r="CG32" s="368"/>
      <c r="CH32" s="368"/>
      <c r="CI32" s="368"/>
      <c r="CJ32" s="368"/>
      <c r="CK32" s="368"/>
      <c r="CL32" s="368"/>
      <c r="CM32" s="368"/>
      <c r="CN32" s="368"/>
      <c r="CO32" s="368"/>
      <c r="CP32" s="368"/>
      <c r="CQ32" s="368"/>
      <c r="CR32" s="368"/>
      <c r="CS32" s="368"/>
      <c r="CT32" s="368"/>
      <c r="CU32" s="368"/>
      <c r="CV32" s="368"/>
      <c r="CW32" s="368"/>
      <c r="CX32" s="368"/>
      <c r="CY32" s="368"/>
      <c r="CZ32" s="368"/>
      <c r="DA32" s="368"/>
      <c r="DB32" s="368"/>
      <c r="DC32" s="368"/>
      <c r="DD32" s="368"/>
      <c r="DE32" s="368"/>
      <c r="DF32" s="368"/>
      <c r="DG32" s="368"/>
      <c r="DH32" s="368"/>
      <c r="DI32" s="368"/>
      <c r="DJ32" s="368"/>
      <c r="DK32" s="368"/>
      <c r="DL32" s="368"/>
      <c r="DM32" s="368"/>
      <c r="DN32" s="368"/>
      <c r="DO32" s="368"/>
      <c r="DP32" s="368"/>
      <c r="DQ32" s="368"/>
      <c r="DR32" s="368"/>
      <c r="DS32" s="368"/>
      <c r="DT32" s="368"/>
      <c r="DU32" s="368"/>
      <c r="DV32" s="368"/>
      <c r="DW32" s="368"/>
      <c r="DX32" s="368"/>
      <c r="DY32" s="368"/>
      <c r="DZ32" s="368"/>
      <c r="EA32" s="368"/>
      <c r="EB32" s="368"/>
      <c r="EC32" s="368"/>
      <c r="ED32" s="368"/>
      <c r="EE32" s="368"/>
      <c r="EF32" s="368"/>
      <c r="EG32" s="368"/>
      <c r="EH32" s="368"/>
      <c r="EI32" s="368"/>
      <c r="EJ32" s="368"/>
      <c r="EK32" s="368"/>
      <c r="EL32" s="368"/>
      <c r="EM32" s="368"/>
      <c r="EN32" s="368"/>
      <c r="EO32" s="368"/>
      <c r="EP32" s="368"/>
      <c r="EQ32" s="368"/>
      <c r="ER32" s="368"/>
      <c r="ES32" s="368"/>
      <c r="ET32" s="368"/>
      <c r="EU32" s="368"/>
      <c r="EV32" s="368"/>
      <c r="EW32" s="368"/>
      <c r="EX32" s="368"/>
      <c r="EY32" s="368"/>
      <c r="EZ32" s="368"/>
      <c r="FA32" s="368"/>
      <c r="FB32" s="368"/>
      <c r="FC32" s="368"/>
      <c r="FD32" s="368"/>
      <c r="FE32" s="368"/>
      <c r="FF32" s="368"/>
      <c r="FG32" s="368"/>
      <c r="FH32" s="368"/>
      <c r="FI32" s="368"/>
      <c r="FJ32" s="368"/>
      <c r="FK32" s="368"/>
      <c r="FL32" s="368"/>
      <c r="FM32" s="368"/>
      <c r="FN32" s="368"/>
      <c r="FO32" s="368"/>
      <c r="FP32" s="368"/>
      <c r="FQ32" s="368"/>
      <c r="FR32" s="368"/>
      <c r="FS32" s="368"/>
      <c r="FT32" s="368"/>
      <c r="FU32" s="368"/>
      <c r="FV32" s="368"/>
      <c r="FW32" s="368"/>
      <c r="FX32" s="368"/>
      <c r="FY32" s="368"/>
      <c r="FZ32" s="368"/>
      <c r="GA32" s="368"/>
      <c r="GB32" s="368"/>
      <c r="GC32" s="368"/>
      <c r="GD32" s="368"/>
      <c r="GE32" s="368"/>
      <c r="GF32" s="368"/>
      <c r="GG32" s="368"/>
      <c r="GH32" s="368"/>
      <c r="GI32" s="368"/>
      <c r="GJ32" s="368"/>
      <c r="GK32" s="368"/>
      <c r="GL32" s="368"/>
      <c r="GM32" s="368"/>
      <c r="GN32" s="368"/>
      <c r="GO32" s="368"/>
      <c r="GP32" s="368"/>
      <c r="GQ32" s="368"/>
      <c r="GR32" s="368"/>
      <c r="GS32" s="368"/>
      <c r="GT32" s="368"/>
      <c r="GU32" s="368"/>
      <c r="GV32" s="368"/>
      <c r="GW32" s="368"/>
      <c r="GX32" s="368"/>
      <c r="GY32" s="368"/>
      <c r="GZ32" s="368"/>
      <c r="HA32" s="368"/>
      <c r="HB32" s="368"/>
      <c r="HC32" s="368"/>
      <c r="HD32" s="368"/>
      <c r="HE32" s="368"/>
      <c r="HF32" s="368"/>
      <c r="HG32" s="368"/>
      <c r="HH32" s="368"/>
      <c r="HI32" s="368"/>
      <c r="HJ32" s="368"/>
      <c r="HK32" s="368"/>
      <c r="HL32" s="368"/>
      <c r="HM32" s="368"/>
      <c r="HN32" s="368"/>
      <c r="HO32" s="368"/>
      <c r="HP32" s="368"/>
      <c r="HQ32" s="368"/>
      <c r="HR32" s="368"/>
      <c r="HS32" s="368"/>
      <c r="HT32" s="368"/>
      <c r="HU32" s="368"/>
      <c r="HV32" s="368"/>
      <c r="HW32" s="368"/>
      <c r="HX32" s="368"/>
      <c r="HY32" s="368"/>
      <c r="HZ32" s="368"/>
      <c r="IA32" s="368"/>
      <c r="IB32" s="368"/>
      <c r="IC32" s="368"/>
      <c r="ID32" s="368"/>
      <c r="IE32" s="368"/>
      <c r="IF32" s="368"/>
      <c r="IG32" s="368"/>
      <c r="IH32" s="368"/>
      <c r="II32" s="368"/>
      <c r="IJ32" s="368"/>
      <c r="IK32" s="368"/>
      <c r="IL32" s="368"/>
      <c r="IM32" s="368"/>
      <c r="IN32" s="368"/>
      <c r="IO32" s="368"/>
      <c r="IP32" s="368"/>
      <c r="IQ32" s="368"/>
      <c r="IR32" s="368"/>
      <c r="IS32" s="368"/>
      <c r="IT32" s="368"/>
      <c r="IU32" s="368"/>
      <c r="IV32" s="368"/>
      <c r="IW32" s="368"/>
      <c r="IX32" s="368"/>
      <c r="IY32" s="368"/>
      <c r="IZ32" s="368"/>
      <c r="JA32" s="368"/>
      <c r="JB32" s="368"/>
      <c r="JC32" s="368"/>
      <c r="JD32" s="368"/>
      <c r="JE32" s="368"/>
      <c r="JF32" s="368"/>
      <c r="JG32" s="368"/>
      <c r="JH32" s="368"/>
      <c r="JI32" s="368"/>
      <c r="JJ32" s="368"/>
      <c r="JK32" s="368"/>
      <c r="JL32" s="368"/>
      <c r="JM32" s="368"/>
      <c r="JN32" s="368"/>
      <c r="JO32" s="368"/>
      <c r="JP32" s="368"/>
      <c r="JQ32" s="368"/>
      <c r="JR32" s="368"/>
      <c r="JS32" s="368"/>
      <c r="JT32" s="368"/>
      <c r="JU32" s="368"/>
      <c r="JV32" s="368"/>
      <c r="JW32" s="368"/>
      <c r="JX32" s="368"/>
      <c r="JY32" s="368"/>
      <c r="JZ32" s="368"/>
      <c r="KA32" s="368"/>
      <c r="KB32" s="368"/>
      <c r="KC32" s="368"/>
      <c r="KD32" s="368"/>
      <c r="KE32" s="368"/>
      <c r="KF32" s="368"/>
      <c r="KG32" s="368"/>
      <c r="KH32" s="368"/>
      <c r="KI32" s="368"/>
      <c r="KJ32" s="368"/>
      <c r="KK32" s="368"/>
      <c r="KL32" s="368"/>
      <c r="KM32" s="368"/>
      <c r="KN32" s="368"/>
      <c r="KO32" s="368"/>
      <c r="KP32" s="368"/>
      <c r="KQ32" s="368"/>
      <c r="KR32" s="368"/>
      <c r="KS32" s="368"/>
      <c r="KT32" s="368"/>
      <c r="KU32" s="368"/>
      <c r="KV32" s="368"/>
      <c r="KW32" s="368"/>
      <c r="KX32" s="368"/>
      <c r="KY32" s="368"/>
      <c r="KZ32" s="368"/>
      <c r="LA32" s="368"/>
      <c r="LB32" s="368"/>
      <c r="LC32" s="368"/>
      <c r="LD32" s="368"/>
      <c r="LE32" s="368"/>
      <c r="LF32" s="368"/>
      <c r="LG32" s="368"/>
      <c r="LH32" s="368"/>
      <c r="LI32" s="368"/>
      <c r="LJ32" s="368"/>
      <c r="LK32" s="368"/>
      <c r="LL32" s="368"/>
      <c r="LM32" s="368"/>
      <c r="LN32" s="368"/>
      <c r="LO32" s="368"/>
      <c r="LP32" s="368"/>
      <c r="LQ32" s="368"/>
      <c r="LR32" s="368"/>
      <c r="LS32" s="368"/>
      <c r="LT32" s="368"/>
      <c r="LU32" s="368"/>
      <c r="LV32" s="368"/>
      <c r="LW32" s="368"/>
      <c r="LX32" s="368"/>
      <c r="LY32" s="368"/>
      <c r="LZ32" s="368"/>
      <c r="MA32" s="368"/>
      <c r="MB32" s="368"/>
      <c r="MC32" s="368"/>
      <c r="MD32" s="368"/>
      <c r="ME32" s="368"/>
      <c r="MF32" s="368"/>
      <c r="MG32" s="368"/>
      <c r="MH32" s="368"/>
      <c r="MI32" s="368"/>
      <c r="MJ32" s="368"/>
      <c r="MK32" s="368"/>
      <c r="ML32" s="368"/>
      <c r="MM32" s="368"/>
      <c r="MN32" s="368"/>
      <c r="MO32" s="368"/>
      <c r="MP32" s="368"/>
      <c r="MQ32" s="368"/>
      <c r="MR32" s="368"/>
      <c r="MS32" s="368"/>
      <c r="MT32" s="368"/>
      <c r="MU32" s="368"/>
      <c r="MV32" s="368"/>
      <c r="MW32" s="368"/>
      <c r="MX32" s="368"/>
      <c r="MY32" s="368"/>
      <c r="MZ32" s="368"/>
      <c r="NA32" s="368"/>
      <c r="NB32" s="368"/>
      <c r="NC32" s="368"/>
      <c r="ND32" s="368"/>
      <c r="NE32" s="368"/>
      <c r="NF32" s="368"/>
      <c r="NG32" s="368"/>
      <c r="NH32" s="368"/>
      <c r="NI32" s="368"/>
      <c r="NJ32" s="368"/>
      <c r="NK32" s="368"/>
      <c r="NL32" s="368"/>
      <c r="NM32" s="368"/>
      <c r="NN32" s="368"/>
      <c r="NO32" s="368"/>
      <c r="NP32" s="368"/>
      <c r="NQ32" s="368"/>
      <c r="NR32" s="368"/>
      <c r="NS32" s="368"/>
      <c r="NT32" s="368"/>
      <c r="NU32" s="368"/>
      <c r="NV32" s="368"/>
      <c r="NW32" s="368"/>
      <c r="NX32" s="368"/>
      <c r="NY32" s="368"/>
      <c r="NZ32" s="368"/>
      <c r="OA32" s="368"/>
      <c r="OB32" s="368"/>
      <c r="OC32" s="368"/>
      <c r="OD32" s="368"/>
      <c r="OE32" s="368"/>
      <c r="OF32" s="368"/>
      <c r="OG32" s="368"/>
      <c r="OH32" s="368"/>
      <c r="OI32" s="368"/>
      <c r="OJ32" s="368"/>
      <c r="OK32" s="368"/>
      <c r="OL32" s="368"/>
      <c r="OM32" s="368"/>
      <c r="ON32" s="368"/>
      <c r="OO32" s="368"/>
      <c r="OP32" s="368"/>
      <c r="OQ32" s="368"/>
      <c r="OR32" s="368"/>
      <c r="OS32" s="368"/>
      <c r="OT32" s="368"/>
      <c r="OU32" s="368"/>
      <c r="OV32" s="368"/>
      <c r="OW32" s="368"/>
      <c r="OX32" s="368"/>
      <c r="OY32" s="368"/>
      <c r="OZ32" s="368"/>
      <c r="PA32" s="368"/>
      <c r="PB32" s="368"/>
      <c r="PC32" s="368"/>
      <c r="PD32" s="368"/>
      <c r="PE32" s="368"/>
      <c r="PF32" s="368"/>
      <c r="PG32" s="368"/>
      <c r="PH32" s="368"/>
      <c r="PI32" s="368"/>
      <c r="PJ32" s="368"/>
      <c r="PK32" s="368"/>
      <c r="PL32" s="368"/>
      <c r="PM32" s="368"/>
      <c r="PN32" s="368"/>
      <c r="PO32" s="368"/>
      <c r="PP32" s="368"/>
      <c r="PQ32" s="368"/>
      <c r="PR32" s="368"/>
      <c r="PS32" s="368"/>
      <c r="PT32" s="368"/>
      <c r="PU32" s="368"/>
      <c r="PV32" s="368"/>
      <c r="PW32" s="368"/>
      <c r="PX32" s="368"/>
      <c r="PY32" s="368"/>
      <c r="PZ32" s="368"/>
      <c r="QA32" s="368"/>
      <c r="QB32" s="368"/>
      <c r="QC32" s="368"/>
      <c r="QD32" s="368"/>
      <c r="QE32" s="368"/>
      <c r="QF32" s="368"/>
      <c r="QG32" s="368"/>
      <c r="QH32" s="368"/>
      <c r="QI32" s="368"/>
      <c r="QJ32" s="368"/>
      <c r="QK32" s="368"/>
      <c r="QL32" s="368"/>
      <c r="QM32" s="368"/>
      <c r="QN32" s="368"/>
      <c r="QO32" s="368"/>
      <c r="QP32" s="368"/>
      <c r="QQ32" s="368"/>
      <c r="QR32" s="368"/>
      <c r="QS32" s="368"/>
      <c r="QT32" s="368"/>
      <c r="QU32" s="368"/>
      <c r="QV32" s="368"/>
      <c r="QW32" s="368"/>
      <c r="QX32" s="368"/>
      <c r="QY32" s="368"/>
      <c r="QZ32" s="368"/>
      <c r="RA32" s="368"/>
      <c r="RB32" s="368"/>
      <c r="RC32" s="368"/>
      <c r="RD32" s="368"/>
      <c r="RE32" s="368"/>
      <c r="RF32" s="368"/>
      <c r="RG32" s="368"/>
      <c r="RH32" s="368"/>
      <c r="RI32" s="368"/>
      <c r="RJ32" s="368"/>
      <c r="RK32" s="368"/>
      <c r="RL32" s="368"/>
      <c r="RM32" s="368"/>
      <c r="RN32" s="368"/>
      <c r="RO32" s="368"/>
      <c r="RP32" s="368"/>
      <c r="RQ32" s="368"/>
      <c r="RR32" s="368"/>
      <c r="RS32" s="368"/>
      <c r="RT32" s="368"/>
      <c r="RU32" s="368"/>
      <c r="RV32" s="368"/>
      <c r="RW32" s="368"/>
      <c r="RX32" s="368"/>
      <c r="RY32" s="368"/>
      <c r="RZ32" s="368"/>
      <c r="SA32" s="368"/>
      <c r="SB32" s="368"/>
      <c r="SC32" s="368"/>
      <c r="SD32" s="368"/>
      <c r="SE32" s="368"/>
      <c r="SF32" s="368"/>
      <c r="SG32" s="368"/>
      <c r="SH32" s="368"/>
      <c r="SI32" s="368"/>
      <c r="SJ32" s="368"/>
      <c r="SK32" s="368"/>
      <c r="SL32" s="368"/>
      <c r="SM32" s="368"/>
      <c r="SN32" s="368"/>
      <c r="SO32" s="368"/>
      <c r="SP32" s="368"/>
      <c r="SQ32" s="368"/>
      <c r="SR32" s="368"/>
      <c r="SS32" s="368"/>
      <c r="ST32" s="368"/>
      <c r="SU32" s="368"/>
      <c r="SV32" s="368"/>
      <c r="SW32" s="368"/>
      <c r="SX32" s="368"/>
      <c r="SY32" s="368"/>
      <c r="SZ32" s="368"/>
      <c r="TA32" s="368"/>
      <c r="TB32" s="368"/>
      <c r="TC32" s="368"/>
      <c r="TD32" s="368"/>
      <c r="TE32" s="368"/>
      <c r="TF32" s="368"/>
      <c r="TG32" s="368"/>
      <c r="TH32" s="368"/>
      <c r="TI32" s="368"/>
      <c r="TJ32" s="368"/>
      <c r="TK32" s="368"/>
      <c r="TL32" s="368"/>
      <c r="TM32" s="368"/>
      <c r="TN32" s="368"/>
      <c r="TO32" s="368"/>
      <c r="TP32" s="368"/>
      <c r="TQ32" s="368"/>
      <c r="TR32" s="368"/>
      <c r="TS32" s="368"/>
      <c r="TT32" s="368"/>
      <c r="TU32" s="368"/>
      <c r="TV32" s="368"/>
      <c r="TW32" s="368"/>
      <c r="TX32" s="368"/>
      <c r="TY32" s="368"/>
      <c r="TZ32" s="368"/>
      <c r="UA32" s="368"/>
      <c r="UB32" s="368"/>
      <c r="UC32" s="368"/>
      <c r="UD32" s="368"/>
      <c r="UE32" s="368"/>
      <c r="UF32" s="368"/>
      <c r="UG32" s="368"/>
      <c r="UH32" s="368"/>
      <c r="UI32" s="368"/>
      <c r="UJ32" s="368"/>
      <c r="UK32" s="368"/>
      <c r="UL32" s="368"/>
      <c r="UM32" s="368"/>
      <c r="UN32" s="368"/>
      <c r="UO32" s="368"/>
      <c r="UP32" s="368"/>
      <c r="UQ32" s="368"/>
      <c r="UR32" s="368"/>
      <c r="US32" s="368"/>
      <c r="UT32" s="368"/>
      <c r="UU32" s="368"/>
      <c r="UV32" s="368"/>
      <c r="UW32" s="368"/>
      <c r="UX32" s="368"/>
      <c r="UY32" s="368"/>
      <c r="UZ32" s="368"/>
      <c r="VA32" s="368"/>
      <c r="VB32" s="368"/>
      <c r="VC32" s="368"/>
      <c r="VD32" s="368"/>
      <c r="VE32" s="368"/>
      <c r="VF32" s="368"/>
      <c r="VG32" s="368"/>
      <c r="VH32" s="368"/>
      <c r="VI32" s="368"/>
      <c r="VJ32" s="368"/>
      <c r="VK32" s="368"/>
      <c r="VL32" s="368"/>
      <c r="VM32" s="368"/>
      <c r="VN32" s="368"/>
      <c r="VO32" s="368"/>
      <c r="VP32" s="368"/>
      <c r="VQ32" s="368"/>
      <c r="VR32" s="368"/>
      <c r="VS32" s="368"/>
      <c r="VT32" s="368"/>
      <c r="VU32" s="368"/>
      <c r="VV32" s="368"/>
      <c r="VW32" s="368"/>
      <c r="VX32" s="368"/>
      <c r="VY32" s="368"/>
      <c r="VZ32" s="368"/>
      <c r="WA32" s="368"/>
      <c r="WB32" s="368"/>
      <c r="WC32" s="368"/>
      <c r="WD32" s="368"/>
      <c r="WE32" s="368"/>
      <c r="WF32" s="368"/>
      <c r="WG32" s="368"/>
      <c r="WH32" s="368"/>
      <c r="WI32" s="368"/>
      <c r="WJ32" s="368"/>
      <c r="WK32" s="368"/>
      <c r="WL32" s="368"/>
      <c r="WM32" s="368"/>
      <c r="WN32" s="368"/>
      <c r="WO32" s="368"/>
      <c r="WP32" s="368"/>
      <c r="WQ32" s="368"/>
      <c r="WR32" s="368"/>
      <c r="WS32" s="368"/>
      <c r="WT32" s="368"/>
      <c r="WU32" s="368"/>
      <c r="WV32" s="368"/>
      <c r="WW32" s="368"/>
      <c r="WX32" s="368"/>
      <c r="WY32" s="368"/>
      <c r="WZ32" s="368"/>
      <c r="XA32" s="368"/>
      <c r="XB32" s="368"/>
      <c r="XC32" s="368"/>
      <c r="XD32" s="368"/>
      <c r="XE32" s="368"/>
      <c r="XF32" s="368"/>
      <c r="XG32" s="368"/>
      <c r="XH32" s="368"/>
      <c r="XI32" s="368"/>
      <c r="XJ32" s="368"/>
      <c r="XK32" s="368"/>
      <c r="XL32" s="368"/>
      <c r="XM32" s="368"/>
      <c r="XN32" s="368"/>
      <c r="XO32" s="368"/>
      <c r="XP32" s="368"/>
      <c r="XQ32" s="368"/>
      <c r="XR32" s="368"/>
      <c r="XS32" s="368"/>
      <c r="XT32" s="368"/>
      <c r="XU32" s="368"/>
      <c r="XV32" s="368"/>
      <c r="XW32" s="368"/>
      <c r="XX32" s="368"/>
      <c r="XY32" s="368"/>
      <c r="XZ32" s="368"/>
      <c r="YA32" s="368"/>
      <c r="YB32" s="368"/>
      <c r="YC32" s="368"/>
      <c r="YD32" s="368"/>
      <c r="YE32" s="368"/>
      <c r="YF32" s="368"/>
      <c r="YG32" s="368"/>
      <c r="YH32" s="368"/>
      <c r="YI32" s="368"/>
      <c r="YJ32" s="368"/>
      <c r="YK32" s="368"/>
      <c r="YL32" s="368"/>
      <c r="YM32" s="368"/>
      <c r="YN32" s="368"/>
      <c r="YO32" s="368"/>
      <c r="YP32" s="368"/>
      <c r="YQ32" s="368"/>
      <c r="YR32" s="368"/>
      <c r="YS32" s="368"/>
      <c r="YT32" s="368"/>
      <c r="YU32" s="368"/>
      <c r="YV32" s="368"/>
      <c r="YW32" s="368"/>
      <c r="YX32" s="368"/>
      <c r="YY32" s="368"/>
      <c r="YZ32" s="368"/>
      <c r="ZA32" s="368"/>
      <c r="ZB32" s="368"/>
      <c r="ZC32" s="368"/>
      <c r="ZD32" s="368"/>
      <c r="ZE32" s="368"/>
      <c r="ZF32" s="368"/>
      <c r="ZG32" s="368"/>
      <c r="ZH32" s="368"/>
      <c r="ZI32" s="368"/>
      <c r="ZJ32" s="368"/>
      <c r="ZK32" s="368"/>
      <c r="ZL32" s="368"/>
      <c r="ZM32" s="368"/>
      <c r="ZN32" s="368"/>
      <c r="ZO32" s="368"/>
      <c r="ZP32" s="368"/>
      <c r="ZQ32" s="368"/>
      <c r="ZR32" s="368"/>
      <c r="ZS32" s="368"/>
      <c r="ZT32" s="368"/>
      <c r="ZU32" s="368"/>
      <c r="ZV32" s="368"/>
      <c r="ZW32" s="368"/>
      <c r="ZX32" s="368"/>
      <c r="ZY32" s="368"/>
      <c r="ZZ32" s="368"/>
      <c r="AAA32" s="368"/>
      <c r="AAB32" s="368"/>
      <c r="AAC32" s="368"/>
      <c r="AAD32" s="368"/>
      <c r="AAE32" s="368"/>
      <c r="AAF32" s="368"/>
      <c r="AAG32" s="368"/>
      <c r="AAH32" s="368"/>
      <c r="AAI32" s="368"/>
      <c r="AAJ32" s="368"/>
      <c r="AAK32" s="368"/>
      <c r="AAL32" s="368"/>
      <c r="AAM32" s="368"/>
      <c r="AAN32" s="368"/>
      <c r="AAO32" s="368"/>
      <c r="AAP32" s="368"/>
      <c r="AAQ32" s="368"/>
      <c r="AAR32" s="368"/>
      <c r="AAS32" s="368"/>
      <c r="AAT32" s="368"/>
      <c r="AAU32" s="368"/>
      <c r="AAV32" s="368"/>
      <c r="AAW32" s="368"/>
      <c r="AAX32" s="368"/>
      <c r="AAY32" s="368"/>
      <c r="AAZ32" s="368"/>
      <c r="ABA32" s="368"/>
      <c r="ABB32" s="368"/>
      <c r="ABC32" s="368"/>
      <c r="ABD32" s="368"/>
      <c r="ABE32" s="368"/>
      <c r="ABF32" s="368"/>
      <c r="ABG32" s="368"/>
      <c r="ABH32" s="368"/>
      <c r="ABI32" s="368"/>
      <c r="ABJ32" s="368"/>
      <c r="ABK32" s="368"/>
      <c r="ABL32" s="368"/>
      <c r="ABM32" s="368"/>
      <c r="ABN32" s="368"/>
      <c r="ABO32" s="368"/>
      <c r="ABP32" s="368"/>
      <c r="ABQ32" s="368"/>
      <c r="ABR32" s="368"/>
      <c r="ABS32" s="368"/>
      <c r="ABT32" s="368"/>
      <c r="ABU32" s="368"/>
      <c r="ABV32" s="368"/>
      <c r="ABW32" s="368"/>
      <c r="ABX32" s="368"/>
      <c r="ABY32" s="368"/>
      <c r="ABZ32" s="368"/>
      <c r="ACA32" s="368"/>
      <c r="ACB32" s="368"/>
      <c r="ACC32" s="368"/>
      <c r="ACD32" s="368"/>
      <c r="ACE32" s="368"/>
      <c r="ACF32" s="368"/>
      <c r="ACG32" s="368"/>
      <c r="ACH32" s="368"/>
      <c r="ACI32" s="368"/>
      <c r="ACJ32" s="368"/>
      <c r="ACK32" s="368"/>
      <c r="ACL32" s="368"/>
      <c r="ACM32" s="368"/>
      <c r="ACN32" s="368"/>
      <c r="ACO32" s="368"/>
      <c r="ACP32" s="368"/>
      <c r="ACQ32" s="368"/>
      <c r="ACR32" s="368"/>
      <c r="ACS32" s="368"/>
      <c r="ACT32" s="368"/>
      <c r="ACU32" s="368"/>
      <c r="ACV32" s="368"/>
      <c r="ACW32" s="368"/>
      <c r="ACX32" s="368"/>
      <c r="ACY32" s="368"/>
      <c r="ACZ32" s="368"/>
      <c r="ADA32" s="368"/>
      <c r="ADB32" s="368"/>
      <c r="ADC32" s="368"/>
      <c r="ADD32" s="368"/>
      <c r="ADE32" s="368"/>
      <c r="ADF32" s="368"/>
      <c r="ADG32" s="368"/>
      <c r="ADH32" s="368"/>
      <c r="ADI32" s="368"/>
      <c r="ADJ32" s="368"/>
      <c r="ADK32" s="368"/>
      <c r="ADL32" s="368"/>
      <c r="ADM32" s="368"/>
      <c r="ADN32" s="368"/>
      <c r="ADO32" s="368"/>
      <c r="ADP32" s="368"/>
      <c r="ADQ32" s="368"/>
      <c r="ADR32" s="368"/>
      <c r="ADS32" s="368"/>
      <c r="ADT32" s="368"/>
      <c r="ADU32" s="368"/>
      <c r="ADV32" s="368"/>
      <c r="ADW32" s="368"/>
      <c r="ADX32" s="368"/>
      <c r="ADY32" s="368"/>
      <c r="ADZ32" s="368"/>
      <c r="AEA32" s="368"/>
      <c r="AEB32" s="368"/>
      <c r="AEC32" s="368"/>
      <c r="AED32" s="368"/>
      <c r="AEE32" s="368"/>
      <c r="AEF32" s="368"/>
      <c r="AEG32" s="368"/>
      <c r="AEH32" s="368"/>
      <c r="AEI32" s="368"/>
      <c r="AEJ32" s="368"/>
      <c r="AEK32" s="368"/>
      <c r="AEL32" s="368"/>
      <c r="AEM32" s="368"/>
      <c r="AEN32" s="368"/>
      <c r="AEO32" s="368"/>
      <c r="AEP32" s="368"/>
      <c r="AEQ32" s="368"/>
      <c r="AER32" s="368"/>
      <c r="AES32" s="368"/>
      <c r="AET32" s="368"/>
      <c r="AEU32" s="368"/>
      <c r="AEV32" s="368"/>
      <c r="AEW32" s="368"/>
      <c r="AEX32" s="368"/>
      <c r="AEY32" s="368"/>
      <c r="AEZ32" s="368"/>
      <c r="AFA32" s="368"/>
      <c r="AFB32" s="368"/>
      <c r="AFC32" s="368"/>
      <c r="AFD32" s="368"/>
      <c r="AFE32" s="368"/>
      <c r="AFF32" s="368"/>
      <c r="AFG32" s="368"/>
      <c r="AFH32" s="368"/>
      <c r="AFI32" s="368"/>
      <c r="AFJ32" s="368"/>
      <c r="AFK32" s="368"/>
      <c r="AFL32" s="368"/>
      <c r="AFM32" s="368"/>
      <c r="AFN32" s="368"/>
      <c r="AFO32" s="368"/>
      <c r="AFP32" s="368"/>
      <c r="AFQ32" s="368"/>
      <c r="AFR32" s="368"/>
      <c r="AFS32" s="368"/>
      <c r="AFT32" s="368"/>
      <c r="AFU32" s="368"/>
      <c r="AFV32" s="368"/>
      <c r="AFW32" s="368"/>
      <c r="AFX32" s="368"/>
      <c r="AFY32" s="368"/>
      <c r="AFZ32" s="368"/>
      <c r="AGA32" s="368"/>
      <c r="AGB32" s="368"/>
      <c r="AGC32" s="368"/>
      <c r="AGD32" s="368"/>
      <c r="AGE32" s="368"/>
      <c r="AGF32" s="368"/>
      <c r="AGG32" s="368"/>
      <c r="AGH32" s="368"/>
      <c r="AGI32" s="368"/>
      <c r="AGJ32" s="368"/>
      <c r="AGK32" s="368"/>
      <c r="AGL32" s="368"/>
      <c r="AGM32" s="368"/>
      <c r="AGN32" s="368"/>
      <c r="AGO32" s="368"/>
      <c r="AGP32" s="368"/>
      <c r="AGQ32" s="368"/>
      <c r="AGR32" s="368"/>
      <c r="AGS32" s="368"/>
      <c r="AGT32" s="368"/>
      <c r="AGU32" s="368"/>
      <c r="AGV32" s="368"/>
      <c r="AGW32" s="368"/>
      <c r="AGX32" s="368"/>
      <c r="AGY32" s="368"/>
      <c r="AGZ32" s="368"/>
      <c r="AHA32" s="368"/>
      <c r="AHB32" s="368"/>
      <c r="AHC32" s="368"/>
      <c r="AHD32" s="368"/>
      <c r="AHE32" s="368"/>
      <c r="AHF32" s="368"/>
      <c r="AHG32" s="368"/>
      <c r="AHH32" s="368"/>
      <c r="AHI32" s="368"/>
      <c r="AHJ32" s="368"/>
      <c r="AHK32" s="368"/>
      <c r="AHL32" s="368"/>
      <c r="AHM32" s="368"/>
      <c r="AHN32" s="368"/>
      <c r="AHO32" s="368"/>
      <c r="AHP32" s="368"/>
      <c r="AHQ32" s="368"/>
      <c r="AHR32" s="368"/>
      <c r="AHS32" s="368"/>
      <c r="AHT32" s="368"/>
      <c r="AHU32" s="368"/>
      <c r="AHV32" s="368"/>
      <c r="AHW32" s="368"/>
      <c r="AHX32" s="368"/>
      <c r="AHY32" s="368"/>
      <c r="AHZ32" s="368"/>
      <c r="AIA32" s="368"/>
      <c r="AIB32" s="368"/>
      <c r="AIC32" s="368"/>
      <c r="AID32" s="368"/>
      <c r="AIE32" s="368"/>
      <c r="AIF32" s="368"/>
      <c r="AIG32" s="368"/>
      <c r="AIH32" s="368"/>
      <c r="AII32" s="368"/>
      <c r="AIJ32" s="368"/>
      <c r="AIK32" s="368"/>
      <c r="AIL32" s="368"/>
      <c r="AIM32" s="368"/>
      <c r="AIN32" s="368"/>
      <c r="AIO32" s="368"/>
      <c r="AIP32" s="368"/>
      <c r="AIQ32" s="368"/>
      <c r="AIR32" s="368"/>
      <c r="AIS32" s="368"/>
      <c r="AIT32" s="368"/>
      <c r="AIU32" s="368"/>
      <c r="AIV32" s="368"/>
      <c r="AIW32" s="368"/>
      <c r="AIX32" s="368"/>
      <c r="AIY32" s="368"/>
      <c r="AIZ32" s="368"/>
      <c r="AJA32" s="368"/>
      <c r="AJB32" s="368"/>
      <c r="AJC32" s="368"/>
      <c r="AJD32" s="368"/>
      <c r="AJE32" s="368"/>
      <c r="AJF32" s="368"/>
      <c r="AJG32" s="368"/>
      <c r="AJH32" s="368"/>
      <c r="AJI32" s="368"/>
      <c r="AJJ32" s="368"/>
      <c r="AJK32" s="368"/>
      <c r="AJL32" s="368"/>
      <c r="AJM32" s="368"/>
      <c r="AJN32" s="368"/>
      <c r="AJO32" s="368"/>
      <c r="AJP32" s="368"/>
      <c r="AJQ32" s="368"/>
      <c r="AJR32" s="368"/>
      <c r="AJS32" s="368"/>
      <c r="AJT32" s="368"/>
      <c r="AJU32" s="368"/>
      <c r="AJV32" s="368"/>
      <c r="AJW32" s="368"/>
      <c r="AJX32" s="368"/>
      <c r="AJY32" s="368"/>
      <c r="AJZ32" s="368"/>
      <c r="AKA32" s="368"/>
      <c r="AKB32" s="368"/>
      <c r="AKC32" s="368"/>
      <c r="AKD32" s="368"/>
      <c r="AKE32" s="368"/>
      <c r="AKF32" s="368"/>
      <c r="AKG32" s="368"/>
      <c r="AKH32" s="368"/>
      <c r="AKI32" s="368"/>
      <c r="AKJ32" s="368"/>
      <c r="AKK32" s="368"/>
      <c r="AKL32" s="368"/>
      <c r="AKM32" s="368"/>
      <c r="AKN32" s="368"/>
    </row>
    <row r="33" spans="1:976" s="14" customFormat="1" ht="22.5" customHeight="1" x14ac:dyDescent="0.2">
      <c r="A33" s="408" t="s">
        <v>262</v>
      </c>
      <c r="B33" s="408"/>
      <c r="C33" s="408" t="s">
        <v>221</v>
      </c>
      <c r="D33" s="408" t="s">
        <v>222</v>
      </c>
      <c r="E33" s="409">
        <v>405097</v>
      </c>
      <c r="F33" s="409">
        <v>409</v>
      </c>
      <c r="G33" s="409">
        <v>58</v>
      </c>
      <c r="H33" s="409">
        <v>0</v>
      </c>
      <c r="I33" s="410">
        <v>45728</v>
      </c>
      <c r="J33" s="408" t="s">
        <v>263</v>
      </c>
      <c r="K33" s="408" t="s">
        <v>371</v>
      </c>
      <c r="L33" s="411">
        <v>23.33</v>
      </c>
      <c r="M33" s="411">
        <v>1.28</v>
      </c>
      <c r="N33" s="450">
        <v>24.61</v>
      </c>
      <c r="O33" s="408"/>
      <c r="P33" s="412">
        <v>45733</v>
      </c>
      <c r="Q33" s="411">
        <v>24.61</v>
      </c>
      <c r="R33" s="408" t="s">
        <v>372</v>
      </c>
      <c r="S33" s="411">
        <v>0</v>
      </c>
      <c r="T33" s="411">
        <v>0</v>
      </c>
      <c r="U33" s="411">
        <v>0</v>
      </c>
      <c r="V33" s="411">
        <v>0</v>
      </c>
      <c r="W33" s="408"/>
      <c r="X33" s="408" t="s">
        <v>365</v>
      </c>
      <c r="Y33" s="408" t="s">
        <v>366</v>
      </c>
      <c r="Z33" s="408" t="s">
        <v>53</v>
      </c>
      <c r="AA33" s="408" t="s">
        <v>228</v>
      </c>
      <c r="AB33" s="408" t="s">
        <v>239</v>
      </c>
      <c r="AC33" s="408" t="s">
        <v>240</v>
      </c>
      <c r="AD33" s="408" t="s">
        <v>231</v>
      </c>
      <c r="AE33" s="408" t="s">
        <v>232</v>
      </c>
      <c r="AF33" s="408" t="s">
        <v>231</v>
      </c>
      <c r="AG33" s="408" t="s">
        <v>232</v>
      </c>
      <c r="AH33" s="408"/>
      <c r="AI33" s="408"/>
      <c r="AJ33" s="408"/>
      <c r="AK33" s="408" t="s">
        <v>373</v>
      </c>
      <c r="AL33" s="409">
        <v>1</v>
      </c>
      <c r="AM33" s="409">
        <v>0</v>
      </c>
      <c r="AN33" s="410">
        <v>45733</v>
      </c>
      <c r="AO33" s="410">
        <v>45733</v>
      </c>
      <c r="AP33" s="411">
        <v>24.61</v>
      </c>
      <c r="AQ33" s="410">
        <v>45732</v>
      </c>
    </row>
    <row r="34" spans="1:976" s="346" customFormat="1" ht="22.5" customHeight="1" x14ac:dyDescent="0.2">
      <c r="A34" s="370" t="s">
        <v>262</v>
      </c>
      <c r="B34" s="370"/>
      <c r="C34" s="370" t="s">
        <v>221</v>
      </c>
      <c r="D34" s="370" t="s">
        <v>222</v>
      </c>
      <c r="E34" s="371">
        <v>405099</v>
      </c>
      <c r="F34" s="371">
        <v>405</v>
      </c>
      <c r="G34" s="371">
        <v>58</v>
      </c>
      <c r="H34" s="371">
        <v>0</v>
      </c>
      <c r="I34" s="372">
        <v>45728</v>
      </c>
      <c r="J34" s="370" t="s">
        <v>263</v>
      </c>
      <c r="K34" s="370" t="s">
        <v>374</v>
      </c>
      <c r="L34" s="373">
        <v>110.81</v>
      </c>
      <c r="M34" s="373">
        <v>6.48</v>
      </c>
      <c r="N34" s="444">
        <v>117.29</v>
      </c>
      <c r="O34" s="370"/>
      <c r="P34" s="374">
        <v>45733</v>
      </c>
      <c r="Q34" s="373">
        <v>117.29</v>
      </c>
      <c r="R34" s="370" t="s">
        <v>375</v>
      </c>
      <c r="S34" s="373">
        <v>0</v>
      </c>
      <c r="T34" s="373">
        <v>0</v>
      </c>
      <c r="U34" s="373">
        <v>0</v>
      </c>
      <c r="V34" s="373">
        <v>0</v>
      </c>
      <c r="W34" s="370"/>
      <c r="X34" s="370" t="s">
        <v>293</v>
      </c>
      <c r="Y34" s="370" t="s">
        <v>294</v>
      </c>
      <c r="Z34" s="370" t="s">
        <v>42</v>
      </c>
      <c r="AA34" s="370" t="s">
        <v>228</v>
      </c>
      <c r="AB34" s="370" t="s">
        <v>235</v>
      </c>
      <c r="AC34" s="370" t="s">
        <v>331</v>
      </c>
      <c r="AD34" s="370" t="s">
        <v>231</v>
      </c>
      <c r="AE34" s="370" t="s">
        <v>232</v>
      </c>
      <c r="AF34" s="370" t="s">
        <v>231</v>
      </c>
      <c r="AG34" s="370" t="s">
        <v>232</v>
      </c>
      <c r="AH34" s="370"/>
      <c r="AI34" s="370"/>
      <c r="AJ34" s="370"/>
      <c r="AK34" s="370" t="s">
        <v>376</v>
      </c>
      <c r="AL34" s="371">
        <v>1</v>
      </c>
      <c r="AM34" s="371">
        <v>0</v>
      </c>
      <c r="AN34" s="372">
        <v>45733</v>
      </c>
      <c r="AO34" s="372">
        <v>45733</v>
      </c>
      <c r="AP34" s="373">
        <v>117.29</v>
      </c>
      <c r="AQ34" s="372">
        <v>45732</v>
      </c>
      <c r="AR34" s="368"/>
      <c r="AS34" s="368"/>
      <c r="AT34" s="368"/>
      <c r="AU34" s="368"/>
      <c r="AV34" s="368"/>
      <c r="AW34" s="368"/>
      <c r="AX34" s="368"/>
      <c r="AY34" s="368"/>
      <c r="AZ34" s="368"/>
      <c r="BA34" s="368"/>
      <c r="BB34" s="368"/>
      <c r="BC34" s="368"/>
      <c r="BD34" s="368"/>
      <c r="BE34" s="368"/>
      <c r="BF34" s="368"/>
      <c r="BG34" s="368"/>
      <c r="BH34" s="368"/>
      <c r="BI34" s="368"/>
      <c r="BJ34" s="368"/>
      <c r="BK34" s="368"/>
      <c r="BL34" s="368"/>
      <c r="BM34" s="368"/>
      <c r="BN34" s="368"/>
      <c r="BO34" s="368"/>
      <c r="BP34" s="368"/>
      <c r="BQ34" s="368"/>
      <c r="BR34" s="368"/>
      <c r="BS34" s="368"/>
      <c r="BT34" s="368"/>
      <c r="BU34" s="368"/>
      <c r="BV34" s="368"/>
      <c r="BW34" s="368"/>
      <c r="BX34" s="368"/>
      <c r="BY34" s="368"/>
      <c r="BZ34" s="368"/>
      <c r="CA34" s="368"/>
      <c r="CB34" s="368"/>
      <c r="CC34" s="368"/>
      <c r="CD34" s="368"/>
      <c r="CE34" s="368"/>
      <c r="CF34" s="368"/>
      <c r="CG34" s="368"/>
      <c r="CH34" s="368"/>
      <c r="CI34" s="368"/>
      <c r="CJ34" s="368"/>
      <c r="CK34" s="368"/>
      <c r="CL34" s="368"/>
      <c r="CM34" s="368"/>
      <c r="CN34" s="368"/>
      <c r="CO34" s="368"/>
      <c r="CP34" s="368"/>
      <c r="CQ34" s="368"/>
      <c r="CR34" s="368"/>
      <c r="CS34" s="368"/>
      <c r="CT34" s="368"/>
      <c r="CU34" s="368"/>
      <c r="CV34" s="368"/>
      <c r="CW34" s="368"/>
      <c r="CX34" s="368"/>
      <c r="CY34" s="368"/>
      <c r="CZ34" s="368"/>
      <c r="DA34" s="368"/>
      <c r="DB34" s="368"/>
      <c r="DC34" s="368"/>
      <c r="DD34" s="368"/>
      <c r="DE34" s="368"/>
      <c r="DF34" s="368"/>
      <c r="DG34" s="368"/>
      <c r="DH34" s="368"/>
      <c r="DI34" s="368"/>
      <c r="DJ34" s="368"/>
      <c r="DK34" s="368"/>
      <c r="DL34" s="368"/>
      <c r="DM34" s="368"/>
      <c r="DN34" s="368"/>
      <c r="DO34" s="368"/>
      <c r="DP34" s="368"/>
      <c r="DQ34" s="368"/>
      <c r="DR34" s="368"/>
      <c r="DS34" s="368"/>
      <c r="DT34" s="368"/>
      <c r="DU34" s="368"/>
      <c r="DV34" s="368"/>
      <c r="DW34" s="368"/>
      <c r="DX34" s="368"/>
      <c r="DY34" s="368"/>
      <c r="DZ34" s="368"/>
      <c r="EA34" s="368"/>
      <c r="EB34" s="368"/>
      <c r="EC34" s="368"/>
      <c r="ED34" s="368"/>
      <c r="EE34" s="368"/>
      <c r="EF34" s="368"/>
      <c r="EG34" s="368"/>
      <c r="EH34" s="368"/>
      <c r="EI34" s="368"/>
      <c r="EJ34" s="368"/>
      <c r="EK34" s="368"/>
      <c r="EL34" s="368"/>
      <c r="EM34" s="368"/>
      <c r="EN34" s="368"/>
      <c r="EO34" s="368"/>
      <c r="EP34" s="368"/>
      <c r="EQ34" s="368"/>
      <c r="ER34" s="368"/>
      <c r="ES34" s="368"/>
      <c r="ET34" s="368"/>
      <c r="EU34" s="368"/>
      <c r="EV34" s="368"/>
      <c r="EW34" s="368"/>
      <c r="EX34" s="368"/>
      <c r="EY34" s="368"/>
      <c r="EZ34" s="368"/>
      <c r="FA34" s="368"/>
      <c r="FB34" s="368"/>
      <c r="FC34" s="368"/>
      <c r="FD34" s="368"/>
      <c r="FE34" s="368"/>
      <c r="FF34" s="368"/>
      <c r="FG34" s="368"/>
      <c r="FH34" s="368"/>
      <c r="FI34" s="368"/>
      <c r="FJ34" s="368"/>
      <c r="FK34" s="368"/>
      <c r="FL34" s="368"/>
      <c r="FM34" s="368"/>
      <c r="FN34" s="368"/>
      <c r="FO34" s="368"/>
      <c r="FP34" s="368"/>
      <c r="FQ34" s="368"/>
      <c r="FR34" s="368"/>
      <c r="FS34" s="368"/>
      <c r="FT34" s="368"/>
      <c r="FU34" s="368"/>
      <c r="FV34" s="368"/>
      <c r="FW34" s="368"/>
      <c r="FX34" s="368"/>
      <c r="FY34" s="368"/>
      <c r="FZ34" s="368"/>
      <c r="GA34" s="368"/>
      <c r="GB34" s="368"/>
      <c r="GC34" s="368"/>
      <c r="GD34" s="368"/>
      <c r="GE34" s="368"/>
      <c r="GF34" s="368"/>
      <c r="GG34" s="368"/>
      <c r="GH34" s="368"/>
      <c r="GI34" s="368"/>
      <c r="GJ34" s="368"/>
      <c r="GK34" s="368"/>
      <c r="GL34" s="368"/>
      <c r="GM34" s="368"/>
      <c r="GN34" s="368"/>
      <c r="GO34" s="368"/>
      <c r="GP34" s="368"/>
      <c r="GQ34" s="368"/>
      <c r="GR34" s="368"/>
      <c r="GS34" s="368"/>
      <c r="GT34" s="368"/>
      <c r="GU34" s="368"/>
      <c r="GV34" s="368"/>
      <c r="GW34" s="368"/>
      <c r="GX34" s="368"/>
      <c r="GY34" s="368"/>
      <c r="GZ34" s="368"/>
      <c r="HA34" s="368"/>
      <c r="HB34" s="368"/>
      <c r="HC34" s="368"/>
      <c r="HD34" s="368"/>
      <c r="HE34" s="368"/>
      <c r="HF34" s="368"/>
      <c r="HG34" s="368"/>
      <c r="HH34" s="368"/>
      <c r="HI34" s="368"/>
      <c r="HJ34" s="368"/>
      <c r="HK34" s="368"/>
      <c r="HL34" s="368"/>
      <c r="HM34" s="368"/>
      <c r="HN34" s="368"/>
      <c r="HO34" s="368"/>
      <c r="HP34" s="368"/>
      <c r="HQ34" s="368"/>
      <c r="HR34" s="368"/>
      <c r="HS34" s="368"/>
      <c r="HT34" s="368"/>
      <c r="HU34" s="368"/>
      <c r="HV34" s="368"/>
      <c r="HW34" s="368"/>
      <c r="HX34" s="368"/>
      <c r="HY34" s="368"/>
      <c r="HZ34" s="368"/>
      <c r="IA34" s="368"/>
      <c r="IB34" s="368"/>
      <c r="IC34" s="368"/>
      <c r="ID34" s="368"/>
      <c r="IE34" s="368"/>
      <c r="IF34" s="368"/>
      <c r="IG34" s="368"/>
      <c r="IH34" s="368"/>
      <c r="II34" s="368"/>
      <c r="IJ34" s="368"/>
      <c r="IK34" s="368"/>
      <c r="IL34" s="368"/>
      <c r="IM34" s="368"/>
      <c r="IN34" s="368"/>
      <c r="IO34" s="368"/>
      <c r="IP34" s="368"/>
      <c r="IQ34" s="368"/>
      <c r="IR34" s="368"/>
      <c r="IS34" s="368"/>
      <c r="IT34" s="368"/>
      <c r="IU34" s="368"/>
      <c r="IV34" s="368"/>
      <c r="IW34" s="368"/>
      <c r="IX34" s="368"/>
      <c r="IY34" s="368"/>
      <c r="IZ34" s="368"/>
      <c r="JA34" s="368"/>
      <c r="JB34" s="368"/>
      <c r="JC34" s="368"/>
      <c r="JD34" s="368"/>
      <c r="JE34" s="368"/>
      <c r="JF34" s="368"/>
      <c r="JG34" s="368"/>
      <c r="JH34" s="368"/>
      <c r="JI34" s="368"/>
      <c r="JJ34" s="368"/>
      <c r="JK34" s="368"/>
      <c r="JL34" s="368"/>
      <c r="JM34" s="368"/>
      <c r="JN34" s="368"/>
      <c r="JO34" s="368"/>
      <c r="JP34" s="368"/>
      <c r="JQ34" s="368"/>
      <c r="JR34" s="368"/>
      <c r="JS34" s="368"/>
      <c r="JT34" s="368"/>
      <c r="JU34" s="368"/>
      <c r="JV34" s="368"/>
      <c r="JW34" s="368"/>
      <c r="JX34" s="368"/>
      <c r="JY34" s="368"/>
      <c r="JZ34" s="368"/>
      <c r="KA34" s="368"/>
      <c r="KB34" s="368"/>
      <c r="KC34" s="368"/>
      <c r="KD34" s="368"/>
      <c r="KE34" s="368"/>
      <c r="KF34" s="368"/>
      <c r="KG34" s="368"/>
      <c r="KH34" s="368"/>
      <c r="KI34" s="368"/>
      <c r="KJ34" s="368"/>
      <c r="KK34" s="368"/>
      <c r="KL34" s="368"/>
      <c r="KM34" s="368"/>
      <c r="KN34" s="368"/>
      <c r="KO34" s="368"/>
      <c r="KP34" s="368"/>
      <c r="KQ34" s="368"/>
      <c r="KR34" s="368"/>
      <c r="KS34" s="368"/>
      <c r="KT34" s="368"/>
      <c r="KU34" s="368"/>
      <c r="KV34" s="368"/>
      <c r="KW34" s="368"/>
      <c r="KX34" s="368"/>
      <c r="KY34" s="368"/>
      <c r="KZ34" s="368"/>
      <c r="LA34" s="368"/>
      <c r="LB34" s="368"/>
      <c r="LC34" s="368"/>
      <c r="LD34" s="368"/>
      <c r="LE34" s="368"/>
      <c r="LF34" s="368"/>
      <c r="LG34" s="368"/>
      <c r="LH34" s="368"/>
      <c r="LI34" s="368"/>
      <c r="LJ34" s="368"/>
      <c r="LK34" s="368"/>
      <c r="LL34" s="368"/>
      <c r="LM34" s="368"/>
      <c r="LN34" s="368"/>
      <c r="LO34" s="368"/>
      <c r="LP34" s="368"/>
      <c r="LQ34" s="368"/>
      <c r="LR34" s="368"/>
      <c r="LS34" s="368"/>
      <c r="LT34" s="368"/>
      <c r="LU34" s="368"/>
      <c r="LV34" s="368"/>
      <c r="LW34" s="368"/>
      <c r="LX34" s="368"/>
      <c r="LY34" s="368"/>
      <c r="LZ34" s="368"/>
      <c r="MA34" s="368"/>
      <c r="MB34" s="368"/>
      <c r="MC34" s="368"/>
      <c r="MD34" s="368"/>
      <c r="ME34" s="368"/>
      <c r="MF34" s="368"/>
      <c r="MG34" s="368"/>
      <c r="MH34" s="368"/>
      <c r="MI34" s="368"/>
      <c r="MJ34" s="368"/>
      <c r="MK34" s="368"/>
      <c r="ML34" s="368"/>
      <c r="MM34" s="368"/>
      <c r="MN34" s="368"/>
      <c r="MO34" s="368"/>
      <c r="MP34" s="368"/>
      <c r="MQ34" s="368"/>
      <c r="MR34" s="368"/>
      <c r="MS34" s="368"/>
      <c r="MT34" s="368"/>
      <c r="MU34" s="368"/>
      <c r="MV34" s="368"/>
      <c r="MW34" s="368"/>
      <c r="MX34" s="368"/>
      <c r="MY34" s="368"/>
      <c r="MZ34" s="368"/>
      <c r="NA34" s="368"/>
      <c r="NB34" s="368"/>
      <c r="NC34" s="368"/>
      <c r="ND34" s="368"/>
      <c r="NE34" s="368"/>
      <c r="NF34" s="368"/>
      <c r="NG34" s="368"/>
      <c r="NH34" s="368"/>
      <c r="NI34" s="368"/>
      <c r="NJ34" s="368"/>
      <c r="NK34" s="368"/>
      <c r="NL34" s="368"/>
      <c r="NM34" s="368"/>
      <c r="NN34" s="368"/>
      <c r="NO34" s="368"/>
      <c r="NP34" s="368"/>
      <c r="NQ34" s="368"/>
      <c r="NR34" s="368"/>
      <c r="NS34" s="368"/>
      <c r="NT34" s="368"/>
      <c r="NU34" s="368"/>
      <c r="NV34" s="368"/>
      <c r="NW34" s="368"/>
      <c r="NX34" s="368"/>
      <c r="NY34" s="368"/>
      <c r="NZ34" s="368"/>
      <c r="OA34" s="368"/>
      <c r="OB34" s="368"/>
      <c r="OC34" s="368"/>
      <c r="OD34" s="368"/>
      <c r="OE34" s="368"/>
      <c r="OF34" s="368"/>
      <c r="OG34" s="368"/>
      <c r="OH34" s="368"/>
      <c r="OI34" s="368"/>
      <c r="OJ34" s="368"/>
      <c r="OK34" s="368"/>
      <c r="OL34" s="368"/>
      <c r="OM34" s="368"/>
      <c r="ON34" s="368"/>
      <c r="OO34" s="368"/>
      <c r="OP34" s="368"/>
      <c r="OQ34" s="368"/>
      <c r="OR34" s="368"/>
      <c r="OS34" s="368"/>
      <c r="OT34" s="368"/>
      <c r="OU34" s="368"/>
      <c r="OV34" s="368"/>
      <c r="OW34" s="368"/>
      <c r="OX34" s="368"/>
      <c r="OY34" s="368"/>
      <c r="OZ34" s="368"/>
      <c r="PA34" s="368"/>
      <c r="PB34" s="368"/>
      <c r="PC34" s="368"/>
      <c r="PD34" s="368"/>
      <c r="PE34" s="368"/>
      <c r="PF34" s="368"/>
      <c r="PG34" s="368"/>
      <c r="PH34" s="368"/>
      <c r="PI34" s="368"/>
      <c r="PJ34" s="368"/>
      <c r="PK34" s="368"/>
      <c r="PL34" s="368"/>
      <c r="PM34" s="368"/>
      <c r="PN34" s="368"/>
      <c r="PO34" s="368"/>
      <c r="PP34" s="368"/>
      <c r="PQ34" s="368"/>
      <c r="PR34" s="368"/>
      <c r="PS34" s="368"/>
      <c r="PT34" s="368"/>
      <c r="PU34" s="368"/>
      <c r="PV34" s="368"/>
      <c r="PW34" s="368"/>
      <c r="PX34" s="368"/>
      <c r="PY34" s="368"/>
      <c r="PZ34" s="368"/>
      <c r="QA34" s="368"/>
      <c r="QB34" s="368"/>
      <c r="QC34" s="368"/>
      <c r="QD34" s="368"/>
      <c r="QE34" s="368"/>
      <c r="QF34" s="368"/>
      <c r="QG34" s="368"/>
      <c r="QH34" s="368"/>
      <c r="QI34" s="368"/>
      <c r="QJ34" s="368"/>
      <c r="QK34" s="368"/>
      <c r="QL34" s="368"/>
      <c r="QM34" s="368"/>
      <c r="QN34" s="368"/>
      <c r="QO34" s="368"/>
      <c r="QP34" s="368"/>
      <c r="QQ34" s="368"/>
      <c r="QR34" s="368"/>
      <c r="QS34" s="368"/>
      <c r="QT34" s="368"/>
      <c r="QU34" s="368"/>
      <c r="QV34" s="368"/>
      <c r="QW34" s="368"/>
      <c r="QX34" s="368"/>
      <c r="QY34" s="368"/>
      <c r="QZ34" s="368"/>
      <c r="RA34" s="368"/>
      <c r="RB34" s="368"/>
      <c r="RC34" s="368"/>
      <c r="RD34" s="368"/>
      <c r="RE34" s="368"/>
      <c r="RF34" s="368"/>
      <c r="RG34" s="368"/>
      <c r="RH34" s="368"/>
      <c r="RI34" s="368"/>
      <c r="RJ34" s="368"/>
      <c r="RK34" s="368"/>
      <c r="RL34" s="368"/>
      <c r="RM34" s="368"/>
      <c r="RN34" s="368"/>
      <c r="RO34" s="368"/>
      <c r="RP34" s="368"/>
      <c r="RQ34" s="368"/>
      <c r="RR34" s="368"/>
      <c r="RS34" s="368"/>
      <c r="RT34" s="368"/>
      <c r="RU34" s="368"/>
      <c r="RV34" s="368"/>
      <c r="RW34" s="368"/>
      <c r="RX34" s="368"/>
      <c r="RY34" s="368"/>
      <c r="RZ34" s="368"/>
      <c r="SA34" s="368"/>
      <c r="SB34" s="368"/>
      <c r="SC34" s="368"/>
      <c r="SD34" s="368"/>
      <c r="SE34" s="368"/>
      <c r="SF34" s="368"/>
      <c r="SG34" s="368"/>
      <c r="SH34" s="368"/>
      <c r="SI34" s="368"/>
      <c r="SJ34" s="368"/>
      <c r="SK34" s="368"/>
      <c r="SL34" s="368"/>
      <c r="SM34" s="368"/>
      <c r="SN34" s="368"/>
      <c r="SO34" s="368"/>
      <c r="SP34" s="368"/>
      <c r="SQ34" s="368"/>
      <c r="SR34" s="368"/>
      <c r="SS34" s="368"/>
      <c r="ST34" s="368"/>
      <c r="SU34" s="368"/>
      <c r="SV34" s="368"/>
      <c r="SW34" s="368"/>
      <c r="SX34" s="368"/>
      <c r="SY34" s="368"/>
      <c r="SZ34" s="368"/>
      <c r="TA34" s="368"/>
      <c r="TB34" s="368"/>
      <c r="TC34" s="368"/>
      <c r="TD34" s="368"/>
      <c r="TE34" s="368"/>
      <c r="TF34" s="368"/>
      <c r="TG34" s="368"/>
      <c r="TH34" s="368"/>
      <c r="TI34" s="368"/>
      <c r="TJ34" s="368"/>
      <c r="TK34" s="368"/>
      <c r="TL34" s="368"/>
      <c r="TM34" s="368"/>
      <c r="TN34" s="368"/>
      <c r="TO34" s="368"/>
      <c r="TP34" s="368"/>
      <c r="TQ34" s="368"/>
      <c r="TR34" s="368"/>
      <c r="TS34" s="368"/>
      <c r="TT34" s="368"/>
      <c r="TU34" s="368"/>
      <c r="TV34" s="368"/>
      <c r="TW34" s="368"/>
      <c r="TX34" s="368"/>
      <c r="TY34" s="368"/>
      <c r="TZ34" s="368"/>
      <c r="UA34" s="368"/>
      <c r="UB34" s="368"/>
      <c r="UC34" s="368"/>
      <c r="UD34" s="368"/>
      <c r="UE34" s="368"/>
      <c r="UF34" s="368"/>
      <c r="UG34" s="368"/>
      <c r="UH34" s="368"/>
      <c r="UI34" s="368"/>
      <c r="UJ34" s="368"/>
      <c r="UK34" s="368"/>
      <c r="UL34" s="368"/>
      <c r="UM34" s="368"/>
      <c r="UN34" s="368"/>
      <c r="UO34" s="368"/>
      <c r="UP34" s="368"/>
      <c r="UQ34" s="368"/>
      <c r="UR34" s="368"/>
      <c r="US34" s="368"/>
      <c r="UT34" s="368"/>
      <c r="UU34" s="368"/>
      <c r="UV34" s="368"/>
      <c r="UW34" s="368"/>
      <c r="UX34" s="368"/>
      <c r="UY34" s="368"/>
      <c r="UZ34" s="368"/>
      <c r="VA34" s="368"/>
      <c r="VB34" s="368"/>
      <c r="VC34" s="368"/>
      <c r="VD34" s="368"/>
      <c r="VE34" s="368"/>
      <c r="VF34" s="368"/>
      <c r="VG34" s="368"/>
      <c r="VH34" s="368"/>
      <c r="VI34" s="368"/>
      <c r="VJ34" s="368"/>
      <c r="VK34" s="368"/>
      <c r="VL34" s="368"/>
      <c r="VM34" s="368"/>
      <c r="VN34" s="368"/>
      <c r="VO34" s="368"/>
      <c r="VP34" s="368"/>
      <c r="VQ34" s="368"/>
      <c r="VR34" s="368"/>
      <c r="VS34" s="368"/>
      <c r="VT34" s="368"/>
      <c r="VU34" s="368"/>
      <c r="VV34" s="368"/>
      <c r="VW34" s="368"/>
      <c r="VX34" s="368"/>
      <c r="VY34" s="368"/>
      <c r="VZ34" s="368"/>
      <c r="WA34" s="368"/>
      <c r="WB34" s="368"/>
      <c r="WC34" s="368"/>
      <c r="WD34" s="368"/>
      <c r="WE34" s="368"/>
      <c r="WF34" s="368"/>
      <c r="WG34" s="368"/>
      <c r="WH34" s="368"/>
      <c r="WI34" s="368"/>
      <c r="WJ34" s="368"/>
      <c r="WK34" s="368"/>
      <c r="WL34" s="368"/>
      <c r="WM34" s="368"/>
      <c r="WN34" s="368"/>
      <c r="WO34" s="368"/>
      <c r="WP34" s="368"/>
      <c r="WQ34" s="368"/>
      <c r="WR34" s="368"/>
      <c r="WS34" s="368"/>
      <c r="WT34" s="368"/>
      <c r="WU34" s="368"/>
      <c r="WV34" s="368"/>
      <c r="WW34" s="368"/>
      <c r="WX34" s="368"/>
      <c r="WY34" s="368"/>
      <c r="WZ34" s="368"/>
      <c r="XA34" s="368"/>
      <c r="XB34" s="368"/>
      <c r="XC34" s="368"/>
      <c r="XD34" s="368"/>
      <c r="XE34" s="368"/>
      <c r="XF34" s="368"/>
      <c r="XG34" s="368"/>
      <c r="XH34" s="368"/>
      <c r="XI34" s="368"/>
      <c r="XJ34" s="368"/>
      <c r="XK34" s="368"/>
      <c r="XL34" s="368"/>
      <c r="XM34" s="368"/>
      <c r="XN34" s="368"/>
      <c r="XO34" s="368"/>
      <c r="XP34" s="368"/>
      <c r="XQ34" s="368"/>
      <c r="XR34" s="368"/>
      <c r="XS34" s="368"/>
      <c r="XT34" s="368"/>
      <c r="XU34" s="368"/>
      <c r="XV34" s="368"/>
      <c r="XW34" s="368"/>
      <c r="XX34" s="368"/>
      <c r="XY34" s="368"/>
      <c r="XZ34" s="368"/>
      <c r="YA34" s="368"/>
      <c r="YB34" s="368"/>
      <c r="YC34" s="368"/>
      <c r="YD34" s="368"/>
      <c r="YE34" s="368"/>
      <c r="YF34" s="368"/>
      <c r="YG34" s="368"/>
      <c r="YH34" s="368"/>
      <c r="YI34" s="368"/>
      <c r="YJ34" s="368"/>
      <c r="YK34" s="368"/>
      <c r="YL34" s="368"/>
      <c r="YM34" s="368"/>
      <c r="YN34" s="368"/>
      <c r="YO34" s="368"/>
      <c r="YP34" s="368"/>
      <c r="YQ34" s="368"/>
      <c r="YR34" s="368"/>
      <c r="YS34" s="368"/>
      <c r="YT34" s="368"/>
      <c r="YU34" s="368"/>
      <c r="YV34" s="368"/>
      <c r="YW34" s="368"/>
      <c r="YX34" s="368"/>
      <c r="YY34" s="368"/>
      <c r="YZ34" s="368"/>
      <c r="ZA34" s="368"/>
      <c r="ZB34" s="368"/>
      <c r="ZC34" s="368"/>
      <c r="ZD34" s="368"/>
      <c r="ZE34" s="368"/>
      <c r="ZF34" s="368"/>
      <c r="ZG34" s="368"/>
      <c r="ZH34" s="368"/>
      <c r="ZI34" s="368"/>
      <c r="ZJ34" s="368"/>
      <c r="ZK34" s="368"/>
      <c r="ZL34" s="368"/>
      <c r="ZM34" s="368"/>
      <c r="ZN34" s="368"/>
      <c r="ZO34" s="368"/>
      <c r="ZP34" s="368"/>
      <c r="ZQ34" s="368"/>
      <c r="ZR34" s="368"/>
      <c r="ZS34" s="368"/>
      <c r="ZT34" s="368"/>
      <c r="ZU34" s="368"/>
      <c r="ZV34" s="368"/>
      <c r="ZW34" s="368"/>
      <c r="ZX34" s="368"/>
      <c r="ZY34" s="368"/>
      <c r="ZZ34" s="368"/>
      <c r="AAA34" s="368"/>
      <c r="AAB34" s="368"/>
      <c r="AAC34" s="368"/>
      <c r="AAD34" s="368"/>
      <c r="AAE34" s="368"/>
      <c r="AAF34" s="368"/>
      <c r="AAG34" s="368"/>
      <c r="AAH34" s="368"/>
      <c r="AAI34" s="368"/>
      <c r="AAJ34" s="368"/>
      <c r="AAK34" s="368"/>
      <c r="AAL34" s="368"/>
      <c r="AAM34" s="368"/>
      <c r="AAN34" s="368"/>
      <c r="AAO34" s="368"/>
      <c r="AAP34" s="368"/>
      <c r="AAQ34" s="368"/>
      <c r="AAR34" s="368"/>
      <c r="AAS34" s="368"/>
      <c r="AAT34" s="368"/>
      <c r="AAU34" s="368"/>
      <c r="AAV34" s="368"/>
      <c r="AAW34" s="368"/>
      <c r="AAX34" s="368"/>
      <c r="AAY34" s="368"/>
      <c r="AAZ34" s="368"/>
      <c r="ABA34" s="368"/>
      <c r="ABB34" s="368"/>
      <c r="ABC34" s="368"/>
      <c r="ABD34" s="368"/>
      <c r="ABE34" s="368"/>
      <c r="ABF34" s="368"/>
      <c r="ABG34" s="368"/>
      <c r="ABH34" s="368"/>
      <c r="ABI34" s="368"/>
      <c r="ABJ34" s="368"/>
      <c r="ABK34" s="368"/>
      <c r="ABL34" s="368"/>
      <c r="ABM34" s="368"/>
      <c r="ABN34" s="368"/>
      <c r="ABO34" s="368"/>
      <c r="ABP34" s="368"/>
      <c r="ABQ34" s="368"/>
      <c r="ABR34" s="368"/>
      <c r="ABS34" s="368"/>
      <c r="ABT34" s="368"/>
      <c r="ABU34" s="368"/>
      <c r="ABV34" s="368"/>
      <c r="ABW34" s="368"/>
      <c r="ABX34" s="368"/>
      <c r="ABY34" s="368"/>
      <c r="ABZ34" s="368"/>
      <c r="ACA34" s="368"/>
      <c r="ACB34" s="368"/>
      <c r="ACC34" s="368"/>
      <c r="ACD34" s="368"/>
      <c r="ACE34" s="368"/>
      <c r="ACF34" s="368"/>
      <c r="ACG34" s="368"/>
      <c r="ACH34" s="368"/>
      <c r="ACI34" s="368"/>
      <c r="ACJ34" s="368"/>
      <c r="ACK34" s="368"/>
      <c r="ACL34" s="368"/>
      <c r="ACM34" s="368"/>
      <c r="ACN34" s="368"/>
      <c r="ACO34" s="368"/>
      <c r="ACP34" s="368"/>
      <c r="ACQ34" s="368"/>
      <c r="ACR34" s="368"/>
      <c r="ACS34" s="368"/>
      <c r="ACT34" s="368"/>
      <c r="ACU34" s="368"/>
      <c r="ACV34" s="368"/>
      <c r="ACW34" s="368"/>
      <c r="ACX34" s="368"/>
      <c r="ACY34" s="368"/>
      <c r="ACZ34" s="368"/>
      <c r="ADA34" s="368"/>
      <c r="ADB34" s="368"/>
      <c r="ADC34" s="368"/>
      <c r="ADD34" s="368"/>
      <c r="ADE34" s="368"/>
      <c r="ADF34" s="368"/>
      <c r="ADG34" s="368"/>
      <c r="ADH34" s="368"/>
      <c r="ADI34" s="368"/>
      <c r="ADJ34" s="368"/>
      <c r="ADK34" s="368"/>
      <c r="ADL34" s="368"/>
      <c r="ADM34" s="368"/>
      <c r="ADN34" s="368"/>
      <c r="ADO34" s="368"/>
      <c r="ADP34" s="368"/>
      <c r="ADQ34" s="368"/>
      <c r="ADR34" s="368"/>
      <c r="ADS34" s="368"/>
      <c r="ADT34" s="368"/>
      <c r="ADU34" s="368"/>
      <c r="ADV34" s="368"/>
      <c r="ADW34" s="368"/>
      <c r="ADX34" s="368"/>
      <c r="ADY34" s="368"/>
      <c r="ADZ34" s="368"/>
      <c r="AEA34" s="368"/>
      <c r="AEB34" s="368"/>
      <c r="AEC34" s="368"/>
      <c r="AED34" s="368"/>
      <c r="AEE34" s="368"/>
      <c r="AEF34" s="368"/>
      <c r="AEG34" s="368"/>
      <c r="AEH34" s="368"/>
      <c r="AEI34" s="368"/>
      <c r="AEJ34" s="368"/>
      <c r="AEK34" s="368"/>
      <c r="AEL34" s="368"/>
      <c r="AEM34" s="368"/>
      <c r="AEN34" s="368"/>
      <c r="AEO34" s="368"/>
      <c r="AEP34" s="368"/>
      <c r="AEQ34" s="368"/>
      <c r="AER34" s="368"/>
      <c r="AES34" s="368"/>
      <c r="AET34" s="368"/>
      <c r="AEU34" s="368"/>
      <c r="AEV34" s="368"/>
      <c r="AEW34" s="368"/>
      <c r="AEX34" s="368"/>
      <c r="AEY34" s="368"/>
      <c r="AEZ34" s="368"/>
      <c r="AFA34" s="368"/>
      <c r="AFB34" s="368"/>
      <c r="AFC34" s="368"/>
      <c r="AFD34" s="368"/>
      <c r="AFE34" s="368"/>
      <c r="AFF34" s="368"/>
      <c r="AFG34" s="368"/>
      <c r="AFH34" s="368"/>
      <c r="AFI34" s="368"/>
      <c r="AFJ34" s="368"/>
      <c r="AFK34" s="368"/>
      <c r="AFL34" s="368"/>
      <c r="AFM34" s="368"/>
      <c r="AFN34" s="368"/>
      <c r="AFO34" s="368"/>
      <c r="AFP34" s="368"/>
      <c r="AFQ34" s="368"/>
      <c r="AFR34" s="368"/>
      <c r="AFS34" s="368"/>
      <c r="AFT34" s="368"/>
      <c r="AFU34" s="368"/>
      <c r="AFV34" s="368"/>
      <c r="AFW34" s="368"/>
      <c r="AFX34" s="368"/>
      <c r="AFY34" s="368"/>
      <c r="AFZ34" s="368"/>
      <c r="AGA34" s="368"/>
      <c r="AGB34" s="368"/>
      <c r="AGC34" s="368"/>
      <c r="AGD34" s="368"/>
      <c r="AGE34" s="368"/>
      <c r="AGF34" s="368"/>
      <c r="AGG34" s="368"/>
      <c r="AGH34" s="368"/>
      <c r="AGI34" s="368"/>
      <c r="AGJ34" s="368"/>
      <c r="AGK34" s="368"/>
      <c r="AGL34" s="368"/>
      <c r="AGM34" s="368"/>
      <c r="AGN34" s="368"/>
      <c r="AGO34" s="368"/>
      <c r="AGP34" s="368"/>
      <c r="AGQ34" s="368"/>
      <c r="AGR34" s="368"/>
      <c r="AGS34" s="368"/>
      <c r="AGT34" s="368"/>
      <c r="AGU34" s="368"/>
      <c r="AGV34" s="368"/>
      <c r="AGW34" s="368"/>
      <c r="AGX34" s="368"/>
      <c r="AGY34" s="368"/>
      <c r="AGZ34" s="368"/>
      <c r="AHA34" s="368"/>
      <c r="AHB34" s="368"/>
      <c r="AHC34" s="368"/>
      <c r="AHD34" s="368"/>
      <c r="AHE34" s="368"/>
      <c r="AHF34" s="368"/>
      <c r="AHG34" s="368"/>
      <c r="AHH34" s="368"/>
      <c r="AHI34" s="368"/>
      <c r="AHJ34" s="368"/>
      <c r="AHK34" s="368"/>
      <c r="AHL34" s="368"/>
      <c r="AHM34" s="368"/>
      <c r="AHN34" s="368"/>
      <c r="AHO34" s="368"/>
      <c r="AHP34" s="368"/>
      <c r="AHQ34" s="368"/>
      <c r="AHR34" s="368"/>
      <c r="AHS34" s="368"/>
      <c r="AHT34" s="368"/>
      <c r="AHU34" s="368"/>
      <c r="AHV34" s="368"/>
      <c r="AHW34" s="368"/>
      <c r="AHX34" s="368"/>
      <c r="AHY34" s="368"/>
      <c r="AHZ34" s="368"/>
      <c r="AIA34" s="368"/>
      <c r="AIB34" s="368"/>
      <c r="AIC34" s="368"/>
      <c r="AID34" s="368"/>
      <c r="AIE34" s="368"/>
      <c r="AIF34" s="368"/>
      <c r="AIG34" s="368"/>
      <c r="AIH34" s="368"/>
      <c r="AII34" s="368"/>
      <c r="AIJ34" s="368"/>
      <c r="AIK34" s="368"/>
      <c r="AIL34" s="368"/>
      <c r="AIM34" s="368"/>
      <c r="AIN34" s="368"/>
      <c r="AIO34" s="368"/>
      <c r="AIP34" s="368"/>
      <c r="AIQ34" s="368"/>
      <c r="AIR34" s="368"/>
      <c r="AIS34" s="368"/>
      <c r="AIT34" s="368"/>
      <c r="AIU34" s="368"/>
      <c r="AIV34" s="368"/>
      <c r="AIW34" s="368"/>
      <c r="AIX34" s="368"/>
      <c r="AIY34" s="368"/>
      <c r="AIZ34" s="368"/>
      <c r="AJA34" s="368"/>
      <c r="AJB34" s="368"/>
      <c r="AJC34" s="368"/>
      <c r="AJD34" s="368"/>
      <c r="AJE34" s="368"/>
      <c r="AJF34" s="368"/>
      <c r="AJG34" s="368"/>
      <c r="AJH34" s="368"/>
      <c r="AJI34" s="368"/>
      <c r="AJJ34" s="368"/>
      <c r="AJK34" s="368"/>
      <c r="AJL34" s="368"/>
      <c r="AJM34" s="368"/>
      <c r="AJN34" s="368"/>
      <c r="AJO34" s="368"/>
      <c r="AJP34" s="368"/>
      <c r="AJQ34" s="368"/>
      <c r="AJR34" s="368"/>
      <c r="AJS34" s="368"/>
      <c r="AJT34" s="368"/>
      <c r="AJU34" s="368"/>
      <c r="AJV34" s="368"/>
      <c r="AJW34" s="368"/>
      <c r="AJX34" s="368"/>
      <c r="AJY34" s="368"/>
      <c r="AJZ34" s="368"/>
      <c r="AKA34" s="368"/>
      <c r="AKB34" s="368"/>
      <c r="AKC34" s="368"/>
      <c r="AKD34" s="368"/>
      <c r="AKE34" s="368"/>
      <c r="AKF34" s="368"/>
      <c r="AKG34" s="368"/>
      <c r="AKH34" s="368"/>
      <c r="AKI34" s="368"/>
      <c r="AKJ34" s="368"/>
      <c r="AKK34" s="368"/>
      <c r="AKL34" s="368"/>
      <c r="AKM34" s="368"/>
      <c r="AKN34" s="368"/>
    </row>
    <row r="35" spans="1:976" s="346" customFormat="1" ht="22.5" customHeight="1" x14ac:dyDescent="0.2">
      <c r="A35" s="370" t="s">
        <v>262</v>
      </c>
      <c r="B35" s="370"/>
      <c r="C35" s="370" t="s">
        <v>221</v>
      </c>
      <c r="D35" s="370" t="s">
        <v>222</v>
      </c>
      <c r="E35" s="371">
        <v>405100</v>
      </c>
      <c r="F35" s="371">
        <v>406</v>
      </c>
      <c r="G35" s="371">
        <v>58</v>
      </c>
      <c r="H35" s="371">
        <v>0</v>
      </c>
      <c r="I35" s="372">
        <v>45728</v>
      </c>
      <c r="J35" s="370" t="s">
        <v>263</v>
      </c>
      <c r="K35" s="370" t="s">
        <v>377</v>
      </c>
      <c r="L35" s="373">
        <v>78.69</v>
      </c>
      <c r="M35" s="373">
        <v>5.05</v>
      </c>
      <c r="N35" s="444">
        <v>83.74</v>
      </c>
      <c r="O35" s="370"/>
      <c r="P35" s="374">
        <v>45733</v>
      </c>
      <c r="Q35" s="373">
        <v>83.74</v>
      </c>
      <c r="R35" s="370" t="s">
        <v>378</v>
      </c>
      <c r="S35" s="373">
        <v>0</v>
      </c>
      <c r="T35" s="373">
        <v>0</v>
      </c>
      <c r="U35" s="373">
        <v>0</v>
      </c>
      <c r="V35" s="373">
        <v>0</v>
      </c>
      <c r="W35" s="370"/>
      <c r="X35" s="370" t="s">
        <v>293</v>
      </c>
      <c r="Y35" s="370" t="s">
        <v>294</v>
      </c>
      <c r="Z35" s="370" t="s">
        <v>42</v>
      </c>
      <c r="AA35" s="370" t="s">
        <v>228</v>
      </c>
      <c r="AB35" s="370" t="s">
        <v>235</v>
      </c>
      <c r="AC35" s="370" t="s">
        <v>331</v>
      </c>
      <c r="AD35" s="370" t="s">
        <v>231</v>
      </c>
      <c r="AE35" s="370" t="s">
        <v>232</v>
      </c>
      <c r="AF35" s="370" t="s">
        <v>231</v>
      </c>
      <c r="AG35" s="370" t="s">
        <v>232</v>
      </c>
      <c r="AH35" s="370"/>
      <c r="AI35" s="370"/>
      <c r="AJ35" s="370"/>
      <c r="AK35" s="370" t="s">
        <v>379</v>
      </c>
      <c r="AL35" s="371">
        <v>1</v>
      </c>
      <c r="AM35" s="371">
        <v>0</v>
      </c>
      <c r="AN35" s="372">
        <v>45733</v>
      </c>
      <c r="AO35" s="372">
        <v>45733</v>
      </c>
      <c r="AP35" s="373">
        <v>83.74</v>
      </c>
      <c r="AQ35" s="372">
        <v>45732</v>
      </c>
      <c r="AR35" s="368"/>
      <c r="AS35" s="368"/>
      <c r="AT35" s="368"/>
      <c r="AU35" s="368"/>
      <c r="AV35" s="368"/>
      <c r="AW35" s="368"/>
      <c r="AX35" s="368"/>
      <c r="AY35" s="368"/>
      <c r="AZ35" s="368"/>
      <c r="BA35" s="368"/>
      <c r="BB35" s="368"/>
      <c r="BC35" s="368"/>
      <c r="BD35" s="368"/>
      <c r="BE35" s="368"/>
      <c r="BF35" s="368"/>
      <c r="BG35" s="368"/>
      <c r="BH35" s="368"/>
      <c r="BI35" s="368"/>
      <c r="BJ35" s="368"/>
      <c r="BK35" s="368"/>
      <c r="BL35" s="368"/>
      <c r="BM35" s="368"/>
      <c r="BN35" s="368"/>
      <c r="BO35" s="368"/>
      <c r="BP35" s="368"/>
      <c r="BQ35" s="368"/>
      <c r="BR35" s="368"/>
      <c r="BS35" s="368"/>
      <c r="BT35" s="368"/>
      <c r="BU35" s="368"/>
      <c r="BV35" s="368"/>
      <c r="BW35" s="368"/>
      <c r="BX35" s="368"/>
      <c r="BY35" s="368"/>
      <c r="BZ35" s="368"/>
      <c r="CA35" s="368"/>
      <c r="CB35" s="368"/>
      <c r="CC35" s="368"/>
      <c r="CD35" s="368"/>
      <c r="CE35" s="368"/>
      <c r="CF35" s="368"/>
      <c r="CG35" s="368"/>
      <c r="CH35" s="368"/>
      <c r="CI35" s="368"/>
      <c r="CJ35" s="368"/>
      <c r="CK35" s="368"/>
      <c r="CL35" s="368"/>
      <c r="CM35" s="368"/>
      <c r="CN35" s="368"/>
      <c r="CO35" s="368"/>
      <c r="CP35" s="368"/>
      <c r="CQ35" s="368"/>
      <c r="CR35" s="368"/>
      <c r="CS35" s="368"/>
      <c r="CT35" s="368"/>
      <c r="CU35" s="368"/>
      <c r="CV35" s="368"/>
      <c r="CW35" s="368"/>
      <c r="CX35" s="368"/>
      <c r="CY35" s="368"/>
      <c r="CZ35" s="368"/>
      <c r="DA35" s="368"/>
      <c r="DB35" s="368"/>
      <c r="DC35" s="368"/>
      <c r="DD35" s="368"/>
      <c r="DE35" s="368"/>
      <c r="DF35" s="368"/>
      <c r="DG35" s="368"/>
      <c r="DH35" s="368"/>
      <c r="DI35" s="368"/>
      <c r="DJ35" s="368"/>
      <c r="DK35" s="368"/>
      <c r="DL35" s="368"/>
      <c r="DM35" s="368"/>
      <c r="DN35" s="368"/>
      <c r="DO35" s="368"/>
      <c r="DP35" s="368"/>
      <c r="DQ35" s="368"/>
      <c r="DR35" s="368"/>
      <c r="DS35" s="368"/>
      <c r="DT35" s="368"/>
      <c r="DU35" s="368"/>
      <c r="DV35" s="368"/>
      <c r="DW35" s="368"/>
      <c r="DX35" s="368"/>
      <c r="DY35" s="368"/>
      <c r="DZ35" s="368"/>
      <c r="EA35" s="368"/>
      <c r="EB35" s="368"/>
      <c r="EC35" s="368"/>
      <c r="ED35" s="368"/>
      <c r="EE35" s="368"/>
      <c r="EF35" s="368"/>
      <c r="EG35" s="368"/>
      <c r="EH35" s="368"/>
      <c r="EI35" s="368"/>
      <c r="EJ35" s="368"/>
      <c r="EK35" s="368"/>
      <c r="EL35" s="368"/>
      <c r="EM35" s="368"/>
      <c r="EN35" s="368"/>
      <c r="EO35" s="368"/>
      <c r="EP35" s="368"/>
      <c r="EQ35" s="368"/>
      <c r="ER35" s="368"/>
      <c r="ES35" s="368"/>
      <c r="ET35" s="368"/>
      <c r="EU35" s="368"/>
      <c r="EV35" s="368"/>
      <c r="EW35" s="368"/>
      <c r="EX35" s="368"/>
      <c r="EY35" s="368"/>
      <c r="EZ35" s="368"/>
      <c r="FA35" s="368"/>
      <c r="FB35" s="368"/>
      <c r="FC35" s="368"/>
      <c r="FD35" s="368"/>
      <c r="FE35" s="368"/>
      <c r="FF35" s="368"/>
      <c r="FG35" s="368"/>
      <c r="FH35" s="368"/>
      <c r="FI35" s="368"/>
      <c r="FJ35" s="368"/>
      <c r="FK35" s="368"/>
      <c r="FL35" s="368"/>
      <c r="FM35" s="368"/>
      <c r="FN35" s="368"/>
      <c r="FO35" s="368"/>
      <c r="FP35" s="368"/>
      <c r="FQ35" s="368"/>
      <c r="FR35" s="368"/>
      <c r="FS35" s="368"/>
      <c r="FT35" s="368"/>
      <c r="FU35" s="368"/>
      <c r="FV35" s="368"/>
      <c r="FW35" s="368"/>
      <c r="FX35" s="368"/>
      <c r="FY35" s="368"/>
      <c r="FZ35" s="368"/>
      <c r="GA35" s="368"/>
      <c r="GB35" s="368"/>
      <c r="GC35" s="368"/>
      <c r="GD35" s="368"/>
      <c r="GE35" s="368"/>
      <c r="GF35" s="368"/>
      <c r="GG35" s="368"/>
      <c r="GH35" s="368"/>
      <c r="GI35" s="368"/>
      <c r="GJ35" s="368"/>
      <c r="GK35" s="368"/>
      <c r="GL35" s="368"/>
      <c r="GM35" s="368"/>
      <c r="GN35" s="368"/>
      <c r="GO35" s="368"/>
      <c r="GP35" s="368"/>
      <c r="GQ35" s="368"/>
      <c r="GR35" s="368"/>
      <c r="GS35" s="368"/>
      <c r="GT35" s="368"/>
      <c r="GU35" s="368"/>
      <c r="GV35" s="368"/>
      <c r="GW35" s="368"/>
      <c r="GX35" s="368"/>
      <c r="GY35" s="368"/>
      <c r="GZ35" s="368"/>
      <c r="HA35" s="368"/>
      <c r="HB35" s="368"/>
      <c r="HC35" s="368"/>
      <c r="HD35" s="368"/>
      <c r="HE35" s="368"/>
      <c r="HF35" s="368"/>
      <c r="HG35" s="368"/>
      <c r="HH35" s="368"/>
      <c r="HI35" s="368"/>
      <c r="HJ35" s="368"/>
      <c r="HK35" s="368"/>
      <c r="HL35" s="368"/>
      <c r="HM35" s="368"/>
      <c r="HN35" s="368"/>
      <c r="HO35" s="368"/>
      <c r="HP35" s="368"/>
      <c r="HQ35" s="368"/>
      <c r="HR35" s="368"/>
      <c r="HS35" s="368"/>
      <c r="HT35" s="368"/>
      <c r="HU35" s="368"/>
      <c r="HV35" s="368"/>
      <c r="HW35" s="368"/>
      <c r="HX35" s="368"/>
      <c r="HY35" s="368"/>
      <c r="HZ35" s="368"/>
      <c r="IA35" s="368"/>
      <c r="IB35" s="368"/>
      <c r="IC35" s="368"/>
      <c r="ID35" s="368"/>
      <c r="IE35" s="368"/>
      <c r="IF35" s="368"/>
      <c r="IG35" s="368"/>
      <c r="IH35" s="368"/>
      <c r="II35" s="368"/>
      <c r="IJ35" s="368"/>
      <c r="IK35" s="368"/>
      <c r="IL35" s="368"/>
      <c r="IM35" s="368"/>
      <c r="IN35" s="368"/>
      <c r="IO35" s="368"/>
      <c r="IP35" s="368"/>
      <c r="IQ35" s="368"/>
      <c r="IR35" s="368"/>
      <c r="IS35" s="368"/>
      <c r="IT35" s="368"/>
      <c r="IU35" s="368"/>
      <c r="IV35" s="368"/>
      <c r="IW35" s="368"/>
      <c r="IX35" s="368"/>
      <c r="IY35" s="368"/>
      <c r="IZ35" s="368"/>
      <c r="JA35" s="368"/>
      <c r="JB35" s="368"/>
      <c r="JC35" s="368"/>
      <c r="JD35" s="368"/>
      <c r="JE35" s="368"/>
      <c r="JF35" s="368"/>
      <c r="JG35" s="368"/>
      <c r="JH35" s="368"/>
      <c r="JI35" s="368"/>
      <c r="JJ35" s="368"/>
      <c r="JK35" s="368"/>
      <c r="JL35" s="368"/>
      <c r="JM35" s="368"/>
      <c r="JN35" s="368"/>
      <c r="JO35" s="368"/>
      <c r="JP35" s="368"/>
      <c r="JQ35" s="368"/>
      <c r="JR35" s="368"/>
      <c r="JS35" s="368"/>
      <c r="JT35" s="368"/>
      <c r="JU35" s="368"/>
      <c r="JV35" s="368"/>
      <c r="JW35" s="368"/>
      <c r="JX35" s="368"/>
      <c r="JY35" s="368"/>
      <c r="JZ35" s="368"/>
      <c r="KA35" s="368"/>
      <c r="KB35" s="368"/>
      <c r="KC35" s="368"/>
      <c r="KD35" s="368"/>
      <c r="KE35" s="368"/>
      <c r="KF35" s="368"/>
      <c r="KG35" s="368"/>
      <c r="KH35" s="368"/>
      <c r="KI35" s="368"/>
      <c r="KJ35" s="368"/>
      <c r="KK35" s="368"/>
      <c r="KL35" s="368"/>
      <c r="KM35" s="368"/>
      <c r="KN35" s="368"/>
      <c r="KO35" s="368"/>
      <c r="KP35" s="368"/>
      <c r="KQ35" s="368"/>
      <c r="KR35" s="368"/>
      <c r="KS35" s="368"/>
      <c r="KT35" s="368"/>
      <c r="KU35" s="368"/>
      <c r="KV35" s="368"/>
      <c r="KW35" s="368"/>
      <c r="KX35" s="368"/>
      <c r="KY35" s="368"/>
      <c r="KZ35" s="368"/>
      <c r="LA35" s="368"/>
      <c r="LB35" s="368"/>
      <c r="LC35" s="368"/>
      <c r="LD35" s="368"/>
      <c r="LE35" s="368"/>
      <c r="LF35" s="368"/>
      <c r="LG35" s="368"/>
      <c r="LH35" s="368"/>
      <c r="LI35" s="368"/>
      <c r="LJ35" s="368"/>
      <c r="LK35" s="368"/>
      <c r="LL35" s="368"/>
      <c r="LM35" s="368"/>
      <c r="LN35" s="368"/>
      <c r="LO35" s="368"/>
      <c r="LP35" s="368"/>
      <c r="LQ35" s="368"/>
      <c r="LR35" s="368"/>
      <c r="LS35" s="368"/>
      <c r="LT35" s="368"/>
      <c r="LU35" s="368"/>
      <c r="LV35" s="368"/>
      <c r="LW35" s="368"/>
      <c r="LX35" s="368"/>
      <c r="LY35" s="368"/>
      <c r="LZ35" s="368"/>
      <c r="MA35" s="368"/>
      <c r="MB35" s="368"/>
      <c r="MC35" s="368"/>
      <c r="MD35" s="368"/>
      <c r="ME35" s="368"/>
      <c r="MF35" s="368"/>
      <c r="MG35" s="368"/>
      <c r="MH35" s="368"/>
      <c r="MI35" s="368"/>
      <c r="MJ35" s="368"/>
      <c r="MK35" s="368"/>
      <c r="ML35" s="368"/>
      <c r="MM35" s="368"/>
      <c r="MN35" s="368"/>
      <c r="MO35" s="368"/>
      <c r="MP35" s="368"/>
      <c r="MQ35" s="368"/>
      <c r="MR35" s="368"/>
      <c r="MS35" s="368"/>
      <c r="MT35" s="368"/>
      <c r="MU35" s="368"/>
      <c r="MV35" s="368"/>
      <c r="MW35" s="368"/>
      <c r="MX35" s="368"/>
      <c r="MY35" s="368"/>
      <c r="MZ35" s="368"/>
      <c r="NA35" s="368"/>
      <c r="NB35" s="368"/>
      <c r="NC35" s="368"/>
      <c r="ND35" s="368"/>
      <c r="NE35" s="368"/>
      <c r="NF35" s="368"/>
      <c r="NG35" s="368"/>
      <c r="NH35" s="368"/>
      <c r="NI35" s="368"/>
      <c r="NJ35" s="368"/>
      <c r="NK35" s="368"/>
      <c r="NL35" s="368"/>
      <c r="NM35" s="368"/>
      <c r="NN35" s="368"/>
      <c r="NO35" s="368"/>
      <c r="NP35" s="368"/>
      <c r="NQ35" s="368"/>
      <c r="NR35" s="368"/>
      <c r="NS35" s="368"/>
      <c r="NT35" s="368"/>
      <c r="NU35" s="368"/>
      <c r="NV35" s="368"/>
      <c r="NW35" s="368"/>
      <c r="NX35" s="368"/>
      <c r="NY35" s="368"/>
      <c r="NZ35" s="368"/>
      <c r="OA35" s="368"/>
      <c r="OB35" s="368"/>
      <c r="OC35" s="368"/>
      <c r="OD35" s="368"/>
      <c r="OE35" s="368"/>
      <c r="OF35" s="368"/>
      <c r="OG35" s="368"/>
      <c r="OH35" s="368"/>
      <c r="OI35" s="368"/>
      <c r="OJ35" s="368"/>
      <c r="OK35" s="368"/>
      <c r="OL35" s="368"/>
      <c r="OM35" s="368"/>
      <c r="ON35" s="368"/>
      <c r="OO35" s="368"/>
      <c r="OP35" s="368"/>
      <c r="OQ35" s="368"/>
      <c r="OR35" s="368"/>
      <c r="OS35" s="368"/>
      <c r="OT35" s="368"/>
      <c r="OU35" s="368"/>
      <c r="OV35" s="368"/>
      <c r="OW35" s="368"/>
      <c r="OX35" s="368"/>
      <c r="OY35" s="368"/>
      <c r="OZ35" s="368"/>
      <c r="PA35" s="368"/>
      <c r="PB35" s="368"/>
      <c r="PC35" s="368"/>
      <c r="PD35" s="368"/>
      <c r="PE35" s="368"/>
      <c r="PF35" s="368"/>
      <c r="PG35" s="368"/>
      <c r="PH35" s="368"/>
      <c r="PI35" s="368"/>
      <c r="PJ35" s="368"/>
      <c r="PK35" s="368"/>
      <c r="PL35" s="368"/>
      <c r="PM35" s="368"/>
      <c r="PN35" s="368"/>
      <c r="PO35" s="368"/>
      <c r="PP35" s="368"/>
      <c r="PQ35" s="368"/>
      <c r="PR35" s="368"/>
      <c r="PS35" s="368"/>
      <c r="PT35" s="368"/>
      <c r="PU35" s="368"/>
      <c r="PV35" s="368"/>
      <c r="PW35" s="368"/>
      <c r="PX35" s="368"/>
      <c r="PY35" s="368"/>
      <c r="PZ35" s="368"/>
      <c r="QA35" s="368"/>
      <c r="QB35" s="368"/>
      <c r="QC35" s="368"/>
      <c r="QD35" s="368"/>
      <c r="QE35" s="368"/>
      <c r="QF35" s="368"/>
      <c r="QG35" s="368"/>
      <c r="QH35" s="368"/>
      <c r="QI35" s="368"/>
      <c r="QJ35" s="368"/>
      <c r="QK35" s="368"/>
      <c r="QL35" s="368"/>
      <c r="QM35" s="368"/>
      <c r="QN35" s="368"/>
      <c r="QO35" s="368"/>
      <c r="QP35" s="368"/>
      <c r="QQ35" s="368"/>
      <c r="QR35" s="368"/>
      <c r="QS35" s="368"/>
      <c r="QT35" s="368"/>
      <c r="QU35" s="368"/>
      <c r="QV35" s="368"/>
      <c r="QW35" s="368"/>
      <c r="QX35" s="368"/>
      <c r="QY35" s="368"/>
      <c r="QZ35" s="368"/>
      <c r="RA35" s="368"/>
      <c r="RB35" s="368"/>
      <c r="RC35" s="368"/>
      <c r="RD35" s="368"/>
      <c r="RE35" s="368"/>
      <c r="RF35" s="368"/>
      <c r="RG35" s="368"/>
      <c r="RH35" s="368"/>
      <c r="RI35" s="368"/>
      <c r="RJ35" s="368"/>
      <c r="RK35" s="368"/>
      <c r="RL35" s="368"/>
      <c r="RM35" s="368"/>
      <c r="RN35" s="368"/>
      <c r="RO35" s="368"/>
      <c r="RP35" s="368"/>
      <c r="RQ35" s="368"/>
      <c r="RR35" s="368"/>
      <c r="RS35" s="368"/>
      <c r="RT35" s="368"/>
      <c r="RU35" s="368"/>
      <c r="RV35" s="368"/>
      <c r="RW35" s="368"/>
      <c r="RX35" s="368"/>
      <c r="RY35" s="368"/>
      <c r="RZ35" s="368"/>
      <c r="SA35" s="368"/>
      <c r="SB35" s="368"/>
      <c r="SC35" s="368"/>
      <c r="SD35" s="368"/>
      <c r="SE35" s="368"/>
      <c r="SF35" s="368"/>
      <c r="SG35" s="368"/>
      <c r="SH35" s="368"/>
      <c r="SI35" s="368"/>
      <c r="SJ35" s="368"/>
      <c r="SK35" s="368"/>
      <c r="SL35" s="368"/>
      <c r="SM35" s="368"/>
      <c r="SN35" s="368"/>
      <c r="SO35" s="368"/>
      <c r="SP35" s="368"/>
      <c r="SQ35" s="368"/>
      <c r="SR35" s="368"/>
      <c r="SS35" s="368"/>
      <c r="ST35" s="368"/>
      <c r="SU35" s="368"/>
      <c r="SV35" s="368"/>
      <c r="SW35" s="368"/>
      <c r="SX35" s="368"/>
      <c r="SY35" s="368"/>
      <c r="SZ35" s="368"/>
      <c r="TA35" s="368"/>
      <c r="TB35" s="368"/>
      <c r="TC35" s="368"/>
      <c r="TD35" s="368"/>
      <c r="TE35" s="368"/>
      <c r="TF35" s="368"/>
      <c r="TG35" s="368"/>
      <c r="TH35" s="368"/>
      <c r="TI35" s="368"/>
      <c r="TJ35" s="368"/>
      <c r="TK35" s="368"/>
      <c r="TL35" s="368"/>
      <c r="TM35" s="368"/>
      <c r="TN35" s="368"/>
      <c r="TO35" s="368"/>
      <c r="TP35" s="368"/>
      <c r="TQ35" s="368"/>
      <c r="TR35" s="368"/>
      <c r="TS35" s="368"/>
      <c r="TT35" s="368"/>
      <c r="TU35" s="368"/>
      <c r="TV35" s="368"/>
      <c r="TW35" s="368"/>
      <c r="TX35" s="368"/>
      <c r="TY35" s="368"/>
      <c r="TZ35" s="368"/>
      <c r="UA35" s="368"/>
      <c r="UB35" s="368"/>
      <c r="UC35" s="368"/>
      <c r="UD35" s="368"/>
      <c r="UE35" s="368"/>
      <c r="UF35" s="368"/>
      <c r="UG35" s="368"/>
      <c r="UH35" s="368"/>
      <c r="UI35" s="368"/>
      <c r="UJ35" s="368"/>
      <c r="UK35" s="368"/>
      <c r="UL35" s="368"/>
      <c r="UM35" s="368"/>
      <c r="UN35" s="368"/>
      <c r="UO35" s="368"/>
      <c r="UP35" s="368"/>
      <c r="UQ35" s="368"/>
      <c r="UR35" s="368"/>
      <c r="US35" s="368"/>
      <c r="UT35" s="368"/>
      <c r="UU35" s="368"/>
      <c r="UV35" s="368"/>
      <c r="UW35" s="368"/>
      <c r="UX35" s="368"/>
      <c r="UY35" s="368"/>
      <c r="UZ35" s="368"/>
      <c r="VA35" s="368"/>
      <c r="VB35" s="368"/>
      <c r="VC35" s="368"/>
      <c r="VD35" s="368"/>
      <c r="VE35" s="368"/>
      <c r="VF35" s="368"/>
      <c r="VG35" s="368"/>
      <c r="VH35" s="368"/>
      <c r="VI35" s="368"/>
      <c r="VJ35" s="368"/>
      <c r="VK35" s="368"/>
      <c r="VL35" s="368"/>
      <c r="VM35" s="368"/>
      <c r="VN35" s="368"/>
      <c r="VO35" s="368"/>
      <c r="VP35" s="368"/>
      <c r="VQ35" s="368"/>
      <c r="VR35" s="368"/>
      <c r="VS35" s="368"/>
      <c r="VT35" s="368"/>
      <c r="VU35" s="368"/>
      <c r="VV35" s="368"/>
      <c r="VW35" s="368"/>
      <c r="VX35" s="368"/>
      <c r="VY35" s="368"/>
      <c r="VZ35" s="368"/>
      <c r="WA35" s="368"/>
      <c r="WB35" s="368"/>
      <c r="WC35" s="368"/>
      <c r="WD35" s="368"/>
      <c r="WE35" s="368"/>
      <c r="WF35" s="368"/>
      <c r="WG35" s="368"/>
      <c r="WH35" s="368"/>
      <c r="WI35" s="368"/>
      <c r="WJ35" s="368"/>
      <c r="WK35" s="368"/>
      <c r="WL35" s="368"/>
      <c r="WM35" s="368"/>
      <c r="WN35" s="368"/>
      <c r="WO35" s="368"/>
      <c r="WP35" s="368"/>
      <c r="WQ35" s="368"/>
      <c r="WR35" s="368"/>
      <c r="WS35" s="368"/>
      <c r="WT35" s="368"/>
      <c r="WU35" s="368"/>
      <c r="WV35" s="368"/>
      <c r="WW35" s="368"/>
      <c r="WX35" s="368"/>
      <c r="WY35" s="368"/>
      <c r="WZ35" s="368"/>
      <c r="XA35" s="368"/>
      <c r="XB35" s="368"/>
      <c r="XC35" s="368"/>
      <c r="XD35" s="368"/>
      <c r="XE35" s="368"/>
      <c r="XF35" s="368"/>
      <c r="XG35" s="368"/>
      <c r="XH35" s="368"/>
      <c r="XI35" s="368"/>
      <c r="XJ35" s="368"/>
      <c r="XK35" s="368"/>
      <c r="XL35" s="368"/>
      <c r="XM35" s="368"/>
      <c r="XN35" s="368"/>
      <c r="XO35" s="368"/>
      <c r="XP35" s="368"/>
      <c r="XQ35" s="368"/>
      <c r="XR35" s="368"/>
      <c r="XS35" s="368"/>
      <c r="XT35" s="368"/>
      <c r="XU35" s="368"/>
      <c r="XV35" s="368"/>
      <c r="XW35" s="368"/>
      <c r="XX35" s="368"/>
      <c r="XY35" s="368"/>
      <c r="XZ35" s="368"/>
      <c r="YA35" s="368"/>
      <c r="YB35" s="368"/>
      <c r="YC35" s="368"/>
      <c r="YD35" s="368"/>
      <c r="YE35" s="368"/>
      <c r="YF35" s="368"/>
      <c r="YG35" s="368"/>
      <c r="YH35" s="368"/>
      <c r="YI35" s="368"/>
      <c r="YJ35" s="368"/>
      <c r="YK35" s="368"/>
      <c r="YL35" s="368"/>
      <c r="YM35" s="368"/>
      <c r="YN35" s="368"/>
      <c r="YO35" s="368"/>
      <c r="YP35" s="368"/>
      <c r="YQ35" s="368"/>
      <c r="YR35" s="368"/>
      <c r="YS35" s="368"/>
      <c r="YT35" s="368"/>
      <c r="YU35" s="368"/>
      <c r="YV35" s="368"/>
      <c r="YW35" s="368"/>
      <c r="YX35" s="368"/>
      <c r="YY35" s="368"/>
      <c r="YZ35" s="368"/>
      <c r="ZA35" s="368"/>
      <c r="ZB35" s="368"/>
      <c r="ZC35" s="368"/>
      <c r="ZD35" s="368"/>
      <c r="ZE35" s="368"/>
      <c r="ZF35" s="368"/>
      <c r="ZG35" s="368"/>
      <c r="ZH35" s="368"/>
      <c r="ZI35" s="368"/>
      <c r="ZJ35" s="368"/>
      <c r="ZK35" s="368"/>
      <c r="ZL35" s="368"/>
      <c r="ZM35" s="368"/>
      <c r="ZN35" s="368"/>
      <c r="ZO35" s="368"/>
      <c r="ZP35" s="368"/>
      <c r="ZQ35" s="368"/>
      <c r="ZR35" s="368"/>
      <c r="ZS35" s="368"/>
      <c r="ZT35" s="368"/>
      <c r="ZU35" s="368"/>
      <c r="ZV35" s="368"/>
      <c r="ZW35" s="368"/>
      <c r="ZX35" s="368"/>
      <c r="ZY35" s="368"/>
      <c r="ZZ35" s="368"/>
      <c r="AAA35" s="368"/>
      <c r="AAB35" s="368"/>
      <c r="AAC35" s="368"/>
      <c r="AAD35" s="368"/>
      <c r="AAE35" s="368"/>
      <c r="AAF35" s="368"/>
      <c r="AAG35" s="368"/>
      <c r="AAH35" s="368"/>
      <c r="AAI35" s="368"/>
      <c r="AAJ35" s="368"/>
      <c r="AAK35" s="368"/>
      <c r="AAL35" s="368"/>
      <c r="AAM35" s="368"/>
      <c r="AAN35" s="368"/>
      <c r="AAO35" s="368"/>
      <c r="AAP35" s="368"/>
      <c r="AAQ35" s="368"/>
      <c r="AAR35" s="368"/>
      <c r="AAS35" s="368"/>
      <c r="AAT35" s="368"/>
      <c r="AAU35" s="368"/>
      <c r="AAV35" s="368"/>
      <c r="AAW35" s="368"/>
      <c r="AAX35" s="368"/>
      <c r="AAY35" s="368"/>
      <c r="AAZ35" s="368"/>
      <c r="ABA35" s="368"/>
      <c r="ABB35" s="368"/>
      <c r="ABC35" s="368"/>
      <c r="ABD35" s="368"/>
      <c r="ABE35" s="368"/>
      <c r="ABF35" s="368"/>
      <c r="ABG35" s="368"/>
      <c r="ABH35" s="368"/>
      <c r="ABI35" s="368"/>
      <c r="ABJ35" s="368"/>
      <c r="ABK35" s="368"/>
      <c r="ABL35" s="368"/>
      <c r="ABM35" s="368"/>
      <c r="ABN35" s="368"/>
      <c r="ABO35" s="368"/>
      <c r="ABP35" s="368"/>
      <c r="ABQ35" s="368"/>
      <c r="ABR35" s="368"/>
      <c r="ABS35" s="368"/>
      <c r="ABT35" s="368"/>
      <c r="ABU35" s="368"/>
      <c r="ABV35" s="368"/>
      <c r="ABW35" s="368"/>
      <c r="ABX35" s="368"/>
      <c r="ABY35" s="368"/>
      <c r="ABZ35" s="368"/>
      <c r="ACA35" s="368"/>
      <c r="ACB35" s="368"/>
      <c r="ACC35" s="368"/>
      <c r="ACD35" s="368"/>
      <c r="ACE35" s="368"/>
      <c r="ACF35" s="368"/>
      <c r="ACG35" s="368"/>
      <c r="ACH35" s="368"/>
      <c r="ACI35" s="368"/>
      <c r="ACJ35" s="368"/>
      <c r="ACK35" s="368"/>
      <c r="ACL35" s="368"/>
      <c r="ACM35" s="368"/>
      <c r="ACN35" s="368"/>
      <c r="ACO35" s="368"/>
      <c r="ACP35" s="368"/>
      <c r="ACQ35" s="368"/>
      <c r="ACR35" s="368"/>
      <c r="ACS35" s="368"/>
      <c r="ACT35" s="368"/>
      <c r="ACU35" s="368"/>
      <c r="ACV35" s="368"/>
      <c r="ACW35" s="368"/>
      <c r="ACX35" s="368"/>
      <c r="ACY35" s="368"/>
      <c r="ACZ35" s="368"/>
      <c r="ADA35" s="368"/>
      <c r="ADB35" s="368"/>
      <c r="ADC35" s="368"/>
      <c r="ADD35" s="368"/>
      <c r="ADE35" s="368"/>
      <c r="ADF35" s="368"/>
      <c r="ADG35" s="368"/>
      <c r="ADH35" s="368"/>
      <c r="ADI35" s="368"/>
      <c r="ADJ35" s="368"/>
      <c r="ADK35" s="368"/>
      <c r="ADL35" s="368"/>
      <c r="ADM35" s="368"/>
      <c r="ADN35" s="368"/>
      <c r="ADO35" s="368"/>
      <c r="ADP35" s="368"/>
      <c r="ADQ35" s="368"/>
      <c r="ADR35" s="368"/>
      <c r="ADS35" s="368"/>
      <c r="ADT35" s="368"/>
      <c r="ADU35" s="368"/>
      <c r="ADV35" s="368"/>
      <c r="ADW35" s="368"/>
      <c r="ADX35" s="368"/>
      <c r="ADY35" s="368"/>
      <c r="ADZ35" s="368"/>
      <c r="AEA35" s="368"/>
      <c r="AEB35" s="368"/>
      <c r="AEC35" s="368"/>
      <c r="AED35" s="368"/>
      <c r="AEE35" s="368"/>
      <c r="AEF35" s="368"/>
      <c r="AEG35" s="368"/>
      <c r="AEH35" s="368"/>
      <c r="AEI35" s="368"/>
      <c r="AEJ35" s="368"/>
      <c r="AEK35" s="368"/>
      <c r="AEL35" s="368"/>
      <c r="AEM35" s="368"/>
      <c r="AEN35" s="368"/>
      <c r="AEO35" s="368"/>
      <c r="AEP35" s="368"/>
      <c r="AEQ35" s="368"/>
      <c r="AER35" s="368"/>
      <c r="AES35" s="368"/>
      <c r="AET35" s="368"/>
      <c r="AEU35" s="368"/>
      <c r="AEV35" s="368"/>
      <c r="AEW35" s="368"/>
      <c r="AEX35" s="368"/>
      <c r="AEY35" s="368"/>
      <c r="AEZ35" s="368"/>
      <c r="AFA35" s="368"/>
      <c r="AFB35" s="368"/>
      <c r="AFC35" s="368"/>
      <c r="AFD35" s="368"/>
      <c r="AFE35" s="368"/>
      <c r="AFF35" s="368"/>
      <c r="AFG35" s="368"/>
      <c r="AFH35" s="368"/>
      <c r="AFI35" s="368"/>
      <c r="AFJ35" s="368"/>
      <c r="AFK35" s="368"/>
      <c r="AFL35" s="368"/>
      <c r="AFM35" s="368"/>
      <c r="AFN35" s="368"/>
      <c r="AFO35" s="368"/>
      <c r="AFP35" s="368"/>
      <c r="AFQ35" s="368"/>
      <c r="AFR35" s="368"/>
      <c r="AFS35" s="368"/>
      <c r="AFT35" s="368"/>
      <c r="AFU35" s="368"/>
      <c r="AFV35" s="368"/>
      <c r="AFW35" s="368"/>
      <c r="AFX35" s="368"/>
      <c r="AFY35" s="368"/>
      <c r="AFZ35" s="368"/>
      <c r="AGA35" s="368"/>
      <c r="AGB35" s="368"/>
      <c r="AGC35" s="368"/>
      <c r="AGD35" s="368"/>
      <c r="AGE35" s="368"/>
      <c r="AGF35" s="368"/>
      <c r="AGG35" s="368"/>
      <c r="AGH35" s="368"/>
      <c r="AGI35" s="368"/>
      <c r="AGJ35" s="368"/>
      <c r="AGK35" s="368"/>
      <c r="AGL35" s="368"/>
      <c r="AGM35" s="368"/>
      <c r="AGN35" s="368"/>
      <c r="AGO35" s="368"/>
      <c r="AGP35" s="368"/>
      <c r="AGQ35" s="368"/>
      <c r="AGR35" s="368"/>
      <c r="AGS35" s="368"/>
      <c r="AGT35" s="368"/>
      <c r="AGU35" s="368"/>
      <c r="AGV35" s="368"/>
      <c r="AGW35" s="368"/>
      <c r="AGX35" s="368"/>
      <c r="AGY35" s="368"/>
      <c r="AGZ35" s="368"/>
      <c r="AHA35" s="368"/>
      <c r="AHB35" s="368"/>
      <c r="AHC35" s="368"/>
      <c r="AHD35" s="368"/>
      <c r="AHE35" s="368"/>
      <c r="AHF35" s="368"/>
      <c r="AHG35" s="368"/>
      <c r="AHH35" s="368"/>
      <c r="AHI35" s="368"/>
      <c r="AHJ35" s="368"/>
      <c r="AHK35" s="368"/>
      <c r="AHL35" s="368"/>
      <c r="AHM35" s="368"/>
      <c r="AHN35" s="368"/>
      <c r="AHO35" s="368"/>
      <c r="AHP35" s="368"/>
      <c r="AHQ35" s="368"/>
      <c r="AHR35" s="368"/>
      <c r="AHS35" s="368"/>
      <c r="AHT35" s="368"/>
      <c r="AHU35" s="368"/>
      <c r="AHV35" s="368"/>
      <c r="AHW35" s="368"/>
      <c r="AHX35" s="368"/>
      <c r="AHY35" s="368"/>
      <c r="AHZ35" s="368"/>
      <c r="AIA35" s="368"/>
      <c r="AIB35" s="368"/>
      <c r="AIC35" s="368"/>
      <c r="AID35" s="368"/>
      <c r="AIE35" s="368"/>
      <c r="AIF35" s="368"/>
      <c r="AIG35" s="368"/>
      <c r="AIH35" s="368"/>
      <c r="AII35" s="368"/>
      <c r="AIJ35" s="368"/>
      <c r="AIK35" s="368"/>
      <c r="AIL35" s="368"/>
      <c r="AIM35" s="368"/>
      <c r="AIN35" s="368"/>
      <c r="AIO35" s="368"/>
      <c r="AIP35" s="368"/>
      <c r="AIQ35" s="368"/>
      <c r="AIR35" s="368"/>
      <c r="AIS35" s="368"/>
      <c r="AIT35" s="368"/>
      <c r="AIU35" s="368"/>
      <c r="AIV35" s="368"/>
      <c r="AIW35" s="368"/>
      <c r="AIX35" s="368"/>
      <c r="AIY35" s="368"/>
      <c r="AIZ35" s="368"/>
      <c r="AJA35" s="368"/>
      <c r="AJB35" s="368"/>
      <c r="AJC35" s="368"/>
      <c r="AJD35" s="368"/>
      <c r="AJE35" s="368"/>
      <c r="AJF35" s="368"/>
      <c r="AJG35" s="368"/>
      <c r="AJH35" s="368"/>
      <c r="AJI35" s="368"/>
      <c r="AJJ35" s="368"/>
      <c r="AJK35" s="368"/>
      <c r="AJL35" s="368"/>
      <c r="AJM35" s="368"/>
      <c r="AJN35" s="368"/>
      <c r="AJO35" s="368"/>
      <c r="AJP35" s="368"/>
      <c r="AJQ35" s="368"/>
      <c r="AJR35" s="368"/>
      <c r="AJS35" s="368"/>
      <c r="AJT35" s="368"/>
      <c r="AJU35" s="368"/>
      <c r="AJV35" s="368"/>
      <c r="AJW35" s="368"/>
      <c r="AJX35" s="368"/>
      <c r="AJY35" s="368"/>
      <c r="AJZ35" s="368"/>
      <c r="AKA35" s="368"/>
      <c r="AKB35" s="368"/>
      <c r="AKC35" s="368"/>
      <c r="AKD35" s="368"/>
      <c r="AKE35" s="368"/>
      <c r="AKF35" s="368"/>
      <c r="AKG35" s="368"/>
      <c r="AKH35" s="368"/>
      <c r="AKI35" s="368"/>
      <c r="AKJ35" s="368"/>
      <c r="AKK35" s="368"/>
      <c r="AKL35" s="368"/>
      <c r="AKM35" s="368"/>
      <c r="AKN35" s="368"/>
    </row>
    <row r="36" spans="1:976" s="375" customFormat="1" ht="22.5" customHeight="1" x14ac:dyDescent="0.2">
      <c r="A36" s="428" t="s">
        <v>262</v>
      </c>
      <c r="B36" s="428"/>
      <c r="C36" s="428" t="s">
        <v>221</v>
      </c>
      <c r="D36" s="428" t="s">
        <v>222</v>
      </c>
      <c r="E36" s="429">
        <v>406028</v>
      </c>
      <c r="F36" s="429">
        <v>440</v>
      </c>
      <c r="G36" s="429">
        <v>61</v>
      </c>
      <c r="H36" s="429">
        <v>0</v>
      </c>
      <c r="I36" s="430">
        <v>45736</v>
      </c>
      <c r="J36" s="428" t="s">
        <v>263</v>
      </c>
      <c r="K36" s="428" t="s">
        <v>380</v>
      </c>
      <c r="L36" s="431">
        <v>952.59</v>
      </c>
      <c r="M36" s="431">
        <v>68.59</v>
      </c>
      <c r="N36" s="441">
        <v>1021.18</v>
      </c>
      <c r="O36" s="428"/>
      <c r="P36" s="432">
        <v>45741</v>
      </c>
      <c r="Q36" s="431">
        <v>1021.18</v>
      </c>
      <c r="R36" s="428" t="s">
        <v>381</v>
      </c>
      <c r="S36" s="431">
        <v>0</v>
      </c>
      <c r="T36" s="431">
        <v>0</v>
      </c>
      <c r="U36" s="431">
        <v>0</v>
      </c>
      <c r="V36" s="431">
        <v>0</v>
      </c>
      <c r="W36" s="428"/>
      <c r="X36" s="428" t="s">
        <v>293</v>
      </c>
      <c r="Y36" s="428" t="s">
        <v>294</v>
      </c>
      <c r="Z36" s="428" t="s">
        <v>42</v>
      </c>
      <c r="AA36" s="428" t="s">
        <v>228</v>
      </c>
      <c r="AB36" s="428" t="s">
        <v>235</v>
      </c>
      <c r="AC36" s="428" t="s">
        <v>236</v>
      </c>
      <c r="AD36" s="428" t="s">
        <v>231</v>
      </c>
      <c r="AE36" s="428" t="s">
        <v>232</v>
      </c>
      <c r="AF36" s="428" t="s">
        <v>231</v>
      </c>
      <c r="AG36" s="428" t="s">
        <v>232</v>
      </c>
      <c r="AH36" s="428"/>
      <c r="AI36" s="428"/>
      <c r="AJ36" s="428" t="s">
        <v>237</v>
      </c>
      <c r="AK36" s="428" t="s">
        <v>382</v>
      </c>
      <c r="AL36" s="429">
        <v>1</v>
      </c>
      <c r="AM36" s="429">
        <v>0</v>
      </c>
      <c r="AN36" s="430">
        <v>45736</v>
      </c>
      <c r="AO36" s="430">
        <v>45736</v>
      </c>
      <c r="AP36" s="431">
        <v>1021.18</v>
      </c>
      <c r="AQ36" s="430">
        <v>45735</v>
      </c>
      <c r="AR36" s="368"/>
      <c r="AS36" s="368"/>
      <c r="AT36" s="368"/>
      <c r="AU36" s="368"/>
      <c r="AV36" s="368"/>
      <c r="AW36" s="368"/>
      <c r="AX36" s="368"/>
      <c r="AY36" s="368"/>
      <c r="AZ36" s="368"/>
      <c r="BA36" s="368"/>
      <c r="BB36" s="368"/>
      <c r="BC36" s="368"/>
      <c r="BD36" s="368"/>
      <c r="BE36" s="368"/>
      <c r="BF36" s="368"/>
      <c r="BG36" s="368"/>
      <c r="BH36" s="368"/>
      <c r="BI36" s="368"/>
      <c r="BJ36" s="368"/>
      <c r="BK36" s="368"/>
      <c r="BL36" s="368"/>
      <c r="BM36" s="368"/>
      <c r="BN36" s="368"/>
      <c r="BO36" s="368"/>
      <c r="BP36" s="368"/>
      <c r="BQ36" s="368"/>
      <c r="BR36" s="368"/>
      <c r="BS36" s="368"/>
      <c r="BT36" s="368"/>
      <c r="BU36" s="368"/>
      <c r="BV36" s="368"/>
      <c r="BW36" s="368"/>
      <c r="BX36" s="368"/>
      <c r="BY36" s="368"/>
      <c r="BZ36" s="368"/>
      <c r="CA36" s="368"/>
      <c r="CB36" s="368"/>
      <c r="CC36" s="368"/>
      <c r="CD36" s="368"/>
      <c r="CE36" s="368"/>
      <c r="CF36" s="368"/>
      <c r="CG36" s="368"/>
      <c r="CH36" s="368"/>
      <c r="CI36" s="368"/>
      <c r="CJ36" s="368"/>
      <c r="CK36" s="368"/>
      <c r="CL36" s="368"/>
      <c r="CM36" s="368"/>
      <c r="CN36" s="368"/>
      <c r="CO36" s="368"/>
      <c r="CP36" s="368"/>
      <c r="CQ36" s="368"/>
      <c r="CR36" s="368"/>
      <c r="CS36" s="368"/>
      <c r="CT36" s="368"/>
      <c r="CU36" s="368"/>
      <c r="CV36" s="368"/>
      <c r="CW36" s="368"/>
      <c r="CX36" s="368"/>
      <c r="CY36" s="368"/>
      <c r="CZ36" s="368"/>
      <c r="DA36" s="368"/>
      <c r="DB36" s="368"/>
      <c r="DC36" s="368"/>
      <c r="DD36" s="368"/>
      <c r="DE36" s="368"/>
      <c r="DF36" s="368"/>
      <c r="DG36" s="368"/>
      <c r="DH36" s="368"/>
      <c r="DI36" s="368"/>
      <c r="DJ36" s="368"/>
      <c r="DK36" s="368"/>
      <c r="DL36" s="368"/>
      <c r="DM36" s="368"/>
      <c r="DN36" s="368"/>
      <c r="DO36" s="368"/>
      <c r="DP36" s="368"/>
      <c r="DQ36" s="368"/>
      <c r="DR36" s="368"/>
      <c r="DS36" s="368"/>
      <c r="DT36" s="368"/>
      <c r="DU36" s="368"/>
      <c r="DV36" s="368"/>
      <c r="DW36" s="368"/>
      <c r="DX36" s="368"/>
      <c r="DY36" s="368"/>
      <c r="DZ36" s="368"/>
      <c r="EA36" s="368"/>
      <c r="EB36" s="368"/>
      <c r="EC36" s="368"/>
      <c r="ED36" s="368"/>
      <c r="EE36" s="368"/>
      <c r="EF36" s="368"/>
      <c r="EG36" s="368"/>
      <c r="EH36" s="368"/>
      <c r="EI36" s="368"/>
      <c r="EJ36" s="368"/>
      <c r="EK36" s="368"/>
      <c r="EL36" s="368"/>
      <c r="EM36" s="368"/>
      <c r="EN36" s="368"/>
      <c r="EO36" s="368"/>
      <c r="EP36" s="368"/>
      <c r="EQ36" s="368"/>
      <c r="ER36" s="368"/>
      <c r="ES36" s="368"/>
      <c r="ET36" s="368"/>
      <c r="EU36" s="368"/>
      <c r="EV36" s="368"/>
      <c r="EW36" s="368"/>
      <c r="EX36" s="368"/>
      <c r="EY36" s="368"/>
      <c r="EZ36" s="368"/>
      <c r="FA36" s="368"/>
      <c r="FB36" s="368"/>
      <c r="FC36" s="368"/>
      <c r="FD36" s="368"/>
      <c r="FE36" s="368"/>
      <c r="FF36" s="368"/>
      <c r="FG36" s="368"/>
      <c r="FH36" s="368"/>
      <c r="FI36" s="368"/>
      <c r="FJ36" s="368"/>
      <c r="FK36" s="368"/>
      <c r="FL36" s="368"/>
      <c r="FM36" s="368"/>
      <c r="FN36" s="368"/>
      <c r="FO36" s="368"/>
      <c r="FP36" s="368"/>
      <c r="FQ36" s="368"/>
      <c r="FR36" s="368"/>
      <c r="FS36" s="368"/>
      <c r="FT36" s="368"/>
      <c r="FU36" s="368"/>
      <c r="FV36" s="368"/>
      <c r="FW36" s="368"/>
      <c r="FX36" s="368"/>
      <c r="FY36" s="368"/>
      <c r="FZ36" s="368"/>
      <c r="GA36" s="368"/>
      <c r="GB36" s="368"/>
      <c r="GC36" s="368"/>
      <c r="GD36" s="368"/>
      <c r="GE36" s="368"/>
      <c r="GF36" s="368"/>
      <c r="GG36" s="368"/>
      <c r="GH36" s="368"/>
      <c r="GI36" s="368"/>
      <c r="GJ36" s="368"/>
      <c r="GK36" s="368"/>
      <c r="GL36" s="368"/>
      <c r="GM36" s="368"/>
      <c r="GN36" s="368"/>
      <c r="GO36" s="368"/>
      <c r="GP36" s="368"/>
      <c r="GQ36" s="368"/>
      <c r="GR36" s="368"/>
      <c r="GS36" s="368"/>
      <c r="GT36" s="368"/>
      <c r="GU36" s="368"/>
      <c r="GV36" s="368"/>
      <c r="GW36" s="368"/>
      <c r="GX36" s="368"/>
      <c r="GY36" s="368"/>
      <c r="GZ36" s="368"/>
      <c r="HA36" s="368"/>
      <c r="HB36" s="368"/>
      <c r="HC36" s="368"/>
      <c r="HD36" s="368"/>
      <c r="HE36" s="368"/>
      <c r="HF36" s="368"/>
      <c r="HG36" s="368"/>
      <c r="HH36" s="368"/>
      <c r="HI36" s="368"/>
      <c r="HJ36" s="368"/>
      <c r="HK36" s="368"/>
      <c r="HL36" s="368"/>
      <c r="HM36" s="368"/>
      <c r="HN36" s="368"/>
      <c r="HO36" s="368"/>
      <c r="HP36" s="368"/>
      <c r="HQ36" s="368"/>
      <c r="HR36" s="368"/>
      <c r="HS36" s="368"/>
      <c r="HT36" s="368"/>
      <c r="HU36" s="368"/>
      <c r="HV36" s="368"/>
      <c r="HW36" s="368"/>
      <c r="HX36" s="368"/>
      <c r="HY36" s="368"/>
      <c r="HZ36" s="368"/>
      <c r="IA36" s="368"/>
      <c r="IB36" s="368"/>
      <c r="IC36" s="368"/>
      <c r="ID36" s="368"/>
      <c r="IE36" s="368"/>
      <c r="IF36" s="368"/>
      <c r="IG36" s="368"/>
      <c r="IH36" s="368"/>
      <c r="II36" s="368"/>
      <c r="IJ36" s="368"/>
      <c r="IK36" s="368"/>
      <c r="IL36" s="368"/>
      <c r="IM36" s="368"/>
      <c r="IN36" s="368"/>
      <c r="IO36" s="368"/>
      <c r="IP36" s="368"/>
      <c r="IQ36" s="368"/>
      <c r="IR36" s="368"/>
      <c r="IS36" s="368"/>
      <c r="IT36" s="368"/>
      <c r="IU36" s="368"/>
      <c r="IV36" s="368"/>
      <c r="IW36" s="368"/>
      <c r="IX36" s="368"/>
      <c r="IY36" s="368"/>
      <c r="IZ36" s="368"/>
      <c r="JA36" s="368"/>
      <c r="JB36" s="368"/>
      <c r="JC36" s="368"/>
      <c r="JD36" s="368"/>
      <c r="JE36" s="368"/>
      <c r="JF36" s="368"/>
      <c r="JG36" s="368"/>
      <c r="JH36" s="368"/>
      <c r="JI36" s="368"/>
      <c r="JJ36" s="368"/>
      <c r="JK36" s="368"/>
      <c r="JL36" s="368"/>
      <c r="JM36" s="368"/>
      <c r="JN36" s="368"/>
      <c r="JO36" s="368"/>
      <c r="JP36" s="368"/>
      <c r="JQ36" s="368"/>
      <c r="JR36" s="368"/>
      <c r="JS36" s="368"/>
      <c r="JT36" s="368"/>
      <c r="JU36" s="368"/>
      <c r="JV36" s="368"/>
      <c r="JW36" s="368"/>
      <c r="JX36" s="368"/>
      <c r="JY36" s="368"/>
      <c r="JZ36" s="368"/>
      <c r="KA36" s="368"/>
      <c r="KB36" s="368"/>
      <c r="KC36" s="368"/>
      <c r="KD36" s="368"/>
      <c r="KE36" s="368"/>
      <c r="KF36" s="368"/>
      <c r="KG36" s="368"/>
      <c r="KH36" s="368"/>
      <c r="KI36" s="368"/>
      <c r="KJ36" s="368"/>
      <c r="KK36" s="368"/>
      <c r="KL36" s="368"/>
      <c r="KM36" s="368"/>
      <c r="KN36" s="368"/>
      <c r="KO36" s="368"/>
      <c r="KP36" s="368"/>
      <c r="KQ36" s="368"/>
      <c r="KR36" s="368"/>
      <c r="KS36" s="368"/>
      <c r="KT36" s="368"/>
      <c r="KU36" s="368"/>
      <c r="KV36" s="368"/>
      <c r="KW36" s="368"/>
      <c r="KX36" s="368"/>
      <c r="KY36" s="368"/>
      <c r="KZ36" s="368"/>
      <c r="LA36" s="368"/>
      <c r="LB36" s="368"/>
      <c r="LC36" s="368"/>
      <c r="LD36" s="368"/>
      <c r="LE36" s="368"/>
      <c r="LF36" s="368"/>
      <c r="LG36" s="368"/>
      <c r="LH36" s="368"/>
      <c r="LI36" s="368"/>
      <c r="LJ36" s="368"/>
      <c r="LK36" s="368"/>
      <c r="LL36" s="368"/>
      <c r="LM36" s="368"/>
      <c r="LN36" s="368"/>
      <c r="LO36" s="368"/>
      <c r="LP36" s="368"/>
      <c r="LQ36" s="368"/>
      <c r="LR36" s="368"/>
      <c r="LS36" s="368"/>
      <c r="LT36" s="368"/>
      <c r="LU36" s="368"/>
      <c r="LV36" s="368"/>
      <c r="LW36" s="368"/>
      <c r="LX36" s="368"/>
      <c r="LY36" s="368"/>
      <c r="LZ36" s="368"/>
      <c r="MA36" s="368"/>
      <c r="MB36" s="368"/>
      <c r="MC36" s="368"/>
      <c r="MD36" s="368"/>
      <c r="ME36" s="368"/>
      <c r="MF36" s="368"/>
      <c r="MG36" s="368"/>
      <c r="MH36" s="368"/>
      <c r="MI36" s="368"/>
      <c r="MJ36" s="368"/>
      <c r="MK36" s="368"/>
      <c r="ML36" s="368"/>
      <c r="MM36" s="368"/>
      <c r="MN36" s="368"/>
      <c r="MO36" s="368"/>
      <c r="MP36" s="368"/>
      <c r="MQ36" s="368"/>
      <c r="MR36" s="368"/>
      <c r="MS36" s="368"/>
      <c r="MT36" s="368"/>
      <c r="MU36" s="368"/>
      <c r="MV36" s="368"/>
      <c r="MW36" s="368"/>
      <c r="MX36" s="368"/>
      <c r="MY36" s="368"/>
      <c r="MZ36" s="368"/>
      <c r="NA36" s="368"/>
      <c r="NB36" s="368"/>
      <c r="NC36" s="368"/>
      <c r="ND36" s="368"/>
      <c r="NE36" s="368"/>
      <c r="NF36" s="368"/>
      <c r="NG36" s="368"/>
      <c r="NH36" s="368"/>
      <c r="NI36" s="368"/>
      <c r="NJ36" s="368"/>
      <c r="NK36" s="368"/>
      <c r="NL36" s="368"/>
      <c r="NM36" s="368"/>
      <c r="NN36" s="368"/>
      <c r="NO36" s="368"/>
      <c r="NP36" s="368"/>
      <c r="NQ36" s="368"/>
      <c r="NR36" s="368"/>
      <c r="NS36" s="368"/>
      <c r="NT36" s="368"/>
      <c r="NU36" s="368"/>
      <c r="NV36" s="368"/>
      <c r="NW36" s="368"/>
      <c r="NX36" s="368"/>
      <c r="NY36" s="368"/>
      <c r="NZ36" s="368"/>
      <c r="OA36" s="368"/>
      <c r="OB36" s="368"/>
      <c r="OC36" s="368"/>
      <c r="OD36" s="368"/>
      <c r="OE36" s="368"/>
      <c r="OF36" s="368"/>
      <c r="OG36" s="368"/>
      <c r="OH36" s="368"/>
      <c r="OI36" s="368"/>
      <c r="OJ36" s="368"/>
      <c r="OK36" s="368"/>
      <c r="OL36" s="368"/>
      <c r="OM36" s="368"/>
      <c r="ON36" s="368"/>
      <c r="OO36" s="368"/>
      <c r="OP36" s="368"/>
      <c r="OQ36" s="368"/>
      <c r="OR36" s="368"/>
      <c r="OS36" s="368"/>
      <c r="OT36" s="368"/>
      <c r="OU36" s="368"/>
      <c r="OV36" s="368"/>
      <c r="OW36" s="368"/>
      <c r="OX36" s="368"/>
      <c r="OY36" s="368"/>
      <c r="OZ36" s="368"/>
      <c r="PA36" s="368"/>
      <c r="PB36" s="368"/>
      <c r="PC36" s="368"/>
      <c r="PD36" s="368"/>
      <c r="PE36" s="368"/>
      <c r="PF36" s="368"/>
      <c r="PG36" s="368"/>
      <c r="PH36" s="368"/>
      <c r="PI36" s="368"/>
      <c r="PJ36" s="368"/>
      <c r="PK36" s="368"/>
      <c r="PL36" s="368"/>
      <c r="PM36" s="368"/>
      <c r="PN36" s="368"/>
      <c r="PO36" s="368"/>
      <c r="PP36" s="368"/>
      <c r="PQ36" s="368"/>
      <c r="PR36" s="368"/>
      <c r="PS36" s="368"/>
      <c r="PT36" s="368"/>
      <c r="PU36" s="368"/>
      <c r="PV36" s="368"/>
      <c r="PW36" s="368"/>
      <c r="PX36" s="368"/>
      <c r="PY36" s="368"/>
      <c r="PZ36" s="368"/>
      <c r="QA36" s="368"/>
      <c r="QB36" s="368"/>
      <c r="QC36" s="368"/>
      <c r="QD36" s="368"/>
      <c r="QE36" s="368"/>
      <c r="QF36" s="368"/>
      <c r="QG36" s="368"/>
      <c r="QH36" s="368"/>
      <c r="QI36" s="368"/>
      <c r="QJ36" s="368"/>
      <c r="QK36" s="368"/>
      <c r="QL36" s="368"/>
      <c r="QM36" s="368"/>
      <c r="QN36" s="368"/>
      <c r="QO36" s="368"/>
      <c r="QP36" s="368"/>
      <c r="QQ36" s="368"/>
      <c r="QR36" s="368"/>
      <c r="QS36" s="368"/>
      <c r="QT36" s="368"/>
      <c r="QU36" s="368"/>
      <c r="QV36" s="368"/>
      <c r="QW36" s="368"/>
      <c r="QX36" s="368"/>
      <c r="QY36" s="368"/>
      <c r="QZ36" s="368"/>
      <c r="RA36" s="368"/>
      <c r="RB36" s="368"/>
      <c r="RC36" s="368"/>
      <c r="RD36" s="368"/>
      <c r="RE36" s="368"/>
      <c r="RF36" s="368"/>
      <c r="RG36" s="368"/>
      <c r="RH36" s="368"/>
      <c r="RI36" s="368"/>
      <c r="RJ36" s="368"/>
      <c r="RK36" s="368"/>
      <c r="RL36" s="368"/>
      <c r="RM36" s="368"/>
      <c r="RN36" s="368"/>
      <c r="RO36" s="368"/>
      <c r="RP36" s="368"/>
      <c r="RQ36" s="368"/>
      <c r="RR36" s="368"/>
      <c r="RS36" s="368"/>
      <c r="RT36" s="368"/>
      <c r="RU36" s="368"/>
      <c r="RV36" s="368"/>
      <c r="RW36" s="368"/>
      <c r="RX36" s="368"/>
      <c r="RY36" s="368"/>
      <c r="RZ36" s="368"/>
      <c r="SA36" s="368"/>
      <c r="SB36" s="368"/>
      <c r="SC36" s="368"/>
      <c r="SD36" s="368"/>
      <c r="SE36" s="368"/>
      <c r="SF36" s="368"/>
      <c r="SG36" s="368"/>
      <c r="SH36" s="368"/>
      <c r="SI36" s="368"/>
      <c r="SJ36" s="368"/>
      <c r="SK36" s="368"/>
      <c r="SL36" s="368"/>
      <c r="SM36" s="368"/>
      <c r="SN36" s="368"/>
      <c r="SO36" s="368"/>
      <c r="SP36" s="368"/>
      <c r="SQ36" s="368"/>
      <c r="SR36" s="368"/>
      <c r="SS36" s="368"/>
      <c r="ST36" s="368"/>
      <c r="SU36" s="368"/>
      <c r="SV36" s="368"/>
      <c r="SW36" s="368"/>
      <c r="SX36" s="368"/>
      <c r="SY36" s="368"/>
      <c r="SZ36" s="368"/>
      <c r="TA36" s="368"/>
      <c r="TB36" s="368"/>
      <c r="TC36" s="368"/>
      <c r="TD36" s="368"/>
      <c r="TE36" s="368"/>
      <c r="TF36" s="368"/>
      <c r="TG36" s="368"/>
      <c r="TH36" s="368"/>
      <c r="TI36" s="368"/>
      <c r="TJ36" s="368"/>
      <c r="TK36" s="368"/>
      <c r="TL36" s="368"/>
      <c r="TM36" s="368"/>
      <c r="TN36" s="368"/>
      <c r="TO36" s="368"/>
      <c r="TP36" s="368"/>
      <c r="TQ36" s="368"/>
      <c r="TR36" s="368"/>
      <c r="TS36" s="368"/>
      <c r="TT36" s="368"/>
      <c r="TU36" s="368"/>
      <c r="TV36" s="368"/>
      <c r="TW36" s="368"/>
      <c r="TX36" s="368"/>
      <c r="TY36" s="368"/>
      <c r="TZ36" s="368"/>
      <c r="UA36" s="368"/>
      <c r="UB36" s="368"/>
      <c r="UC36" s="368"/>
      <c r="UD36" s="368"/>
      <c r="UE36" s="368"/>
      <c r="UF36" s="368"/>
      <c r="UG36" s="368"/>
      <c r="UH36" s="368"/>
      <c r="UI36" s="368"/>
      <c r="UJ36" s="368"/>
      <c r="UK36" s="368"/>
      <c r="UL36" s="368"/>
      <c r="UM36" s="368"/>
      <c r="UN36" s="368"/>
      <c r="UO36" s="368"/>
      <c r="UP36" s="368"/>
      <c r="UQ36" s="368"/>
      <c r="UR36" s="368"/>
      <c r="US36" s="368"/>
      <c r="UT36" s="368"/>
      <c r="UU36" s="368"/>
      <c r="UV36" s="368"/>
      <c r="UW36" s="368"/>
      <c r="UX36" s="368"/>
      <c r="UY36" s="368"/>
      <c r="UZ36" s="368"/>
      <c r="VA36" s="368"/>
      <c r="VB36" s="368"/>
      <c r="VC36" s="368"/>
      <c r="VD36" s="368"/>
      <c r="VE36" s="368"/>
      <c r="VF36" s="368"/>
      <c r="VG36" s="368"/>
      <c r="VH36" s="368"/>
      <c r="VI36" s="368"/>
      <c r="VJ36" s="368"/>
      <c r="VK36" s="368"/>
      <c r="VL36" s="368"/>
      <c r="VM36" s="368"/>
      <c r="VN36" s="368"/>
      <c r="VO36" s="368"/>
      <c r="VP36" s="368"/>
      <c r="VQ36" s="368"/>
      <c r="VR36" s="368"/>
      <c r="VS36" s="368"/>
      <c r="VT36" s="368"/>
      <c r="VU36" s="368"/>
      <c r="VV36" s="368"/>
      <c r="VW36" s="368"/>
      <c r="VX36" s="368"/>
      <c r="VY36" s="368"/>
      <c r="VZ36" s="368"/>
      <c r="WA36" s="368"/>
      <c r="WB36" s="368"/>
      <c r="WC36" s="368"/>
      <c r="WD36" s="368"/>
      <c r="WE36" s="368"/>
      <c r="WF36" s="368"/>
      <c r="WG36" s="368"/>
      <c r="WH36" s="368"/>
      <c r="WI36" s="368"/>
      <c r="WJ36" s="368"/>
      <c r="WK36" s="368"/>
      <c r="WL36" s="368"/>
      <c r="WM36" s="368"/>
      <c r="WN36" s="368"/>
      <c r="WO36" s="368"/>
      <c r="WP36" s="368"/>
      <c r="WQ36" s="368"/>
      <c r="WR36" s="368"/>
      <c r="WS36" s="368"/>
      <c r="WT36" s="368"/>
      <c r="WU36" s="368"/>
      <c r="WV36" s="368"/>
      <c r="WW36" s="368"/>
      <c r="WX36" s="368"/>
      <c r="WY36" s="368"/>
      <c r="WZ36" s="368"/>
      <c r="XA36" s="368"/>
      <c r="XB36" s="368"/>
      <c r="XC36" s="368"/>
      <c r="XD36" s="368"/>
      <c r="XE36" s="368"/>
      <c r="XF36" s="368"/>
      <c r="XG36" s="368"/>
      <c r="XH36" s="368"/>
      <c r="XI36" s="368"/>
      <c r="XJ36" s="368"/>
      <c r="XK36" s="368"/>
      <c r="XL36" s="368"/>
      <c r="XM36" s="368"/>
      <c r="XN36" s="368"/>
      <c r="XO36" s="368"/>
      <c r="XP36" s="368"/>
      <c r="XQ36" s="368"/>
      <c r="XR36" s="368"/>
      <c r="XS36" s="368"/>
      <c r="XT36" s="368"/>
      <c r="XU36" s="368"/>
      <c r="XV36" s="368"/>
      <c r="XW36" s="368"/>
      <c r="XX36" s="368"/>
      <c r="XY36" s="368"/>
      <c r="XZ36" s="368"/>
      <c r="YA36" s="368"/>
      <c r="YB36" s="368"/>
      <c r="YC36" s="368"/>
      <c r="YD36" s="368"/>
      <c r="YE36" s="368"/>
      <c r="YF36" s="368"/>
      <c r="YG36" s="368"/>
      <c r="YH36" s="368"/>
      <c r="YI36" s="368"/>
      <c r="YJ36" s="368"/>
      <c r="YK36" s="368"/>
      <c r="YL36" s="368"/>
      <c r="YM36" s="368"/>
      <c r="YN36" s="368"/>
      <c r="YO36" s="368"/>
      <c r="YP36" s="368"/>
      <c r="YQ36" s="368"/>
      <c r="YR36" s="368"/>
      <c r="YS36" s="368"/>
      <c r="YT36" s="368"/>
      <c r="YU36" s="368"/>
      <c r="YV36" s="368"/>
      <c r="YW36" s="368"/>
      <c r="YX36" s="368"/>
      <c r="YY36" s="368"/>
      <c r="YZ36" s="368"/>
      <c r="ZA36" s="368"/>
      <c r="ZB36" s="368"/>
      <c r="ZC36" s="368"/>
      <c r="ZD36" s="368"/>
      <c r="ZE36" s="368"/>
      <c r="ZF36" s="368"/>
      <c r="ZG36" s="368"/>
      <c r="ZH36" s="368"/>
      <c r="ZI36" s="368"/>
      <c r="ZJ36" s="368"/>
      <c r="ZK36" s="368"/>
      <c r="ZL36" s="368"/>
      <c r="ZM36" s="368"/>
      <c r="ZN36" s="368"/>
      <c r="ZO36" s="368"/>
      <c r="ZP36" s="368"/>
      <c r="ZQ36" s="368"/>
      <c r="ZR36" s="368"/>
      <c r="ZS36" s="368"/>
      <c r="ZT36" s="368"/>
      <c r="ZU36" s="368"/>
      <c r="ZV36" s="368"/>
      <c r="ZW36" s="368"/>
      <c r="ZX36" s="368"/>
      <c r="ZY36" s="368"/>
      <c r="ZZ36" s="368"/>
      <c r="AAA36" s="368"/>
      <c r="AAB36" s="368"/>
      <c r="AAC36" s="368"/>
      <c r="AAD36" s="368"/>
      <c r="AAE36" s="368"/>
      <c r="AAF36" s="368"/>
      <c r="AAG36" s="368"/>
      <c r="AAH36" s="368"/>
      <c r="AAI36" s="368"/>
      <c r="AAJ36" s="368"/>
      <c r="AAK36" s="368"/>
      <c r="AAL36" s="368"/>
      <c r="AAM36" s="368"/>
      <c r="AAN36" s="368"/>
      <c r="AAO36" s="368"/>
      <c r="AAP36" s="368"/>
      <c r="AAQ36" s="368"/>
      <c r="AAR36" s="368"/>
      <c r="AAS36" s="368"/>
      <c r="AAT36" s="368"/>
      <c r="AAU36" s="368"/>
      <c r="AAV36" s="368"/>
      <c r="AAW36" s="368"/>
      <c r="AAX36" s="368"/>
      <c r="AAY36" s="368"/>
      <c r="AAZ36" s="368"/>
      <c r="ABA36" s="368"/>
      <c r="ABB36" s="368"/>
      <c r="ABC36" s="368"/>
      <c r="ABD36" s="368"/>
      <c r="ABE36" s="368"/>
      <c r="ABF36" s="368"/>
      <c r="ABG36" s="368"/>
      <c r="ABH36" s="368"/>
      <c r="ABI36" s="368"/>
      <c r="ABJ36" s="368"/>
      <c r="ABK36" s="368"/>
      <c r="ABL36" s="368"/>
      <c r="ABM36" s="368"/>
      <c r="ABN36" s="368"/>
      <c r="ABO36" s="368"/>
      <c r="ABP36" s="368"/>
      <c r="ABQ36" s="368"/>
      <c r="ABR36" s="368"/>
      <c r="ABS36" s="368"/>
      <c r="ABT36" s="368"/>
      <c r="ABU36" s="368"/>
      <c r="ABV36" s="368"/>
      <c r="ABW36" s="368"/>
      <c r="ABX36" s="368"/>
      <c r="ABY36" s="368"/>
      <c r="ABZ36" s="368"/>
      <c r="ACA36" s="368"/>
      <c r="ACB36" s="368"/>
      <c r="ACC36" s="368"/>
      <c r="ACD36" s="368"/>
      <c r="ACE36" s="368"/>
      <c r="ACF36" s="368"/>
      <c r="ACG36" s="368"/>
      <c r="ACH36" s="368"/>
      <c r="ACI36" s="368"/>
      <c r="ACJ36" s="368"/>
      <c r="ACK36" s="368"/>
      <c r="ACL36" s="368"/>
      <c r="ACM36" s="368"/>
      <c r="ACN36" s="368"/>
      <c r="ACO36" s="368"/>
      <c r="ACP36" s="368"/>
      <c r="ACQ36" s="368"/>
      <c r="ACR36" s="368"/>
      <c r="ACS36" s="368"/>
      <c r="ACT36" s="368"/>
      <c r="ACU36" s="368"/>
      <c r="ACV36" s="368"/>
      <c r="ACW36" s="368"/>
      <c r="ACX36" s="368"/>
      <c r="ACY36" s="368"/>
      <c r="ACZ36" s="368"/>
      <c r="ADA36" s="368"/>
      <c r="ADB36" s="368"/>
      <c r="ADC36" s="368"/>
      <c r="ADD36" s="368"/>
      <c r="ADE36" s="368"/>
      <c r="ADF36" s="368"/>
      <c r="ADG36" s="368"/>
      <c r="ADH36" s="368"/>
      <c r="ADI36" s="368"/>
      <c r="ADJ36" s="368"/>
      <c r="ADK36" s="368"/>
      <c r="ADL36" s="368"/>
      <c r="ADM36" s="368"/>
      <c r="ADN36" s="368"/>
      <c r="ADO36" s="368"/>
      <c r="ADP36" s="368"/>
      <c r="ADQ36" s="368"/>
      <c r="ADR36" s="368"/>
      <c r="ADS36" s="368"/>
      <c r="ADT36" s="368"/>
      <c r="ADU36" s="368"/>
      <c r="ADV36" s="368"/>
      <c r="ADW36" s="368"/>
      <c r="ADX36" s="368"/>
      <c r="ADY36" s="368"/>
      <c r="ADZ36" s="368"/>
      <c r="AEA36" s="368"/>
      <c r="AEB36" s="368"/>
      <c r="AEC36" s="368"/>
      <c r="AED36" s="368"/>
      <c r="AEE36" s="368"/>
      <c r="AEF36" s="368"/>
      <c r="AEG36" s="368"/>
      <c r="AEH36" s="368"/>
      <c r="AEI36" s="368"/>
      <c r="AEJ36" s="368"/>
      <c r="AEK36" s="368"/>
      <c r="AEL36" s="368"/>
      <c r="AEM36" s="368"/>
      <c r="AEN36" s="368"/>
      <c r="AEO36" s="368"/>
      <c r="AEP36" s="368"/>
      <c r="AEQ36" s="368"/>
      <c r="AER36" s="368"/>
      <c r="AES36" s="368"/>
      <c r="AET36" s="368"/>
      <c r="AEU36" s="368"/>
      <c r="AEV36" s="368"/>
      <c r="AEW36" s="368"/>
      <c r="AEX36" s="368"/>
      <c r="AEY36" s="368"/>
      <c r="AEZ36" s="368"/>
      <c r="AFA36" s="368"/>
      <c r="AFB36" s="368"/>
      <c r="AFC36" s="368"/>
      <c r="AFD36" s="368"/>
      <c r="AFE36" s="368"/>
      <c r="AFF36" s="368"/>
      <c r="AFG36" s="368"/>
      <c r="AFH36" s="368"/>
      <c r="AFI36" s="368"/>
      <c r="AFJ36" s="368"/>
      <c r="AFK36" s="368"/>
      <c r="AFL36" s="368"/>
      <c r="AFM36" s="368"/>
      <c r="AFN36" s="368"/>
      <c r="AFO36" s="368"/>
      <c r="AFP36" s="368"/>
      <c r="AFQ36" s="368"/>
      <c r="AFR36" s="368"/>
      <c r="AFS36" s="368"/>
      <c r="AFT36" s="368"/>
      <c r="AFU36" s="368"/>
      <c r="AFV36" s="368"/>
      <c r="AFW36" s="368"/>
      <c r="AFX36" s="368"/>
      <c r="AFY36" s="368"/>
      <c r="AFZ36" s="368"/>
      <c r="AGA36" s="368"/>
      <c r="AGB36" s="368"/>
      <c r="AGC36" s="368"/>
      <c r="AGD36" s="368"/>
      <c r="AGE36" s="368"/>
      <c r="AGF36" s="368"/>
      <c r="AGG36" s="368"/>
      <c r="AGH36" s="368"/>
      <c r="AGI36" s="368"/>
      <c r="AGJ36" s="368"/>
      <c r="AGK36" s="368"/>
      <c r="AGL36" s="368"/>
      <c r="AGM36" s="368"/>
      <c r="AGN36" s="368"/>
      <c r="AGO36" s="368"/>
      <c r="AGP36" s="368"/>
      <c r="AGQ36" s="368"/>
      <c r="AGR36" s="368"/>
      <c r="AGS36" s="368"/>
      <c r="AGT36" s="368"/>
      <c r="AGU36" s="368"/>
      <c r="AGV36" s="368"/>
      <c r="AGW36" s="368"/>
      <c r="AGX36" s="368"/>
      <c r="AGY36" s="368"/>
      <c r="AGZ36" s="368"/>
      <c r="AHA36" s="368"/>
      <c r="AHB36" s="368"/>
      <c r="AHC36" s="368"/>
      <c r="AHD36" s="368"/>
      <c r="AHE36" s="368"/>
      <c r="AHF36" s="368"/>
      <c r="AHG36" s="368"/>
      <c r="AHH36" s="368"/>
      <c r="AHI36" s="368"/>
      <c r="AHJ36" s="368"/>
      <c r="AHK36" s="368"/>
      <c r="AHL36" s="368"/>
      <c r="AHM36" s="368"/>
      <c r="AHN36" s="368"/>
      <c r="AHO36" s="368"/>
      <c r="AHP36" s="368"/>
      <c r="AHQ36" s="368"/>
      <c r="AHR36" s="368"/>
      <c r="AHS36" s="368"/>
      <c r="AHT36" s="368"/>
      <c r="AHU36" s="368"/>
      <c r="AHV36" s="368"/>
      <c r="AHW36" s="368"/>
      <c r="AHX36" s="368"/>
      <c r="AHY36" s="368"/>
      <c r="AHZ36" s="368"/>
      <c r="AIA36" s="368"/>
      <c r="AIB36" s="368"/>
      <c r="AIC36" s="368"/>
      <c r="AID36" s="368"/>
      <c r="AIE36" s="368"/>
      <c r="AIF36" s="368"/>
      <c r="AIG36" s="368"/>
      <c r="AIH36" s="368"/>
      <c r="AII36" s="368"/>
      <c r="AIJ36" s="368"/>
      <c r="AIK36" s="368"/>
      <c r="AIL36" s="368"/>
      <c r="AIM36" s="368"/>
      <c r="AIN36" s="368"/>
      <c r="AIO36" s="368"/>
      <c r="AIP36" s="368"/>
      <c r="AIQ36" s="368"/>
      <c r="AIR36" s="368"/>
      <c r="AIS36" s="368"/>
      <c r="AIT36" s="368"/>
      <c r="AIU36" s="368"/>
      <c r="AIV36" s="368"/>
      <c r="AIW36" s="368"/>
      <c r="AIX36" s="368"/>
      <c r="AIY36" s="368"/>
      <c r="AIZ36" s="368"/>
      <c r="AJA36" s="368"/>
      <c r="AJB36" s="368"/>
      <c r="AJC36" s="368"/>
      <c r="AJD36" s="368"/>
      <c r="AJE36" s="368"/>
      <c r="AJF36" s="368"/>
      <c r="AJG36" s="368"/>
      <c r="AJH36" s="368"/>
      <c r="AJI36" s="368"/>
      <c r="AJJ36" s="368"/>
      <c r="AJK36" s="368"/>
      <c r="AJL36" s="368"/>
      <c r="AJM36" s="368"/>
      <c r="AJN36" s="368"/>
      <c r="AJO36" s="368"/>
      <c r="AJP36" s="368"/>
      <c r="AJQ36" s="368"/>
      <c r="AJR36" s="368"/>
      <c r="AJS36" s="368"/>
      <c r="AJT36" s="368"/>
      <c r="AJU36" s="368"/>
      <c r="AJV36" s="368"/>
      <c r="AJW36" s="368"/>
      <c r="AJX36" s="368"/>
      <c r="AJY36" s="368"/>
      <c r="AJZ36" s="368"/>
      <c r="AKA36" s="368"/>
      <c r="AKB36" s="368"/>
      <c r="AKC36" s="368"/>
      <c r="AKD36" s="368"/>
      <c r="AKE36" s="368"/>
      <c r="AKF36" s="368"/>
      <c r="AKG36" s="368"/>
      <c r="AKH36" s="368"/>
      <c r="AKI36" s="368"/>
      <c r="AKJ36" s="368"/>
      <c r="AKK36" s="368"/>
      <c r="AKL36" s="368"/>
      <c r="AKM36" s="368"/>
      <c r="AKN36" s="368"/>
    </row>
    <row r="37" spans="1:976" s="375" customFormat="1" ht="22.5" customHeight="1" x14ac:dyDescent="0.2">
      <c r="A37" s="428" t="s">
        <v>262</v>
      </c>
      <c r="B37" s="428"/>
      <c r="C37" s="428" t="s">
        <v>221</v>
      </c>
      <c r="D37" s="428" t="s">
        <v>222</v>
      </c>
      <c r="E37" s="429">
        <v>406071</v>
      </c>
      <c r="F37" s="429">
        <v>490</v>
      </c>
      <c r="G37" s="429">
        <v>65</v>
      </c>
      <c r="H37" s="429">
        <v>0</v>
      </c>
      <c r="I37" s="430">
        <v>45736</v>
      </c>
      <c r="J37" s="428" t="s">
        <v>290</v>
      </c>
      <c r="K37" s="428" t="s">
        <v>383</v>
      </c>
      <c r="L37" s="431">
        <v>174.04</v>
      </c>
      <c r="M37" s="431">
        <v>9.57</v>
      </c>
      <c r="N37" s="441">
        <v>183.61</v>
      </c>
      <c r="O37" s="428"/>
      <c r="P37" s="432">
        <v>45741</v>
      </c>
      <c r="Q37" s="431">
        <v>183.61</v>
      </c>
      <c r="R37" s="428" t="s">
        <v>384</v>
      </c>
      <c r="S37" s="431">
        <v>0</v>
      </c>
      <c r="T37" s="431">
        <v>0</v>
      </c>
      <c r="U37" s="431">
        <v>0</v>
      </c>
      <c r="V37" s="431">
        <v>0</v>
      </c>
      <c r="W37" s="428"/>
      <c r="X37" s="428" t="s">
        <v>293</v>
      </c>
      <c r="Y37" s="428" t="s">
        <v>294</v>
      </c>
      <c r="Z37" s="428" t="s">
        <v>42</v>
      </c>
      <c r="AA37" s="428" t="s">
        <v>228</v>
      </c>
      <c r="AB37" s="428" t="s">
        <v>235</v>
      </c>
      <c r="AC37" s="428" t="s">
        <v>236</v>
      </c>
      <c r="AD37" s="428" t="s">
        <v>231</v>
      </c>
      <c r="AE37" s="428" t="s">
        <v>232</v>
      </c>
      <c r="AF37" s="428" t="s">
        <v>231</v>
      </c>
      <c r="AG37" s="428" t="s">
        <v>232</v>
      </c>
      <c r="AH37" s="428"/>
      <c r="AI37" s="428"/>
      <c r="AJ37" s="428"/>
      <c r="AK37" s="428" t="s">
        <v>385</v>
      </c>
      <c r="AL37" s="429">
        <v>1</v>
      </c>
      <c r="AM37" s="429">
        <v>0</v>
      </c>
      <c r="AN37" s="430">
        <v>45740</v>
      </c>
      <c r="AO37" s="430">
        <v>45740</v>
      </c>
      <c r="AP37" s="431">
        <v>183.61</v>
      </c>
      <c r="AQ37" s="430">
        <v>45739</v>
      </c>
      <c r="AR37" s="368"/>
      <c r="AS37" s="368"/>
      <c r="AT37" s="368"/>
      <c r="AU37" s="368"/>
      <c r="AV37" s="368"/>
      <c r="AW37" s="368"/>
      <c r="AX37" s="368"/>
      <c r="AY37" s="368"/>
      <c r="AZ37" s="368"/>
      <c r="BA37" s="368"/>
      <c r="BB37" s="368"/>
      <c r="BC37" s="368"/>
      <c r="BD37" s="368"/>
      <c r="BE37" s="368"/>
      <c r="BF37" s="368"/>
      <c r="BG37" s="368"/>
      <c r="BH37" s="368"/>
      <c r="BI37" s="368"/>
      <c r="BJ37" s="368"/>
      <c r="BK37" s="368"/>
      <c r="BL37" s="368"/>
      <c r="BM37" s="368"/>
      <c r="BN37" s="368"/>
      <c r="BO37" s="368"/>
      <c r="BP37" s="368"/>
      <c r="BQ37" s="368"/>
      <c r="BR37" s="368"/>
      <c r="BS37" s="368"/>
      <c r="BT37" s="368"/>
      <c r="BU37" s="368"/>
      <c r="BV37" s="368"/>
      <c r="BW37" s="368"/>
      <c r="BX37" s="368"/>
      <c r="BY37" s="368"/>
      <c r="BZ37" s="368"/>
      <c r="CA37" s="368"/>
      <c r="CB37" s="368"/>
      <c r="CC37" s="368"/>
      <c r="CD37" s="368"/>
      <c r="CE37" s="368"/>
      <c r="CF37" s="368"/>
      <c r="CG37" s="368"/>
      <c r="CH37" s="368"/>
      <c r="CI37" s="368"/>
      <c r="CJ37" s="368"/>
      <c r="CK37" s="368"/>
      <c r="CL37" s="368"/>
      <c r="CM37" s="368"/>
      <c r="CN37" s="368"/>
      <c r="CO37" s="368"/>
      <c r="CP37" s="368"/>
      <c r="CQ37" s="368"/>
      <c r="CR37" s="368"/>
      <c r="CS37" s="368"/>
      <c r="CT37" s="368"/>
      <c r="CU37" s="368"/>
      <c r="CV37" s="368"/>
      <c r="CW37" s="368"/>
      <c r="CX37" s="368"/>
      <c r="CY37" s="368"/>
      <c r="CZ37" s="368"/>
      <c r="DA37" s="368"/>
      <c r="DB37" s="368"/>
      <c r="DC37" s="368"/>
      <c r="DD37" s="368"/>
      <c r="DE37" s="368"/>
      <c r="DF37" s="368"/>
      <c r="DG37" s="368"/>
      <c r="DH37" s="368"/>
      <c r="DI37" s="368"/>
      <c r="DJ37" s="368"/>
      <c r="DK37" s="368"/>
      <c r="DL37" s="368"/>
      <c r="DM37" s="368"/>
      <c r="DN37" s="368"/>
      <c r="DO37" s="368"/>
      <c r="DP37" s="368"/>
      <c r="DQ37" s="368"/>
      <c r="DR37" s="368"/>
      <c r="DS37" s="368"/>
      <c r="DT37" s="368"/>
      <c r="DU37" s="368"/>
      <c r="DV37" s="368"/>
      <c r="DW37" s="368"/>
      <c r="DX37" s="368"/>
      <c r="DY37" s="368"/>
      <c r="DZ37" s="368"/>
      <c r="EA37" s="368"/>
      <c r="EB37" s="368"/>
      <c r="EC37" s="368"/>
      <c r="ED37" s="368"/>
      <c r="EE37" s="368"/>
      <c r="EF37" s="368"/>
      <c r="EG37" s="368"/>
      <c r="EH37" s="368"/>
      <c r="EI37" s="368"/>
      <c r="EJ37" s="368"/>
      <c r="EK37" s="368"/>
      <c r="EL37" s="368"/>
      <c r="EM37" s="368"/>
      <c r="EN37" s="368"/>
      <c r="EO37" s="368"/>
      <c r="EP37" s="368"/>
      <c r="EQ37" s="368"/>
      <c r="ER37" s="368"/>
      <c r="ES37" s="368"/>
      <c r="ET37" s="368"/>
      <c r="EU37" s="368"/>
      <c r="EV37" s="368"/>
      <c r="EW37" s="368"/>
      <c r="EX37" s="368"/>
      <c r="EY37" s="368"/>
      <c r="EZ37" s="368"/>
      <c r="FA37" s="368"/>
      <c r="FB37" s="368"/>
      <c r="FC37" s="368"/>
      <c r="FD37" s="368"/>
      <c r="FE37" s="368"/>
      <c r="FF37" s="368"/>
      <c r="FG37" s="368"/>
      <c r="FH37" s="368"/>
      <c r="FI37" s="368"/>
      <c r="FJ37" s="368"/>
      <c r="FK37" s="368"/>
      <c r="FL37" s="368"/>
      <c r="FM37" s="368"/>
      <c r="FN37" s="368"/>
      <c r="FO37" s="368"/>
      <c r="FP37" s="368"/>
      <c r="FQ37" s="368"/>
      <c r="FR37" s="368"/>
      <c r="FS37" s="368"/>
      <c r="FT37" s="368"/>
      <c r="FU37" s="368"/>
      <c r="FV37" s="368"/>
      <c r="FW37" s="368"/>
      <c r="FX37" s="368"/>
      <c r="FY37" s="368"/>
      <c r="FZ37" s="368"/>
      <c r="GA37" s="368"/>
      <c r="GB37" s="368"/>
      <c r="GC37" s="368"/>
      <c r="GD37" s="368"/>
      <c r="GE37" s="368"/>
      <c r="GF37" s="368"/>
      <c r="GG37" s="368"/>
      <c r="GH37" s="368"/>
      <c r="GI37" s="368"/>
      <c r="GJ37" s="368"/>
      <c r="GK37" s="368"/>
      <c r="GL37" s="368"/>
      <c r="GM37" s="368"/>
      <c r="GN37" s="368"/>
      <c r="GO37" s="368"/>
      <c r="GP37" s="368"/>
      <c r="GQ37" s="368"/>
      <c r="GR37" s="368"/>
      <c r="GS37" s="368"/>
      <c r="GT37" s="368"/>
      <c r="GU37" s="368"/>
      <c r="GV37" s="368"/>
      <c r="GW37" s="368"/>
      <c r="GX37" s="368"/>
      <c r="GY37" s="368"/>
      <c r="GZ37" s="368"/>
      <c r="HA37" s="368"/>
      <c r="HB37" s="368"/>
      <c r="HC37" s="368"/>
      <c r="HD37" s="368"/>
      <c r="HE37" s="368"/>
      <c r="HF37" s="368"/>
      <c r="HG37" s="368"/>
      <c r="HH37" s="368"/>
      <c r="HI37" s="368"/>
      <c r="HJ37" s="368"/>
      <c r="HK37" s="368"/>
      <c r="HL37" s="368"/>
      <c r="HM37" s="368"/>
      <c r="HN37" s="368"/>
      <c r="HO37" s="368"/>
      <c r="HP37" s="368"/>
      <c r="HQ37" s="368"/>
      <c r="HR37" s="368"/>
      <c r="HS37" s="368"/>
      <c r="HT37" s="368"/>
      <c r="HU37" s="368"/>
      <c r="HV37" s="368"/>
      <c r="HW37" s="368"/>
      <c r="HX37" s="368"/>
      <c r="HY37" s="368"/>
      <c r="HZ37" s="368"/>
      <c r="IA37" s="368"/>
      <c r="IB37" s="368"/>
      <c r="IC37" s="368"/>
      <c r="ID37" s="368"/>
      <c r="IE37" s="368"/>
      <c r="IF37" s="368"/>
      <c r="IG37" s="368"/>
      <c r="IH37" s="368"/>
      <c r="II37" s="368"/>
      <c r="IJ37" s="368"/>
      <c r="IK37" s="368"/>
      <c r="IL37" s="368"/>
      <c r="IM37" s="368"/>
      <c r="IN37" s="368"/>
      <c r="IO37" s="368"/>
      <c r="IP37" s="368"/>
      <c r="IQ37" s="368"/>
      <c r="IR37" s="368"/>
      <c r="IS37" s="368"/>
      <c r="IT37" s="368"/>
      <c r="IU37" s="368"/>
      <c r="IV37" s="368"/>
      <c r="IW37" s="368"/>
      <c r="IX37" s="368"/>
      <c r="IY37" s="368"/>
      <c r="IZ37" s="368"/>
      <c r="JA37" s="368"/>
      <c r="JB37" s="368"/>
      <c r="JC37" s="368"/>
      <c r="JD37" s="368"/>
      <c r="JE37" s="368"/>
      <c r="JF37" s="368"/>
      <c r="JG37" s="368"/>
      <c r="JH37" s="368"/>
      <c r="JI37" s="368"/>
      <c r="JJ37" s="368"/>
      <c r="JK37" s="368"/>
      <c r="JL37" s="368"/>
      <c r="JM37" s="368"/>
      <c r="JN37" s="368"/>
      <c r="JO37" s="368"/>
      <c r="JP37" s="368"/>
      <c r="JQ37" s="368"/>
      <c r="JR37" s="368"/>
      <c r="JS37" s="368"/>
      <c r="JT37" s="368"/>
      <c r="JU37" s="368"/>
      <c r="JV37" s="368"/>
      <c r="JW37" s="368"/>
      <c r="JX37" s="368"/>
      <c r="JY37" s="368"/>
      <c r="JZ37" s="368"/>
      <c r="KA37" s="368"/>
      <c r="KB37" s="368"/>
      <c r="KC37" s="368"/>
      <c r="KD37" s="368"/>
      <c r="KE37" s="368"/>
      <c r="KF37" s="368"/>
      <c r="KG37" s="368"/>
      <c r="KH37" s="368"/>
      <c r="KI37" s="368"/>
      <c r="KJ37" s="368"/>
      <c r="KK37" s="368"/>
      <c r="KL37" s="368"/>
      <c r="KM37" s="368"/>
      <c r="KN37" s="368"/>
      <c r="KO37" s="368"/>
      <c r="KP37" s="368"/>
      <c r="KQ37" s="368"/>
      <c r="KR37" s="368"/>
      <c r="KS37" s="368"/>
      <c r="KT37" s="368"/>
      <c r="KU37" s="368"/>
      <c r="KV37" s="368"/>
      <c r="KW37" s="368"/>
      <c r="KX37" s="368"/>
      <c r="KY37" s="368"/>
      <c r="KZ37" s="368"/>
      <c r="LA37" s="368"/>
      <c r="LB37" s="368"/>
      <c r="LC37" s="368"/>
      <c r="LD37" s="368"/>
      <c r="LE37" s="368"/>
      <c r="LF37" s="368"/>
      <c r="LG37" s="368"/>
      <c r="LH37" s="368"/>
      <c r="LI37" s="368"/>
      <c r="LJ37" s="368"/>
      <c r="LK37" s="368"/>
      <c r="LL37" s="368"/>
      <c r="LM37" s="368"/>
      <c r="LN37" s="368"/>
      <c r="LO37" s="368"/>
      <c r="LP37" s="368"/>
      <c r="LQ37" s="368"/>
      <c r="LR37" s="368"/>
      <c r="LS37" s="368"/>
      <c r="LT37" s="368"/>
      <c r="LU37" s="368"/>
      <c r="LV37" s="368"/>
      <c r="LW37" s="368"/>
      <c r="LX37" s="368"/>
      <c r="LY37" s="368"/>
      <c r="LZ37" s="368"/>
      <c r="MA37" s="368"/>
      <c r="MB37" s="368"/>
      <c r="MC37" s="368"/>
      <c r="MD37" s="368"/>
      <c r="ME37" s="368"/>
      <c r="MF37" s="368"/>
      <c r="MG37" s="368"/>
      <c r="MH37" s="368"/>
      <c r="MI37" s="368"/>
      <c r="MJ37" s="368"/>
      <c r="MK37" s="368"/>
      <c r="ML37" s="368"/>
      <c r="MM37" s="368"/>
      <c r="MN37" s="368"/>
      <c r="MO37" s="368"/>
      <c r="MP37" s="368"/>
      <c r="MQ37" s="368"/>
      <c r="MR37" s="368"/>
      <c r="MS37" s="368"/>
      <c r="MT37" s="368"/>
      <c r="MU37" s="368"/>
      <c r="MV37" s="368"/>
      <c r="MW37" s="368"/>
      <c r="MX37" s="368"/>
      <c r="MY37" s="368"/>
      <c r="MZ37" s="368"/>
      <c r="NA37" s="368"/>
      <c r="NB37" s="368"/>
      <c r="NC37" s="368"/>
      <c r="ND37" s="368"/>
      <c r="NE37" s="368"/>
      <c r="NF37" s="368"/>
      <c r="NG37" s="368"/>
      <c r="NH37" s="368"/>
      <c r="NI37" s="368"/>
      <c r="NJ37" s="368"/>
      <c r="NK37" s="368"/>
      <c r="NL37" s="368"/>
      <c r="NM37" s="368"/>
      <c r="NN37" s="368"/>
      <c r="NO37" s="368"/>
      <c r="NP37" s="368"/>
      <c r="NQ37" s="368"/>
      <c r="NR37" s="368"/>
      <c r="NS37" s="368"/>
      <c r="NT37" s="368"/>
      <c r="NU37" s="368"/>
      <c r="NV37" s="368"/>
      <c r="NW37" s="368"/>
      <c r="NX37" s="368"/>
      <c r="NY37" s="368"/>
      <c r="NZ37" s="368"/>
      <c r="OA37" s="368"/>
      <c r="OB37" s="368"/>
      <c r="OC37" s="368"/>
      <c r="OD37" s="368"/>
      <c r="OE37" s="368"/>
      <c r="OF37" s="368"/>
      <c r="OG37" s="368"/>
      <c r="OH37" s="368"/>
      <c r="OI37" s="368"/>
      <c r="OJ37" s="368"/>
      <c r="OK37" s="368"/>
      <c r="OL37" s="368"/>
      <c r="OM37" s="368"/>
      <c r="ON37" s="368"/>
      <c r="OO37" s="368"/>
      <c r="OP37" s="368"/>
      <c r="OQ37" s="368"/>
      <c r="OR37" s="368"/>
      <c r="OS37" s="368"/>
      <c r="OT37" s="368"/>
      <c r="OU37" s="368"/>
      <c r="OV37" s="368"/>
      <c r="OW37" s="368"/>
      <c r="OX37" s="368"/>
      <c r="OY37" s="368"/>
      <c r="OZ37" s="368"/>
      <c r="PA37" s="368"/>
      <c r="PB37" s="368"/>
      <c r="PC37" s="368"/>
      <c r="PD37" s="368"/>
      <c r="PE37" s="368"/>
      <c r="PF37" s="368"/>
      <c r="PG37" s="368"/>
      <c r="PH37" s="368"/>
      <c r="PI37" s="368"/>
      <c r="PJ37" s="368"/>
      <c r="PK37" s="368"/>
      <c r="PL37" s="368"/>
      <c r="PM37" s="368"/>
      <c r="PN37" s="368"/>
      <c r="PO37" s="368"/>
      <c r="PP37" s="368"/>
      <c r="PQ37" s="368"/>
      <c r="PR37" s="368"/>
      <c r="PS37" s="368"/>
      <c r="PT37" s="368"/>
      <c r="PU37" s="368"/>
      <c r="PV37" s="368"/>
      <c r="PW37" s="368"/>
      <c r="PX37" s="368"/>
      <c r="PY37" s="368"/>
      <c r="PZ37" s="368"/>
      <c r="QA37" s="368"/>
      <c r="QB37" s="368"/>
      <c r="QC37" s="368"/>
      <c r="QD37" s="368"/>
      <c r="QE37" s="368"/>
      <c r="QF37" s="368"/>
      <c r="QG37" s="368"/>
      <c r="QH37" s="368"/>
      <c r="QI37" s="368"/>
      <c r="QJ37" s="368"/>
      <c r="QK37" s="368"/>
      <c r="QL37" s="368"/>
      <c r="QM37" s="368"/>
      <c r="QN37" s="368"/>
      <c r="QO37" s="368"/>
      <c r="QP37" s="368"/>
      <c r="QQ37" s="368"/>
      <c r="QR37" s="368"/>
      <c r="QS37" s="368"/>
      <c r="QT37" s="368"/>
      <c r="QU37" s="368"/>
      <c r="QV37" s="368"/>
      <c r="QW37" s="368"/>
      <c r="QX37" s="368"/>
      <c r="QY37" s="368"/>
      <c r="QZ37" s="368"/>
      <c r="RA37" s="368"/>
      <c r="RB37" s="368"/>
      <c r="RC37" s="368"/>
      <c r="RD37" s="368"/>
      <c r="RE37" s="368"/>
      <c r="RF37" s="368"/>
      <c r="RG37" s="368"/>
      <c r="RH37" s="368"/>
      <c r="RI37" s="368"/>
      <c r="RJ37" s="368"/>
      <c r="RK37" s="368"/>
      <c r="RL37" s="368"/>
      <c r="RM37" s="368"/>
      <c r="RN37" s="368"/>
      <c r="RO37" s="368"/>
      <c r="RP37" s="368"/>
      <c r="RQ37" s="368"/>
      <c r="RR37" s="368"/>
      <c r="RS37" s="368"/>
      <c r="RT37" s="368"/>
      <c r="RU37" s="368"/>
      <c r="RV37" s="368"/>
      <c r="RW37" s="368"/>
      <c r="RX37" s="368"/>
      <c r="RY37" s="368"/>
      <c r="RZ37" s="368"/>
      <c r="SA37" s="368"/>
      <c r="SB37" s="368"/>
      <c r="SC37" s="368"/>
      <c r="SD37" s="368"/>
      <c r="SE37" s="368"/>
      <c r="SF37" s="368"/>
      <c r="SG37" s="368"/>
      <c r="SH37" s="368"/>
      <c r="SI37" s="368"/>
      <c r="SJ37" s="368"/>
      <c r="SK37" s="368"/>
      <c r="SL37" s="368"/>
      <c r="SM37" s="368"/>
      <c r="SN37" s="368"/>
      <c r="SO37" s="368"/>
      <c r="SP37" s="368"/>
      <c r="SQ37" s="368"/>
      <c r="SR37" s="368"/>
      <c r="SS37" s="368"/>
      <c r="ST37" s="368"/>
      <c r="SU37" s="368"/>
      <c r="SV37" s="368"/>
      <c r="SW37" s="368"/>
      <c r="SX37" s="368"/>
      <c r="SY37" s="368"/>
      <c r="SZ37" s="368"/>
      <c r="TA37" s="368"/>
      <c r="TB37" s="368"/>
      <c r="TC37" s="368"/>
      <c r="TD37" s="368"/>
      <c r="TE37" s="368"/>
      <c r="TF37" s="368"/>
      <c r="TG37" s="368"/>
      <c r="TH37" s="368"/>
      <c r="TI37" s="368"/>
      <c r="TJ37" s="368"/>
      <c r="TK37" s="368"/>
      <c r="TL37" s="368"/>
      <c r="TM37" s="368"/>
      <c r="TN37" s="368"/>
      <c r="TO37" s="368"/>
      <c r="TP37" s="368"/>
      <c r="TQ37" s="368"/>
      <c r="TR37" s="368"/>
      <c r="TS37" s="368"/>
      <c r="TT37" s="368"/>
      <c r="TU37" s="368"/>
      <c r="TV37" s="368"/>
      <c r="TW37" s="368"/>
      <c r="TX37" s="368"/>
      <c r="TY37" s="368"/>
      <c r="TZ37" s="368"/>
      <c r="UA37" s="368"/>
      <c r="UB37" s="368"/>
      <c r="UC37" s="368"/>
      <c r="UD37" s="368"/>
      <c r="UE37" s="368"/>
      <c r="UF37" s="368"/>
      <c r="UG37" s="368"/>
      <c r="UH37" s="368"/>
      <c r="UI37" s="368"/>
      <c r="UJ37" s="368"/>
      <c r="UK37" s="368"/>
      <c r="UL37" s="368"/>
      <c r="UM37" s="368"/>
      <c r="UN37" s="368"/>
      <c r="UO37" s="368"/>
      <c r="UP37" s="368"/>
      <c r="UQ37" s="368"/>
      <c r="UR37" s="368"/>
      <c r="US37" s="368"/>
      <c r="UT37" s="368"/>
      <c r="UU37" s="368"/>
      <c r="UV37" s="368"/>
      <c r="UW37" s="368"/>
      <c r="UX37" s="368"/>
      <c r="UY37" s="368"/>
      <c r="UZ37" s="368"/>
      <c r="VA37" s="368"/>
      <c r="VB37" s="368"/>
      <c r="VC37" s="368"/>
      <c r="VD37" s="368"/>
      <c r="VE37" s="368"/>
      <c r="VF37" s="368"/>
      <c r="VG37" s="368"/>
      <c r="VH37" s="368"/>
      <c r="VI37" s="368"/>
      <c r="VJ37" s="368"/>
      <c r="VK37" s="368"/>
      <c r="VL37" s="368"/>
      <c r="VM37" s="368"/>
      <c r="VN37" s="368"/>
      <c r="VO37" s="368"/>
      <c r="VP37" s="368"/>
      <c r="VQ37" s="368"/>
      <c r="VR37" s="368"/>
      <c r="VS37" s="368"/>
      <c r="VT37" s="368"/>
      <c r="VU37" s="368"/>
      <c r="VV37" s="368"/>
      <c r="VW37" s="368"/>
      <c r="VX37" s="368"/>
      <c r="VY37" s="368"/>
      <c r="VZ37" s="368"/>
      <c r="WA37" s="368"/>
      <c r="WB37" s="368"/>
      <c r="WC37" s="368"/>
      <c r="WD37" s="368"/>
      <c r="WE37" s="368"/>
      <c r="WF37" s="368"/>
      <c r="WG37" s="368"/>
      <c r="WH37" s="368"/>
      <c r="WI37" s="368"/>
      <c r="WJ37" s="368"/>
      <c r="WK37" s="368"/>
      <c r="WL37" s="368"/>
      <c r="WM37" s="368"/>
      <c r="WN37" s="368"/>
      <c r="WO37" s="368"/>
      <c r="WP37" s="368"/>
      <c r="WQ37" s="368"/>
      <c r="WR37" s="368"/>
      <c r="WS37" s="368"/>
      <c r="WT37" s="368"/>
      <c r="WU37" s="368"/>
      <c r="WV37" s="368"/>
      <c r="WW37" s="368"/>
      <c r="WX37" s="368"/>
      <c r="WY37" s="368"/>
      <c r="WZ37" s="368"/>
      <c r="XA37" s="368"/>
      <c r="XB37" s="368"/>
      <c r="XC37" s="368"/>
      <c r="XD37" s="368"/>
      <c r="XE37" s="368"/>
      <c r="XF37" s="368"/>
      <c r="XG37" s="368"/>
      <c r="XH37" s="368"/>
      <c r="XI37" s="368"/>
      <c r="XJ37" s="368"/>
      <c r="XK37" s="368"/>
      <c r="XL37" s="368"/>
      <c r="XM37" s="368"/>
      <c r="XN37" s="368"/>
      <c r="XO37" s="368"/>
      <c r="XP37" s="368"/>
      <c r="XQ37" s="368"/>
      <c r="XR37" s="368"/>
      <c r="XS37" s="368"/>
      <c r="XT37" s="368"/>
      <c r="XU37" s="368"/>
      <c r="XV37" s="368"/>
      <c r="XW37" s="368"/>
      <c r="XX37" s="368"/>
      <c r="XY37" s="368"/>
      <c r="XZ37" s="368"/>
      <c r="YA37" s="368"/>
      <c r="YB37" s="368"/>
      <c r="YC37" s="368"/>
      <c r="YD37" s="368"/>
      <c r="YE37" s="368"/>
      <c r="YF37" s="368"/>
      <c r="YG37" s="368"/>
      <c r="YH37" s="368"/>
      <c r="YI37" s="368"/>
      <c r="YJ37" s="368"/>
      <c r="YK37" s="368"/>
      <c r="YL37" s="368"/>
      <c r="YM37" s="368"/>
      <c r="YN37" s="368"/>
      <c r="YO37" s="368"/>
      <c r="YP37" s="368"/>
      <c r="YQ37" s="368"/>
      <c r="YR37" s="368"/>
      <c r="YS37" s="368"/>
      <c r="YT37" s="368"/>
      <c r="YU37" s="368"/>
      <c r="YV37" s="368"/>
      <c r="YW37" s="368"/>
      <c r="YX37" s="368"/>
      <c r="YY37" s="368"/>
      <c r="YZ37" s="368"/>
      <c r="ZA37" s="368"/>
      <c r="ZB37" s="368"/>
      <c r="ZC37" s="368"/>
      <c r="ZD37" s="368"/>
      <c r="ZE37" s="368"/>
      <c r="ZF37" s="368"/>
      <c r="ZG37" s="368"/>
      <c r="ZH37" s="368"/>
      <c r="ZI37" s="368"/>
      <c r="ZJ37" s="368"/>
      <c r="ZK37" s="368"/>
      <c r="ZL37" s="368"/>
      <c r="ZM37" s="368"/>
      <c r="ZN37" s="368"/>
      <c r="ZO37" s="368"/>
      <c r="ZP37" s="368"/>
      <c r="ZQ37" s="368"/>
      <c r="ZR37" s="368"/>
      <c r="ZS37" s="368"/>
      <c r="ZT37" s="368"/>
      <c r="ZU37" s="368"/>
      <c r="ZV37" s="368"/>
      <c r="ZW37" s="368"/>
      <c r="ZX37" s="368"/>
      <c r="ZY37" s="368"/>
      <c r="ZZ37" s="368"/>
      <c r="AAA37" s="368"/>
      <c r="AAB37" s="368"/>
      <c r="AAC37" s="368"/>
      <c r="AAD37" s="368"/>
      <c r="AAE37" s="368"/>
      <c r="AAF37" s="368"/>
      <c r="AAG37" s="368"/>
      <c r="AAH37" s="368"/>
      <c r="AAI37" s="368"/>
      <c r="AAJ37" s="368"/>
      <c r="AAK37" s="368"/>
      <c r="AAL37" s="368"/>
      <c r="AAM37" s="368"/>
      <c r="AAN37" s="368"/>
      <c r="AAO37" s="368"/>
      <c r="AAP37" s="368"/>
      <c r="AAQ37" s="368"/>
      <c r="AAR37" s="368"/>
      <c r="AAS37" s="368"/>
      <c r="AAT37" s="368"/>
      <c r="AAU37" s="368"/>
      <c r="AAV37" s="368"/>
      <c r="AAW37" s="368"/>
      <c r="AAX37" s="368"/>
      <c r="AAY37" s="368"/>
      <c r="AAZ37" s="368"/>
      <c r="ABA37" s="368"/>
      <c r="ABB37" s="368"/>
      <c r="ABC37" s="368"/>
      <c r="ABD37" s="368"/>
      <c r="ABE37" s="368"/>
      <c r="ABF37" s="368"/>
      <c r="ABG37" s="368"/>
      <c r="ABH37" s="368"/>
      <c r="ABI37" s="368"/>
      <c r="ABJ37" s="368"/>
      <c r="ABK37" s="368"/>
      <c r="ABL37" s="368"/>
      <c r="ABM37" s="368"/>
      <c r="ABN37" s="368"/>
      <c r="ABO37" s="368"/>
      <c r="ABP37" s="368"/>
      <c r="ABQ37" s="368"/>
      <c r="ABR37" s="368"/>
      <c r="ABS37" s="368"/>
      <c r="ABT37" s="368"/>
      <c r="ABU37" s="368"/>
      <c r="ABV37" s="368"/>
      <c r="ABW37" s="368"/>
      <c r="ABX37" s="368"/>
      <c r="ABY37" s="368"/>
      <c r="ABZ37" s="368"/>
      <c r="ACA37" s="368"/>
      <c r="ACB37" s="368"/>
      <c r="ACC37" s="368"/>
      <c r="ACD37" s="368"/>
      <c r="ACE37" s="368"/>
      <c r="ACF37" s="368"/>
      <c r="ACG37" s="368"/>
      <c r="ACH37" s="368"/>
      <c r="ACI37" s="368"/>
      <c r="ACJ37" s="368"/>
      <c r="ACK37" s="368"/>
      <c r="ACL37" s="368"/>
      <c r="ACM37" s="368"/>
      <c r="ACN37" s="368"/>
      <c r="ACO37" s="368"/>
      <c r="ACP37" s="368"/>
      <c r="ACQ37" s="368"/>
      <c r="ACR37" s="368"/>
      <c r="ACS37" s="368"/>
      <c r="ACT37" s="368"/>
      <c r="ACU37" s="368"/>
      <c r="ACV37" s="368"/>
      <c r="ACW37" s="368"/>
      <c r="ACX37" s="368"/>
      <c r="ACY37" s="368"/>
      <c r="ACZ37" s="368"/>
      <c r="ADA37" s="368"/>
      <c r="ADB37" s="368"/>
      <c r="ADC37" s="368"/>
      <c r="ADD37" s="368"/>
      <c r="ADE37" s="368"/>
      <c r="ADF37" s="368"/>
      <c r="ADG37" s="368"/>
      <c r="ADH37" s="368"/>
      <c r="ADI37" s="368"/>
      <c r="ADJ37" s="368"/>
      <c r="ADK37" s="368"/>
      <c r="ADL37" s="368"/>
      <c r="ADM37" s="368"/>
      <c r="ADN37" s="368"/>
      <c r="ADO37" s="368"/>
      <c r="ADP37" s="368"/>
      <c r="ADQ37" s="368"/>
      <c r="ADR37" s="368"/>
      <c r="ADS37" s="368"/>
      <c r="ADT37" s="368"/>
      <c r="ADU37" s="368"/>
      <c r="ADV37" s="368"/>
      <c r="ADW37" s="368"/>
      <c r="ADX37" s="368"/>
      <c r="ADY37" s="368"/>
      <c r="ADZ37" s="368"/>
      <c r="AEA37" s="368"/>
      <c r="AEB37" s="368"/>
      <c r="AEC37" s="368"/>
      <c r="AED37" s="368"/>
      <c r="AEE37" s="368"/>
      <c r="AEF37" s="368"/>
      <c r="AEG37" s="368"/>
      <c r="AEH37" s="368"/>
      <c r="AEI37" s="368"/>
      <c r="AEJ37" s="368"/>
      <c r="AEK37" s="368"/>
      <c r="AEL37" s="368"/>
      <c r="AEM37" s="368"/>
      <c r="AEN37" s="368"/>
      <c r="AEO37" s="368"/>
      <c r="AEP37" s="368"/>
      <c r="AEQ37" s="368"/>
      <c r="AER37" s="368"/>
      <c r="AES37" s="368"/>
      <c r="AET37" s="368"/>
      <c r="AEU37" s="368"/>
      <c r="AEV37" s="368"/>
      <c r="AEW37" s="368"/>
      <c r="AEX37" s="368"/>
      <c r="AEY37" s="368"/>
      <c r="AEZ37" s="368"/>
      <c r="AFA37" s="368"/>
      <c r="AFB37" s="368"/>
      <c r="AFC37" s="368"/>
      <c r="AFD37" s="368"/>
      <c r="AFE37" s="368"/>
      <c r="AFF37" s="368"/>
      <c r="AFG37" s="368"/>
      <c r="AFH37" s="368"/>
      <c r="AFI37" s="368"/>
      <c r="AFJ37" s="368"/>
      <c r="AFK37" s="368"/>
      <c r="AFL37" s="368"/>
      <c r="AFM37" s="368"/>
      <c r="AFN37" s="368"/>
      <c r="AFO37" s="368"/>
      <c r="AFP37" s="368"/>
      <c r="AFQ37" s="368"/>
      <c r="AFR37" s="368"/>
      <c r="AFS37" s="368"/>
      <c r="AFT37" s="368"/>
      <c r="AFU37" s="368"/>
      <c r="AFV37" s="368"/>
      <c r="AFW37" s="368"/>
      <c r="AFX37" s="368"/>
      <c r="AFY37" s="368"/>
      <c r="AFZ37" s="368"/>
      <c r="AGA37" s="368"/>
      <c r="AGB37" s="368"/>
      <c r="AGC37" s="368"/>
      <c r="AGD37" s="368"/>
      <c r="AGE37" s="368"/>
      <c r="AGF37" s="368"/>
      <c r="AGG37" s="368"/>
      <c r="AGH37" s="368"/>
      <c r="AGI37" s="368"/>
      <c r="AGJ37" s="368"/>
      <c r="AGK37" s="368"/>
      <c r="AGL37" s="368"/>
      <c r="AGM37" s="368"/>
      <c r="AGN37" s="368"/>
      <c r="AGO37" s="368"/>
      <c r="AGP37" s="368"/>
      <c r="AGQ37" s="368"/>
      <c r="AGR37" s="368"/>
      <c r="AGS37" s="368"/>
      <c r="AGT37" s="368"/>
      <c r="AGU37" s="368"/>
      <c r="AGV37" s="368"/>
      <c r="AGW37" s="368"/>
      <c r="AGX37" s="368"/>
      <c r="AGY37" s="368"/>
      <c r="AGZ37" s="368"/>
      <c r="AHA37" s="368"/>
      <c r="AHB37" s="368"/>
      <c r="AHC37" s="368"/>
      <c r="AHD37" s="368"/>
      <c r="AHE37" s="368"/>
      <c r="AHF37" s="368"/>
      <c r="AHG37" s="368"/>
      <c r="AHH37" s="368"/>
      <c r="AHI37" s="368"/>
      <c r="AHJ37" s="368"/>
      <c r="AHK37" s="368"/>
      <c r="AHL37" s="368"/>
      <c r="AHM37" s="368"/>
      <c r="AHN37" s="368"/>
      <c r="AHO37" s="368"/>
      <c r="AHP37" s="368"/>
      <c r="AHQ37" s="368"/>
      <c r="AHR37" s="368"/>
      <c r="AHS37" s="368"/>
      <c r="AHT37" s="368"/>
      <c r="AHU37" s="368"/>
      <c r="AHV37" s="368"/>
      <c r="AHW37" s="368"/>
      <c r="AHX37" s="368"/>
      <c r="AHY37" s="368"/>
      <c r="AHZ37" s="368"/>
      <c r="AIA37" s="368"/>
      <c r="AIB37" s="368"/>
      <c r="AIC37" s="368"/>
      <c r="AID37" s="368"/>
      <c r="AIE37" s="368"/>
      <c r="AIF37" s="368"/>
      <c r="AIG37" s="368"/>
      <c r="AIH37" s="368"/>
      <c r="AII37" s="368"/>
      <c r="AIJ37" s="368"/>
      <c r="AIK37" s="368"/>
      <c r="AIL37" s="368"/>
      <c r="AIM37" s="368"/>
      <c r="AIN37" s="368"/>
      <c r="AIO37" s="368"/>
      <c r="AIP37" s="368"/>
      <c r="AIQ37" s="368"/>
      <c r="AIR37" s="368"/>
      <c r="AIS37" s="368"/>
      <c r="AIT37" s="368"/>
      <c r="AIU37" s="368"/>
      <c r="AIV37" s="368"/>
      <c r="AIW37" s="368"/>
      <c r="AIX37" s="368"/>
      <c r="AIY37" s="368"/>
      <c r="AIZ37" s="368"/>
      <c r="AJA37" s="368"/>
      <c r="AJB37" s="368"/>
      <c r="AJC37" s="368"/>
      <c r="AJD37" s="368"/>
      <c r="AJE37" s="368"/>
      <c r="AJF37" s="368"/>
      <c r="AJG37" s="368"/>
      <c r="AJH37" s="368"/>
      <c r="AJI37" s="368"/>
      <c r="AJJ37" s="368"/>
      <c r="AJK37" s="368"/>
      <c r="AJL37" s="368"/>
      <c r="AJM37" s="368"/>
      <c r="AJN37" s="368"/>
      <c r="AJO37" s="368"/>
      <c r="AJP37" s="368"/>
      <c r="AJQ37" s="368"/>
      <c r="AJR37" s="368"/>
      <c r="AJS37" s="368"/>
      <c r="AJT37" s="368"/>
      <c r="AJU37" s="368"/>
      <c r="AJV37" s="368"/>
      <c r="AJW37" s="368"/>
      <c r="AJX37" s="368"/>
      <c r="AJY37" s="368"/>
      <c r="AJZ37" s="368"/>
      <c r="AKA37" s="368"/>
      <c r="AKB37" s="368"/>
      <c r="AKC37" s="368"/>
      <c r="AKD37" s="368"/>
      <c r="AKE37" s="368"/>
      <c r="AKF37" s="368"/>
      <c r="AKG37" s="368"/>
      <c r="AKH37" s="368"/>
      <c r="AKI37" s="368"/>
      <c r="AKJ37" s="368"/>
      <c r="AKK37" s="368"/>
      <c r="AKL37" s="368"/>
      <c r="AKM37" s="368"/>
      <c r="AKN37" s="368"/>
    </row>
    <row r="38" spans="1:976" s="346" customFormat="1" ht="22.5" customHeight="1" x14ac:dyDescent="0.2">
      <c r="A38" s="370" t="s">
        <v>262</v>
      </c>
      <c r="B38" s="370"/>
      <c r="C38" s="370" t="s">
        <v>221</v>
      </c>
      <c r="D38" s="370" t="s">
        <v>222</v>
      </c>
      <c r="E38" s="371">
        <v>406085</v>
      </c>
      <c r="F38" s="371">
        <v>504</v>
      </c>
      <c r="G38" s="371">
        <v>65</v>
      </c>
      <c r="H38" s="371">
        <v>0</v>
      </c>
      <c r="I38" s="372">
        <v>45736</v>
      </c>
      <c r="J38" s="370" t="s">
        <v>290</v>
      </c>
      <c r="K38" s="370" t="s">
        <v>386</v>
      </c>
      <c r="L38" s="373">
        <v>28.19</v>
      </c>
      <c r="M38" s="373">
        <v>1.55</v>
      </c>
      <c r="N38" s="444">
        <v>29.74</v>
      </c>
      <c r="O38" s="370"/>
      <c r="P38" s="374">
        <v>45741</v>
      </c>
      <c r="Q38" s="373">
        <v>29.74</v>
      </c>
      <c r="R38" s="370" t="s">
        <v>387</v>
      </c>
      <c r="S38" s="373">
        <v>0</v>
      </c>
      <c r="T38" s="373">
        <v>0</v>
      </c>
      <c r="U38" s="373">
        <v>0</v>
      </c>
      <c r="V38" s="373">
        <v>0</v>
      </c>
      <c r="W38" s="370"/>
      <c r="X38" s="370" t="s">
        <v>293</v>
      </c>
      <c r="Y38" s="370" t="s">
        <v>294</v>
      </c>
      <c r="Z38" s="370" t="s">
        <v>42</v>
      </c>
      <c r="AA38" s="370" t="s">
        <v>228</v>
      </c>
      <c r="AB38" s="370" t="s">
        <v>235</v>
      </c>
      <c r="AC38" s="370" t="s">
        <v>331</v>
      </c>
      <c r="AD38" s="370" t="s">
        <v>231</v>
      </c>
      <c r="AE38" s="370" t="s">
        <v>232</v>
      </c>
      <c r="AF38" s="370" t="s">
        <v>231</v>
      </c>
      <c r="AG38" s="370" t="s">
        <v>232</v>
      </c>
      <c r="AH38" s="370"/>
      <c r="AI38" s="370"/>
      <c r="AJ38" s="370"/>
      <c r="AK38" s="370" t="s">
        <v>388</v>
      </c>
      <c r="AL38" s="371">
        <v>1</v>
      </c>
      <c r="AM38" s="371">
        <v>0</v>
      </c>
      <c r="AN38" s="372">
        <v>45740</v>
      </c>
      <c r="AO38" s="372">
        <v>45740</v>
      </c>
      <c r="AP38" s="373">
        <v>29.74</v>
      </c>
      <c r="AQ38" s="372">
        <v>45739</v>
      </c>
      <c r="AR38" s="368"/>
      <c r="AS38" s="368"/>
      <c r="AT38" s="368"/>
      <c r="AU38" s="368"/>
      <c r="AV38" s="368"/>
      <c r="AW38" s="368"/>
      <c r="AX38" s="368"/>
      <c r="AY38" s="368"/>
      <c r="AZ38" s="368"/>
      <c r="BA38" s="368"/>
      <c r="BB38" s="368"/>
      <c r="BC38" s="368"/>
      <c r="BD38" s="368"/>
      <c r="BE38" s="368"/>
      <c r="BF38" s="368"/>
      <c r="BG38" s="368"/>
      <c r="BH38" s="368"/>
      <c r="BI38" s="368"/>
      <c r="BJ38" s="368"/>
      <c r="BK38" s="368"/>
      <c r="BL38" s="368"/>
      <c r="BM38" s="368"/>
      <c r="BN38" s="368"/>
      <c r="BO38" s="368"/>
      <c r="BP38" s="368"/>
      <c r="BQ38" s="368"/>
      <c r="BR38" s="368"/>
      <c r="BS38" s="368"/>
      <c r="BT38" s="368"/>
      <c r="BU38" s="368"/>
      <c r="BV38" s="368"/>
      <c r="BW38" s="368"/>
      <c r="BX38" s="368"/>
      <c r="BY38" s="368"/>
      <c r="BZ38" s="368"/>
      <c r="CA38" s="368"/>
      <c r="CB38" s="368"/>
      <c r="CC38" s="368"/>
      <c r="CD38" s="368"/>
      <c r="CE38" s="368"/>
      <c r="CF38" s="368"/>
      <c r="CG38" s="368"/>
      <c r="CH38" s="368"/>
      <c r="CI38" s="368"/>
      <c r="CJ38" s="368"/>
      <c r="CK38" s="368"/>
      <c r="CL38" s="368"/>
      <c r="CM38" s="368"/>
      <c r="CN38" s="368"/>
      <c r="CO38" s="368"/>
      <c r="CP38" s="368"/>
      <c r="CQ38" s="368"/>
      <c r="CR38" s="368"/>
      <c r="CS38" s="368"/>
      <c r="CT38" s="368"/>
      <c r="CU38" s="368"/>
      <c r="CV38" s="368"/>
      <c r="CW38" s="368"/>
      <c r="CX38" s="368"/>
      <c r="CY38" s="368"/>
      <c r="CZ38" s="368"/>
      <c r="DA38" s="368"/>
      <c r="DB38" s="368"/>
      <c r="DC38" s="368"/>
      <c r="DD38" s="368"/>
      <c r="DE38" s="368"/>
      <c r="DF38" s="368"/>
      <c r="DG38" s="368"/>
      <c r="DH38" s="368"/>
      <c r="DI38" s="368"/>
      <c r="DJ38" s="368"/>
      <c r="DK38" s="368"/>
      <c r="DL38" s="368"/>
      <c r="DM38" s="368"/>
      <c r="DN38" s="368"/>
      <c r="DO38" s="368"/>
      <c r="DP38" s="368"/>
      <c r="DQ38" s="368"/>
      <c r="DR38" s="368"/>
      <c r="DS38" s="368"/>
      <c r="DT38" s="368"/>
      <c r="DU38" s="368"/>
      <c r="DV38" s="368"/>
      <c r="DW38" s="368"/>
      <c r="DX38" s="368"/>
      <c r="DY38" s="368"/>
      <c r="DZ38" s="368"/>
      <c r="EA38" s="368"/>
      <c r="EB38" s="368"/>
      <c r="EC38" s="368"/>
      <c r="ED38" s="368"/>
      <c r="EE38" s="368"/>
      <c r="EF38" s="368"/>
      <c r="EG38" s="368"/>
      <c r="EH38" s="368"/>
      <c r="EI38" s="368"/>
      <c r="EJ38" s="368"/>
      <c r="EK38" s="368"/>
      <c r="EL38" s="368"/>
      <c r="EM38" s="368"/>
      <c r="EN38" s="368"/>
      <c r="EO38" s="368"/>
      <c r="EP38" s="368"/>
      <c r="EQ38" s="368"/>
      <c r="ER38" s="368"/>
      <c r="ES38" s="368"/>
      <c r="ET38" s="368"/>
      <c r="EU38" s="368"/>
      <c r="EV38" s="368"/>
      <c r="EW38" s="368"/>
      <c r="EX38" s="368"/>
      <c r="EY38" s="368"/>
      <c r="EZ38" s="368"/>
      <c r="FA38" s="368"/>
      <c r="FB38" s="368"/>
      <c r="FC38" s="368"/>
      <c r="FD38" s="368"/>
      <c r="FE38" s="368"/>
      <c r="FF38" s="368"/>
      <c r="FG38" s="368"/>
      <c r="FH38" s="368"/>
      <c r="FI38" s="368"/>
      <c r="FJ38" s="368"/>
      <c r="FK38" s="368"/>
      <c r="FL38" s="368"/>
      <c r="FM38" s="368"/>
      <c r="FN38" s="368"/>
      <c r="FO38" s="368"/>
      <c r="FP38" s="368"/>
      <c r="FQ38" s="368"/>
      <c r="FR38" s="368"/>
      <c r="FS38" s="368"/>
      <c r="FT38" s="368"/>
      <c r="FU38" s="368"/>
      <c r="FV38" s="368"/>
      <c r="FW38" s="368"/>
      <c r="FX38" s="368"/>
      <c r="FY38" s="368"/>
      <c r="FZ38" s="368"/>
      <c r="GA38" s="368"/>
      <c r="GB38" s="368"/>
      <c r="GC38" s="368"/>
      <c r="GD38" s="368"/>
      <c r="GE38" s="368"/>
      <c r="GF38" s="368"/>
      <c r="GG38" s="368"/>
      <c r="GH38" s="368"/>
      <c r="GI38" s="368"/>
      <c r="GJ38" s="368"/>
      <c r="GK38" s="368"/>
      <c r="GL38" s="368"/>
      <c r="GM38" s="368"/>
      <c r="GN38" s="368"/>
      <c r="GO38" s="368"/>
      <c r="GP38" s="368"/>
      <c r="GQ38" s="368"/>
      <c r="GR38" s="368"/>
      <c r="GS38" s="368"/>
      <c r="GT38" s="368"/>
      <c r="GU38" s="368"/>
      <c r="GV38" s="368"/>
      <c r="GW38" s="368"/>
      <c r="GX38" s="368"/>
      <c r="GY38" s="368"/>
      <c r="GZ38" s="368"/>
      <c r="HA38" s="368"/>
      <c r="HB38" s="368"/>
      <c r="HC38" s="368"/>
      <c r="HD38" s="368"/>
      <c r="HE38" s="368"/>
      <c r="HF38" s="368"/>
      <c r="HG38" s="368"/>
      <c r="HH38" s="368"/>
      <c r="HI38" s="368"/>
      <c r="HJ38" s="368"/>
      <c r="HK38" s="368"/>
      <c r="HL38" s="368"/>
      <c r="HM38" s="368"/>
      <c r="HN38" s="368"/>
      <c r="HO38" s="368"/>
      <c r="HP38" s="368"/>
      <c r="HQ38" s="368"/>
      <c r="HR38" s="368"/>
      <c r="HS38" s="368"/>
      <c r="HT38" s="368"/>
      <c r="HU38" s="368"/>
      <c r="HV38" s="368"/>
      <c r="HW38" s="368"/>
      <c r="HX38" s="368"/>
      <c r="HY38" s="368"/>
      <c r="HZ38" s="368"/>
      <c r="IA38" s="368"/>
      <c r="IB38" s="368"/>
      <c r="IC38" s="368"/>
      <c r="ID38" s="368"/>
      <c r="IE38" s="368"/>
      <c r="IF38" s="368"/>
      <c r="IG38" s="368"/>
      <c r="IH38" s="368"/>
      <c r="II38" s="368"/>
      <c r="IJ38" s="368"/>
      <c r="IK38" s="368"/>
      <c r="IL38" s="368"/>
      <c r="IM38" s="368"/>
      <c r="IN38" s="368"/>
      <c r="IO38" s="368"/>
      <c r="IP38" s="368"/>
      <c r="IQ38" s="368"/>
      <c r="IR38" s="368"/>
      <c r="IS38" s="368"/>
      <c r="IT38" s="368"/>
      <c r="IU38" s="368"/>
      <c r="IV38" s="368"/>
      <c r="IW38" s="368"/>
      <c r="IX38" s="368"/>
      <c r="IY38" s="368"/>
      <c r="IZ38" s="368"/>
      <c r="JA38" s="368"/>
      <c r="JB38" s="368"/>
      <c r="JC38" s="368"/>
      <c r="JD38" s="368"/>
      <c r="JE38" s="368"/>
      <c r="JF38" s="368"/>
      <c r="JG38" s="368"/>
      <c r="JH38" s="368"/>
      <c r="JI38" s="368"/>
      <c r="JJ38" s="368"/>
      <c r="JK38" s="368"/>
      <c r="JL38" s="368"/>
      <c r="JM38" s="368"/>
      <c r="JN38" s="368"/>
      <c r="JO38" s="368"/>
      <c r="JP38" s="368"/>
      <c r="JQ38" s="368"/>
      <c r="JR38" s="368"/>
      <c r="JS38" s="368"/>
      <c r="JT38" s="368"/>
      <c r="JU38" s="368"/>
      <c r="JV38" s="368"/>
      <c r="JW38" s="368"/>
      <c r="JX38" s="368"/>
      <c r="JY38" s="368"/>
      <c r="JZ38" s="368"/>
      <c r="KA38" s="368"/>
      <c r="KB38" s="368"/>
      <c r="KC38" s="368"/>
      <c r="KD38" s="368"/>
      <c r="KE38" s="368"/>
      <c r="KF38" s="368"/>
      <c r="KG38" s="368"/>
      <c r="KH38" s="368"/>
      <c r="KI38" s="368"/>
      <c r="KJ38" s="368"/>
      <c r="KK38" s="368"/>
      <c r="KL38" s="368"/>
      <c r="KM38" s="368"/>
      <c r="KN38" s="368"/>
      <c r="KO38" s="368"/>
      <c r="KP38" s="368"/>
      <c r="KQ38" s="368"/>
      <c r="KR38" s="368"/>
      <c r="KS38" s="368"/>
      <c r="KT38" s="368"/>
      <c r="KU38" s="368"/>
      <c r="KV38" s="368"/>
      <c r="KW38" s="368"/>
      <c r="KX38" s="368"/>
      <c r="KY38" s="368"/>
      <c r="KZ38" s="368"/>
      <c r="LA38" s="368"/>
      <c r="LB38" s="368"/>
      <c r="LC38" s="368"/>
      <c r="LD38" s="368"/>
      <c r="LE38" s="368"/>
      <c r="LF38" s="368"/>
      <c r="LG38" s="368"/>
      <c r="LH38" s="368"/>
      <c r="LI38" s="368"/>
      <c r="LJ38" s="368"/>
      <c r="LK38" s="368"/>
      <c r="LL38" s="368"/>
      <c r="LM38" s="368"/>
      <c r="LN38" s="368"/>
      <c r="LO38" s="368"/>
      <c r="LP38" s="368"/>
      <c r="LQ38" s="368"/>
      <c r="LR38" s="368"/>
      <c r="LS38" s="368"/>
      <c r="LT38" s="368"/>
      <c r="LU38" s="368"/>
      <c r="LV38" s="368"/>
      <c r="LW38" s="368"/>
      <c r="LX38" s="368"/>
      <c r="LY38" s="368"/>
      <c r="LZ38" s="368"/>
      <c r="MA38" s="368"/>
      <c r="MB38" s="368"/>
      <c r="MC38" s="368"/>
      <c r="MD38" s="368"/>
      <c r="ME38" s="368"/>
      <c r="MF38" s="368"/>
      <c r="MG38" s="368"/>
      <c r="MH38" s="368"/>
      <c r="MI38" s="368"/>
      <c r="MJ38" s="368"/>
      <c r="MK38" s="368"/>
      <c r="ML38" s="368"/>
      <c r="MM38" s="368"/>
      <c r="MN38" s="368"/>
      <c r="MO38" s="368"/>
      <c r="MP38" s="368"/>
      <c r="MQ38" s="368"/>
      <c r="MR38" s="368"/>
      <c r="MS38" s="368"/>
      <c r="MT38" s="368"/>
      <c r="MU38" s="368"/>
      <c r="MV38" s="368"/>
      <c r="MW38" s="368"/>
      <c r="MX38" s="368"/>
      <c r="MY38" s="368"/>
      <c r="MZ38" s="368"/>
      <c r="NA38" s="368"/>
      <c r="NB38" s="368"/>
      <c r="NC38" s="368"/>
      <c r="ND38" s="368"/>
      <c r="NE38" s="368"/>
      <c r="NF38" s="368"/>
      <c r="NG38" s="368"/>
      <c r="NH38" s="368"/>
      <c r="NI38" s="368"/>
      <c r="NJ38" s="368"/>
      <c r="NK38" s="368"/>
      <c r="NL38" s="368"/>
      <c r="NM38" s="368"/>
      <c r="NN38" s="368"/>
      <c r="NO38" s="368"/>
      <c r="NP38" s="368"/>
      <c r="NQ38" s="368"/>
      <c r="NR38" s="368"/>
      <c r="NS38" s="368"/>
      <c r="NT38" s="368"/>
      <c r="NU38" s="368"/>
      <c r="NV38" s="368"/>
      <c r="NW38" s="368"/>
      <c r="NX38" s="368"/>
      <c r="NY38" s="368"/>
      <c r="NZ38" s="368"/>
      <c r="OA38" s="368"/>
      <c r="OB38" s="368"/>
      <c r="OC38" s="368"/>
      <c r="OD38" s="368"/>
      <c r="OE38" s="368"/>
      <c r="OF38" s="368"/>
      <c r="OG38" s="368"/>
      <c r="OH38" s="368"/>
      <c r="OI38" s="368"/>
      <c r="OJ38" s="368"/>
      <c r="OK38" s="368"/>
      <c r="OL38" s="368"/>
      <c r="OM38" s="368"/>
      <c r="ON38" s="368"/>
      <c r="OO38" s="368"/>
      <c r="OP38" s="368"/>
      <c r="OQ38" s="368"/>
      <c r="OR38" s="368"/>
      <c r="OS38" s="368"/>
      <c r="OT38" s="368"/>
      <c r="OU38" s="368"/>
      <c r="OV38" s="368"/>
      <c r="OW38" s="368"/>
      <c r="OX38" s="368"/>
      <c r="OY38" s="368"/>
      <c r="OZ38" s="368"/>
      <c r="PA38" s="368"/>
      <c r="PB38" s="368"/>
      <c r="PC38" s="368"/>
      <c r="PD38" s="368"/>
      <c r="PE38" s="368"/>
      <c r="PF38" s="368"/>
      <c r="PG38" s="368"/>
      <c r="PH38" s="368"/>
      <c r="PI38" s="368"/>
      <c r="PJ38" s="368"/>
      <c r="PK38" s="368"/>
      <c r="PL38" s="368"/>
      <c r="PM38" s="368"/>
      <c r="PN38" s="368"/>
      <c r="PO38" s="368"/>
      <c r="PP38" s="368"/>
      <c r="PQ38" s="368"/>
      <c r="PR38" s="368"/>
      <c r="PS38" s="368"/>
      <c r="PT38" s="368"/>
      <c r="PU38" s="368"/>
      <c r="PV38" s="368"/>
      <c r="PW38" s="368"/>
      <c r="PX38" s="368"/>
      <c r="PY38" s="368"/>
      <c r="PZ38" s="368"/>
      <c r="QA38" s="368"/>
      <c r="QB38" s="368"/>
      <c r="QC38" s="368"/>
      <c r="QD38" s="368"/>
      <c r="QE38" s="368"/>
      <c r="QF38" s="368"/>
      <c r="QG38" s="368"/>
      <c r="QH38" s="368"/>
      <c r="QI38" s="368"/>
      <c r="QJ38" s="368"/>
      <c r="QK38" s="368"/>
      <c r="QL38" s="368"/>
      <c r="QM38" s="368"/>
      <c r="QN38" s="368"/>
      <c r="QO38" s="368"/>
      <c r="QP38" s="368"/>
      <c r="QQ38" s="368"/>
      <c r="QR38" s="368"/>
      <c r="QS38" s="368"/>
      <c r="QT38" s="368"/>
      <c r="QU38" s="368"/>
      <c r="QV38" s="368"/>
      <c r="QW38" s="368"/>
      <c r="QX38" s="368"/>
      <c r="QY38" s="368"/>
      <c r="QZ38" s="368"/>
      <c r="RA38" s="368"/>
      <c r="RB38" s="368"/>
      <c r="RC38" s="368"/>
      <c r="RD38" s="368"/>
      <c r="RE38" s="368"/>
      <c r="RF38" s="368"/>
      <c r="RG38" s="368"/>
      <c r="RH38" s="368"/>
      <c r="RI38" s="368"/>
      <c r="RJ38" s="368"/>
      <c r="RK38" s="368"/>
      <c r="RL38" s="368"/>
      <c r="RM38" s="368"/>
      <c r="RN38" s="368"/>
      <c r="RO38" s="368"/>
      <c r="RP38" s="368"/>
      <c r="RQ38" s="368"/>
      <c r="RR38" s="368"/>
      <c r="RS38" s="368"/>
      <c r="RT38" s="368"/>
      <c r="RU38" s="368"/>
      <c r="RV38" s="368"/>
      <c r="RW38" s="368"/>
      <c r="RX38" s="368"/>
      <c r="RY38" s="368"/>
      <c r="RZ38" s="368"/>
      <c r="SA38" s="368"/>
      <c r="SB38" s="368"/>
      <c r="SC38" s="368"/>
      <c r="SD38" s="368"/>
      <c r="SE38" s="368"/>
      <c r="SF38" s="368"/>
      <c r="SG38" s="368"/>
      <c r="SH38" s="368"/>
      <c r="SI38" s="368"/>
      <c r="SJ38" s="368"/>
      <c r="SK38" s="368"/>
      <c r="SL38" s="368"/>
      <c r="SM38" s="368"/>
      <c r="SN38" s="368"/>
      <c r="SO38" s="368"/>
      <c r="SP38" s="368"/>
      <c r="SQ38" s="368"/>
      <c r="SR38" s="368"/>
      <c r="SS38" s="368"/>
      <c r="ST38" s="368"/>
      <c r="SU38" s="368"/>
      <c r="SV38" s="368"/>
      <c r="SW38" s="368"/>
      <c r="SX38" s="368"/>
      <c r="SY38" s="368"/>
      <c r="SZ38" s="368"/>
      <c r="TA38" s="368"/>
      <c r="TB38" s="368"/>
      <c r="TC38" s="368"/>
      <c r="TD38" s="368"/>
      <c r="TE38" s="368"/>
      <c r="TF38" s="368"/>
      <c r="TG38" s="368"/>
      <c r="TH38" s="368"/>
      <c r="TI38" s="368"/>
      <c r="TJ38" s="368"/>
      <c r="TK38" s="368"/>
      <c r="TL38" s="368"/>
      <c r="TM38" s="368"/>
      <c r="TN38" s="368"/>
      <c r="TO38" s="368"/>
      <c r="TP38" s="368"/>
      <c r="TQ38" s="368"/>
      <c r="TR38" s="368"/>
      <c r="TS38" s="368"/>
      <c r="TT38" s="368"/>
      <c r="TU38" s="368"/>
      <c r="TV38" s="368"/>
      <c r="TW38" s="368"/>
      <c r="TX38" s="368"/>
      <c r="TY38" s="368"/>
      <c r="TZ38" s="368"/>
      <c r="UA38" s="368"/>
      <c r="UB38" s="368"/>
      <c r="UC38" s="368"/>
      <c r="UD38" s="368"/>
      <c r="UE38" s="368"/>
      <c r="UF38" s="368"/>
      <c r="UG38" s="368"/>
      <c r="UH38" s="368"/>
      <c r="UI38" s="368"/>
      <c r="UJ38" s="368"/>
      <c r="UK38" s="368"/>
      <c r="UL38" s="368"/>
      <c r="UM38" s="368"/>
      <c r="UN38" s="368"/>
      <c r="UO38" s="368"/>
      <c r="UP38" s="368"/>
      <c r="UQ38" s="368"/>
      <c r="UR38" s="368"/>
      <c r="US38" s="368"/>
      <c r="UT38" s="368"/>
      <c r="UU38" s="368"/>
      <c r="UV38" s="368"/>
      <c r="UW38" s="368"/>
      <c r="UX38" s="368"/>
      <c r="UY38" s="368"/>
      <c r="UZ38" s="368"/>
      <c r="VA38" s="368"/>
      <c r="VB38" s="368"/>
      <c r="VC38" s="368"/>
      <c r="VD38" s="368"/>
      <c r="VE38" s="368"/>
      <c r="VF38" s="368"/>
      <c r="VG38" s="368"/>
      <c r="VH38" s="368"/>
      <c r="VI38" s="368"/>
      <c r="VJ38" s="368"/>
      <c r="VK38" s="368"/>
      <c r="VL38" s="368"/>
      <c r="VM38" s="368"/>
      <c r="VN38" s="368"/>
      <c r="VO38" s="368"/>
      <c r="VP38" s="368"/>
      <c r="VQ38" s="368"/>
      <c r="VR38" s="368"/>
      <c r="VS38" s="368"/>
      <c r="VT38" s="368"/>
      <c r="VU38" s="368"/>
      <c r="VV38" s="368"/>
      <c r="VW38" s="368"/>
      <c r="VX38" s="368"/>
      <c r="VY38" s="368"/>
      <c r="VZ38" s="368"/>
      <c r="WA38" s="368"/>
      <c r="WB38" s="368"/>
      <c r="WC38" s="368"/>
      <c r="WD38" s="368"/>
      <c r="WE38" s="368"/>
      <c r="WF38" s="368"/>
      <c r="WG38" s="368"/>
      <c r="WH38" s="368"/>
      <c r="WI38" s="368"/>
      <c r="WJ38" s="368"/>
      <c r="WK38" s="368"/>
      <c r="WL38" s="368"/>
      <c r="WM38" s="368"/>
      <c r="WN38" s="368"/>
      <c r="WO38" s="368"/>
      <c r="WP38" s="368"/>
      <c r="WQ38" s="368"/>
      <c r="WR38" s="368"/>
      <c r="WS38" s="368"/>
      <c r="WT38" s="368"/>
      <c r="WU38" s="368"/>
      <c r="WV38" s="368"/>
      <c r="WW38" s="368"/>
      <c r="WX38" s="368"/>
      <c r="WY38" s="368"/>
      <c r="WZ38" s="368"/>
      <c r="XA38" s="368"/>
      <c r="XB38" s="368"/>
      <c r="XC38" s="368"/>
      <c r="XD38" s="368"/>
      <c r="XE38" s="368"/>
      <c r="XF38" s="368"/>
      <c r="XG38" s="368"/>
      <c r="XH38" s="368"/>
      <c r="XI38" s="368"/>
      <c r="XJ38" s="368"/>
      <c r="XK38" s="368"/>
      <c r="XL38" s="368"/>
      <c r="XM38" s="368"/>
      <c r="XN38" s="368"/>
      <c r="XO38" s="368"/>
      <c r="XP38" s="368"/>
      <c r="XQ38" s="368"/>
      <c r="XR38" s="368"/>
      <c r="XS38" s="368"/>
      <c r="XT38" s="368"/>
      <c r="XU38" s="368"/>
      <c r="XV38" s="368"/>
      <c r="XW38" s="368"/>
      <c r="XX38" s="368"/>
      <c r="XY38" s="368"/>
      <c r="XZ38" s="368"/>
      <c r="YA38" s="368"/>
      <c r="YB38" s="368"/>
      <c r="YC38" s="368"/>
      <c r="YD38" s="368"/>
      <c r="YE38" s="368"/>
      <c r="YF38" s="368"/>
      <c r="YG38" s="368"/>
      <c r="YH38" s="368"/>
      <c r="YI38" s="368"/>
      <c r="YJ38" s="368"/>
      <c r="YK38" s="368"/>
      <c r="YL38" s="368"/>
      <c r="YM38" s="368"/>
      <c r="YN38" s="368"/>
      <c r="YO38" s="368"/>
      <c r="YP38" s="368"/>
      <c r="YQ38" s="368"/>
      <c r="YR38" s="368"/>
      <c r="YS38" s="368"/>
      <c r="YT38" s="368"/>
      <c r="YU38" s="368"/>
      <c r="YV38" s="368"/>
      <c r="YW38" s="368"/>
      <c r="YX38" s="368"/>
      <c r="YY38" s="368"/>
      <c r="YZ38" s="368"/>
      <c r="ZA38" s="368"/>
      <c r="ZB38" s="368"/>
      <c r="ZC38" s="368"/>
      <c r="ZD38" s="368"/>
      <c r="ZE38" s="368"/>
      <c r="ZF38" s="368"/>
      <c r="ZG38" s="368"/>
      <c r="ZH38" s="368"/>
      <c r="ZI38" s="368"/>
      <c r="ZJ38" s="368"/>
      <c r="ZK38" s="368"/>
      <c r="ZL38" s="368"/>
      <c r="ZM38" s="368"/>
      <c r="ZN38" s="368"/>
      <c r="ZO38" s="368"/>
      <c r="ZP38" s="368"/>
      <c r="ZQ38" s="368"/>
      <c r="ZR38" s="368"/>
      <c r="ZS38" s="368"/>
      <c r="ZT38" s="368"/>
      <c r="ZU38" s="368"/>
      <c r="ZV38" s="368"/>
      <c r="ZW38" s="368"/>
      <c r="ZX38" s="368"/>
      <c r="ZY38" s="368"/>
      <c r="ZZ38" s="368"/>
      <c r="AAA38" s="368"/>
      <c r="AAB38" s="368"/>
      <c r="AAC38" s="368"/>
      <c r="AAD38" s="368"/>
      <c r="AAE38" s="368"/>
      <c r="AAF38" s="368"/>
      <c r="AAG38" s="368"/>
      <c r="AAH38" s="368"/>
      <c r="AAI38" s="368"/>
      <c r="AAJ38" s="368"/>
      <c r="AAK38" s="368"/>
      <c r="AAL38" s="368"/>
      <c r="AAM38" s="368"/>
      <c r="AAN38" s="368"/>
      <c r="AAO38" s="368"/>
      <c r="AAP38" s="368"/>
      <c r="AAQ38" s="368"/>
      <c r="AAR38" s="368"/>
      <c r="AAS38" s="368"/>
      <c r="AAT38" s="368"/>
      <c r="AAU38" s="368"/>
      <c r="AAV38" s="368"/>
      <c r="AAW38" s="368"/>
      <c r="AAX38" s="368"/>
      <c r="AAY38" s="368"/>
      <c r="AAZ38" s="368"/>
      <c r="ABA38" s="368"/>
      <c r="ABB38" s="368"/>
      <c r="ABC38" s="368"/>
      <c r="ABD38" s="368"/>
      <c r="ABE38" s="368"/>
      <c r="ABF38" s="368"/>
      <c r="ABG38" s="368"/>
      <c r="ABH38" s="368"/>
      <c r="ABI38" s="368"/>
      <c r="ABJ38" s="368"/>
      <c r="ABK38" s="368"/>
      <c r="ABL38" s="368"/>
      <c r="ABM38" s="368"/>
      <c r="ABN38" s="368"/>
      <c r="ABO38" s="368"/>
      <c r="ABP38" s="368"/>
      <c r="ABQ38" s="368"/>
      <c r="ABR38" s="368"/>
      <c r="ABS38" s="368"/>
      <c r="ABT38" s="368"/>
      <c r="ABU38" s="368"/>
      <c r="ABV38" s="368"/>
      <c r="ABW38" s="368"/>
      <c r="ABX38" s="368"/>
      <c r="ABY38" s="368"/>
      <c r="ABZ38" s="368"/>
      <c r="ACA38" s="368"/>
      <c r="ACB38" s="368"/>
      <c r="ACC38" s="368"/>
      <c r="ACD38" s="368"/>
      <c r="ACE38" s="368"/>
      <c r="ACF38" s="368"/>
      <c r="ACG38" s="368"/>
      <c r="ACH38" s="368"/>
      <c r="ACI38" s="368"/>
      <c r="ACJ38" s="368"/>
      <c r="ACK38" s="368"/>
      <c r="ACL38" s="368"/>
      <c r="ACM38" s="368"/>
      <c r="ACN38" s="368"/>
      <c r="ACO38" s="368"/>
      <c r="ACP38" s="368"/>
      <c r="ACQ38" s="368"/>
      <c r="ACR38" s="368"/>
      <c r="ACS38" s="368"/>
      <c r="ACT38" s="368"/>
      <c r="ACU38" s="368"/>
      <c r="ACV38" s="368"/>
      <c r="ACW38" s="368"/>
      <c r="ACX38" s="368"/>
      <c r="ACY38" s="368"/>
      <c r="ACZ38" s="368"/>
      <c r="ADA38" s="368"/>
      <c r="ADB38" s="368"/>
      <c r="ADC38" s="368"/>
      <c r="ADD38" s="368"/>
      <c r="ADE38" s="368"/>
      <c r="ADF38" s="368"/>
      <c r="ADG38" s="368"/>
      <c r="ADH38" s="368"/>
      <c r="ADI38" s="368"/>
      <c r="ADJ38" s="368"/>
      <c r="ADK38" s="368"/>
      <c r="ADL38" s="368"/>
      <c r="ADM38" s="368"/>
      <c r="ADN38" s="368"/>
      <c r="ADO38" s="368"/>
      <c r="ADP38" s="368"/>
      <c r="ADQ38" s="368"/>
      <c r="ADR38" s="368"/>
      <c r="ADS38" s="368"/>
      <c r="ADT38" s="368"/>
      <c r="ADU38" s="368"/>
      <c r="ADV38" s="368"/>
      <c r="ADW38" s="368"/>
      <c r="ADX38" s="368"/>
      <c r="ADY38" s="368"/>
      <c r="ADZ38" s="368"/>
      <c r="AEA38" s="368"/>
      <c r="AEB38" s="368"/>
      <c r="AEC38" s="368"/>
      <c r="AED38" s="368"/>
      <c r="AEE38" s="368"/>
      <c r="AEF38" s="368"/>
      <c r="AEG38" s="368"/>
      <c r="AEH38" s="368"/>
      <c r="AEI38" s="368"/>
      <c r="AEJ38" s="368"/>
      <c r="AEK38" s="368"/>
      <c r="AEL38" s="368"/>
      <c r="AEM38" s="368"/>
      <c r="AEN38" s="368"/>
      <c r="AEO38" s="368"/>
      <c r="AEP38" s="368"/>
      <c r="AEQ38" s="368"/>
      <c r="AER38" s="368"/>
      <c r="AES38" s="368"/>
      <c r="AET38" s="368"/>
      <c r="AEU38" s="368"/>
      <c r="AEV38" s="368"/>
      <c r="AEW38" s="368"/>
      <c r="AEX38" s="368"/>
      <c r="AEY38" s="368"/>
      <c r="AEZ38" s="368"/>
      <c r="AFA38" s="368"/>
      <c r="AFB38" s="368"/>
      <c r="AFC38" s="368"/>
      <c r="AFD38" s="368"/>
      <c r="AFE38" s="368"/>
      <c r="AFF38" s="368"/>
      <c r="AFG38" s="368"/>
      <c r="AFH38" s="368"/>
      <c r="AFI38" s="368"/>
      <c r="AFJ38" s="368"/>
      <c r="AFK38" s="368"/>
      <c r="AFL38" s="368"/>
      <c r="AFM38" s="368"/>
      <c r="AFN38" s="368"/>
      <c r="AFO38" s="368"/>
      <c r="AFP38" s="368"/>
      <c r="AFQ38" s="368"/>
      <c r="AFR38" s="368"/>
      <c r="AFS38" s="368"/>
      <c r="AFT38" s="368"/>
      <c r="AFU38" s="368"/>
      <c r="AFV38" s="368"/>
      <c r="AFW38" s="368"/>
      <c r="AFX38" s="368"/>
      <c r="AFY38" s="368"/>
      <c r="AFZ38" s="368"/>
      <c r="AGA38" s="368"/>
      <c r="AGB38" s="368"/>
      <c r="AGC38" s="368"/>
      <c r="AGD38" s="368"/>
      <c r="AGE38" s="368"/>
      <c r="AGF38" s="368"/>
      <c r="AGG38" s="368"/>
      <c r="AGH38" s="368"/>
      <c r="AGI38" s="368"/>
      <c r="AGJ38" s="368"/>
      <c r="AGK38" s="368"/>
      <c r="AGL38" s="368"/>
      <c r="AGM38" s="368"/>
      <c r="AGN38" s="368"/>
      <c r="AGO38" s="368"/>
      <c r="AGP38" s="368"/>
      <c r="AGQ38" s="368"/>
      <c r="AGR38" s="368"/>
      <c r="AGS38" s="368"/>
      <c r="AGT38" s="368"/>
      <c r="AGU38" s="368"/>
      <c r="AGV38" s="368"/>
      <c r="AGW38" s="368"/>
      <c r="AGX38" s="368"/>
      <c r="AGY38" s="368"/>
      <c r="AGZ38" s="368"/>
      <c r="AHA38" s="368"/>
      <c r="AHB38" s="368"/>
      <c r="AHC38" s="368"/>
      <c r="AHD38" s="368"/>
      <c r="AHE38" s="368"/>
      <c r="AHF38" s="368"/>
      <c r="AHG38" s="368"/>
      <c r="AHH38" s="368"/>
      <c r="AHI38" s="368"/>
      <c r="AHJ38" s="368"/>
      <c r="AHK38" s="368"/>
      <c r="AHL38" s="368"/>
      <c r="AHM38" s="368"/>
      <c r="AHN38" s="368"/>
      <c r="AHO38" s="368"/>
      <c r="AHP38" s="368"/>
      <c r="AHQ38" s="368"/>
      <c r="AHR38" s="368"/>
      <c r="AHS38" s="368"/>
      <c r="AHT38" s="368"/>
      <c r="AHU38" s="368"/>
      <c r="AHV38" s="368"/>
      <c r="AHW38" s="368"/>
      <c r="AHX38" s="368"/>
      <c r="AHY38" s="368"/>
      <c r="AHZ38" s="368"/>
      <c r="AIA38" s="368"/>
      <c r="AIB38" s="368"/>
      <c r="AIC38" s="368"/>
      <c r="AID38" s="368"/>
      <c r="AIE38" s="368"/>
      <c r="AIF38" s="368"/>
      <c r="AIG38" s="368"/>
      <c r="AIH38" s="368"/>
      <c r="AII38" s="368"/>
      <c r="AIJ38" s="368"/>
      <c r="AIK38" s="368"/>
      <c r="AIL38" s="368"/>
      <c r="AIM38" s="368"/>
      <c r="AIN38" s="368"/>
      <c r="AIO38" s="368"/>
      <c r="AIP38" s="368"/>
      <c r="AIQ38" s="368"/>
      <c r="AIR38" s="368"/>
      <c r="AIS38" s="368"/>
      <c r="AIT38" s="368"/>
      <c r="AIU38" s="368"/>
      <c r="AIV38" s="368"/>
      <c r="AIW38" s="368"/>
      <c r="AIX38" s="368"/>
      <c r="AIY38" s="368"/>
      <c r="AIZ38" s="368"/>
      <c r="AJA38" s="368"/>
      <c r="AJB38" s="368"/>
      <c r="AJC38" s="368"/>
      <c r="AJD38" s="368"/>
      <c r="AJE38" s="368"/>
      <c r="AJF38" s="368"/>
      <c r="AJG38" s="368"/>
      <c r="AJH38" s="368"/>
      <c r="AJI38" s="368"/>
      <c r="AJJ38" s="368"/>
      <c r="AJK38" s="368"/>
      <c r="AJL38" s="368"/>
      <c r="AJM38" s="368"/>
      <c r="AJN38" s="368"/>
      <c r="AJO38" s="368"/>
      <c r="AJP38" s="368"/>
      <c r="AJQ38" s="368"/>
      <c r="AJR38" s="368"/>
      <c r="AJS38" s="368"/>
      <c r="AJT38" s="368"/>
      <c r="AJU38" s="368"/>
      <c r="AJV38" s="368"/>
      <c r="AJW38" s="368"/>
      <c r="AJX38" s="368"/>
      <c r="AJY38" s="368"/>
      <c r="AJZ38" s="368"/>
      <c r="AKA38" s="368"/>
      <c r="AKB38" s="368"/>
      <c r="AKC38" s="368"/>
      <c r="AKD38" s="368"/>
      <c r="AKE38" s="368"/>
      <c r="AKF38" s="368"/>
      <c r="AKG38" s="368"/>
      <c r="AKH38" s="368"/>
      <c r="AKI38" s="368"/>
      <c r="AKJ38" s="368"/>
      <c r="AKK38" s="368"/>
      <c r="AKL38" s="368"/>
      <c r="AKM38" s="368"/>
      <c r="AKN38" s="368"/>
    </row>
    <row r="39" spans="1:976" s="346" customFormat="1" ht="22.5" customHeight="1" x14ac:dyDescent="0.2">
      <c r="A39" s="370" t="s">
        <v>262</v>
      </c>
      <c r="B39" s="370"/>
      <c r="C39" s="370" t="s">
        <v>221</v>
      </c>
      <c r="D39" s="370" t="s">
        <v>222</v>
      </c>
      <c r="E39" s="371">
        <v>406086</v>
      </c>
      <c r="F39" s="371">
        <v>505</v>
      </c>
      <c r="G39" s="371">
        <v>65</v>
      </c>
      <c r="H39" s="371">
        <v>0</v>
      </c>
      <c r="I39" s="372">
        <v>45736</v>
      </c>
      <c r="J39" s="370" t="s">
        <v>290</v>
      </c>
      <c r="K39" s="370" t="s">
        <v>389</v>
      </c>
      <c r="L39" s="373">
        <v>27.88</v>
      </c>
      <c r="M39" s="373">
        <v>1.53</v>
      </c>
      <c r="N39" s="444">
        <v>29.41</v>
      </c>
      <c r="O39" s="370"/>
      <c r="P39" s="374">
        <v>45741</v>
      </c>
      <c r="Q39" s="373">
        <v>29.41</v>
      </c>
      <c r="R39" s="370" t="s">
        <v>390</v>
      </c>
      <c r="S39" s="373">
        <v>0</v>
      </c>
      <c r="T39" s="373">
        <v>0</v>
      </c>
      <c r="U39" s="373">
        <v>0</v>
      </c>
      <c r="V39" s="373">
        <v>0</v>
      </c>
      <c r="W39" s="370"/>
      <c r="X39" s="370" t="s">
        <v>293</v>
      </c>
      <c r="Y39" s="370" t="s">
        <v>294</v>
      </c>
      <c r="Z39" s="370" t="s">
        <v>42</v>
      </c>
      <c r="AA39" s="370" t="s">
        <v>228</v>
      </c>
      <c r="AB39" s="370" t="s">
        <v>235</v>
      </c>
      <c r="AC39" s="370" t="s">
        <v>331</v>
      </c>
      <c r="AD39" s="370" t="s">
        <v>231</v>
      </c>
      <c r="AE39" s="370" t="s">
        <v>232</v>
      </c>
      <c r="AF39" s="370" t="s">
        <v>231</v>
      </c>
      <c r="AG39" s="370" t="s">
        <v>232</v>
      </c>
      <c r="AH39" s="370"/>
      <c r="AI39" s="370"/>
      <c r="AJ39" s="370"/>
      <c r="AK39" s="370" t="s">
        <v>391</v>
      </c>
      <c r="AL39" s="371">
        <v>1</v>
      </c>
      <c r="AM39" s="371">
        <v>0</v>
      </c>
      <c r="AN39" s="372">
        <v>45740</v>
      </c>
      <c r="AO39" s="372">
        <v>45740</v>
      </c>
      <c r="AP39" s="373">
        <v>29.41</v>
      </c>
      <c r="AQ39" s="372">
        <v>45739</v>
      </c>
      <c r="AR39" s="368"/>
      <c r="AS39" s="368"/>
      <c r="AT39" s="368"/>
      <c r="AU39" s="368"/>
      <c r="AV39" s="368"/>
      <c r="AW39" s="368"/>
      <c r="AX39" s="368"/>
      <c r="AY39" s="368"/>
      <c r="AZ39" s="368"/>
      <c r="BA39" s="368"/>
      <c r="BB39" s="368"/>
      <c r="BC39" s="368"/>
      <c r="BD39" s="368"/>
      <c r="BE39" s="368"/>
      <c r="BF39" s="368"/>
      <c r="BG39" s="368"/>
      <c r="BH39" s="368"/>
      <c r="BI39" s="368"/>
      <c r="BJ39" s="368"/>
      <c r="BK39" s="368"/>
      <c r="BL39" s="368"/>
      <c r="BM39" s="368"/>
      <c r="BN39" s="368"/>
      <c r="BO39" s="368"/>
      <c r="BP39" s="368"/>
      <c r="BQ39" s="368"/>
      <c r="BR39" s="368"/>
      <c r="BS39" s="368"/>
      <c r="BT39" s="368"/>
      <c r="BU39" s="368"/>
      <c r="BV39" s="368"/>
      <c r="BW39" s="368"/>
      <c r="BX39" s="368"/>
      <c r="BY39" s="368"/>
      <c r="BZ39" s="368"/>
      <c r="CA39" s="368"/>
      <c r="CB39" s="368"/>
      <c r="CC39" s="368"/>
      <c r="CD39" s="368"/>
      <c r="CE39" s="368"/>
      <c r="CF39" s="368"/>
      <c r="CG39" s="368"/>
      <c r="CH39" s="368"/>
      <c r="CI39" s="368"/>
      <c r="CJ39" s="368"/>
      <c r="CK39" s="368"/>
      <c r="CL39" s="368"/>
      <c r="CM39" s="368"/>
      <c r="CN39" s="368"/>
      <c r="CO39" s="368"/>
      <c r="CP39" s="368"/>
      <c r="CQ39" s="368"/>
      <c r="CR39" s="368"/>
      <c r="CS39" s="368"/>
      <c r="CT39" s="368"/>
      <c r="CU39" s="368"/>
      <c r="CV39" s="368"/>
      <c r="CW39" s="368"/>
      <c r="CX39" s="368"/>
      <c r="CY39" s="368"/>
      <c r="CZ39" s="368"/>
      <c r="DA39" s="368"/>
      <c r="DB39" s="368"/>
      <c r="DC39" s="368"/>
      <c r="DD39" s="368"/>
      <c r="DE39" s="368"/>
      <c r="DF39" s="368"/>
      <c r="DG39" s="368"/>
      <c r="DH39" s="368"/>
      <c r="DI39" s="368"/>
      <c r="DJ39" s="368"/>
      <c r="DK39" s="368"/>
      <c r="DL39" s="368"/>
      <c r="DM39" s="368"/>
      <c r="DN39" s="368"/>
      <c r="DO39" s="368"/>
      <c r="DP39" s="368"/>
      <c r="DQ39" s="368"/>
      <c r="DR39" s="368"/>
      <c r="DS39" s="368"/>
      <c r="DT39" s="368"/>
      <c r="DU39" s="368"/>
      <c r="DV39" s="368"/>
      <c r="DW39" s="368"/>
      <c r="DX39" s="368"/>
      <c r="DY39" s="368"/>
      <c r="DZ39" s="368"/>
      <c r="EA39" s="368"/>
      <c r="EB39" s="368"/>
      <c r="EC39" s="368"/>
      <c r="ED39" s="368"/>
      <c r="EE39" s="368"/>
      <c r="EF39" s="368"/>
      <c r="EG39" s="368"/>
      <c r="EH39" s="368"/>
      <c r="EI39" s="368"/>
      <c r="EJ39" s="368"/>
      <c r="EK39" s="368"/>
      <c r="EL39" s="368"/>
      <c r="EM39" s="368"/>
      <c r="EN39" s="368"/>
      <c r="EO39" s="368"/>
      <c r="EP39" s="368"/>
      <c r="EQ39" s="368"/>
      <c r="ER39" s="368"/>
      <c r="ES39" s="368"/>
      <c r="ET39" s="368"/>
      <c r="EU39" s="368"/>
      <c r="EV39" s="368"/>
      <c r="EW39" s="368"/>
      <c r="EX39" s="368"/>
      <c r="EY39" s="368"/>
      <c r="EZ39" s="368"/>
      <c r="FA39" s="368"/>
      <c r="FB39" s="368"/>
      <c r="FC39" s="368"/>
      <c r="FD39" s="368"/>
      <c r="FE39" s="368"/>
      <c r="FF39" s="368"/>
      <c r="FG39" s="368"/>
      <c r="FH39" s="368"/>
      <c r="FI39" s="368"/>
      <c r="FJ39" s="368"/>
      <c r="FK39" s="368"/>
      <c r="FL39" s="368"/>
      <c r="FM39" s="368"/>
      <c r="FN39" s="368"/>
      <c r="FO39" s="368"/>
      <c r="FP39" s="368"/>
      <c r="FQ39" s="368"/>
      <c r="FR39" s="368"/>
      <c r="FS39" s="368"/>
      <c r="FT39" s="368"/>
      <c r="FU39" s="368"/>
      <c r="FV39" s="368"/>
      <c r="FW39" s="368"/>
      <c r="FX39" s="368"/>
      <c r="FY39" s="368"/>
      <c r="FZ39" s="368"/>
      <c r="GA39" s="368"/>
      <c r="GB39" s="368"/>
      <c r="GC39" s="368"/>
      <c r="GD39" s="368"/>
      <c r="GE39" s="368"/>
      <c r="GF39" s="368"/>
      <c r="GG39" s="368"/>
      <c r="GH39" s="368"/>
      <c r="GI39" s="368"/>
      <c r="GJ39" s="368"/>
      <c r="GK39" s="368"/>
      <c r="GL39" s="368"/>
      <c r="GM39" s="368"/>
      <c r="GN39" s="368"/>
      <c r="GO39" s="368"/>
      <c r="GP39" s="368"/>
      <c r="GQ39" s="368"/>
      <c r="GR39" s="368"/>
      <c r="GS39" s="368"/>
      <c r="GT39" s="368"/>
      <c r="GU39" s="368"/>
      <c r="GV39" s="368"/>
      <c r="GW39" s="368"/>
      <c r="GX39" s="368"/>
      <c r="GY39" s="368"/>
      <c r="GZ39" s="368"/>
      <c r="HA39" s="368"/>
      <c r="HB39" s="368"/>
      <c r="HC39" s="368"/>
      <c r="HD39" s="368"/>
      <c r="HE39" s="368"/>
      <c r="HF39" s="368"/>
      <c r="HG39" s="368"/>
      <c r="HH39" s="368"/>
      <c r="HI39" s="368"/>
      <c r="HJ39" s="368"/>
      <c r="HK39" s="368"/>
      <c r="HL39" s="368"/>
      <c r="HM39" s="368"/>
      <c r="HN39" s="368"/>
      <c r="HO39" s="368"/>
      <c r="HP39" s="368"/>
      <c r="HQ39" s="368"/>
      <c r="HR39" s="368"/>
      <c r="HS39" s="368"/>
      <c r="HT39" s="368"/>
      <c r="HU39" s="368"/>
      <c r="HV39" s="368"/>
      <c r="HW39" s="368"/>
      <c r="HX39" s="368"/>
      <c r="HY39" s="368"/>
      <c r="HZ39" s="368"/>
      <c r="IA39" s="368"/>
      <c r="IB39" s="368"/>
      <c r="IC39" s="368"/>
      <c r="ID39" s="368"/>
      <c r="IE39" s="368"/>
      <c r="IF39" s="368"/>
      <c r="IG39" s="368"/>
      <c r="IH39" s="368"/>
      <c r="II39" s="368"/>
      <c r="IJ39" s="368"/>
      <c r="IK39" s="368"/>
      <c r="IL39" s="368"/>
      <c r="IM39" s="368"/>
      <c r="IN39" s="368"/>
      <c r="IO39" s="368"/>
      <c r="IP39" s="368"/>
      <c r="IQ39" s="368"/>
      <c r="IR39" s="368"/>
      <c r="IS39" s="368"/>
      <c r="IT39" s="368"/>
      <c r="IU39" s="368"/>
      <c r="IV39" s="368"/>
      <c r="IW39" s="368"/>
      <c r="IX39" s="368"/>
      <c r="IY39" s="368"/>
      <c r="IZ39" s="368"/>
      <c r="JA39" s="368"/>
      <c r="JB39" s="368"/>
      <c r="JC39" s="368"/>
      <c r="JD39" s="368"/>
      <c r="JE39" s="368"/>
      <c r="JF39" s="368"/>
      <c r="JG39" s="368"/>
      <c r="JH39" s="368"/>
      <c r="JI39" s="368"/>
      <c r="JJ39" s="368"/>
      <c r="JK39" s="368"/>
      <c r="JL39" s="368"/>
      <c r="JM39" s="368"/>
      <c r="JN39" s="368"/>
      <c r="JO39" s="368"/>
      <c r="JP39" s="368"/>
      <c r="JQ39" s="368"/>
      <c r="JR39" s="368"/>
      <c r="JS39" s="368"/>
      <c r="JT39" s="368"/>
      <c r="JU39" s="368"/>
      <c r="JV39" s="368"/>
      <c r="JW39" s="368"/>
      <c r="JX39" s="368"/>
      <c r="JY39" s="368"/>
      <c r="JZ39" s="368"/>
      <c r="KA39" s="368"/>
      <c r="KB39" s="368"/>
      <c r="KC39" s="368"/>
      <c r="KD39" s="368"/>
      <c r="KE39" s="368"/>
      <c r="KF39" s="368"/>
      <c r="KG39" s="368"/>
      <c r="KH39" s="368"/>
      <c r="KI39" s="368"/>
      <c r="KJ39" s="368"/>
      <c r="KK39" s="368"/>
      <c r="KL39" s="368"/>
      <c r="KM39" s="368"/>
      <c r="KN39" s="368"/>
      <c r="KO39" s="368"/>
      <c r="KP39" s="368"/>
      <c r="KQ39" s="368"/>
      <c r="KR39" s="368"/>
      <c r="KS39" s="368"/>
      <c r="KT39" s="368"/>
      <c r="KU39" s="368"/>
      <c r="KV39" s="368"/>
      <c r="KW39" s="368"/>
      <c r="KX39" s="368"/>
      <c r="KY39" s="368"/>
      <c r="KZ39" s="368"/>
      <c r="LA39" s="368"/>
      <c r="LB39" s="368"/>
      <c r="LC39" s="368"/>
      <c r="LD39" s="368"/>
      <c r="LE39" s="368"/>
      <c r="LF39" s="368"/>
      <c r="LG39" s="368"/>
      <c r="LH39" s="368"/>
      <c r="LI39" s="368"/>
      <c r="LJ39" s="368"/>
      <c r="LK39" s="368"/>
      <c r="LL39" s="368"/>
      <c r="LM39" s="368"/>
      <c r="LN39" s="368"/>
      <c r="LO39" s="368"/>
      <c r="LP39" s="368"/>
      <c r="LQ39" s="368"/>
      <c r="LR39" s="368"/>
      <c r="LS39" s="368"/>
      <c r="LT39" s="368"/>
      <c r="LU39" s="368"/>
      <c r="LV39" s="368"/>
      <c r="LW39" s="368"/>
      <c r="LX39" s="368"/>
      <c r="LY39" s="368"/>
      <c r="LZ39" s="368"/>
      <c r="MA39" s="368"/>
      <c r="MB39" s="368"/>
      <c r="MC39" s="368"/>
      <c r="MD39" s="368"/>
      <c r="ME39" s="368"/>
      <c r="MF39" s="368"/>
      <c r="MG39" s="368"/>
      <c r="MH39" s="368"/>
      <c r="MI39" s="368"/>
      <c r="MJ39" s="368"/>
      <c r="MK39" s="368"/>
      <c r="ML39" s="368"/>
      <c r="MM39" s="368"/>
      <c r="MN39" s="368"/>
      <c r="MO39" s="368"/>
      <c r="MP39" s="368"/>
      <c r="MQ39" s="368"/>
      <c r="MR39" s="368"/>
      <c r="MS39" s="368"/>
      <c r="MT39" s="368"/>
      <c r="MU39" s="368"/>
      <c r="MV39" s="368"/>
      <c r="MW39" s="368"/>
      <c r="MX39" s="368"/>
      <c r="MY39" s="368"/>
      <c r="MZ39" s="368"/>
      <c r="NA39" s="368"/>
      <c r="NB39" s="368"/>
      <c r="NC39" s="368"/>
      <c r="ND39" s="368"/>
      <c r="NE39" s="368"/>
      <c r="NF39" s="368"/>
      <c r="NG39" s="368"/>
      <c r="NH39" s="368"/>
      <c r="NI39" s="368"/>
      <c r="NJ39" s="368"/>
      <c r="NK39" s="368"/>
      <c r="NL39" s="368"/>
      <c r="NM39" s="368"/>
      <c r="NN39" s="368"/>
      <c r="NO39" s="368"/>
      <c r="NP39" s="368"/>
      <c r="NQ39" s="368"/>
      <c r="NR39" s="368"/>
      <c r="NS39" s="368"/>
      <c r="NT39" s="368"/>
      <c r="NU39" s="368"/>
      <c r="NV39" s="368"/>
      <c r="NW39" s="368"/>
      <c r="NX39" s="368"/>
      <c r="NY39" s="368"/>
      <c r="NZ39" s="368"/>
      <c r="OA39" s="368"/>
      <c r="OB39" s="368"/>
      <c r="OC39" s="368"/>
      <c r="OD39" s="368"/>
      <c r="OE39" s="368"/>
      <c r="OF39" s="368"/>
      <c r="OG39" s="368"/>
      <c r="OH39" s="368"/>
      <c r="OI39" s="368"/>
      <c r="OJ39" s="368"/>
      <c r="OK39" s="368"/>
      <c r="OL39" s="368"/>
      <c r="OM39" s="368"/>
      <c r="ON39" s="368"/>
      <c r="OO39" s="368"/>
      <c r="OP39" s="368"/>
      <c r="OQ39" s="368"/>
      <c r="OR39" s="368"/>
      <c r="OS39" s="368"/>
      <c r="OT39" s="368"/>
      <c r="OU39" s="368"/>
      <c r="OV39" s="368"/>
      <c r="OW39" s="368"/>
      <c r="OX39" s="368"/>
      <c r="OY39" s="368"/>
      <c r="OZ39" s="368"/>
      <c r="PA39" s="368"/>
      <c r="PB39" s="368"/>
      <c r="PC39" s="368"/>
      <c r="PD39" s="368"/>
      <c r="PE39" s="368"/>
      <c r="PF39" s="368"/>
      <c r="PG39" s="368"/>
      <c r="PH39" s="368"/>
      <c r="PI39" s="368"/>
      <c r="PJ39" s="368"/>
      <c r="PK39" s="368"/>
      <c r="PL39" s="368"/>
      <c r="PM39" s="368"/>
      <c r="PN39" s="368"/>
      <c r="PO39" s="368"/>
      <c r="PP39" s="368"/>
      <c r="PQ39" s="368"/>
      <c r="PR39" s="368"/>
      <c r="PS39" s="368"/>
      <c r="PT39" s="368"/>
      <c r="PU39" s="368"/>
      <c r="PV39" s="368"/>
      <c r="PW39" s="368"/>
      <c r="PX39" s="368"/>
      <c r="PY39" s="368"/>
      <c r="PZ39" s="368"/>
      <c r="QA39" s="368"/>
      <c r="QB39" s="368"/>
      <c r="QC39" s="368"/>
      <c r="QD39" s="368"/>
      <c r="QE39" s="368"/>
      <c r="QF39" s="368"/>
      <c r="QG39" s="368"/>
      <c r="QH39" s="368"/>
      <c r="QI39" s="368"/>
      <c r="QJ39" s="368"/>
      <c r="QK39" s="368"/>
      <c r="QL39" s="368"/>
      <c r="QM39" s="368"/>
      <c r="QN39" s="368"/>
      <c r="QO39" s="368"/>
      <c r="QP39" s="368"/>
      <c r="QQ39" s="368"/>
      <c r="QR39" s="368"/>
      <c r="QS39" s="368"/>
      <c r="QT39" s="368"/>
      <c r="QU39" s="368"/>
      <c r="QV39" s="368"/>
      <c r="QW39" s="368"/>
      <c r="QX39" s="368"/>
      <c r="QY39" s="368"/>
      <c r="QZ39" s="368"/>
      <c r="RA39" s="368"/>
      <c r="RB39" s="368"/>
      <c r="RC39" s="368"/>
      <c r="RD39" s="368"/>
      <c r="RE39" s="368"/>
      <c r="RF39" s="368"/>
      <c r="RG39" s="368"/>
      <c r="RH39" s="368"/>
      <c r="RI39" s="368"/>
      <c r="RJ39" s="368"/>
      <c r="RK39" s="368"/>
      <c r="RL39" s="368"/>
      <c r="RM39" s="368"/>
      <c r="RN39" s="368"/>
      <c r="RO39" s="368"/>
      <c r="RP39" s="368"/>
      <c r="RQ39" s="368"/>
      <c r="RR39" s="368"/>
      <c r="RS39" s="368"/>
      <c r="RT39" s="368"/>
      <c r="RU39" s="368"/>
      <c r="RV39" s="368"/>
      <c r="RW39" s="368"/>
      <c r="RX39" s="368"/>
      <c r="RY39" s="368"/>
      <c r="RZ39" s="368"/>
      <c r="SA39" s="368"/>
      <c r="SB39" s="368"/>
      <c r="SC39" s="368"/>
      <c r="SD39" s="368"/>
      <c r="SE39" s="368"/>
      <c r="SF39" s="368"/>
      <c r="SG39" s="368"/>
      <c r="SH39" s="368"/>
      <c r="SI39" s="368"/>
      <c r="SJ39" s="368"/>
      <c r="SK39" s="368"/>
      <c r="SL39" s="368"/>
      <c r="SM39" s="368"/>
      <c r="SN39" s="368"/>
      <c r="SO39" s="368"/>
      <c r="SP39" s="368"/>
      <c r="SQ39" s="368"/>
      <c r="SR39" s="368"/>
      <c r="SS39" s="368"/>
      <c r="ST39" s="368"/>
      <c r="SU39" s="368"/>
      <c r="SV39" s="368"/>
      <c r="SW39" s="368"/>
      <c r="SX39" s="368"/>
      <c r="SY39" s="368"/>
      <c r="SZ39" s="368"/>
      <c r="TA39" s="368"/>
      <c r="TB39" s="368"/>
      <c r="TC39" s="368"/>
      <c r="TD39" s="368"/>
      <c r="TE39" s="368"/>
      <c r="TF39" s="368"/>
      <c r="TG39" s="368"/>
      <c r="TH39" s="368"/>
      <c r="TI39" s="368"/>
      <c r="TJ39" s="368"/>
      <c r="TK39" s="368"/>
      <c r="TL39" s="368"/>
      <c r="TM39" s="368"/>
      <c r="TN39" s="368"/>
      <c r="TO39" s="368"/>
      <c r="TP39" s="368"/>
      <c r="TQ39" s="368"/>
      <c r="TR39" s="368"/>
      <c r="TS39" s="368"/>
      <c r="TT39" s="368"/>
      <c r="TU39" s="368"/>
      <c r="TV39" s="368"/>
      <c r="TW39" s="368"/>
      <c r="TX39" s="368"/>
      <c r="TY39" s="368"/>
      <c r="TZ39" s="368"/>
      <c r="UA39" s="368"/>
      <c r="UB39" s="368"/>
      <c r="UC39" s="368"/>
      <c r="UD39" s="368"/>
      <c r="UE39" s="368"/>
      <c r="UF39" s="368"/>
      <c r="UG39" s="368"/>
      <c r="UH39" s="368"/>
      <c r="UI39" s="368"/>
      <c r="UJ39" s="368"/>
      <c r="UK39" s="368"/>
      <c r="UL39" s="368"/>
      <c r="UM39" s="368"/>
      <c r="UN39" s="368"/>
      <c r="UO39" s="368"/>
      <c r="UP39" s="368"/>
      <c r="UQ39" s="368"/>
      <c r="UR39" s="368"/>
      <c r="US39" s="368"/>
      <c r="UT39" s="368"/>
      <c r="UU39" s="368"/>
      <c r="UV39" s="368"/>
      <c r="UW39" s="368"/>
      <c r="UX39" s="368"/>
      <c r="UY39" s="368"/>
      <c r="UZ39" s="368"/>
      <c r="VA39" s="368"/>
      <c r="VB39" s="368"/>
      <c r="VC39" s="368"/>
      <c r="VD39" s="368"/>
      <c r="VE39" s="368"/>
      <c r="VF39" s="368"/>
      <c r="VG39" s="368"/>
      <c r="VH39" s="368"/>
      <c r="VI39" s="368"/>
      <c r="VJ39" s="368"/>
      <c r="VK39" s="368"/>
      <c r="VL39" s="368"/>
      <c r="VM39" s="368"/>
      <c r="VN39" s="368"/>
      <c r="VO39" s="368"/>
      <c r="VP39" s="368"/>
      <c r="VQ39" s="368"/>
      <c r="VR39" s="368"/>
      <c r="VS39" s="368"/>
      <c r="VT39" s="368"/>
      <c r="VU39" s="368"/>
      <c r="VV39" s="368"/>
      <c r="VW39" s="368"/>
      <c r="VX39" s="368"/>
      <c r="VY39" s="368"/>
      <c r="VZ39" s="368"/>
      <c r="WA39" s="368"/>
      <c r="WB39" s="368"/>
      <c r="WC39" s="368"/>
      <c r="WD39" s="368"/>
      <c r="WE39" s="368"/>
      <c r="WF39" s="368"/>
      <c r="WG39" s="368"/>
      <c r="WH39" s="368"/>
      <c r="WI39" s="368"/>
      <c r="WJ39" s="368"/>
      <c r="WK39" s="368"/>
      <c r="WL39" s="368"/>
      <c r="WM39" s="368"/>
      <c r="WN39" s="368"/>
      <c r="WO39" s="368"/>
      <c r="WP39" s="368"/>
      <c r="WQ39" s="368"/>
      <c r="WR39" s="368"/>
      <c r="WS39" s="368"/>
      <c r="WT39" s="368"/>
      <c r="WU39" s="368"/>
      <c r="WV39" s="368"/>
      <c r="WW39" s="368"/>
      <c r="WX39" s="368"/>
      <c r="WY39" s="368"/>
      <c r="WZ39" s="368"/>
      <c r="XA39" s="368"/>
      <c r="XB39" s="368"/>
      <c r="XC39" s="368"/>
      <c r="XD39" s="368"/>
      <c r="XE39" s="368"/>
      <c r="XF39" s="368"/>
      <c r="XG39" s="368"/>
      <c r="XH39" s="368"/>
      <c r="XI39" s="368"/>
      <c r="XJ39" s="368"/>
      <c r="XK39" s="368"/>
      <c r="XL39" s="368"/>
      <c r="XM39" s="368"/>
      <c r="XN39" s="368"/>
      <c r="XO39" s="368"/>
      <c r="XP39" s="368"/>
      <c r="XQ39" s="368"/>
      <c r="XR39" s="368"/>
      <c r="XS39" s="368"/>
      <c r="XT39" s="368"/>
      <c r="XU39" s="368"/>
      <c r="XV39" s="368"/>
      <c r="XW39" s="368"/>
      <c r="XX39" s="368"/>
      <c r="XY39" s="368"/>
      <c r="XZ39" s="368"/>
      <c r="YA39" s="368"/>
      <c r="YB39" s="368"/>
      <c r="YC39" s="368"/>
      <c r="YD39" s="368"/>
      <c r="YE39" s="368"/>
      <c r="YF39" s="368"/>
      <c r="YG39" s="368"/>
      <c r="YH39" s="368"/>
      <c r="YI39" s="368"/>
      <c r="YJ39" s="368"/>
      <c r="YK39" s="368"/>
      <c r="YL39" s="368"/>
      <c r="YM39" s="368"/>
      <c r="YN39" s="368"/>
      <c r="YO39" s="368"/>
      <c r="YP39" s="368"/>
      <c r="YQ39" s="368"/>
      <c r="YR39" s="368"/>
      <c r="YS39" s="368"/>
      <c r="YT39" s="368"/>
      <c r="YU39" s="368"/>
      <c r="YV39" s="368"/>
      <c r="YW39" s="368"/>
      <c r="YX39" s="368"/>
      <c r="YY39" s="368"/>
      <c r="YZ39" s="368"/>
      <c r="ZA39" s="368"/>
      <c r="ZB39" s="368"/>
      <c r="ZC39" s="368"/>
      <c r="ZD39" s="368"/>
      <c r="ZE39" s="368"/>
      <c r="ZF39" s="368"/>
      <c r="ZG39" s="368"/>
      <c r="ZH39" s="368"/>
      <c r="ZI39" s="368"/>
      <c r="ZJ39" s="368"/>
      <c r="ZK39" s="368"/>
      <c r="ZL39" s="368"/>
      <c r="ZM39" s="368"/>
      <c r="ZN39" s="368"/>
      <c r="ZO39" s="368"/>
      <c r="ZP39" s="368"/>
      <c r="ZQ39" s="368"/>
      <c r="ZR39" s="368"/>
      <c r="ZS39" s="368"/>
      <c r="ZT39" s="368"/>
      <c r="ZU39" s="368"/>
      <c r="ZV39" s="368"/>
      <c r="ZW39" s="368"/>
      <c r="ZX39" s="368"/>
      <c r="ZY39" s="368"/>
      <c r="ZZ39" s="368"/>
      <c r="AAA39" s="368"/>
      <c r="AAB39" s="368"/>
      <c r="AAC39" s="368"/>
      <c r="AAD39" s="368"/>
      <c r="AAE39" s="368"/>
      <c r="AAF39" s="368"/>
      <c r="AAG39" s="368"/>
      <c r="AAH39" s="368"/>
      <c r="AAI39" s="368"/>
      <c r="AAJ39" s="368"/>
      <c r="AAK39" s="368"/>
      <c r="AAL39" s="368"/>
      <c r="AAM39" s="368"/>
      <c r="AAN39" s="368"/>
      <c r="AAO39" s="368"/>
      <c r="AAP39" s="368"/>
      <c r="AAQ39" s="368"/>
      <c r="AAR39" s="368"/>
      <c r="AAS39" s="368"/>
      <c r="AAT39" s="368"/>
      <c r="AAU39" s="368"/>
      <c r="AAV39" s="368"/>
      <c r="AAW39" s="368"/>
      <c r="AAX39" s="368"/>
      <c r="AAY39" s="368"/>
      <c r="AAZ39" s="368"/>
      <c r="ABA39" s="368"/>
      <c r="ABB39" s="368"/>
      <c r="ABC39" s="368"/>
      <c r="ABD39" s="368"/>
      <c r="ABE39" s="368"/>
      <c r="ABF39" s="368"/>
      <c r="ABG39" s="368"/>
      <c r="ABH39" s="368"/>
      <c r="ABI39" s="368"/>
      <c r="ABJ39" s="368"/>
      <c r="ABK39" s="368"/>
      <c r="ABL39" s="368"/>
      <c r="ABM39" s="368"/>
      <c r="ABN39" s="368"/>
      <c r="ABO39" s="368"/>
      <c r="ABP39" s="368"/>
      <c r="ABQ39" s="368"/>
      <c r="ABR39" s="368"/>
      <c r="ABS39" s="368"/>
      <c r="ABT39" s="368"/>
      <c r="ABU39" s="368"/>
      <c r="ABV39" s="368"/>
      <c r="ABW39" s="368"/>
      <c r="ABX39" s="368"/>
      <c r="ABY39" s="368"/>
      <c r="ABZ39" s="368"/>
      <c r="ACA39" s="368"/>
      <c r="ACB39" s="368"/>
      <c r="ACC39" s="368"/>
      <c r="ACD39" s="368"/>
      <c r="ACE39" s="368"/>
      <c r="ACF39" s="368"/>
      <c r="ACG39" s="368"/>
      <c r="ACH39" s="368"/>
      <c r="ACI39" s="368"/>
      <c r="ACJ39" s="368"/>
      <c r="ACK39" s="368"/>
      <c r="ACL39" s="368"/>
      <c r="ACM39" s="368"/>
      <c r="ACN39" s="368"/>
      <c r="ACO39" s="368"/>
      <c r="ACP39" s="368"/>
      <c r="ACQ39" s="368"/>
      <c r="ACR39" s="368"/>
      <c r="ACS39" s="368"/>
      <c r="ACT39" s="368"/>
      <c r="ACU39" s="368"/>
      <c r="ACV39" s="368"/>
      <c r="ACW39" s="368"/>
      <c r="ACX39" s="368"/>
      <c r="ACY39" s="368"/>
      <c r="ACZ39" s="368"/>
      <c r="ADA39" s="368"/>
      <c r="ADB39" s="368"/>
      <c r="ADC39" s="368"/>
      <c r="ADD39" s="368"/>
      <c r="ADE39" s="368"/>
      <c r="ADF39" s="368"/>
      <c r="ADG39" s="368"/>
      <c r="ADH39" s="368"/>
      <c r="ADI39" s="368"/>
      <c r="ADJ39" s="368"/>
      <c r="ADK39" s="368"/>
      <c r="ADL39" s="368"/>
      <c r="ADM39" s="368"/>
      <c r="ADN39" s="368"/>
      <c r="ADO39" s="368"/>
      <c r="ADP39" s="368"/>
      <c r="ADQ39" s="368"/>
      <c r="ADR39" s="368"/>
      <c r="ADS39" s="368"/>
      <c r="ADT39" s="368"/>
      <c r="ADU39" s="368"/>
      <c r="ADV39" s="368"/>
      <c r="ADW39" s="368"/>
      <c r="ADX39" s="368"/>
      <c r="ADY39" s="368"/>
      <c r="ADZ39" s="368"/>
      <c r="AEA39" s="368"/>
      <c r="AEB39" s="368"/>
      <c r="AEC39" s="368"/>
      <c r="AED39" s="368"/>
      <c r="AEE39" s="368"/>
      <c r="AEF39" s="368"/>
      <c r="AEG39" s="368"/>
      <c r="AEH39" s="368"/>
      <c r="AEI39" s="368"/>
      <c r="AEJ39" s="368"/>
      <c r="AEK39" s="368"/>
      <c r="AEL39" s="368"/>
      <c r="AEM39" s="368"/>
      <c r="AEN39" s="368"/>
      <c r="AEO39" s="368"/>
      <c r="AEP39" s="368"/>
      <c r="AEQ39" s="368"/>
      <c r="AER39" s="368"/>
      <c r="AES39" s="368"/>
      <c r="AET39" s="368"/>
      <c r="AEU39" s="368"/>
      <c r="AEV39" s="368"/>
      <c r="AEW39" s="368"/>
      <c r="AEX39" s="368"/>
      <c r="AEY39" s="368"/>
      <c r="AEZ39" s="368"/>
      <c r="AFA39" s="368"/>
      <c r="AFB39" s="368"/>
      <c r="AFC39" s="368"/>
      <c r="AFD39" s="368"/>
      <c r="AFE39" s="368"/>
      <c r="AFF39" s="368"/>
      <c r="AFG39" s="368"/>
      <c r="AFH39" s="368"/>
      <c r="AFI39" s="368"/>
      <c r="AFJ39" s="368"/>
      <c r="AFK39" s="368"/>
      <c r="AFL39" s="368"/>
      <c r="AFM39" s="368"/>
      <c r="AFN39" s="368"/>
      <c r="AFO39" s="368"/>
      <c r="AFP39" s="368"/>
      <c r="AFQ39" s="368"/>
      <c r="AFR39" s="368"/>
      <c r="AFS39" s="368"/>
      <c r="AFT39" s="368"/>
      <c r="AFU39" s="368"/>
      <c r="AFV39" s="368"/>
      <c r="AFW39" s="368"/>
      <c r="AFX39" s="368"/>
      <c r="AFY39" s="368"/>
      <c r="AFZ39" s="368"/>
      <c r="AGA39" s="368"/>
      <c r="AGB39" s="368"/>
      <c r="AGC39" s="368"/>
      <c r="AGD39" s="368"/>
      <c r="AGE39" s="368"/>
      <c r="AGF39" s="368"/>
      <c r="AGG39" s="368"/>
      <c r="AGH39" s="368"/>
      <c r="AGI39" s="368"/>
      <c r="AGJ39" s="368"/>
      <c r="AGK39" s="368"/>
      <c r="AGL39" s="368"/>
      <c r="AGM39" s="368"/>
      <c r="AGN39" s="368"/>
      <c r="AGO39" s="368"/>
      <c r="AGP39" s="368"/>
      <c r="AGQ39" s="368"/>
      <c r="AGR39" s="368"/>
      <c r="AGS39" s="368"/>
      <c r="AGT39" s="368"/>
      <c r="AGU39" s="368"/>
      <c r="AGV39" s="368"/>
      <c r="AGW39" s="368"/>
      <c r="AGX39" s="368"/>
      <c r="AGY39" s="368"/>
      <c r="AGZ39" s="368"/>
      <c r="AHA39" s="368"/>
      <c r="AHB39" s="368"/>
      <c r="AHC39" s="368"/>
      <c r="AHD39" s="368"/>
      <c r="AHE39" s="368"/>
      <c r="AHF39" s="368"/>
      <c r="AHG39" s="368"/>
      <c r="AHH39" s="368"/>
      <c r="AHI39" s="368"/>
      <c r="AHJ39" s="368"/>
      <c r="AHK39" s="368"/>
      <c r="AHL39" s="368"/>
      <c r="AHM39" s="368"/>
      <c r="AHN39" s="368"/>
      <c r="AHO39" s="368"/>
      <c r="AHP39" s="368"/>
      <c r="AHQ39" s="368"/>
      <c r="AHR39" s="368"/>
      <c r="AHS39" s="368"/>
      <c r="AHT39" s="368"/>
      <c r="AHU39" s="368"/>
      <c r="AHV39" s="368"/>
      <c r="AHW39" s="368"/>
      <c r="AHX39" s="368"/>
      <c r="AHY39" s="368"/>
      <c r="AHZ39" s="368"/>
      <c r="AIA39" s="368"/>
      <c r="AIB39" s="368"/>
      <c r="AIC39" s="368"/>
      <c r="AID39" s="368"/>
      <c r="AIE39" s="368"/>
      <c r="AIF39" s="368"/>
      <c r="AIG39" s="368"/>
      <c r="AIH39" s="368"/>
      <c r="AII39" s="368"/>
      <c r="AIJ39" s="368"/>
      <c r="AIK39" s="368"/>
      <c r="AIL39" s="368"/>
      <c r="AIM39" s="368"/>
      <c r="AIN39" s="368"/>
      <c r="AIO39" s="368"/>
      <c r="AIP39" s="368"/>
      <c r="AIQ39" s="368"/>
      <c r="AIR39" s="368"/>
      <c r="AIS39" s="368"/>
      <c r="AIT39" s="368"/>
      <c r="AIU39" s="368"/>
      <c r="AIV39" s="368"/>
      <c r="AIW39" s="368"/>
      <c r="AIX39" s="368"/>
      <c r="AIY39" s="368"/>
      <c r="AIZ39" s="368"/>
      <c r="AJA39" s="368"/>
      <c r="AJB39" s="368"/>
      <c r="AJC39" s="368"/>
      <c r="AJD39" s="368"/>
      <c r="AJE39" s="368"/>
      <c r="AJF39" s="368"/>
      <c r="AJG39" s="368"/>
      <c r="AJH39" s="368"/>
      <c r="AJI39" s="368"/>
      <c r="AJJ39" s="368"/>
      <c r="AJK39" s="368"/>
      <c r="AJL39" s="368"/>
      <c r="AJM39" s="368"/>
      <c r="AJN39" s="368"/>
      <c r="AJO39" s="368"/>
      <c r="AJP39" s="368"/>
      <c r="AJQ39" s="368"/>
      <c r="AJR39" s="368"/>
      <c r="AJS39" s="368"/>
      <c r="AJT39" s="368"/>
      <c r="AJU39" s="368"/>
      <c r="AJV39" s="368"/>
      <c r="AJW39" s="368"/>
      <c r="AJX39" s="368"/>
      <c r="AJY39" s="368"/>
      <c r="AJZ39" s="368"/>
      <c r="AKA39" s="368"/>
      <c r="AKB39" s="368"/>
      <c r="AKC39" s="368"/>
      <c r="AKD39" s="368"/>
      <c r="AKE39" s="368"/>
      <c r="AKF39" s="368"/>
      <c r="AKG39" s="368"/>
      <c r="AKH39" s="368"/>
      <c r="AKI39" s="368"/>
      <c r="AKJ39" s="368"/>
      <c r="AKK39" s="368"/>
      <c r="AKL39" s="368"/>
      <c r="AKM39" s="368"/>
      <c r="AKN39" s="368"/>
    </row>
    <row r="40" spans="1:976" s="346" customFormat="1" ht="22.5" customHeight="1" x14ac:dyDescent="0.2">
      <c r="A40" s="370" t="s">
        <v>262</v>
      </c>
      <c r="B40" s="370"/>
      <c r="C40" s="370" t="s">
        <v>221</v>
      </c>
      <c r="D40" s="370" t="s">
        <v>222</v>
      </c>
      <c r="E40" s="371">
        <v>406087</v>
      </c>
      <c r="F40" s="371">
        <v>506</v>
      </c>
      <c r="G40" s="371">
        <v>65</v>
      </c>
      <c r="H40" s="371">
        <v>0</v>
      </c>
      <c r="I40" s="372">
        <v>45736</v>
      </c>
      <c r="J40" s="370" t="s">
        <v>290</v>
      </c>
      <c r="K40" s="370" t="s">
        <v>392</v>
      </c>
      <c r="L40" s="373">
        <v>126.83</v>
      </c>
      <c r="M40" s="373">
        <v>8.32</v>
      </c>
      <c r="N40" s="444">
        <v>135.15</v>
      </c>
      <c r="O40" s="370"/>
      <c r="P40" s="374">
        <v>45741</v>
      </c>
      <c r="Q40" s="373">
        <v>135.15</v>
      </c>
      <c r="R40" s="370" t="s">
        <v>393</v>
      </c>
      <c r="S40" s="373">
        <v>0</v>
      </c>
      <c r="T40" s="373">
        <v>0</v>
      </c>
      <c r="U40" s="373">
        <v>0</v>
      </c>
      <c r="V40" s="373">
        <v>0</v>
      </c>
      <c r="W40" s="370"/>
      <c r="X40" s="370" t="s">
        <v>293</v>
      </c>
      <c r="Y40" s="370" t="s">
        <v>294</v>
      </c>
      <c r="Z40" s="370" t="s">
        <v>42</v>
      </c>
      <c r="AA40" s="370" t="s">
        <v>228</v>
      </c>
      <c r="AB40" s="370" t="s">
        <v>235</v>
      </c>
      <c r="AC40" s="370" t="s">
        <v>331</v>
      </c>
      <c r="AD40" s="370" t="s">
        <v>231</v>
      </c>
      <c r="AE40" s="370" t="s">
        <v>232</v>
      </c>
      <c r="AF40" s="370" t="s">
        <v>231</v>
      </c>
      <c r="AG40" s="370" t="s">
        <v>232</v>
      </c>
      <c r="AH40" s="370"/>
      <c r="AI40" s="370"/>
      <c r="AJ40" s="370"/>
      <c r="AK40" s="370" t="s">
        <v>394</v>
      </c>
      <c r="AL40" s="371">
        <v>1</v>
      </c>
      <c r="AM40" s="371">
        <v>0</v>
      </c>
      <c r="AN40" s="372">
        <v>45740</v>
      </c>
      <c r="AO40" s="372">
        <v>45740</v>
      </c>
      <c r="AP40" s="373">
        <v>135.15</v>
      </c>
      <c r="AQ40" s="372">
        <v>45739</v>
      </c>
      <c r="AR40" s="368"/>
      <c r="AS40" s="368"/>
      <c r="AT40" s="368"/>
      <c r="AU40" s="368"/>
      <c r="AV40" s="368"/>
      <c r="AW40" s="368"/>
      <c r="AX40" s="368"/>
      <c r="AY40" s="368"/>
      <c r="AZ40" s="368"/>
      <c r="BA40" s="368"/>
      <c r="BB40" s="368"/>
      <c r="BC40" s="368"/>
      <c r="BD40" s="368"/>
      <c r="BE40" s="368"/>
      <c r="BF40" s="368"/>
      <c r="BG40" s="368"/>
      <c r="BH40" s="368"/>
      <c r="BI40" s="368"/>
      <c r="BJ40" s="368"/>
      <c r="BK40" s="368"/>
      <c r="BL40" s="368"/>
      <c r="BM40" s="368"/>
      <c r="BN40" s="368"/>
      <c r="BO40" s="368"/>
      <c r="BP40" s="368"/>
      <c r="BQ40" s="368"/>
      <c r="BR40" s="368"/>
      <c r="BS40" s="368"/>
      <c r="BT40" s="368"/>
      <c r="BU40" s="368"/>
      <c r="BV40" s="368"/>
      <c r="BW40" s="368"/>
      <c r="BX40" s="368"/>
      <c r="BY40" s="368"/>
      <c r="BZ40" s="368"/>
      <c r="CA40" s="368"/>
      <c r="CB40" s="368"/>
      <c r="CC40" s="368"/>
      <c r="CD40" s="368"/>
      <c r="CE40" s="368"/>
      <c r="CF40" s="368"/>
      <c r="CG40" s="368"/>
      <c r="CH40" s="368"/>
      <c r="CI40" s="368"/>
      <c r="CJ40" s="368"/>
      <c r="CK40" s="368"/>
      <c r="CL40" s="368"/>
      <c r="CM40" s="368"/>
      <c r="CN40" s="368"/>
      <c r="CO40" s="368"/>
      <c r="CP40" s="368"/>
      <c r="CQ40" s="368"/>
      <c r="CR40" s="368"/>
      <c r="CS40" s="368"/>
      <c r="CT40" s="368"/>
      <c r="CU40" s="368"/>
      <c r="CV40" s="368"/>
      <c r="CW40" s="368"/>
      <c r="CX40" s="368"/>
      <c r="CY40" s="368"/>
      <c r="CZ40" s="368"/>
      <c r="DA40" s="368"/>
      <c r="DB40" s="368"/>
      <c r="DC40" s="368"/>
      <c r="DD40" s="368"/>
      <c r="DE40" s="368"/>
      <c r="DF40" s="368"/>
      <c r="DG40" s="368"/>
      <c r="DH40" s="368"/>
      <c r="DI40" s="368"/>
      <c r="DJ40" s="368"/>
      <c r="DK40" s="368"/>
      <c r="DL40" s="368"/>
      <c r="DM40" s="368"/>
      <c r="DN40" s="368"/>
      <c r="DO40" s="368"/>
      <c r="DP40" s="368"/>
      <c r="DQ40" s="368"/>
      <c r="DR40" s="368"/>
      <c r="DS40" s="368"/>
      <c r="DT40" s="368"/>
      <c r="DU40" s="368"/>
      <c r="DV40" s="368"/>
      <c r="DW40" s="368"/>
      <c r="DX40" s="368"/>
      <c r="DY40" s="368"/>
      <c r="DZ40" s="368"/>
      <c r="EA40" s="368"/>
      <c r="EB40" s="368"/>
      <c r="EC40" s="368"/>
      <c r="ED40" s="368"/>
      <c r="EE40" s="368"/>
      <c r="EF40" s="368"/>
      <c r="EG40" s="368"/>
      <c r="EH40" s="368"/>
      <c r="EI40" s="368"/>
      <c r="EJ40" s="368"/>
      <c r="EK40" s="368"/>
      <c r="EL40" s="368"/>
      <c r="EM40" s="368"/>
      <c r="EN40" s="368"/>
      <c r="EO40" s="368"/>
      <c r="EP40" s="368"/>
      <c r="EQ40" s="368"/>
      <c r="ER40" s="368"/>
      <c r="ES40" s="368"/>
      <c r="ET40" s="368"/>
      <c r="EU40" s="368"/>
      <c r="EV40" s="368"/>
      <c r="EW40" s="368"/>
      <c r="EX40" s="368"/>
      <c r="EY40" s="368"/>
      <c r="EZ40" s="368"/>
      <c r="FA40" s="368"/>
      <c r="FB40" s="368"/>
      <c r="FC40" s="368"/>
      <c r="FD40" s="368"/>
      <c r="FE40" s="368"/>
      <c r="FF40" s="368"/>
      <c r="FG40" s="368"/>
      <c r="FH40" s="368"/>
      <c r="FI40" s="368"/>
      <c r="FJ40" s="368"/>
      <c r="FK40" s="368"/>
      <c r="FL40" s="368"/>
      <c r="FM40" s="368"/>
      <c r="FN40" s="368"/>
      <c r="FO40" s="368"/>
      <c r="FP40" s="368"/>
      <c r="FQ40" s="368"/>
      <c r="FR40" s="368"/>
      <c r="FS40" s="368"/>
      <c r="FT40" s="368"/>
      <c r="FU40" s="368"/>
      <c r="FV40" s="368"/>
      <c r="FW40" s="368"/>
      <c r="FX40" s="368"/>
      <c r="FY40" s="368"/>
      <c r="FZ40" s="368"/>
      <c r="GA40" s="368"/>
      <c r="GB40" s="368"/>
      <c r="GC40" s="368"/>
      <c r="GD40" s="368"/>
      <c r="GE40" s="368"/>
      <c r="GF40" s="368"/>
      <c r="GG40" s="368"/>
      <c r="GH40" s="368"/>
      <c r="GI40" s="368"/>
      <c r="GJ40" s="368"/>
      <c r="GK40" s="368"/>
      <c r="GL40" s="368"/>
      <c r="GM40" s="368"/>
      <c r="GN40" s="368"/>
      <c r="GO40" s="368"/>
      <c r="GP40" s="368"/>
      <c r="GQ40" s="368"/>
      <c r="GR40" s="368"/>
      <c r="GS40" s="368"/>
      <c r="GT40" s="368"/>
      <c r="GU40" s="368"/>
      <c r="GV40" s="368"/>
      <c r="GW40" s="368"/>
      <c r="GX40" s="368"/>
      <c r="GY40" s="368"/>
      <c r="GZ40" s="368"/>
      <c r="HA40" s="368"/>
      <c r="HB40" s="368"/>
      <c r="HC40" s="368"/>
      <c r="HD40" s="368"/>
      <c r="HE40" s="368"/>
      <c r="HF40" s="368"/>
      <c r="HG40" s="368"/>
      <c r="HH40" s="368"/>
      <c r="HI40" s="368"/>
      <c r="HJ40" s="368"/>
      <c r="HK40" s="368"/>
      <c r="HL40" s="368"/>
      <c r="HM40" s="368"/>
      <c r="HN40" s="368"/>
      <c r="HO40" s="368"/>
      <c r="HP40" s="368"/>
      <c r="HQ40" s="368"/>
      <c r="HR40" s="368"/>
      <c r="HS40" s="368"/>
      <c r="HT40" s="368"/>
      <c r="HU40" s="368"/>
      <c r="HV40" s="368"/>
      <c r="HW40" s="368"/>
      <c r="HX40" s="368"/>
      <c r="HY40" s="368"/>
      <c r="HZ40" s="368"/>
      <c r="IA40" s="368"/>
      <c r="IB40" s="368"/>
      <c r="IC40" s="368"/>
      <c r="ID40" s="368"/>
      <c r="IE40" s="368"/>
      <c r="IF40" s="368"/>
      <c r="IG40" s="368"/>
      <c r="IH40" s="368"/>
      <c r="II40" s="368"/>
      <c r="IJ40" s="368"/>
      <c r="IK40" s="368"/>
      <c r="IL40" s="368"/>
      <c r="IM40" s="368"/>
      <c r="IN40" s="368"/>
      <c r="IO40" s="368"/>
      <c r="IP40" s="368"/>
      <c r="IQ40" s="368"/>
      <c r="IR40" s="368"/>
      <c r="IS40" s="368"/>
      <c r="IT40" s="368"/>
      <c r="IU40" s="368"/>
      <c r="IV40" s="368"/>
      <c r="IW40" s="368"/>
      <c r="IX40" s="368"/>
      <c r="IY40" s="368"/>
      <c r="IZ40" s="368"/>
      <c r="JA40" s="368"/>
      <c r="JB40" s="368"/>
      <c r="JC40" s="368"/>
      <c r="JD40" s="368"/>
      <c r="JE40" s="368"/>
      <c r="JF40" s="368"/>
      <c r="JG40" s="368"/>
      <c r="JH40" s="368"/>
      <c r="JI40" s="368"/>
      <c r="JJ40" s="368"/>
      <c r="JK40" s="368"/>
      <c r="JL40" s="368"/>
      <c r="JM40" s="368"/>
      <c r="JN40" s="368"/>
      <c r="JO40" s="368"/>
      <c r="JP40" s="368"/>
      <c r="JQ40" s="368"/>
      <c r="JR40" s="368"/>
      <c r="JS40" s="368"/>
      <c r="JT40" s="368"/>
      <c r="JU40" s="368"/>
      <c r="JV40" s="368"/>
      <c r="JW40" s="368"/>
      <c r="JX40" s="368"/>
      <c r="JY40" s="368"/>
      <c r="JZ40" s="368"/>
      <c r="KA40" s="368"/>
      <c r="KB40" s="368"/>
      <c r="KC40" s="368"/>
      <c r="KD40" s="368"/>
      <c r="KE40" s="368"/>
      <c r="KF40" s="368"/>
      <c r="KG40" s="368"/>
      <c r="KH40" s="368"/>
      <c r="KI40" s="368"/>
      <c r="KJ40" s="368"/>
      <c r="KK40" s="368"/>
      <c r="KL40" s="368"/>
      <c r="KM40" s="368"/>
      <c r="KN40" s="368"/>
      <c r="KO40" s="368"/>
      <c r="KP40" s="368"/>
      <c r="KQ40" s="368"/>
      <c r="KR40" s="368"/>
      <c r="KS40" s="368"/>
      <c r="KT40" s="368"/>
      <c r="KU40" s="368"/>
      <c r="KV40" s="368"/>
      <c r="KW40" s="368"/>
      <c r="KX40" s="368"/>
      <c r="KY40" s="368"/>
      <c r="KZ40" s="368"/>
      <c r="LA40" s="368"/>
      <c r="LB40" s="368"/>
      <c r="LC40" s="368"/>
      <c r="LD40" s="368"/>
      <c r="LE40" s="368"/>
      <c r="LF40" s="368"/>
      <c r="LG40" s="368"/>
      <c r="LH40" s="368"/>
      <c r="LI40" s="368"/>
      <c r="LJ40" s="368"/>
      <c r="LK40" s="368"/>
      <c r="LL40" s="368"/>
      <c r="LM40" s="368"/>
      <c r="LN40" s="368"/>
      <c r="LO40" s="368"/>
      <c r="LP40" s="368"/>
      <c r="LQ40" s="368"/>
      <c r="LR40" s="368"/>
      <c r="LS40" s="368"/>
      <c r="LT40" s="368"/>
      <c r="LU40" s="368"/>
      <c r="LV40" s="368"/>
      <c r="LW40" s="368"/>
      <c r="LX40" s="368"/>
      <c r="LY40" s="368"/>
      <c r="LZ40" s="368"/>
      <c r="MA40" s="368"/>
      <c r="MB40" s="368"/>
      <c r="MC40" s="368"/>
      <c r="MD40" s="368"/>
      <c r="ME40" s="368"/>
      <c r="MF40" s="368"/>
      <c r="MG40" s="368"/>
      <c r="MH40" s="368"/>
      <c r="MI40" s="368"/>
      <c r="MJ40" s="368"/>
      <c r="MK40" s="368"/>
      <c r="ML40" s="368"/>
      <c r="MM40" s="368"/>
      <c r="MN40" s="368"/>
      <c r="MO40" s="368"/>
      <c r="MP40" s="368"/>
      <c r="MQ40" s="368"/>
      <c r="MR40" s="368"/>
      <c r="MS40" s="368"/>
      <c r="MT40" s="368"/>
      <c r="MU40" s="368"/>
      <c r="MV40" s="368"/>
      <c r="MW40" s="368"/>
      <c r="MX40" s="368"/>
      <c r="MY40" s="368"/>
      <c r="MZ40" s="368"/>
      <c r="NA40" s="368"/>
      <c r="NB40" s="368"/>
      <c r="NC40" s="368"/>
      <c r="ND40" s="368"/>
      <c r="NE40" s="368"/>
      <c r="NF40" s="368"/>
      <c r="NG40" s="368"/>
      <c r="NH40" s="368"/>
      <c r="NI40" s="368"/>
      <c r="NJ40" s="368"/>
      <c r="NK40" s="368"/>
      <c r="NL40" s="368"/>
      <c r="NM40" s="368"/>
      <c r="NN40" s="368"/>
      <c r="NO40" s="368"/>
      <c r="NP40" s="368"/>
      <c r="NQ40" s="368"/>
      <c r="NR40" s="368"/>
      <c r="NS40" s="368"/>
      <c r="NT40" s="368"/>
      <c r="NU40" s="368"/>
      <c r="NV40" s="368"/>
      <c r="NW40" s="368"/>
      <c r="NX40" s="368"/>
      <c r="NY40" s="368"/>
      <c r="NZ40" s="368"/>
      <c r="OA40" s="368"/>
      <c r="OB40" s="368"/>
      <c r="OC40" s="368"/>
      <c r="OD40" s="368"/>
      <c r="OE40" s="368"/>
      <c r="OF40" s="368"/>
      <c r="OG40" s="368"/>
      <c r="OH40" s="368"/>
      <c r="OI40" s="368"/>
      <c r="OJ40" s="368"/>
      <c r="OK40" s="368"/>
      <c r="OL40" s="368"/>
      <c r="OM40" s="368"/>
      <c r="ON40" s="368"/>
      <c r="OO40" s="368"/>
      <c r="OP40" s="368"/>
      <c r="OQ40" s="368"/>
      <c r="OR40" s="368"/>
      <c r="OS40" s="368"/>
      <c r="OT40" s="368"/>
      <c r="OU40" s="368"/>
      <c r="OV40" s="368"/>
      <c r="OW40" s="368"/>
      <c r="OX40" s="368"/>
      <c r="OY40" s="368"/>
      <c r="OZ40" s="368"/>
      <c r="PA40" s="368"/>
      <c r="PB40" s="368"/>
      <c r="PC40" s="368"/>
      <c r="PD40" s="368"/>
      <c r="PE40" s="368"/>
      <c r="PF40" s="368"/>
      <c r="PG40" s="368"/>
      <c r="PH40" s="368"/>
      <c r="PI40" s="368"/>
      <c r="PJ40" s="368"/>
      <c r="PK40" s="368"/>
      <c r="PL40" s="368"/>
      <c r="PM40" s="368"/>
      <c r="PN40" s="368"/>
      <c r="PO40" s="368"/>
      <c r="PP40" s="368"/>
      <c r="PQ40" s="368"/>
      <c r="PR40" s="368"/>
      <c r="PS40" s="368"/>
      <c r="PT40" s="368"/>
      <c r="PU40" s="368"/>
      <c r="PV40" s="368"/>
      <c r="PW40" s="368"/>
      <c r="PX40" s="368"/>
      <c r="PY40" s="368"/>
      <c r="PZ40" s="368"/>
      <c r="QA40" s="368"/>
      <c r="QB40" s="368"/>
      <c r="QC40" s="368"/>
      <c r="QD40" s="368"/>
      <c r="QE40" s="368"/>
      <c r="QF40" s="368"/>
      <c r="QG40" s="368"/>
      <c r="QH40" s="368"/>
      <c r="QI40" s="368"/>
      <c r="QJ40" s="368"/>
      <c r="QK40" s="368"/>
      <c r="QL40" s="368"/>
      <c r="QM40" s="368"/>
      <c r="QN40" s="368"/>
      <c r="QO40" s="368"/>
      <c r="QP40" s="368"/>
      <c r="QQ40" s="368"/>
      <c r="QR40" s="368"/>
      <c r="QS40" s="368"/>
      <c r="QT40" s="368"/>
      <c r="QU40" s="368"/>
      <c r="QV40" s="368"/>
      <c r="QW40" s="368"/>
      <c r="QX40" s="368"/>
      <c r="QY40" s="368"/>
      <c r="QZ40" s="368"/>
      <c r="RA40" s="368"/>
      <c r="RB40" s="368"/>
      <c r="RC40" s="368"/>
      <c r="RD40" s="368"/>
      <c r="RE40" s="368"/>
      <c r="RF40" s="368"/>
      <c r="RG40" s="368"/>
      <c r="RH40" s="368"/>
      <c r="RI40" s="368"/>
      <c r="RJ40" s="368"/>
      <c r="RK40" s="368"/>
      <c r="RL40" s="368"/>
      <c r="RM40" s="368"/>
      <c r="RN40" s="368"/>
      <c r="RO40" s="368"/>
      <c r="RP40" s="368"/>
      <c r="RQ40" s="368"/>
      <c r="RR40" s="368"/>
      <c r="RS40" s="368"/>
      <c r="RT40" s="368"/>
      <c r="RU40" s="368"/>
      <c r="RV40" s="368"/>
      <c r="RW40" s="368"/>
      <c r="RX40" s="368"/>
      <c r="RY40" s="368"/>
      <c r="RZ40" s="368"/>
      <c r="SA40" s="368"/>
      <c r="SB40" s="368"/>
      <c r="SC40" s="368"/>
      <c r="SD40" s="368"/>
      <c r="SE40" s="368"/>
      <c r="SF40" s="368"/>
      <c r="SG40" s="368"/>
      <c r="SH40" s="368"/>
      <c r="SI40" s="368"/>
      <c r="SJ40" s="368"/>
      <c r="SK40" s="368"/>
      <c r="SL40" s="368"/>
      <c r="SM40" s="368"/>
      <c r="SN40" s="368"/>
      <c r="SO40" s="368"/>
      <c r="SP40" s="368"/>
      <c r="SQ40" s="368"/>
      <c r="SR40" s="368"/>
      <c r="SS40" s="368"/>
      <c r="ST40" s="368"/>
      <c r="SU40" s="368"/>
      <c r="SV40" s="368"/>
      <c r="SW40" s="368"/>
      <c r="SX40" s="368"/>
      <c r="SY40" s="368"/>
      <c r="SZ40" s="368"/>
      <c r="TA40" s="368"/>
      <c r="TB40" s="368"/>
      <c r="TC40" s="368"/>
      <c r="TD40" s="368"/>
      <c r="TE40" s="368"/>
      <c r="TF40" s="368"/>
      <c r="TG40" s="368"/>
      <c r="TH40" s="368"/>
      <c r="TI40" s="368"/>
      <c r="TJ40" s="368"/>
      <c r="TK40" s="368"/>
      <c r="TL40" s="368"/>
      <c r="TM40" s="368"/>
      <c r="TN40" s="368"/>
      <c r="TO40" s="368"/>
      <c r="TP40" s="368"/>
      <c r="TQ40" s="368"/>
      <c r="TR40" s="368"/>
      <c r="TS40" s="368"/>
      <c r="TT40" s="368"/>
      <c r="TU40" s="368"/>
      <c r="TV40" s="368"/>
      <c r="TW40" s="368"/>
      <c r="TX40" s="368"/>
      <c r="TY40" s="368"/>
      <c r="TZ40" s="368"/>
      <c r="UA40" s="368"/>
      <c r="UB40" s="368"/>
      <c r="UC40" s="368"/>
      <c r="UD40" s="368"/>
      <c r="UE40" s="368"/>
      <c r="UF40" s="368"/>
      <c r="UG40" s="368"/>
      <c r="UH40" s="368"/>
      <c r="UI40" s="368"/>
      <c r="UJ40" s="368"/>
      <c r="UK40" s="368"/>
      <c r="UL40" s="368"/>
      <c r="UM40" s="368"/>
      <c r="UN40" s="368"/>
      <c r="UO40" s="368"/>
      <c r="UP40" s="368"/>
      <c r="UQ40" s="368"/>
      <c r="UR40" s="368"/>
      <c r="US40" s="368"/>
      <c r="UT40" s="368"/>
      <c r="UU40" s="368"/>
      <c r="UV40" s="368"/>
      <c r="UW40" s="368"/>
      <c r="UX40" s="368"/>
      <c r="UY40" s="368"/>
      <c r="UZ40" s="368"/>
      <c r="VA40" s="368"/>
      <c r="VB40" s="368"/>
      <c r="VC40" s="368"/>
      <c r="VD40" s="368"/>
      <c r="VE40" s="368"/>
      <c r="VF40" s="368"/>
      <c r="VG40" s="368"/>
      <c r="VH40" s="368"/>
      <c r="VI40" s="368"/>
      <c r="VJ40" s="368"/>
      <c r="VK40" s="368"/>
      <c r="VL40" s="368"/>
      <c r="VM40" s="368"/>
      <c r="VN40" s="368"/>
      <c r="VO40" s="368"/>
      <c r="VP40" s="368"/>
      <c r="VQ40" s="368"/>
      <c r="VR40" s="368"/>
      <c r="VS40" s="368"/>
      <c r="VT40" s="368"/>
      <c r="VU40" s="368"/>
      <c r="VV40" s="368"/>
      <c r="VW40" s="368"/>
      <c r="VX40" s="368"/>
      <c r="VY40" s="368"/>
      <c r="VZ40" s="368"/>
      <c r="WA40" s="368"/>
      <c r="WB40" s="368"/>
      <c r="WC40" s="368"/>
      <c r="WD40" s="368"/>
      <c r="WE40" s="368"/>
      <c r="WF40" s="368"/>
      <c r="WG40" s="368"/>
      <c r="WH40" s="368"/>
      <c r="WI40" s="368"/>
      <c r="WJ40" s="368"/>
      <c r="WK40" s="368"/>
      <c r="WL40" s="368"/>
      <c r="WM40" s="368"/>
      <c r="WN40" s="368"/>
      <c r="WO40" s="368"/>
      <c r="WP40" s="368"/>
      <c r="WQ40" s="368"/>
      <c r="WR40" s="368"/>
      <c r="WS40" s="368"/>
      <c r="WT40" s="368"/>
      <c r="WU40" s="368"/>
      <c r="WV40" s="368"/>
      <c r="WW40" s="368"/>
      <c r="WX40" s="368"/>
      <c r="WY40" s="368"/>
      <c r="WZ40" s="368"/>
      <c r="XA40" s="368"/>
      <c r="XB40" s="368"/>
      <c r="XC40" s="368"/>
      <c r="XD40" s="368"/>
      <c r="XE40" s="368"/>
      <c r="XF40" s="368"/>
      <c r="XG40" s="368"/>
      <c r="XH40" s="368"/>
      <c r="XI40" s="368"/>
      <c r="XJ40" s="368"/>
      <c r="XK40" s="368"/>
      <c r="XL40" s="368"/>
      <c r="XM40" s="368"/>
      <c r="XN40" s="368"/>
      <c r="XO40" s="368"/>
      <c r="XP40" s="368"/>
      <c r="XQ40" s="368"/>
      <c r="XR40" s="368"/>
      <c r="XS40" s="368"/>
      <c r="XT40" s="368"/>
      <c r="XU40" s="368"/>
      <c r="XV40" s="368"/>
      <c r="XW40" s="368"/>
      <c r="XX40" s="368"/>
      <c r="XY40" s="368"/>
      <c r="XZ40" s="368"/>
      <c r="YA40" s="368"/>
      <c r="YB40" s="368"/>
      <c r="YC40" s="368"/>
      <c r="YD40" s="368"/>
      <c r="YE40" s="368"/>
      <c r="YF40" s="368"/>
      <c r="YG40" s="368"/>
      <c r="YH40" s="368"/>
      <c r="YI40" s="368"/>
      <c r="YJ40" s="368"/>
      <c r="YK40" s="368"/>
      <c r="YL40" s="368"/>
      <c r="YM40" s="368"/>
      <c r="YN40" s="368"/>
      <c r="YO40" s="368"/>
      <c r="YP40" s="368"/>
      <c r="YQ40" s="368"/>
      <c r="YR40" s="368"/>
      <c r="YS40" s="368"/>
      <c r="YT40" s="368"/>
      <c r="YU40" s="368"/>
      <c r="YV40" s="368"/>
      <c r="YW40" s="368"/>
      <c r="YX40" s="368"/>
      <c r="YY40" s="368"/>
      <c r="YZ40" s="368"/>
      <c r="ZA40" s="368"/>
      <c r="ZB40" s="368"/>
      <c r="ZC40" s="368"/>
      <c r="ZD40" s="368"/>
      <c r="ZE40" s="368"/>
      <c r="ZF40" s="368"/>
      <c r="ZG40" s="368"/>
      <c r="ZH40" s="368"/>
      <c r="ZI40" s="368"/>
      <c r="ZJ40" s="368"/>
      <c r="ZK40" s="368"/>
      <c r="ZL40" s="368"/>
      <c r="ZM40" s="368"/>
      <c r="ZN40" s="368"/>
      <c r="ZO40" s="368"/>
      <c r="ZP40" s="368"/>
      <c r="ZQ40" s="368"/>
      <c r="ZR40" s="368"/>
      <c r="ZS40" s="368"/>
      <c r="ZT40" s="368"/>
      <c r="ZU40" s="368"/>
      <c r="ZV40" s="368"/>
      <c r="ZW40" s="368"/>
      <c r="ZX40" s="368"/>
      <c r="ZY40" s="368"/>
      <c r="ZZ40" s="368"/>
      <c r="AAA40" s="368"/>
      <c r="AAB40" s="368"/>
      <c r="AAC40" s="368"/>
      <c r="AAD40" s="368"/>
      <c r="AAE40" s="368"/>
      <c r="AAF40" s="368"/>
      <c r="AAG40" s="368"/>
      <c r="AAH40" s="368"/>
      <c r="AAI40" s="368"/>
      <c r="AAJ40" s="368"/>
      <c r="AAK40" s="368"/>
      <c r="AAL40" s="368"/>
      <c r="AAM40" s="368"/>
      <c r="AAN40" s="368"/>
      <c r="AAO40" s="368"/>
      <c r="AAP40" s="368"/>
      <c r="AAQ40" s="368"/>
      <c r="AAR40" s="368"/>
      <c r="AAS40" s="368"/>
      <c r="AAT40" s="368"/>
      <c r="AAU40" s="368"/>
      <c r="AAV40" s="368"/>
      <c r="AAW40" s="368"/>
      <c r="AAX40" s="368"/>
      <c r="AAY40" s="368"/>
      <c r="AAZ40" s="368"/>
      <c r="ABA40" s="368"/>
      <c r="ABB40" s="368"/>
      <c r="ABC40" s="368"/>
      <c r="ABD40" s="368"/>
      <c r="ABE40" s="368"/>
      <c r="ABF40" s="368"/>
      <c r="ABG40" s="368"/>
      <c r="ABH40" s="368"/>
      <c r="ABI40" s="368"/>
      <c r="ABJ40" s="368"/>
      <c r="ABK40" s="368"/>
      <c r="ABL40" s="368"/>
      <c r="ABM40" s="368"/>
      <c r="ABN40" s="368"/>
      <c r="ABO40" s="368"/>
      <c r="ABP40" s="368"/>
      <c r="ABQ40" s="368"/>
      <c r="ABR40" s="368"/>
      <c r="ABS40" s="368"/>
      <c r="ABT40" s="368"/>
      <c r="ABU40" s="368"/>
      <c r="ABV40" s="368"/>
      <c r="ABW40" s="368"/>
      <c r="ABX40" s="368"/>
      <c r="ABY40" s="368"/>
      <c r="ABZ40" s="368"/>
      <c r="ACA40" s="368"/>
      <c r="ACB40" s="368"/>
      <c r="ACC40" s="368"/>
      <c r="ACD40" s="368"/>
      <c r="ACE40" s="368"/>
      <c r="ACF40" s="368"/>
      <c r="ACG40" s="368"/>
      <c r="ACH40" s="368"/>
      <c r="ACI40" s="368"/>
      <c r="ACJ40" s="368"/>
      <c r="ACK40" s="368"/>
      <c r="ACL40" s="368"/>
      <c r="ACM40" s="368"/>
      <c r="ACN40" s="368"/>
      <c r="ACO40" s="368"/>
      <c r="ACP40" s="368"/>
      <c r="ACQ40" s="368"/>
      <c r="ACR40" s="368"/>
      <c r="ACS40" s="368"/>
      <c r="ACT40" s="368"/>
      <c r="ACU40" s="368"/>
      <c r="ACV40" s="368"/>
      <c r="ACW40" s="368"/>
      <c r="ACX40" s="368"/>
      <c r="ACY40" s="368"/>
      <c r="ACZ40" s="368"/>
      <c r="ADA40" s="368"/>
      <c r="ADB40" s="368"/>
      <c r="ADC40" s="368"/>
      <c r="ADD40" s="368"/>
      <c r="ADE40" s="368"/>
      <c r="ADF40" s="368"/>
      <c r="ADG40" s="368"/>
      <c r="ADH40" s="368"/>
      <c r="ADI40" s="368"/>
      <c r="ADJ40" s="368"/>
      <c r="ADK40" s="368"/>
      <c r="ADL40" s="368"/>
      <c r="ADM40" s="368"/>
      <c r="ADN40" s="368"/>
      <c r="ADO40" s="368"/>
      <c r="ADP40" s="368"/>
      <c r="ADQ40" s="368"/>
      <c r="ADR40" s="368"/>
      <c r="ADS40" s="368"/>
      <c r="ADT40" s="368"/>
      <c r="ADU40" s="368"/>
      <c r="ADV40" s="368"/>
      <c r="ADW40" s="368"/>
      <c r="ADX40" s="368"/>
      <c r="ADY40" s="368"/>
      <c r="ADZ40" s="368"/>
      <c r="AEA40" s="368"/>
      <c r="AEB40" s="368"/>
      <c r="AEC40" s="368"/>
      <c r="AED40" s="368"/>
      <c r="AEE40" s="368"/>
      <c r="AEF40" s="368"/>
      <c r="AEG40" s="368"/>
      <c r="AEH40" s="368"/>
      <c r="AEI40" s="368"/>
      <c r="AEJ40" s="368"/>
      <c r="AEK40" s="368"/>
      <c r="AEL40" s="368"/>
      <c r="AEM40" s="368"/>
      <c r="AEN40" s="368"/>
      <c r="AEO40" s="368"/>
      <c r="AEP40" s="368"/>
      <c r="AEQ40" s="368"/>
      <c r="AER40" s="368"/>
      <c r="AES40" s="368"/>
      <c r="AET40" s="368"/>
      <c r="AEU40" s="368"/>
      <c r="AEV40" s="368"/>
      <c r="AEW40" s="368"/>
      <c r="AEX40" s="368"/>
      <c r="AEY40" s="368"/>
      <c r="AEZ40" s="368"/>
      <c r="AFA40" s="368"/>
      <c r="AFB40" s="368"/>
      <c r="AFC40" s="368"/>
      <c r="AFD40" s="368"/>
      <c r="AFE40" s="368"/>
      <c r="AFF40" s="368"/>
      <c r="AFG40" s="368"/>
      <c r="AFH40" s="368"/>
      <c r="AFI40" s="368"/>
      <c r="AFJ40" s="368"/>
      <c r="AFK40" s="368"/>
      <c r="AFL40" s="368"/>
      <c r="AFM40" s="368"/>
      <c r="AFN40" s="368"/>
      <c r="AFO40" s="368"/>
      <c r="AFP40" s="368"/>
      <c r="AFQ40" s="368"/>
      <c r="AFR40" s="368"/>
      <c r="AFS40" s="368"/>
      <c r="AFT40" s="368"/>
      <c r="AFU40" s="368"/>
      <c r="AFV40" s="368"/>
      <c r="AFW40" s="368"/>
      <c r="AFX40" s="368"/>
      <c r="AFY40" s="368"/>
      <c r="AFZ40" s="368"/>
      <c r="AGA40" s="368"/>
      <c r="AGB40" s="368"/>
      <c r="AGC40" s="368"/>
      <c r="AGD40" s="368"/>
      <c r="AGE40" s="368"/>
      <c r="AGF40" s="368"/>
      <c r="AGG40" s="368"/>
      <c r="AGH40" s="368"/>
      <c r="AGI40" s="368"/>
      <c r="AGJ40" s="368"/>
      <c r="AGK40" s="368"/>
      <c r="AGL40" s="368"/>
      <c r="AGM40" s="368"/>
      <c r="AGN40" s="368"/>
      <c r="AGO40" s="368"/>
      <c r="AGP40" s="368"/>
      <c r="AGQ40" s="368"/>
      <c r="AGR40" s="368"/>
      <c r="AGS40" s="368"/>
      <c r="AGT40" s="368"/>
      <c r="AGU40" s="368"/>
      <c r="AGV40" s="368"/>
      <c r="AGW40" s="368"/>
      <c r="AGX40" s="368"/>
      <c r="AGY40" s="368"/>
      <c r="AGZ40" s="368"/>
      <c r="AHA40" s="368"/>
      <c r="AHB40" s="368"/>
      <c r="AHC40" s="368"/>
      <c r="AHD40" s="368"/>
      <c r="AHE40" s="368"/>
      <c r="AHF40" s="368"/>
      <c r="AHG40" s="368"/>
      <c r="AHH40" s="368"/>
      <c r="AHI40" s="368"/>
      <c r="AHJ40" s="368"/>
      <c r="AHK40" s="368"/>
      <c r="AHL40" s="368"/>
      <c r="AHM40" s="368"/>
      <c r="AHN40" s="368"/>
      <c r="AHO40" s="368"/>
      <c r="AHP40" s="368"/>
      <c r="AHQ40" s="368"/>
      <c r="AHR40" s="368"/>
      <c r="AHS40" s="368"/>
      <c r="AHT40" s="368"/>
      <c r="AHU40" s="368"/>
      <c r="AHV40" s="368"/>
      <c r="AHW40" s="368"/>
      <c r="AHX40" s="368"/>
      <c r="AHY40" s="368"/>
      <c r="AHZ40" s="368"/>
      <c r="AIA40" s="368"/>
      <c r="AIB40" s="368"/>
      <c r="AIC40" s="368"/>
      <c r="AID40" s="368"/>
      <c r="AIE40" s="368"/>
      <c r="AIF40" s="368"/>
      <c r="AIG40" s="368"/>
      <c r="AIH40" s="368"/>
      <c r="AII40" s="368"/>
      <c r="AIJ40" s="368"/>
      <c r="AIK40" s="368"/>
      <c r="AIL40" s="368"/>
      <c r="AIM40" s="368"/>
      <c r="AIN40" s="368"/>
      <c r="AIO40" s="368"/>
      <c r="AIP40" s="368"/>
      <c r="AIQ40" s="368"/>
      <c r="AIR40" s="368"/>
      <c r="AIS40" s="368"/>
      <c r="AIT40" s="368"/>
      <c r="AIU40" s="368"/>
      <c r="AIV40" s="368"/>
      <c r="AIW40" s="368"/>
      <c r="AIX40" s="368"/>
      <c r="AIY40" s="368"/>
      <c r="AIZ40" s="368"/>
      <c r="AJA40" s="368"/>
      <c r="AJB40" s="368"/>
      <c r="AJC40" s="368"/>
      <c r="AJD40" s="368"/>
      <c r="AJE40" s="368"/>
      <c r="AJF40" s="368"/>
      <c r="AJG40" s="368"/>
      <c r="AJH40" s="368"/>
      <c r="AJI40" s="368"/>
      <c r="AJJ40" s="368"/>
      <c r="AJK40" s="368"/>
      <c r="AJL40" s="368"/>
      <c r="AJM40" s="368"/>
      <c r="AJN40" s="368"/>
      <c r="AJO40" s="368"/>
      <c r="AJP40" s="368"/>
      <c r="AJQ40" s="368"/>
      <c r="AJR40" s="368"/>
      <c r="AJS40" s="368"/>
      <c r="AJT40" s="368"/>
      <c r="AJU40" s="368"/>
      <c r="AJV40" s="368"/>
      <c r="AJW40" s="368"/>
      <c r="AJX40" s="368"/>
      <c r="AJY40" s="368"/>
      <c r="AJZ40" s="368"/>
      <c r="AKA40" s="368"/>
      <c r="AKB40" s="368"/>
      <c r="AKC40" s="368"/>
      <c r="AKD40" s="368"/>
      <c r="AKE40" s="368"/>
      <c r="AKF40" s="368"/>
      <c r="AKG40" s="368"/>
      <c r="AKH40" s="368"/>
      <c r="AKI40" s="368"/>
      <c r="AKJ40" s="368"/>
      <c r="AKK40" s="368"/>
      <c r="AKL40" s="368"/>
      <c r="AKM40" s="368"/>
      <c r="AKN40" s="368"/>
    </row>
    <row r="41" spans="1:976" s="363" customFormat="1" ht="22.5" customHeight="1" x14ac:dyDescent="0.2">
      <c r="A41" s="358" t="s">
        <v>262</v>
      </c>
      <c r="B41" s="358"/>
      <c r="C41" s="358" t="s">
        <v>221</v>
      </c>
      <c r="D41" s="358" t="s">
        <v>222</v>
      </c>
      <c r="E41" s="359">
        <v>407974</v>
      </c>
      <c r="F41" s="359">
        <v>746</v>
      </c>
      <c r="G41" s="359">
        <v>99</v>
      </c>
      <c r="H41" s="359">
        <v>0</v>
      </c>
      <c r="I41" s="360">
        <v>45765</v>
      </c>
      <c r="J41" s="358" t="s">
        <v>395</v>
      </c>
      <c r="K41" s="358" t="s">
        <v>396</v>
      </c>
      <c r="L41" s="361">
        <v>79.540000000000006</v>
      </c>
      <c r="M41" s="361">
        <v>6.01</v>
      </c>
      <c r="N41" s="448">
        <v>85.55</v>
      </c>
      <c r="O41" s="358"/>
      <c r="P41" s="362">
        <v>45782</v>
      </c>
      <c r="Q41" s="361">
        <v>85.55</v>
      </c>
      <c r="R41" s="358" t="s">
        <v>397</v>
      </c>
      <c r="S41" s="361">
        <v>0</v>
      </c>
      <c r="T41" s="361">
        <v>0</v>
      </c>
      <c r="U41" s="361">
        <v>0</v>
      </c>
      <c r="V41" s="361">
        <v>0</v>
      </c>
      <c r="W41" s="358"/>
      <c r="X41" s="358" t="s">
        <v>365</v>
      </c>
      <c r="Y41" s="358" t="s">
        <v>366</v>
      </c>
      <c r="Z41" s="358" t="s">
        <v>46</v>
      </c>
      <c r="AA41" s="358" t="s">
        <v>228</v>
      </c>
      <c r="AB41" s="358" t="s">
        <v>289</v>
      </c>
      <c r="AC41" s="358" t="s">
        <v>31</v>
      </c>
      <c r="AD41" s="358" t="s">
        <v>231</v>
      </c>
      <c r="AE41" s="358" t="s">
        <v>232</v>
      </c>
      <c r="AF41" s="358" t="s">
        <v>231</v>
      </c>
      <c r="AG41" s="358" t="s">
        <v>232</v>
      </c>
      <c r="AH41" s="358"/>
      <c r="AI41" s="358"/>
      <c r="AJ41" s="358"/>
      <c r="AK41" s="358" t="s">
        <v>398</v>
      </c>
      <c r="AL41" s="359">
        <v>1</v>
      </c>
      <c r="AM41" s="359">
        <v>0</v>
      </c>
      <c r="AN41" s="360">
        <v>45782</v>
      </c>
      <c r="AO41" s="360">
        <v>45782</v>
      </c>
      <c r="AP41" s="361">
        <v>85.55</v>
      </c>
      <c r="AQ41" s="360">
        <v>45781</v>
      </c>
      <c r="AR41" s="368"/>
      <c r="AS41" s="368"/>
      <c r="AT41" s="368"/>
      <c r="AU41" s="368"/>
      <c r="AV41" s="368"/>
      <c r="AW41" s="368"/>
      <c r="AX41" s="368"/>
      <c r="AY41" s="368"/>
      <c r="AZ41" s="368"/>
      <c r="BA41" s="368"/>
      <c r="BB41" s="368"/>
      <c r="BC41" s="368"/>
      <c r="BD41" s="368"/>
      <c r="BE41" s="368"/>
      <c r="BF41" s="368"/>
      <c r="BG41" s="368"/>
      <c r="BH41" s="368"/>
      <c r="BI41" s="368"/>
      <c r="BJ41" s="368"/>
      <c r="BK41" s="368"/>
      <c r="BL41" s="368"/>
      <c r="BM41" s="368"/>
      <c r="BN41" s="368"/>
      <c r="BO41" s="368"/>
      <c r="BP41" s="368"/>
      <c r="BQ41" s="368"/>
      <c r="BR41" s="368"/>
      <c r="BS41" s="368"/>
      <c r="BT41" s="368"/>
      <c r="BU41" s="368"/>
      <c r="BV41" s="368"/>
      <c r="BW41" s="368"/>
      <c r="BX41" s="368"/>
      <c r="BY41" s="368"/>
      <c r="BZ41" s="368"/>
      <c r="CA41" s="368"/>
      <c r="CB41" s="368"/>
      <c r="CC41" s="368"/>
      <c r="CD41" s="368"/>
      <c r="CE41" s="368"/>
      <c r="CF41" s="368"/>
      <c r="CG41" s="368"/>
      <c r="CH41" s="368"/>
      <c r="CI41" s="368"/>
      <c r="CJ41" s="368"/>
      <c r="CK41" s="368"/>
      <c r="CL41" s="368"/>
      <c r="CM41" s="368"/>
      <c r="CN41" s="368"/>
      <c r="CO41" s="368"/>
      <c r="CP41" s="368"/>
      <c r="CQ41" s="368"/>
      <c r="CR41" s="368"/>
      <c r="CS41" s="368"/>
      <c r="CT41" s="368"/>
      <c r="CU41" s="368"/>
      <c r="CV41" s="368"/>
      <c r="CW41" s="368"/>
      <c r="CX41" s="368"/>
      <c r="CY41" s="368"/>
      <c r="CZ41" s="368"/>
      <c r="DA41" s="368"/>
      <c r="DB41" s="368"/>
      <c r="DC41" s="368"/>
      <c r="DD41" s="368"/>
      <c r="DE41" s="368"/>
      <c r="DF41" s="368"/>
      <c r="DG41" s="368"/>
      <c r="DH41" s="368"/>
      <c r="DI41" s="368"/>
      <c r="DJ41" s="368"/>
      <c r="DK41" s="368"/>
      <c r="DL41" s="368"/>
      <c r="DM41" s="368"/>
      <c r="DN41" s="368"/>
      <c r="DO41" s="368"/>
      <c r="DP41" s="368"/>
      <c r="DQ41" s="368"/>
      <c r="DR41" s="368"/>
      <c r="DS41" s="368"/>
      <c r="DT41" s="368"/>
      <c r="DU41" s="368"/>
      <c r="DV41" s="368"/>
      <c r="DW41" s="368"/>
      <c r="DX41" s="368"/>
      <c r="DY41" s="368"/>
      <c r="DZ41" s="368"/>
      <c r="EA41" s="368"/>
      <c r="EB41" s="368"/>
      <c r="EC41" s="368"/>
      <c r="ED41" s="368"/>
      <c r="EE41" s="368"/>
      <c r="EF41" s="368"/>
      <c r="EG41" s="368"/>
      <c r="EH41" s="368"/>
      <c r="EI41" s="368"/>
      <c r="EJ41" s="368"/>
      <c r="EK41" s="368"/>
      <c r="EL41" s="368"/>
      <c r="EM41" s="368"/>
      <c r="EN41" s="368"/>
      <c r="EO41" s="368"/>
      <c r="EP41" s="368"/>
      <c r="EQ41" s="368"/>
      <c r="ER41" s="368"/>
      <c r="ES41" s="368"/>
      <c r="ET41" s="368"/>
      <c r="EU41" s="368"/>
      <c r="EV41" s="368"/>
      <c r="EW41" s="368"/>
      <c r="EX41" s="368"/>
      <c r="EY41" s="368"/>
      <c r="EZ41" s="368"/>
      <c r="FA41" s="368"/>
      <c r="FB41" s="368"/>
      <c r="FC41" s="368"/>
      <c r="FD41" s="368"/>
      <c r="FE41" s="368"/>
      <c r="FF41" s="368"/>
      <c r="FG41" s="368"/>
      <c r="FH41" s="368"/>
      <c r="FI41" s="368"/>
      <c r="FJ41" s="368"/>
      <c r="FK41" s="368"/>
      <c r="FL41" s="368"/>
      <c r="FM41" s="368"/>
      <c r="FN41" s="368"/>
      <c r="FO41" s="368"/>
      <c r="FP41" s="368"/>
      <c r="FQ41" s="368"/>
      <c r="FR41" s="368"/>
      <c r="FS41" s="368"/>
      <c r="FT41" s="368"/>
      <c r="FU41" s="368"/>
      <c r="FV41" s="368"/>
      <c r="FW41" s="368"/>
      <c r="FX41" s="368"/>
      <c r="FY41" s="368"/>
      <c r="FZ41" s="368"/>
      <c r="GA41" s="368"/>
      <c r="GB41" s="368"/>
      <c r="GC41" s="368"/>
      <c r="GD41" s="368"/>
      <c r="GE41" s="368"/>
      <c r="GF41" s="368"/>
      <c r="GG41" s="368"/>
      <c r="GH41" s="368"/>
      <c r="GI41" s="368"/>
      <c r="GJ41" s="368"/>
      <c r="GK41" s="368"/>
      <c r="GL41" s="368"/>
      <c r="GM41" s="368"/>
      <c r="GN41" s="368"/>
      <c r="GO41" s="368"/>
      <c r="GP41" s="368"/>
      <c r="GQ41" s="368"/>
      <c r="GR41" s="368"/>
      <c r="GS41" s="368"/>
      <c r="GT41" s="368"/>
      <c r="GU41" s="368"/>
      <c r="GV41" s="368"/>
      <c r="GW41" s="368"/>
      <c r="GX41" s="368"/>
      <c r="GY41" s="368"/>
      <c r="GZ41" s="368"/>
      <c r="HA41" s="368"/>
      <c r="HB41" s="368"/>
      <c r="HC41" s="368"/>
      <c r="HD41" s="368"/>
      <c r="HE41" s="368"/>
      <c r="HF41" s="368"/>
      <c r="HG41" s="368"/>
      <c r="HH41" s="368"/>
      <c r="HI41" s="368"/>
      <c r="HJ41" s="368"/>
      <c r="HK41" s="368"/>
      <c r="HL41" s="368"/>
      <c r="HM41" s="368"/>
      <c r="HN41" s="368"/>
      <c r="HO41" s="368"/>
      <c r="HP41" s="368"/>
      <c r="HQ41" s="368"/>
      <c r="HR41" s="368"/>
      <c r="HS41" s="368"/>
      <c r="HT41" s="368"/>
      <c r="HU41" s="368"/>
      <c r="HV41" s="368"/>
      <c r="HW41" s="368"/>
      <c r="HX41" s="368"/>
      <c r="HY41" s="368"/>
      <c r="HZ41" s="368"/>
      <c r="IA41" s="368"/>
      <c r="IB41" s="368"/>
      <c r="IC41" s="368"/>
      <c r="ID41" s="368"/>
      <c r="IE41" s="368"/>
      <c r="IF41" s="368"/>
      <c r="IG41" s="368"/>
      <c r="IH41" s="368"/>
      <c r="II41" s="368"/>
      <c r="IJ41" s="368"/>
      <c r="IK41" s="368"/>
      <c r="IL41" s="368"/>
      <c r="IM41" s="368"/>
      <c r="IN41" s="368"/>
      <c r="IO41" s="368"/>
      <c r="IP41" s="368"/>
      <c r="IQ41" s="368"/>
      <c r="IR41" s="368"/>
      <c r="IS41" s="368"/>
      <c r="IT41" s="368"/>
      <c r="IU41" s="368"/>
      <c r="IV41" s="368"/>
      <c r="IW41" s="368"/>
      <c r="IX41" s="368"/>
      <c r="IY41" s="368"/>
      <c r="IZ41" s="368"/>
      <c r="JA41" s="368"/>
      <c r="JB41" s="368"/>
      <c r="JC41" s="368"/>
      <c r="JD41" s="368"/>
      <c r="JE41" s="368"/>
      <c r="JF41" s="368"/>
      <c r="JG41" s="368"/>
      <c r="JH41" s="368"/>
      <c r="JI41" s="368"/>
      <c r="JJ41" s="368"/>
      <c r="JK41" s="368"/>
      <c r="JL41" s="368"/>
      <c r="JM41" s="368"/>
      <c r="JN41" s="368"/>
      <c r="JO41" s="368"/>
      <c r="JP41" s="368"/>
      <c r="JQ41" s="368"/>
      <c r="JR41" s="368"/>
      <c r="JS41" s="368"/>
      <c r="JT41" s="368"/>
      <c r="JU41" s="368"/>
      <c r="JV41" s="368"/>
      <c r="JW41" s="368"/>
      <c r="JX41" s="368"/>
      <c r="JY41" s="368"/>
      <c r="JZ41" s="368"/>
      <c r="KA41" s="368"/>
      <c r="KB41" s="368"/>
      <c r="KC41" s="368"/>
      <c r="KD41" s="368"/>
      <c r="KE41" s="368"/>
      <c r="KF41" s="368"/>
      <c r="KG41" s="368"/>
      <c r="KH41" s="368"/>
      <c r="KI41" s="368"/>
      <c r="KJ41" s="368"/>
      <c r="KK41" s="368"/>
      <c r="KL41" s="368"/>
      <c r="KM41" s="368"/>
      <c r="KN41" s="368"/>
      <c r="KO41" s="368"/>
      <c r="KP41" s="368"/>
      <c r="KQ41" s="368"/>
      <c r="KR41" s="368"/>
      <c r="KS41" s="368"/>
      <c r="KT41" s="368"/>
      <c r="KU41" s="368"/>
      <c r="KV41" s="368"/>
      <c r="KW41" s="368"/>
      <c r="KX41" s="368"/>
      <c r="KY41" s="368"/>
      <c r="KZ41" s="368"/>
      <c r="LA41" s="368"/>
      <c r="LB41" s="368"/>
      <c r="LC41" s="368"/>
      <c r="LD41" s="368"/>
      <c r="LE41" s="368"/>
      <c r="LF41" s="368"/>
      <c r="LG41" s="368"/>
      <c r="LH41" s="368"/>
      <c r="LI41" s="368"/>
      <c r="LJ41" s="368"/>
      <c r="LK41" s="368"/>
      <c r="LL41" s="368"/>
      <c r="LM41" s="368"/>
      <c r="LN41" s="368"/>
      <c r="LO41" s="368"/>
      <c r="LP41" s="368"/>
      <c r="LQ41" s="368"/>
      <c r="LR41" s="368"/>
      <c r="LS41" s="368"/>
      <c r="LT41" s="368"/>
      <c r="LU41" s="368"/>
      <c r="LV41" s="368"/>
      <c r="LW41" s="368"/>
      <c r="LX41" s="368"/>
      <c r="LY41" s="368"/>
      <c r="LZ41" s="368"/>
      <c r="MA41" s="368"/>
      <c r="MB41" s="368"/>
      <c r="MC41" s="368"/>
      <c r="MD41" s="368"/>
      <c r="ME41" s="368"/>
      <c r="MF41" s="368"/>
      <c r="MG41" s="368"/>
      <c r="MH41" s="368"/>
      <c r="MI41" s="368"/>
      <c r="MJ41" s="368"/>
      <c r="MK41" s="368"/>
      <c r="ML41" s="368"/>
      <c r="MM41" s="368"/>
      <c r="MN41" s="368"/>
      <c r="MO41" s="368"/>
      <c r="MP41" s="368"/>
      <c r="MQ41" s="368"/>
      <c r="MR41" s="368"/>
      <c r="MS41" s="368"/>
      <c r="MT41" s="368"/>
      <c r="MU41" s="368"/>
      <c r="MV41" s="368"/>
      <c r="MW41" s="368"/>
      <c r="MX41" s="368"/>
      <c r="MY41" s="368"/>
      <c r="MZ41" s="368"/>
      <c r="NA41" s="368"/>
      <c r="NB41" s="368"/>
      <c r="NC41" s="368"/>
      <c r="ND41" s="368"/>
      <c r="NE41" s="368"/>
      <c r="NF41" s="368"/>
      <c r="NG41" s="368"/>
      <c r="NH41" s="368"/>
      <c r="NI41" s="368"/>
      <c r="NJ41" s="368"/>
      <c r="NK41" s="368"/>
      <c r="NL41" s="368"/>
      <c r="NM41" s="368"/>
      <c r="NN41" s="368"/>
      <c r="NO41" s="368"/>
      <c r="NP41" s="368"/>
      <c r="NQ41" s="368"/>
      <c r="NR41" s="368"/>
      <c r="NS41" s="368"/>
      <c r="NT41" s="368"/>
      <c r="NU41" s="368"/>
      <c r="NV41" s="368"/>
      <c r="NW41" s="368"/>
      <c r="NX41" s="368"/>
      <c r="NY41" s="368"/>
      <c r="NZ41" s="368"/>
      <c r="OA41" s="368"/>
      <c r="OB41" s="368"/>
      <c r="OC41" s="368"/>
      <c r="OD41" s="368"/>
      <c r="OE41" s="368"/>
      <c r="OF41" s="368"/>
      <c r="OG41" s="368"/>
      <c r="OH41" s="368"/>
      <c r="OI41" s="368"/>
      <c r="OJ41" s="368"/>
      <c r="OK41" s="368"/>
      <c r="OL41" s="368"/>
      <c r="OM41" s="368"/>
      <c r="ON41" s="368"/>
      <c r="OO41" s="368"/>
      <c r="OP41" s="368"/>
      <c r="OQ41" s="368"/>
      <c r="OR41" s="368"/>
      <c r="OS41" s="368"/>
      <c r="OT41" s="368"/>
      <c r="OU41" s="368"/>
      <c r="OV41" s="368"/>
      <c r="OW41" s="368"/>
      <c r="OX41" s="368"/>
      <c r="OY41" s="368"/>
      <c r="OZ41" s="368"/>
      <c r="PA41" s="368"/>
      <c r="PB41" s="368"/>
      <c r="PC41" s="368"/>
      <c r="PD41" s="368"/>
      <c r="PE41" s="368"/>
      <c r="PF41" s="368"/>
      <c r="PG41" s="368"/>
      <c r="PH41" s="368"/>
      <c r="PI41" s="368"/>
      <c r="PJ41" s="368"/>
      <c r="PK41" s="368"/>
      <c r="PL41" s="368"/>
      <c r="PM41" s="368"/>
      <c r="PN41" s="368"/>
      <c r="PO41" s="368"/>
      <c r="PP41" s="368"/>
      <c r="PQ41" s="368"/>
      <c r="PR41" s="368"/>
      <c r="PS41" s="368"/>
      <c r="PT41" s="368"/>
      <c r="PU41" s="368"/>
      <c r="PV41" s="368"/>
      <c r="PW41" s="368"/>
      <c r="PX41" s="368"/>
      <c r="PY41" s="368"/>
      <c r="PZ41" s="368"/>
      <c r="QA41" s="368"/>
      <c r="QB41" s="368"/>
      <c r="QC41" s="368"/>
      <c r="QD41" s="368"/>
      <c r="QE41" s="368"/>
      <c r="QF41" s="368"/>
      <c r="QG41" s="368"/>
      <c r="QH41" s="368"/>
      <c r="QI41" s="368"/>
      <c r="QJ41" s="368"/>
      <c r="QK41" s="368"/>
      <c r="QL41" s="368"/>
      <c r="QM41" s="368"/>
      <c r="QN41" s="368"/>
      <c r="QO41" s="368"/>
      <c r="QP41" s="368"/>
      <c r="QQ41" s="368"/>
      <c r="QR41" s="368"/>
      <c r="QS41" s="368"/>
      <c r="QT41" s="368"/>
      <c r="QU41" s="368"/>
      <c r="QV41" s="368"/>
      <c r="QW41" s="368"/>
      <c r="QX41" s="368"/>
      <c r="QY41" s="368"/>
      <c r="QZ41" s="368"/>
      <c r="RA41" s="368"/>
      <c r="RB41" s="368"/>
      <c r="RC41" s="368"/>
      <c r="RD41" s="368"/>
      <c r="RE41" s="368"/>
      <c r="RF41" s="368"/>
      <c r="RG41" s="368"/>
      <c r="RH41" s="368"/>
      <c r="RI41" s="368"/>
      <c r="RJ41" s="368"/>
      <c r="RK41" s="368"/>
      <c r="RL41" s="368"/>
      <c r="RM41" s="368"/>
      <c r="RN41" s="368"/>
      <c r="RO41" s="368"/>
      <c r="RP41" s="368"/>
      <c r="RQ41" s="368"/>
      <c r="RR41" s="368"/>
      <c r="RS41" s="368"/>
      <c r="RT41" s="368"/>
      <c r="RU41" s="368"/>
      <c r="RV41" s="368"/>
      <c r="RW41" s="368"/>
      <c r="RX41" s="368"/>
      <c r="RY41" s="368"/>
      <c r="RZ41" s="368"/>
      <c r="SA41" s="368"/>
      <c r="SB41" s="368"/>
      <c r="SC41" s="368"/>
      <c r="SD41" s="368"/>
      <c r="SE41" s="368"/>
      <c r="SF41" s="368"/>
      <c r="SG41" s="368"/>
      <c r="SH41" s="368"/>
      <c r="SI41" s="368"/>
      <c r="SJ41" s="368"/>
      <c r="SK41" s="368"/>
      <c r="SL41" s="368"/>
      <c r="SM41" s="368"/>
      <c r="SN41" s="368"/>
      <c r="SO41" s="368"/>
      <c r="SP41" s="368"/>
      <c r="SQ41" s="368"/>
      <c r="SR41" s="368"/>
      <c r="SS41" s="368"/>
      <c r="ST41" s="368"/>
      <c r="SU41" s="368"/>
      <c r="SV41" s="368"/>
      <c r="SW41" s="368"/>
      <c r="SX41" s="368"/>
      <c r="SY41" s="368"/>
      <c r="SZ41" s="368"/>
      <c r="TA41" s="368"/>
      <c r="TB41" s="368"/>
      <c r="TC41" s="368"/>
      <c r="TD41" s="368"/>
      <c r="TE41" s="368"/>
      <c r="TF41" s="368"/>
      <c r="TG41" s="368"/>
      <c r="TH41" s="368"/>
      <c r="TI41" s="368"/>
      <c r="TJ41" s="368"/>
      <c r="TK41" s="368"/>
      <c r="TL41" s="368"/>
      <c r="TM41" s="368"/>
      <c r="TN41" s="368"/>
      <c r="TO41" s="368"/>
      <c r="TP41" s="368"/>
      <c r="TQ41" s="368"/>
      <c r="TR41" s="368"/>
      <c r="TS41" s="368"/>
      <c r="TT41" s="368"/>
      <c r="TU41" s="368"/>
      <c r="TV41" s="368"/>
      <c r="TW41" s="368"/>
      <c r="TX41" s="368"/>
      <c r="TY41" s="368"/>
      <c r="TZ41" s="368"/>
      <c r="UA41" s="368"/>
      <c r="UB41" s="368"/>
      <c r="UC41" s="368"/>
      <c r="UD41" s="368"/>
      <c r="UE41" s="368"/>
      <c r="UF41" s="368"/>
      <c r="UG41" s="368"/>
      <c r="UH41" s="368"/>
      <c r="UI41" s="368"/>
      <c r="UJ41" s="368"/>
      <c r="UK41" s="368"/>
      <c r="UL41" s="368"/>
      <c r="UM41" s="368"/>
      <c r="UN41" s="368"/>
      <c r="UO41" s="368"/>
      <c r="UP41" s="368"/>
      <c r="UQ41" s="368"/>
      <c r="UR41" s="368"/>
      <c r="US41" s="368"/>
      <c r="UT41" s="368"/>
      <c r="UU41" s="368"/>
      <c r="UV41" s="368"/>
      <c r="UW41" s="368"/>
      <c r="UX41" s="368"/>
      <c r="UY41" s="368"/>
      <c r="UZ41" s="368"/>
      <c r="VA41" s="368"/>
      <c r="VB41" s="368"/>
      <c r="VC41" s="368"/>
      <c r="VD41" s="368"/>
      <c r="VE41" s="368"/>
      <c r="VF41" s="368"/>
      <c r="VG41" s="368"/>
      <c r="VH41" s="368"/>
      <c r="VI41" s="368"/>
      <c r="VJ41" s="368"/>
      <c r="VK41" s="368"/>
      <c r="VL41" s="368"/>
      <c r="VM41" s="368"/>
      <c r="VN41" s="368"/>
      <c r="VO41" s="368"/>
      <c r="VP41" s="368"/>
      <c r="VQ41" s="368"/>
      <c r="VR41" s="368"/>
      <c r="VS41" s="368"/>
      <c r="VT41" s="368"/>
      <c r="VU41" s="368"/>
      <c r="VV41" s="368"/>
      <c r="VW41" s="368"/>
      <c r="VX41" s="368"/>
      <c r="VY41" s="368"/>
      <c r="VZ41" s="368"/>
      <c r="WA41" s="368"/>
      <c r="WB41" s="368"/>
      <c r="WC41" s="368"/>
      <c r="WD41" s="368"/>
      <c r="WE41" s="368"/>
      <c r="WF41" s="368"/>
      <c r="WG41" s="368"/>
      <c r="WH41" s="368"/>
      <c r="WI41" s="368"/>
      <c r="WJ41" s="368"/>
      <c r="WK41" s="368"/>
      <c r="WL41" s="368"/>
      <c r="WM41" s="368"/>
      <c r="WN41" s="368"/>
      <c r="WO41" s="368"/>
      <c r="WP41" s="368"/>
      <c r="WQ41" s="368"/>
      <c r="WR41" s="368"/>
      <c r="WS41" s="368"/>
      <c r="WT41" s="368"/>
      <c r="WU41" s="368"/>
      <c r="WV41" s="368"/>
      <c r="WW41" s="368"/>
      <c r="WX41" s="368"/>
      <c r="WY41" s="368"/>
      <c r="WZ41" s="368"/>
      <c r="XA41" s="368"/>
      <c r="XB41" s="368"/>
      <c r="XC41" s="368"/>
      <c r="XD41" s="368"/>
      <c r="XE41" s="368"/>
      <c r="XF41" s="368"/>
      <c r="XG41" s="368"/>
      <c r="XH41" s="368"/>
      <c r="XI41" s="368"/>
      <c r="XJ41" s="368"/>
      <c r="XK41" s="368"/>
      <c r="XL41" s="368"/>
      <c r="XM41" s="368"/>
      <c r="XN41" s="368"/>
      <c r="XO41" s="368"/>
      <c r="XP41" s="368"/>
      <c r="XQ41" s="368"/>
      <c r="XR41" s="368"/>
      <c r="XS41" s="368"/>
      <c r="XT41" s="368"/>
      <c r="XU41" s="368"/>
      <c r="XV41" s="368"/>
      <c r="XW41" s="368"/>
      <c r="XX41" s="368"/>
      <c r="XY41" s="368"/>
      <c r="XZ41" s="368"/>
      <c r="YA41" s="368"/>
      <c r="YB41" s="368"/>
      <c r="YC41" s="368"/>
      <c r="YD41" s="368"/>
      <c r="YE41" s="368"/>
      <c r="YF41" s="368"/>
      <c r="YG41" s="368"/>
      <c r="YH41" s="368"/>
      <c r="YI41" s="368"/>
      <c r="YJ41" s="368"/>
      <c r="YK41" s="368"/>
      <c r="YL41" s="368"/>
      <c r="YM41" s="368"/>
      <c r="YN41" s="368"/>
      <c r="YO41" s="368"/>
      <c r="YP41" s="368"/>
      <c r="YQ41" s="368"/>
      <c r="YR41" s="368"/>
      <c r="YS41" s="368"/>
      <c r="YT41" s="368"/>
      <c r="YU41" s="368"/>
      <c r="YV41" s="368"/>
      <c r="YW41" s="368"/>
      <c r="YX41" s="368"/>
      <c r="YY41" s="368"/>
      <c r="YZ41" s="368"/>
      <c r="ZA41" s="368"/>
      <c r="ZB41" s="368"/>
      <c r="ZC41" s="368"/>
      <c r="ZD41" s="368"/>
      <c r="ZE41" s="368"/>
      <c r="ZF41" s="368"/>
      <c r="ZG41" s="368"/>
      <c r="ZH41" s="368"/>
      <c r="ZI41" s="368"/>
      <c r="ZJ41" s="368"/>
      <c r="ZK41" s="368"/>
      <c r="ZL41" s="368"/>
      <c r="ZM41" s="368"/>
      <c r="ZN41" s="368"/>
      <c r="ZO41" s="368"/>
      <c r="ZP41" s="368"/>
      <c r="ZQ41" s="368"/>
      <c r="ZR41" s="368"/>
      <c r="ZS41" s="368"/>
      <c r="ZT41" s="368"/>
      <c r="ZU41" s="368"/>
      <c r="ZV41" s="368"/>
      <c r="ZW41" s="368"/>
      <c r="ZX41" s="368"/>
      <c r="ZY41" s="368"/>
      <c r="ZZ41" s="368"/>
      <c r="AAA41" s="368"/>
      <c r="AAB41" s="368"/>
      <c r="AAC41" s="368"/>
      <c r="AAD41" s="368"/>
      <c r="AAE41" s="368"/>
      <c r="AAF41" s="368"/>
      <c r="AAG41" s="368"/>
      <c r="AAH41" s="368"/>
      <c r="AAI41" s="368"/>
      <c r="AAJ41" s="368"/>
      <c r="AAK41" s="368"/>
      <c r="AAL41" s="368"/>
      <c r="AAM41" s="368"/>
      <c r="AAN41" s="368"/>
      <c r="AAO41" s="368"/>
      <c r="AAP41" s="368"/>
      <c r="AAQ41" s="368"/>
      <c r="AAR41" s="368"/>
      <c r="AAS41" s="368"/>
      <c r="AAT41" s="368"/>
      <c r="AAU41" s="368"/>
      <c r="AAV41" s="368"/>
      <c r="AAW41" s="368"/>
      <c r="AAX41" s="368"/>
      <c r="AAY41" s="368"/>
      <c r="AAZ41" s="368"/>
      <c r="ABA41" s="368"/>
      <c r="ABB41" s="368"/>
      <c r="ABC41" s="368"/>
      <c r="ABD41" s="368"/>
      <c r="ABE41" s="368"/>
      <c r="ABF41" s="368"/>
      <c r="ABG41" s="368"/>
      <c r="ABH41" s="368"/>
      <c r="ABI41" s="368"/>
      <c r="ABJ41" s="368"/>
      <c r="ABK41" s="368"/>
      <c r="ABL41" s="368"/>
      <c r="ABM41" s="368"/>
      <c r="ABN41" s="368"/>
      <c r="ABO41" s="368"/>
      <c r="ABP41" s="368"/>
      <c r="ABQ41" s="368"/>
      <c r="ABR41" s="368"/>
      <c r="ABS41" s="368"/>
      <c r="ABT41" s="368"/>
      <c r="ABU41" s="368"/>
      <c r="ABV41" s="368"/>
      <c r="ABW41" s="368"/>
      <c r="ABX41" s="368"/>
      <c r="ABY41" s="368"/>
      <c r="ABZ41" s="368"/>
      <c r="ACA41" s="368"/>
      <c r="ACB41" s="368"/>
      <c r="ACC41" s="368"/>
      <c r="ACD41" s="368"/>
      <c r="ACE41" s="368"/>
      <c r="ACF41" s="368"/>
      <c r="ACG41" s="368"/>
      <c r="ACH41" s="368"/>
      <c r="ACI41" s="368"/>
      <c r="ACJ41" s="368"/>
      <c r="ACK41" s="368"/>
      <c r="ACL41" s="368"/>
      <c r="ACM41" s="368"/>
      <c r="ACN41" s="368"/>
      <c r="ACO41" s="368"/>
      <c r="ACP41" s="368"/>
      <c r="ACQ41" s="368"/>
      <c r="ACR41" s="368"/>
      <c r="ACS41" s="368"/>
      <c r="ACT41" s="368"/>
      <c r="ACU41" s="368"/>
      <c r="ACV41" s="368"/>
      <c r="ACW41" s="368"/>
      <c r="ACX41" s="368"/>
      <c r="ACY41" s="368"/>
      <c r="ACZ41" s="368"/>
      <c r="ADA41" s="368"/>
      <c r="ADB41" s="368"/>
      <c r="ADC41" s="368"/>
      <c r="ADD41" s="368"/>
      <c r="ADE41" s="368"/>
      <c r="ADF41" s="368"/>
      <c r="ADG41" s="368"/>
      <c r="ADH41" s="368"/>
      <c r="ADI41" s="368"/>
      <c r="ADJ41" s="368"/>
      <c r="ADK41" s="368"/>
      <c r="ADL41" s="368"/>
      <c r="ADM41" s="368"/>
      <c r="ADN41" s="368"/>
      <c r="ADO41" s="368"/>
      <c r="ADP41" s="368"/>
      <c r="ADQ41" s="368"/>
      <c r="ADR41" s="368"/>
      <c r="ADS41" s="368"/>
      <c r="ADT41" s="368"/>
      <c r="ADU41" s="368"/>
      <c r="ADV41" s="368"/>
      <c r="ADW41" s="368"/>
      <c r="ADX41" s="368"/>
      <c r="ADY41" s="368"/>
      <c r="ADZ41" s="368"/>
      <c r="AEA41" s="368"/>
      <c r="AEB41" s="368"/>
      <c r="AEC41" s="368"/>
      <c r="AED41" s="368"/>
      <c r="AEE41" s="368"/>
      <c r="AEF41" s="368"/>
      <c r="AEG41" s="368"/>
      <c r="AEH41" s="368"/>
      <c r="AEI41" s="368"/>
      <c r="AEJ41" s="368"/>
      <c r="AEK41" s="368"/>
      <c r="AEL41" s="368"/>
      <c r="AEM41" s="368"/>
      <c r="AEN41" s="368"/>
      <c r="AEO41" s="368"/>
      <c r="AEP41" s="368"/>
      <c r="AEQ41" s="368"/>
      <c r="AER41" s="368"/>
      <c r="AES41" s="368"/>
      <c r="AET41" s="368"/>
      <c r="AEU41" s="368"/>
      <c r="AEV41" s="368"/>
      <c r="AEW41" s="368"/>
      <c r="AEX41" s="368"/>
      <c r="AEY41" s="368"/>
      <c r="AEZ41" s="368"/>
      <c r="AFA41" s="368"/>
      <c r="AFB41" s="368"/>
      <c r="AFC41" s="368"/>
      <c r="AFD41" s="368"/>
      <c r="AFE41" s="368"/>
      <c r="AFF41" s="368"/>
      <c r="AFG41" s="368"/>
      <c r="AFH41" s="368"/>
      <c r="AFI41" s="368"/>
      <c r="AFJ41" s="368"/>
      <c r="AFK41" s="368"/>
      <c r="AFL41" s="368"/>
      <c r="AFM41" s="368"/>
      <c r="AFN41" s="368"/>
      <c r="AFO41" s="368"/>
      <c r="AFP41" s="368"/>
      <c r="AFQ41" s="368"/>
      <c r="AFR41" s="368"/>
      <c r="AFS41" s="368"/>
      <c r="AFT41" s="368"/>
      <c r="AFU41" s="368"/>
      <c r="AFV41" s="368"/>
      <c r="AFW41" s="368"/>
      <c r="AFX41" s="368"/>
      <c r="AFY41" s="368"/>
      <c r="AFZ41" s="368"/>
      <c r="AGA41" s="368"/>
      <c r="AGB41" s="368"/>
      <c r="AGC41" s="368"/>
      <c r="AGD41" s="368"/>
      <c r="AGE41" s="368"/>
      <c r="AGF41" s="368"/>
      <c r="AGG41" s="368"/>
      <c r="AGH41" s="368"/>
      <c r="AGI41" s="368"/>
      <c r="AGJ41" s="368"/>
      <c r="AGK41" s="368"/>
      <c r="AGL41" s="368"/>
      <c r="AGM41" s="368"/>
      <c r="AGN41" s="368"/>
      <c r="AGO41" s="368"/>
      <c r="AGP41" s="368"/>
      <c r="AGQ41" s="368"/>
      <c r="AGR41" s="368"/>
      <c r="AGS41" s="368"/>
      <c r="AGT41" s="368"/>
      <c r="AGU41" s="368"/>
      <c r="AGV41" s="368"/>
      <c r="AGW41" s="368"/>
      <c r="AGX41" s="368"/>
      <c r="AGY41" s="368"/>
      <c r="AGZ41" s="368"/>
      <c r="AHA41" s="368"/>
      <c r="AHB41" s="368"/>
      <c r="AHC41" s="368"/>
      <c r="AHD41" s="368"/>
      <c r="AHE41" s="368"/>
      <c r="AHF41" s="368"/>
      <c r="AHG41" s="368"/>
      <c r="AHH41" s="368"/>
      <c r="AHI41" s="368"/>
      <c r="AHJ41" s="368"/>
      <c r="AHK41" s="368"/>
      <c r="AHL41" s="368"/>
      <c r="AHM41" s="368"/>
      <c r="AHN41" s="368"/>
      <c r="AHO41" s="368"/>
      <c r="AHP41" s="368"/>
      <c r="AHQ41" s="368"/>
      <c r="AHR41" s="368"/>
      <c r="AHS41" s="368"/>
      <c r="AHT41" s="368"/>
      <c r="AHU41" s="368"/>
      <c r="AHV41" s="368"/>
      <c r="AHW41" s="368"/>
      <c r="AHX41" s="368"/>
      <c r="AHY41" s="368"/>
      <c r="AHZ41" s="368"/>
      <c r="AIA41" s="368"/>
      <c r="AIB41" s="368"/>
      <c r="AIC41" s="368"/>
      <c r="AID41" s="368"/>
      <c r="AIE41" s="368"/>
      <c r="AIF41" s="368"/>
      <c r="AIG41" s="368"/>
      <c r="AIH41" s="368"/>
      <c r="AII41" s="368"/>
      <c r="AIJ41" s="368"/>
      <c r="AIK41" s="368"/>
      <c r="AIL41" s="368"/>
      <c r="AIM41" s="368"/>
      <c r="AIN41" s="368"/>
      <c r="AIO41" s="368"/>
      <c r="AIP41" s="368"/>
      <c r="AIQ41" s="368"/>
      <c r="AIR41" s="368"/>
      <c r="AIS41" s="368"/>
      <c r="AIT41" s="368"/>
      <c r="AIU41" s="368"/>
      <c r="AIV41" s="368"/>
      <c r="AIW41" s="368"/>
      <c r="AIX41" s="368"/>
      <c r="AIY41" s="368"/>
      <c r="AIZ41" s="368"/>
      <c r="AJA41" s="368"/>
      <c r="AJB41" s="368"/>
      <c r="AJC41" s="368"/>
      <c r="AJD41" s="368"/>
      <c r="AJE41" s="368"/>
      <c r="AJF41" s="368"/>
      <c r="AJG41" s="368"/>
      <c r="AJH41" s="368"/>
      <c r="AJI41" s="368"/>
      <c r="AJJ41" s="368"/>
      <c r="AJK41" s="368"/>
      <c r="AJL41" s="368"/>
      <c r="AJM41" s="368"/>
      <c r="AJN41" s="368"/>
      <c r="AJO41" s="368"/>
      <c r="AJP41" s="368"/>
      <c r="AJQ41" s="368"/>
      <c r="AJR41" s="368"/>
      <c r="AJS41" s="368"/>
      <c r="AJT41" s="368"/>
      <c r="AJU41" s="368"/>
      <c r="AJV41" s="368"/>
      <c r="AJW41" s="368"/>
      <c r="AJX41" s="368"/>
      <c r="AJY41" s="368"/>
      <c r="AJZ41" s="368"/>
      <c r="AKA41" s="368"/>
      <c r="AKB41" s="368"/>
      <c r="AKC41" s="368"/>
      <c r="AKD41" s="368"/>
      <c r="AKE41" s="368"/>
      <c r="AKF41" s="368"/>
      <c r="AKG41" s="368"/>
      <c r="AKH41" s="368"/>
      <c r="AKI41" s="368"/>
      <c r="AKJ41" s="368"/>
      <c r="AKK41" s="368"/>
      <c r="AKL41" s="368"/>
      <c r="AKM41" s="368"/>
      <c r="AKN41" s="368"/>
    </row>
    <row r="42" spans="1:976" s="363" customFormat="1" ht="22.5" customHeight="1" x14ac:dyDescent="0.2">
      <c r="A42" s="358" t="s">
        <v>262</v>
      </c>
      <c r="B42" s="358"/>
      <c r="C42" s="358" t="s">
        <v>221</v>
      </c>
      <c r="D42" s="358" t="s">
        <v>222</v>
      </c>
      <c r="E42" s="359">
        <v>407975</v>
      </c>
      <c r="F42" s="359">
        <v>747</v>
      </c>
      <c r="G42" s="359">
        <v>99</v>
      </c>
      <c r="H42" s="359">
        <v>0</v>
      </c>
      <c r="I42" s="360">
        <v>45765</v>
      </c>
      <c r="J42" s="358" t="s">
        <v>395</v>
      </c>
      <c r="K42" s="358" t="s">
        <v>399</v>
      </c>
      <c r="L42" s="361">
        <v>235.32</v>
      </c>
      <c r="M42" s="361">
        <v>13.62</v>
      </c>
      <c r="N42" s="448">
        <v>248.94</v>
      </c>
      <c r="O42" s="358"/>
      <c r="P42" s="362">
        <v>45782</v>
      </c>
      <c r="Q42" s="361">
        <v>248.94</v>
      </c>
      <c r="R42" s="358" t="s">
        <v>400</v>
      </c>
      <c r="S42" s="361">
        <v>0</v>
      </c>
      <c r="T42" s="361">
        <v>0</v>
      </c>
      <c r="U42" s="361">
        <v>0</v>
      </c>
      <c r="V42" s="361">
        <v>0</v>
      </c>
      <c r="W42" s="358"/>
      <c r="X42" s="358" t="s">
        <v>365</v>
      </c>
      <c r="Y42" s="358" t="s">
        <v>366</v>
      </c>
      <c r="Z42" s="358" t="s">
        <v>288</v>
      </c>
      <c r="AA42" s="358" t="s">
        <v>228</v>
      </c>
      <c r="AB42" s="358" t="s">
        <v>289</v>
      </c>
      <c r="AC42" s="358" t="s">
        <v>31</v>
      </c>
      <c r="AD42" s="358" t="s">
        <v>231</v>
      </c>
      <c r="AE42" s="358" t="s">
        <v>232</v>
      </c>
      <c r="AF42" s="358" t="s">
        <v>231</v>
      </c>
      <c r="AG42" s="358" t="s">
        <v>232</v>
      </c>
      <c r="AH42" s="358"/>
      <c r="AI42" s="358"/>
      <c r="AJ42" s="358"/>
      <c r="AK42" s="358" t="s">
        <v>401</v>
      </c>
      <c r="AL42" s="359">
        <v>1</v>
      </c>
      <c r="AM42" s="359">
        <v>0</v>
      </c>
      <c r="AN42" s="360">
        <v>45782</v>
      </c>
      <c r="AO42" s="360">
        <v>45782</v>
      </c>
      <c r="AP42" s="361">
        <v>248.94</v>
      </c>
      <c r="AQ42" s="360">
        <v>45781</v>
      </c>
      <c r="AR42" s="368"/>
      <c r="AS42" s="368"/>
      <c r="AT42" s="368"/>
      <c r="AU42" s="368"/>
      <c r="AV42" s="368"/>
      <c r="AW42" s="368"/>
      <c r="AX42" s="368"/>
      <c r="AY42" s="368"/>
      <c r="AZ42" s="368"/>
      <c r="BA42" s="368"/>
      <c r="BB42" s="368"/>
      <c r="BC42" s="368"/>
      <c r="BD42" s="368"/>
      <c r="BE42" s="368"/>
      <c r="BF42" s="368"/>
      <c r="BG42" s="368"/>
      <c r="BH42" s="368"/>
      <c r="BI42" s="368"/>
      <c r="BJ42" s="368"/>
      <c r="BK42" s="368"/>
      <c r="BL42" s="368"/>
      <c r="BM42" s="368"/>
      <c r="BN42" s="368"/>
      <c r="BO42" s="368"/>
      <c r="BP42" s="368"/>
      <c r="BQ42" s="368"/>
      <c r="BR42" s="368"/>
      <c r="BS42" s="368"/>
      <c r="BT42" s="368"/>
      <c r="BU42" s="368"/>
      <c r="BV42" s="368"/>
      <c r="BW42" s="368"/>
      <c r="BX42" s="368"/>
      <c r="BY42" s="368"/>
      <c r="BZ42" s="368"/>
      <c r="CA42" s="368"/>
      <c r="CB42" s="368"/>
      <c r="CC42" s="368"/>
      <c r="CD42" s="368"/>
      <c r="CE42" s="368"/>
      <c r="CF42" s="368"/>
      <c r="CG42" s="368"/>
      <c r="CH42" s="368"/>
      <c r="CI42" s="368"/>
      <c r="CJ42" s="368"/>
      <c r="CK42" s="368"/>
      <c r="CL42" s="368"/>
      <c r="CM42" s="368"/>
      <c r="CN42" s="368"/>
      <c r="CO42" s="368"/>
      <c r="CP42" s="368"/>
      <c r="CQ42" s="368"/>
      <c r="CR42" s="368"/>
      <c r="CS42" s="368"/>
      <c r="CT42" s="368"/>
      <c r="CU42" s="368"/>
      <c r="CV42" s="368"/>
      <c r="CW42" s="368"/>
      <c r="CX42" s="368"/>
      <c r="CY42" s="368"/>
      <c r="CZ42" s="368"/>
      <c r="DA42" s="368"/>
      <c r="DB42" s="368"/>
      <c r="DC42" s="368"/>
      <c r="DD42" s="368"/>
      <c r="DE42" s="368"/>
      <c r="DF42" s="368"/>
      <c r="DG42" s="368"/>
      <c r="DH42" s="368"/>
      <c r="DI42" s="368"/>
      <c r="DJ42" s="368"/>
      <c r="DK42" s="368"/>
      <c r="DL42" s="368"/>
      <c r="DM42" s="368"/>
      <c r="DN42" s="368"/>
      <c r="DO42" s="368"/>
      <c r="DP42" s="368"/>
      <c r="DQ42" s="368"/>
      <c r="DR42" s="368"/>
      <c r="DS42" s="368"/>
      <c r="DT42" s="368"/>
      <c r="DU42" s="368"/>
      <c r="DV42" s="368"/>
      <c r="DW42" s="368"/>
      <c r="DX42" s="368"/>
      <c r="DY42" s="368"/>
      <c r="DZ42" s="368"/>
      <c r="EA42" s="368"/>
      <c r="EB42" s="368"/>
      <c r="EC42" s="368"/>
      <c r="ED42" s="368"/>
      <c r="EE42" s="368"/>
      <c r="EF42" s="368"/>
      <c r="EG42" s="368"/>
      <c r="EH42" s="368"/>
      <c r="EI42" s="368"/>
      <c r="EJ42" s="368"/>
      <c r="EK42" s="368"/>
      <c r="EL42" s="368"/>
      <c r="EM42" s="368"/>
      <c r="EN42" s="368"/>
      <c r="EO42" s="368"/>
      <c r="EP42" s="368"/>
      <c r="EQ42" s="368"/>
      <c r="ER42" s="368"/>
      <c r="ES42" s="368"/>
      <c r="ET42" s="368"/>
      <c r="EU42" s="368"/>
      <c r="EV42" s="368"/>
      <c r="EW42" s="368"/>
      <c r="EX42" s="368"/>
      <c r="EY42" s="368"/>
      <c r="EZ42" s="368"/>
      <c r="FA42" s="368"/>
      <c r="FB42" s="368"/>
      <c r="FC42" s="368"/>
      <c r="FD42" s="368"/>
      <c r="FE42" s="368"/>
      <c r="FF42" s="368"/>
      <c r="FG42" s="368"/>
      <c r="FH42" s="368"/>
      <c r="FI42" s="368"/>
      <c r="FJ42" s="368"/>
      <c r="FK42" s="368"/>
      <c r="FL42" s="368"/>
      <c r="FM42" s="368"/>
      <c r="FN42" s="368"/>
      <c r="FO42" s="368"/>
      <c r="FP42" s="368"/>
      <c r="FQ42" s="368"/>
      <c r="FR42" s="368"/>
      <c r="FS42" s="368"/>
      <c r="FT42" s="368"/>
      <c r="FU42" s="368"/>
      <c r="FV42" s="368"/>
      <c r="FW42" s="368"/>
      <c r="FX42" s="368"/>
      <c r="FY42" s="368"/>
      <c r="FZ42" s="368"/>
      <c r="GA42" s="368"/>
      <c r="GB42" s="368"/>
      <c r="GC42" s="368"/>
      <c r="GD42" s="368"/>
      <c r="GE42" s="368"/>
      <c r="GF42" s="368"/>
      <c r="GG42" s="368"/>
      <c r="GH42" s="368"/>
      <c r="GI42" s="368"/>
      <c r="GJ42" s="368"/>
      <c r="GK42" s="368"/>
      <c r="GL42" s="368"/>
      <c r="GM42" s="368"/>
      <c r="GN42" s="368"/>
      <c r="GO42" s="368"/>
      <c r="GP42" s="368"/>
      <c r="GQ42" s="368"/>
      <c r="GR42" s="368"/>
      <c r="GS42" s="368"/>
      <c r="GT42" s="368"/>
      <c r="GU42" s="368"/>
      <c r="GV42" s="368"/>
      <c r="GW42" s="368"/>
      <c r="GX42" s="368"/>
      <c r="GY42" s="368"/>
      <c r="GZ42" s="368"/>
      <c r="HA42" s="368"/>
      <c r="HB42" s="368"/>
      <c r="HC42" s="368"/>
      <c r="HD42" s="368"/>
      <c r="HE42" s="368"/>
      <c r="HF42" s="368"/>
      <c r="HG42" s="368"/>
      <c r="HH42" s="368"/>
      <c r="HI42" s="368"/>
      <c r="HJ42" s="368"/>
      <c r="HK42" s="368"/>
      <c r="HL42" s="368"/>
      <c r="HM42" s="368"/>
      <c r="HN42" s="368"/>
      <c r="HO42" s="368"/>
      <c r="HP42" s="368"/>
      <c r="HQ42" s="368"/>
      <c r="HR42" s="368"/>
      <c r="HS42" s="368"/>
      <c r="HT42" s="368"/>
      <c r="HU42" s="368"/>
      <c r="HV42" s="368"/>
      <c r="HW42" s="368"/>
      <c r="HX42" s="368"/>
      <c r="HY42" s="368"/>
      <c r="HZ42" s="368"/>
      <c r="IA42" s="368"/>
      <c r="IB42" s="368"/>
      <c r="IC42" s="368"/>
      <c r="ID42" s="368"/>
      <c r="IE42" s="368"/>
      <c r="IF42" s="368"/>
      <c r="IG42" s="368"/>
      <c r="IH42" s="368"/>
      <c r="II42" s="368"/>
      <c r="IJ42" s="368"/>
      <c r="IK42" s="368"/>
      <c r="IL42" s="368"/>
      <c r="IM42" s="368"/>
      <c r="IN42" s="368"/>
      <c r="IO42" s="368"/>
      <c r="IP42" s="368"/>
      <c r="IQ42" s="368"/>
      <c r="IR42" s="368"/>
      <c r="IS42" s="368"/>
      <c r="IT42" s="368"/>
      <c r="IU42" s="368"/>
      <c r="IV42" s="368"/>
      <c r="IW42" s="368"/>
      <c r="IX42" s="368"/>
      <c r="IY42" s="368"/>
      <c r="IZ42" s="368"/>
      <c r="JA42" s="368"/>
      <c r="JB42" s="368"/>
      <c r="JC42" s="368"/>
      <c r="JD42" s="368"/>
      <c r="JE42" s="368"/>
      <c r="JF42" s="368"/>
      <c r="JG42" s="368"/>
      <c r="JH42" s="368"/>
      <c r="JI42" s="368"/>
      <c r="JJ42" s="368"/>
      <c r="JK42" s="368"/>
      <c r="JL42" s="368"/>
      <c r="JM42" s="368"/>
      <c r="JN42" s="368"/>
      <c r="JO42" s="368"/>
      <c r="JP42" s="368"/>
      <c r="JQ42" s="368"/>
      <c r="JR42" s="368"/>
      <c r="JS42" s="368"/>
      <c r="JT42" s="368"/>
      <c r="JU42" s="368"/>
      <c r="JV42" s="368"/>
      <c r="JW42" s="368"/>
      <c r="JX42" s="368"/>
      <c r="JY42" s="368"/>
      <c r="JZ42" s="368"/>
      <c r="KA42" s="368"/>
      <c r="KB42" s="368"/>
      <c r="KC42" s="368"/>
      <c r="KD42" s="368"/>
      <c r="KE42" s="368"/>
      <c r="KF42" s="368"/>
      <c r="KG42" s="368"/>
      <c r="KH42" s="368"/>
      <c r="KI42" s="368"/>
      <c r="KJ42" s="368"/>
      <c r="KK42" s="368"/>
      <c r="KL42" s="368"/>
      <c r="KM42" s="368"/>
      <c r="KN42" s="368"/>
      <c r="KO42" s="368"/>
      <c r="KP42" s="368"/>
      <c r="KQ42" s="368"/>
      <c r="KR42" s="368"/>
      <c r="KS42" s="368"/>
      <c r="KT42" s="368"/>
      <c r="KU42" s="368"/>
      <c r="KV42" s="368"/>
      <c r="KW42" s="368"/>
      <c r="KX42" s="368"/>
      <c r="KY42" s="368"/>
      <c r="KZ42" s="368"/>
      <c r="LA42" s="368"/>
      <c r="LB42" s="368"/>
      <c r="LC42" s="368"/>
      <c r="LD42" s="368"/>
      <c r="LE42" s="368"/>
      <c r="LF42" s="368"/>
      <c r="LG42" s="368"/>
      <c r="LH42" s="368"/>
      <c r="LI42" s="368"/>
      <c r="LJ42" s="368"/>
      <c r="LK42" s="368"/>
      <c r="LL42" s="368"/>
      <c r="LM42" s="368"/>
      <c r="LN42" s="368"/>
      <c r="LO42" s="368"/>
      <c r="LP42" s="368"/>
      <c r="LQ42" s="368"/>
      <c r="LR42" s="368"/>
      <c r="LS42" s="368"/>
      <c r="LT42" s="368"/>
      <c r="LU42" s="368"/>
      <c r="LV42" s="368"/>
      <c r="LW42" s="368"/>
      <c r="LX42" s="368"/>
      <c r="LY42" s="368"/>
      <c r="LZ42" s="368"/>
      <c r="MA42" s="368"/>
      <c r="MB42" s="368"/>
      <c r="MC42" s="368"/>
      <c r="MD42" s="368"/>
      <c r="ME42" s="368"/>
      <c r="MF42" s="368"/>
      <c r="MG42" s="368"/>
      <c r="MH42" s="368"/>
      <c r="MI42" s="368"/>
      <c r="MJ42" s="368"/>
      <c r="MK42" s="368"/>
      <c r="ML42" s="368"/>
      <c r="MM42" s="368"/>
      <c r="MN42" s="368"/>
      <c r="MO42" s="368"/>
      <c r="MP42" s="368"/>
      <c r="MQ42" s="368"/>
      <c r="MR42" s="368"/>
      <c r="MS42" s="368"/>
      <c r="MT42" s="368"/>
      <c r="MU42" s="368"/>
      <c r="MV42" s="368"/>
      <c r="MW42" s="368"/>
      <c r="MX42" s="368"/>
      <c r="MY42" s="368"/>
      <c r="MZ42" s="368"/>
      <c r="NA42" s="368"/>
      <c r="NB42" s="368"/>
      <c r="NC42" s="368"/>
      <c r="ND42" s="368"/>
      <c r="NE42" s="368"/>
      <c r="NF42" s="368"/>
      <c r="NG42" s="368"/>
      <c r="NH42" s="368"/>
      <c r="NI42" s="368"/>
      <c r="NJ42" s="368"/>
      <c r="NK42" s="368"/>
      <c r="NL42" s="368"/>
      <c r="NM42" s="368"/>
      <c r="NN42" s="368"/>
      <c r="NO42" s="368"/>
      <c r="NP42" s="368"/>
      <c r="NQ42" s="368"/>
      <c r="NR42" s="368"/>
      <c r="NS42" s="368"/>
      <c r="NT42" s="368"/>
      <c r="NU42" s="368"/>
      <c r="NV42" s="368"/>
      <c r="NW42" s="368"/>
      <c r="NX42" s="368"/>
      <c r="NY42" s="368"/>
      <c r="NZ42" s="368"/>
      <c r="OA42" s="368"/>
      <c r="OB42" s="368"/>
      <c r="OC42" s="368"/>
      <c r="OD42" s="368"/>
      <c r="OE42" s="368"/>
      <c r="OF42" s="368"/>
      <c r="OG42" s="368"/>
      <c r="OH42" s="368"/>
      <c r="OI42" s="368"/>
      <c r="OJ42" s="368"/>
      <c r="OK42" s="368"/>
      <c r="OL42" s="368"/>
      <c r="OM42" s="368"/>
      <c r="ON42" s="368"/>
      <c r="OO42" s="368"/>
      <c r="OP42" s="368"/>
      <c r="OQ42" s="368"/>
      <c r="OR42" s="368"/>
      <c r="OS42" s="368"/>
      <c r="OT42" s="368"/>
      <c r="OU42" s="368"/>
      <c r="OV42" s="368"/>
      <c r="OW42" s="368"/>
      <c r="OX42" s="368"/>
      <c r="OY42" s="368"/>
      <c r="OZ42" s="368"/>
      <c r="PA42" s="368"/>
      <c r="PB42" s="368"/>
      <c r="PC42" s="368"/>
      <c r="PD42" s="368"/>
      <c r="PE42" s="368"/>
      <c r="PF42" s="368"/>
      <c r="PG42" s="368"/>
      <c r="PH42" s="368"/>
      <c r="PI42" s="368"/>
      <c r="PJ42" s="368"/>
      <c r="PK42" s="368"/>
      <c r="PL42" s="368"/>
      <c r="PM42" s="368"/>
      <c r="PN42" s="368"/>
      <c r="PO42" s="368"/>
      <c r="PP42" s="368"/>
      <c r="PQ42" s="368"/>
      <c r="PR42" s="368"/>
      <c r="PS42" s="368"/>
      <c r="PT42" s="368"/>
      <c r="PU42" s="368"/>
      <c r="PV42" s="368"/>
      <c r="PW42" s="368"/>
      <c r="PX42" s="368"/>
      <c r="PY42" s="368"/>
      <c r="PZ42" s="368"/>
      <c r="QA42" s="368"/>
      <c r="QB42" s="368"/>
      <c r="QC42" s="368"/>
      <c r="QD42" s="368"/>
      <c r="QE42" s="368"/>
      <c r="QF42" s="368"/>
      <c r="QG42" s="368"/>
      <c r="QH42" s="368"/>
      <c r="QI42" s="368"/>
      <c r="QJ42" s="368"/>
      <c r="QK42" s="368"/>
      <c r="QL42" s="368"/>
      <c r="QM42" s="368"/>
      <c r="QN42" s="368"/>
      <c r="QO42" s="368"/>
      <c r="QP42" s="368"/>
      <c r="QQ42" s="368"/>
      <c r="QR42" s="368"/>
      <c r="QS42" s="368"/>
      <c r="QT42" s="368"/>
      <c r="QU42" s="368"/>
      <c r="QV42" s="368"/>
      <c r="QW42" s="368"/>
      <c r="QX42" s="368"/>
      <c r="QY42" s="368"/>
      <c r="QZ42" s="368"/>
      <c r="RA42" s="368"/>
      <c r="RB42" s="368"/>
      <c r="RC42" s="368"/>
      <c r="RD42" s="368"/>
      <c r="RE42" s="368"/>
      <c r="RF42" s="368"/>
      <c r="RG42" s="368"/>
      <c r="RH42" s="368"/>
      <c r="RI42" s="368"/>
      <c r="RJ42" s="368"/>
      <c r="RK42" s="368"/>
      <c r="RL42" s="368"/>
      <c r="RM42" s="368"/>
      <c r="RN42" s="368"/>
      <c r="RO42" s="368"/>
      <c r="RP42" s="368"/>
      <c r="RQ42" s="368"/>
      <c r="RR42" s="368"/>
      <c r="RS42" s="368"/>
      <c r="RT42" s="368"/>
      <c r="RU42" s="368"/>
      <c r="RV42" s="368"/>
      <c r="RW42" s="368"/>
      <c r="RX42" s="368"/>
      <c r="RY42" s="368"/>
      <c r="RZ42" s="368"/>
      <c r="SA42" s="368"/>
      <c r="SB42" s="368"/>
      <c r="SC42" s="368"/>
      <c r="SD42" s="368"/>
      <c r="SE42" s="368"/>
      <c r="SF42" s="368"/>
      <c r="SG42" s="368"/>
      <c r="SH42" s="368"/>
      <c r="SI42" s="368"/>
      <c r="SJ42" s="368"/>
      <c r="SK42" s="368"/>
      <c r="SL42" s="368"/>
      <c r="SM42" s="368"/>
      <c r="SN42" s="368"/>
      <c r="SO42" s="368"/>
      <c r="SP42" s="368"/>
      <c r="SQ42" s="368"/>
      <c r="SR42" s="368"/>
      <c r="SS42" s="368"/>
      <c r="ST42" s="368"/>
      <c r="SU42" s="368"/>
      <c r="SV42" s="368"/>
      <c r="SW42" s="368"/>
      <c r="SX42" s="368"/>
      <c r="SY42" s="368"/>
      <c r="SZ42" s="368"/>
      <c r="TA42" s="368"/>
      <c r="TB42" s="368"/>
      <c r="TC42" s="368"/>
      <c r="TD42" s="368"/>
      <c r="TE42" s="368"/>
      <c r="TF42" s="368"/>
      <c r="TG42" s="368"/>
      <c r="TH42" s="368"/>
      <c r="TI42" s="368"/>
      <c r="TJ42" s="368"/>
      <c r="TK42" s="368"/>
      <c r="TL42" s="368"/>
      <c r="TM42" s="368"/>
      <c r="TN42" s="368"/>
      <c r="TO42" s="368"/>
      <c r="TP42" s="368"/>
      <c r="TQ42" s="368"/>
      <c r="TR42" s="368"/>
      <c r="TS42" s="368"/>
      <c r="TT42" s="368"/>
      <c r="TU42" s="368"/>
      <c r="TV42" s="368"/>
      <c r="TW42" s="368"/>
      <c r="TX42" s="368"/>
      <c r="TY42" s="368"/>
      <c r="TZ42" s="368"/>
      <c r="UA42" s="368"/>
      <c r="UB42" s="368"/>
      <c r="UC42" s="368"/>
      <c r="UD42" s="368"/>
      <c r="UE42" s="368"/>
      <c r="UF42" s="368"/>
      <c r="UG42" s="368"/>
      <c r="UH42" s="368"/>
      <c r="UI42" s="368"/>
      <c r="UJ42" s="368"/>
      <c r="UK42" s="368"/>
      <c r="UL42" s="368"/>
      <c r="UM42" s="368"/>
      <c r="UN42" s="368"/>
      <c r="UO42" s="368"/>
      <c r="UP42" s="368"/>
      <c r="UQ42" s="368"/>
      <c r="UR42" s="368"/>
      <c r="US42" s="368"/>
      <c r="UT42" s="368"/>
      <c r="UU42" s="368"/>
      <c r="UV42" s="368"/>
      <c r="UW42" s="368"/>
      <c r="UX42" s="368"/>
      <c r="UY42" s="368"/>
      <c r="UZ42" s="368"/>
      <c r="VA42" s="368"/>
      <c r="VB42" s="368"/>
      <c r="VC42" s="368"/>
      <c r="VD42" s="368"/>
      <c r="VE42" s="368"/>
      <c r="VF42" s="368"/>
      <c r="VG42" s="368"/>
      <c r="VH42" s="368"/>
      <c r="VI42" s="368"/>
      <c r="VJ42" s="368"/>
      <c r="VK42" s="368"/>
      <c r="VL42" s="368"/>
      <c r="VM42" s="368"/>
      <c r="VN42" s="368"/>
      <c r="VO42" s="368"/>
      <c r="VP42" s="368"/>
      <c r="VQ42" s="368"/>
      <c r="VR42" s="368"/>
      <c r="VS42" s="368"/>
      <c r="VT42" s="368"/>
      <c r="VU42" s="368"/>
      <c r="VV42" s="368"/>
      <c r="VW42" s="368"/>
      <c r="VX42" s="368"/>
      <c r="VY42" s="368"/>
      <c r="VZ42" s="368"/>
      <c r="WA42" s="368"/>
      <c r="WB42" s="368"/>
      <c r="WC42" s="368"/>
      <c r="WD42" s="368"/>
      <c r="WE42" s="368"/>
      <c r="WF42" s="368"/>
      <c r="WG42" s="368"/>
      <c r="WH42" s="368"/>
      <c r="WI42" s="368"/>
      <c r="WJ42" s="368"/>
      <c r="WK42" s="368"/>
      <c r="WL42" s="368"/>
      <c r="WM42" s="368"/>
      <c r="WN42" s="368"/>
      <c r="WO42" s="368"/>
      <c r="WP42" s="368"/>
      <c r="WQ42" s="368"/>
      <c r="WR42" s="368"/>
      <c r="WS42" s="368"/>
      <c r="WT42" s="368"/>
      <c r="WU42" s="368"/>
      <c r="WV42" s="368"/>
      <c r="WW42" s="368"/>
      <c r="WX42" s="368"/>
      <c r="WY42" s="368"/>
      <c r="WZ42" s="368"/>
      <c r="XA42" s="368"/>
      <c r="XB42" s="368"/>
      <c r="XC42" s="368"/>
      <c r="XD42" s="368"/>
      <c r="XE42" s="368"/>
      <c r="XF42" s="368"/>
      <c r="XG42" s="368"/>
      <c r="XH42" s="368"/>
      <c r="XI42" s="368"/>
      <c r="XJ42" s="368"/>
      <c r="XK42" s="368"/>
      <c r="XL42" s="368"/>
      <c r="XM42" s="368"/>
      <c r="XN42" s="368"/>
      <c r="XO42" s="368"/>
      <c r="XP42" s="368"/>
      <c r="XQ42" s="368"/>
      <c r="XR42" s="368"/>
      <c r="XS42" s="368"/>
      <c r="XT42" s="368"/>
      <c r="XU42" s="368"/>
      <c r="XV42" s="368"/>
      <c r="XW42" s="368"/>
      <c r="XX42" s="368"/>
      <c r="XY42" s="368"/>
      <c r="XZ42" s="368"/>
      <c r="YA42" s="368"/>
      <c r="YB42" s="368"/>
      <c r="YC42" s="368"/>
      <c r="YD42" s="368"/>
      <c r="YE42" s="368"/>
      <c r="YF42" s="368"/>
      <c r="YG42" s="368"/>
      <c r="YH42" s="368"/>
      <c r="YI42" s="368"/>
      <c r="YJ42" s="368"/>
      <c r="YK42" s="368"/>
      <c r="YL42" s="368"/>
      <c r="YM42" s="368"/>
      <c r="YN42" s="368"/>
      <c r="YO42" s="368"/>
      <c r="YP42" s="368"/>
      <c r="YQ42" s="368"/>
      <c r="YR42" s="368"/>
      <c r="YS42" s="368"/>
      <c r="YT42" s="368"/>
      <c r="YU42" s="368"/>
      <c r="YV42" s="368"/>
      <c r="YW42" s="368"/>
      <c r="YX42" s="368"/>
      <c r="YY42" s="368"/>
      <c r="YZ42" s="368"/>
      <c r="ZA42" s="368"/>
      <c r="ZB42" s="368"/>
      <c r="ZC42" s="368"/>
      <c r="ZD42" s="368"/>
      <c r="ZE42" s="368"/>
      <c r="ZF42" s="368"/>
      <c r="ZG42" s="368"/>
      <c r="ZH42" s="368"/>
      <c r="ZI42" s="368"/>
      <c r="ZJ42" s="368"/>
      <c r="ZK42" s="368"/>
      <c r="ZL42" s="368"/>
      <c r="ZM42" s="368"/>
      <c r="ZN42" s="368"/>
      <c r="ZO42" s="368"/>
      <c r="ZP42" s="368"/>
      <c r="ZQ42" s="368"/>
      <c r="ZR42" s="368"/>
      <c r="ZS42" s="368"/>
      <c r="ZT42" s="368"/>
      <c r="ZU42" s="368"/>
      <c r="ZV42" s="368"/>
      <c r="ZW42" s="368"/>
      <c r="ZX42" s="368"/>
      <c r="ZY42" s="368"/>
      <c r="ZZ42" s="368"/>
      <c r="AAA42" s="368"/>
      <c r="AAB42" s="368"/>
      <c r="AAC42" s="368"/>
      <c r="AAD42" s="368"/>
      <c r="AAE42" s="368"/>
      <c r="AAF42" s="368"/>
      <c r="AAG42" s="368"/>
      <c r="AAH42" s="368"/>
      <c r="AAI42" s="368"/>
      <c r="AAJ42" s="368"/>
      <c r="AAK42" s="368"/>
      <c r="AAL42" s="368"/>
      <c r="AAM42" s="368"/>
      <c r="AAN42" s="368"/>
      <c r="AAO42" s="368"/>
      <c r="AAP42" s="368"/>
      <c r="AAQ42" s="368"/>
      <c r="AAR42" s="368"/>
      <c r="AAS42" s="368"/>
      <c r="AAT42" s="368"/>
      <c r="AAU42" s="368"/>
      <c r="AAV42" s="368"/>
      <c r="AAW42" s="368"/>
      <c r="AAX42" s="368"/>
      <c r="AAY42" s="368"/>
      <c r="AAZ42" s="368"/>
      <c r="ABA42" s="368"/>
      <c r="ABB42" s="368"/>
      <c r="ABC42" s="368"/>
      <c r="ABD42" s="368"/>
      <c r="ABE42" s="368"/>
      <c r="ABF42" s="368"/>
      <c r="ABG42" s="368"/>
      <c r="ABH42" s="368"/>
      <c r="ABI42" s="368"/>
      <c r="ABJ42" s="368"/>
      <c r="ABK42" s="368"/>
      <c r="ABL42" s="368"/>
      <c r="ABM42" s="368"/>
      <c r="ABN42" s="368"/>
      <c r="ABO42" s="368"/>
      <c r="ABP42" s="368"/>
      <c r="ABQ42" s="368"/>
      <c r="ABR42" s="368"/>
      <c r="ABS42" s="368"/>
      <c r="ABT42" s="368"/>
      <c r="ABU42" s="368"/>
      <c r="ABV42" s="368"/>
      <c r="ABW42" s="368"/>
      <c r="ABX42" s="368"/>
      <c r="ABY42" s="368"/>
      <c r="ABZ42" s="368"/>
      <c r="ACA42" s="368"/>
      <c r="ACB42" s="368"/>
      <c r="ACC42" s="368"/>
      <c r="ACD42" s="368"/>
      <c r="ACE42" s="368"/>
      <c r="ACF42" s="368"/>
      <c r="ACG42" s="368"/>
      <c r="ACH42" s="368"/>
      <c r="ACI42" s="368"/>
      <c r="ACJ42" s="368"/>
      <c r="ACK42" s="368"/>
      <c r="ACL42" s="368"/>
      <c r="ACM42" s="368"/>
      <c r="ACN42" s="368"/>
      <c r="ACO42" s="368"/>
      <c r="ACP42" s="368"/>
      <c r="ACQ42" s="368"/>
      <c r="ACR42" s="368"/>
      <c r="ACS42" s="368"/>
      <c r="ACT42" s="368"/>
      <c r="ACU42" s="368"/>
      <c r="ACV42" s="368"/>
      <c r="ACW42" s="368"/>
      <c r="ACX42" s="368"/>
      <c r="ACY42" s="368"/>
      <c r="ACZ42" s="368"/>
      <c r="ADA42" s="368"/>
      <c r="ADB42" s="368"/>
      <c r="ADC42" s="368"/>
      <c r="ADD42" s="368"/>
      <c r="ADE42" s="368"/>
      <c r="ADF42" s="368"/>
      <c r="ADG42" s="368"/>
      <c r="ADH42" s="368"/>
      <c r="ADI42" s="368"/>
      <c r="ADJ42" s="368"/>
      <c r="ADK42" s="368"/>
      <c r="ADL42" s="368"/>
      <c r="ADM42" s="368"/>
      <c r="ADN42" s="368"/>
      <c r="ADO42" s="368"/>
      <c r="ADP42" s="368"/>
      <c r="ADQ42" s="368"/>
      <c r="ADR42" s="368"/>
      <c r="ADS42" s="368"/>
      <c r="ADT42" s="368"/>
      <c r="ADU42" s="368"/>
      <c r="ADV42" s="368"/>
      <c r="ADW42" s="368"/>
      <c r="ADX42" s="368"/>
      <c r="ADY42" s="368"/>
      <c r="ADZ42" s="368"/>
      <c r="AEA42" s="368"/>
      <c r="AEB42" s="368"/>
      <c r="AEC42" s="368"/>
      <c r="AED42" s="368"/>
      <c r="AEE42" s="368"/>
      <c r="AEF42" s="368"/>
      <c r="AEG42" s="368"/>
      <c r="AEH42" s="368"/>
      <c r="AEI42" s="368"/>
      <c r="AEJ42" s="368"/>
      <c r="AEK42" s="368"/>
      <c r="AEL42" s="368"/>
      <c r="AEM42" s="368"/>
      <c r="AEN42" s="368"/>
      <c r="AEO42" s="368"/>
      <c r="AEP42" s="368"/>
      <c r="AEQ42" s="368"/>
      <c r="AER42" s="368"/>
      <c r="AES42" s="368"/>
      <c r="AET42" s="368"/>
      <c r="AEU42" s="368"/>
      <c r="AEV42" s="368"/>
      <c r="AEW42" s="368"/>
      <c r="AEX42" s="368"/>
      <c r="AEY42" s="368"/>
      <c r="AEZ42" s="368"/>
      <c r="AFA42" s="368"/>
      <c r="AFB42" s="368"/>
      <c r="AFC42" s="368"/>
      <c r="AFD42" s="368"/>
      <c r="AFE42" s="368"/>
      <c r="AFF42" s="368"/>
      <c r="AFG42" s="368"/>
      <c r="AFH42" s="368"/>
      <c r="AFI42" s="368"/>
      <c r="AFJ42" s="368"/>
      <c r="AFK42" s="368"/>
      <c r="AFL42" s="368"/>
      <c r="AFM42" s="368"/>
      <c r="AFN42" s="368"/>
      <c r="AFO42" s="368"/>
      <c r="AFP42" s="368"/>
      <c r="AFQ42" s="368"/>
      <c r="AFR42" s="368"/>
      <c r="AFS42" s="368"/>
      <c r="AFT42" s="368"/>
      <c r="AFU42" s="368"/>
      <c r="AFV42" s="368"/>
      <c r="AFW42" s="368"/>
      <c r="AFX42" s="368"/>
      <c r="AFY42" s="368"/>
      <c r="AFZ42" s="368"/>
      <c r="AGA42" s="368"/>
      <c r="AGB42" s="368"/>
      <c r="AGC42" s="368"/>
      <c r="AGD42" s="368"/>
      <c r="AGE42" s="368"/>
      <c r="AGF42" s="368"/>
      <c r="AGG42" s="368"/>
      <c r="AGH42" s="368"/>
      <c r="AGI42" s="368"/>
      <c r="AGJ42" s="368"/>
      <c r="AGK42" s="368"/>
      <c r="AGL42" s="368"/>
      <c r="AGM42" s="368"/>
      <c r="AGN42" s="368"/>
      <c r="AGO42" s="368"/>
      <c r="AGP42" s="368"/>
      <c r="AGQ42" s="368"/>
      <c r="AGR42" s="368"/>
      <c r="AGS42" s="368"/>
      <c r="AGT42" s="368"/>
      <c r="AGU42" s="368"/>
      <c r="AGV42" s="368"/>
      <c r="AGW42" s="368"/>
      <c r="AGX42" s="368"/>
      <c r="AGY42" s="368"/>
      <c r="AGZ42" s="368"/>
      <c r="AHA42" s="368"/>
      <c r="AHB42" s="368"/>
      <c r="AHC42" s="368"/>
      <c r="AHD42" s="368"/>
      <c r="AHE42" s="368"/>
      <c r="AHF42" s="368"/>
      <c r="AHG42" s="368"/>
      <c r="AHH42" s="368"/>
      <c r="AHI42" s="368"/>
      <c r="AHJ42" s="368"/>
      <c r="AHK42" s="368"/>
      <c r="AHL42" s="368"/>
      <c r="AHM42" s="368"/>
      <c r="AHN42" s="368"/>
      <c r="AHO42" s="368"/>
      <c r="AHP42" s="368"/>
      <c r="AHQ42" s="368"/>
      <c r="AHR42" s="368"/>
      <c r="AHS42" s="368"/>
      <c r="AHT42" s="368"/>
      <c r="AHU42" s="368"/>
      <c r="AHV42" s="368"/>
      <c r="AHW42" s="368"/>
      <c r="AHX42" s="368"/>
      <c r="AHY42" s="368"/>
      <c r="AHZ42" s="368"/>
      <c r="AIA42" s="368"/>
      <c r="AIB42" s="368"/>
      <c r="AIC42" s="368"/>
      <c r="AID42" s="368"/>
      <c r="AIE42" s="368"/>
      <c r="AIF42" s="368"/>
      <c r="AIG42" s="368"/>
      <c r="AIH42" s="368"/>
      <c r="AII42" s="368"/>
      <c r="AIJ42" s="368"/>
      <c r="AIK42" s="368"/>
      <c r="AIL42" s="368"/>
      <c r="AIM42" s="368"/>
      <c r="AIN42" s="368"/>
      <c r="AIO42" s="368"/>
      <c r="AIP42" s="368"/>
      <c r="AIQ42" s="368"/>
      <c r="AIR42" s="368"/>
      <c r="AIS42" s="368"/>
      <c r="AIT42" s="368"/>
      <c r="AIU42" s="368"/>
      <c r="AIV42" s="368"/>
      <c r="AIW42" s="368"/>
      <c r="AIX42" s="368"/>
      <c r="AIY42" s="368"/>
      <c r="AIZ42" s="368"/>
      <c r="AJA42" s="368"/>
      <c r="AJB42" s="368"/>
      <c r="AJC42" s="368"/>
      <c r="AJD42" s="368"/>
      <c r="AJE42" s="368"/>
      <c r="AJF42" s="368"/>
      <c r="AJG42" s="368"/>
      <c r="AJH42" s="368"/>
      <c r="AJI42" s="368"/>
      <c r="AJJ42" s="368"/>
      <c r="AJK42" s="368"/>
      <c r="AJL42" s="368"/>
      <c r="AJM42" s="368"/>
      <c r="AJN42" s="368"/>
      <c r="AJO42" s="368"/>
      <c r="AJP42" s="368"/>
      <c r="AJQ42" s="368"/>
      <c r="AJR42" s="368"/>
      <c r="AJS42" s="368"/>
      <c r="AJT42" s="368"/>
      <c r="AJU42" s="368"/>
      <c r="AJV42" s="368"/>
      <c r="AJW42" s="368"/>
      <c r="AJX42" s="368"/>
      <c r="AJY42" s="368"/>
      <c r="AJZ42" s="368"/>
      <c r="AKA42" s="368"/>
      <c r="AKB42" s="368"/>
      <c r="AKC42" s="368"/>
      <c r="AKD42" s="368"/>
      <c r="AKE42" s="368"/>
      <c r="AKF42" s="368"/>
      <c r="AKG42" s="368"/>
      <c r="AKH42" s="368"/>
      <c r="AKI42" s="368"/>
      <c r="AKJ42" s="368"/>
      <c r="AKK42" s="368"/>
      <c r="AKL42" s="368"/>
      <c r="AKM42" s="368"/>
      <c r="AKN42" s="368"/>
    </row>
    <row r="43" spans="1:976" s="14" customFormat="1" ht="22.5" customHeight="1" x14ac:dyDescent="0.2">
      <c r="A43" s="408" t="s">
        <v>262</v>
      </c>
      <c r="B43" s="408"/>
      <c r="C43" s="408" t="s">
        <v>221</v>
      </c>
      <c r="D43" s="408" t="s">
        <v>222</v>
      </c>
      <c r="E43" s="409">
        <v>407983</v>
      </c>
      <c r="F43" s="409">
        <v>756</v>
      </c>
      <c r="G43" s="409">
        <v>102</v>
      </c>
      <c r="H43" s="409">
        <v>0</v>
      </c>
      <c r="I43" s="410">
        <v>45765</v>
      </c>
      <c r="J43" s="408" t="s">
        <v>395</v>
      </c>
      <c r="K43" s="408" t="s">
        <v>402</v>
      </c>
      <c r="L43" s="411">
        <v>119.18</v>
      </c>
      <c r="M43" s="411">
        <v>6.56</v>
      </c>
      <c r="N43" s="450">
        <v>125.74</v>
      </c>
      <c r="O43" s="408"/>
      <c r="P43" s="412">
        <v>45782</v>
      </c>
      <c r="Q43" s="411">
        <v>125.74</v>
      </c>
      <c r="R43" s="408" t="s">
        <v>403</v>
      </c>
      <c r="S43" s="411">
        <v>0</v>
      </c>
      <c r="T43" s="411">
        <v>0</v>
      </c>
      <c r="U43" s="411">
        <v>0</v>
      </c>
      <c r="V43" s="411">
        <v>0</v>
      </c>
      <c r="W43" s="408"/>
      <c r="X43" s="408" t="s">
        <v>293</v>
      </c>
      <c r="Y43" s="408" t="s">
        <v>294</v>
      </c>
      <c r="Z43" s="408" t="s">
        <v>53</v>
      </c>
      <c r="AA43" s="408" t="s">
        <v>228</v>
      </c>
      <c r="AB43" s="408" t="s">
        <v>239</v>
      </c>
      <c r="AC43" s="408" t="s">
        <v>240</v>
      </c>
      <c r="AD43" s="408" t="s">
        <v>231</v>
      </c>
      <c r="AE43" s="408" t="s">
        <v>232</v>
      </c>
      <c r="AF43" s="408" t="s">
        <v>231</v>
      </c>
      <c r="AG43" s="408" t="s">
        <v>232</v>
      </c>
      <c r="AH43" s="408"/>
      <c r="AI43" s="408"/>
      <c r="AJ43" s="408"/>
      <c r="AK43" s="408" t="s">
        <v>404</v>
      </c>
      <c r="AL43" s="409">
        <v>1</v>
      </c>
      <c r="AM43" s="409">
        <v>0</v>
      </c>
      <c r="AN43" s="410">
        <v>45782</v>
      </c>
      <c r="AO43" s="410">
        <v>45782</v>
      </c>
      <c r="AP43" s="411">
        <v>125.74</v>
      </c>
      <c r="AQ43" s="410">
        <v>45781</v>
      </c>
    </row>
    <row r="44" spans="1:976" s="351" customFormat="1" ht="22.5" customHeight="1" x14ac:dyDescent="0.2">
      <c r="A44" s="418" t="s">
        <v>262</v>
      </c>
      <c r="B44" s="418"/>
      <c r="C44" s="418" t="s">
        <v>221</v>
      </c>
      <c r="D44" s="418" t="s">
        <v>222</v>
      </c>
      <c r="E44" s="419">
        <v>408081</v>
      </c>
      <c r="F44" s="419">
        <v>829</v>
      </c>
      <c r="G44" s="419">
        <v>115</v>
      </c>
      <c r="H44" s="419">
        <v>0</v>
      </c>
      <c r="I44" s="420">
        <v>45775</v>
      </c>
      <c r="J44" s="418" t="s">
        <v>395</v>
      </c>
      <c r="K44" s="418" t="s">
        <v>405</v>
      </c>
      <c r="L44" s="421">
        <v>162</v>
      </c>
      <c r="M44" s="421">
        <v>32.4</v>
      </c>
      <c r="N44" s="443">
        <v>194.4</v>
      </c>
      <c r="O44" s="418"/>
      <c r="P44" s="422">
        <v>45782</v>
      </c>
      <c r="Q44" s="421">
        <v>194.4</v>
      </c>
      <c r="R44" s="418" t="s">
        <v>406</v>
      </c>
      <c r="S44" s="421">
        <v>0</v>
      </c>
      <c r="T44" s="421">
        <v>0</v>
      </c>
      <c r="U44" s="421">
        <v>0</v>
      </c>
      <c r="V44" s="421">
        <v>0</v>
      </c>
      <c r="W44" s="418"/>
      <c r="X44" s="418" t="s">
        <v>365</v>
      </c>
      <c r="Y44" s="418" t="s">
        <v>366</v>
      </c>
      <c r="Z44" s="418" t="s">
        <v>42</v>
      </c>
      <c r="AA44" s="418" t="s">
        <v>228</v>
      </c>
      <c r="AB44" s="418" t="s">
        <v>235</v>
      </c>
      <c r="AC44" s="418" t="s">
        <v>250</v>
      </c>
      <c r="AD44" s="418" t="s">
        <v>231</v>
      </c>
      <c r="AE44" s="418" t="s">
        <v>232</v>
      </c>
      <c r="AF44" s="418" t="s">
        <v>231</v>
      </c>
      <c r="AG44" s="418" t="s">
        <v>232</v>
      </c>
      <c r="AH44" s="418"/>
      <c r="AI44" s="418"/>
      <c r="AJ44" s="418"/>
      <c r="AK44" s="418" t="s">
        <v>407</v>
      </c>
      <c r="AL44" s="419">
        <v>1</v>
      </c>
      <c r="AM44" s="419">
        <v>0</v>
      </c>
      <c r="AN44" s="420">
        <v>45782</v>
      </c>
      <c r="AO44" s="420">
        <v>45782</v>
      </c>
      <c r="AP44" s="421">
        <v>194.4</v>
      </c>
      <c r="AQ44" s="420">
        <v>45781</v>
      </c>
      <c r="AR44" s="368"/>
      <c r="AS44" s="368"/>
      <c r="AT44" s="368"/>
      <c r="AU44" s="368"/>
      <c r="AV44" s="368"/>
      <c r="AW44" s="368"/>
      <c r="AX44" s="368"/>
      <c r="AY44" s="368"/>
      <c r="AZ44" s="368"/>
      <c r="BA44" s="368"/>
      <c r="BB44" s="368"/>
      <c r="BC44" s="368"/>
      <c r="BD44" s="368"/>
      <c r="BE44" s="368"/>
      <c r="BF44" s="368"/>
      <c r="BG44" s="368"/>
      <c r="BH44" s="368"/>
      <c r="BI44" s="368"/>
      <c r="BJ44" s="368"/>
      <c r="BK44" s="368"/>
      <c r="BL44" s="368"/>
      <c r="BM44" s="368"/>
      <c r="BN44" s="368"/>
      <c r="BO44" s="368"/>
      <c r="BP44" s="368"/>
      <c r="BQ44" s="368"/>
      <c r="BR44" s="368"/>
      <c r="BS44" s="368"/>
      <c r="BT44" s="368"/>
      <c r="BU44" s="368"/>
      <c r="BV44" s="368"/>
      <c r="BW44" s="368"/>
      <c r="BX44" s="368"/>
      <c r="BY44" s="368"/>
      <c r="BZ44" s="368"/>
      <c r="CA44" s="368"/>
      <c r="CB44" s="368"/>
      <c r="CC44" s="368"/>
      <c r="CD44" s="368"/>
      <c r="CE44" s="368"/>
      <c r="CF44" s="368"/>
      <c r="CG44" s="368"/>
      <c r="CH44" s="368"/>
      <c r="CI44" s="368"/>
      <c r="CJ44" s="368"/>
      <c r="CK44" s="368"/>
      <c r="CL44" s="368"/>
      <c r="CM44" s="368"/>
      <c r="CN44" s="368"/>
      <c r="CO44" s="368"/>
      <c r="CP44" s="368"/>
      <c r="CQ44" s="368"/>
      <c r="CR44" s="368"/>
      <c r="CS44" s="368"/>
      <c r="CT44" s="368"/>
      <c r="CU44" s="368"/>
      <c r="CV44" s="368"/>
      <c r="CW44" s="368"/>
      <c r="CX44" s="368"/>
      <c r="CY44" s="368"/>
      <c r="CZ44" s="368"/>
      <c r="DA44" s="368"/>
      <c r="DB44" s="368"/>
      <c r="DC44" s="368"/>
      <c r="DD44" s="368"/>
      <c r="DE44" s="368"/>
      <c r="DF44" s="368"/>
      <c r="DG44" s="368"/>
      <c r="DH44" s="368"/>
      <c r="DI44" s="368"/>
      <c r="DJ44" s="368"/>
      <c r="DK44" s="368"/>
      <c r="DL44" s="368"/>
      <c r="DM44" s="368"/>
      <c r="DN44" s="368"/>
      <c r="DO44" s="368"/>
      <c r="DP44" s="368"/>
      <c r="DQ44" s="368"/>
      <c r="DR44" s="368"/>
      <c r="DS44" s="368"/>
      <c r="DT44" s="368"/>
      <c r="DU44" s="368"/>
      <c r="DV44" s="368"/>
      <c r="DW44" s="368"/>
      <c r="DX44" s="368"/>
      <c r="DY44" s="368"/>
      <c r="DZ44" s="368"/>
      <c r="EA44" s="368"/>
      <c r="EB44" s="368"/>
      <c r="EC44" s="368"/>
      <c r="ED44" s="368"/>
      <c r="EE44" s="368"/>
      <c r="EF44" s="368"/>
      <c r="EG44" s="368"/>
      <c r="EH44" s="368"/>
      <c r="EI44" s="368"/>
      <c r="EJ44" s="368"/>
      <c r="EK44" s="368"/>
      <c r="EL44" s="368"/>
      <c r="EM44" s="368"/>
      <c r="EN44" s="368"/>
      <c r="EO44" s="368"/>
      <c r="EP44" s="368"/>
      <c r="EQ44" s="368"/>
      <c r="ER44" s="368"/>
      <c r="ES44" s="368"/>
      <c r="ET44" s="368"/>
      <c r="EU44" s="368"/>
      <c r="EV44" s="368"/>
      <c r="EW44" s="368"/>
      <c r="EX44" s="368"/>
      <c r="EY44" s="368"/>
      <c r="EZ44" s="368"/>
      <c r="FA44" s="368"/>
      <c r="FB44" s="368"/>
      <c r="FC44" s="368"/>
      <c r="FD44" s="368"/>
      <c r="FE44" s="368"/>
      <c r="FF44" s="368"/>
      <c r="FG44" s="368"/>
      <c r="FH44" s="368"/>
      <c r="FI44" s="368"/>
      <c r="FJ44" s="368"/>
      <c r="FK44" s="368"/>
      <c r="FL44" s="368"/>
      <c r="FM44" s="368"/>
      <c r="FN44" s="368"/>
      <c r="FO44" s="368"/>
      <c r="FP44" s="368"/>
      <c r="FQ44" s="368"/>
      <c r="FR44" s="368"/>
      <c r="FS44" s="368"/>
      <c r="FT44" s="368"/>
      <c r="FU44" s="368"/>
      <c r="FV44" s="368"/>
      <c r="FW44" s="368"/>
      <c r="FX44" s="368"/>
      <c r="FY44" s="368"/>
      <c r="FZ44" s="368"/>
      <c r="GA44" s="368"/>
      <c r="GB44" s="368"/>
      <c r="GC44" s="368"/>
      <c r="GD44" s="368"/>
      <c r="GE44" s="368"/>
      <c r="GF44" s="368"/>
      <c r="GG44" s="368"/>
      <c r="GH44" s="368"/>
      <c r="GI44" s="368"/>
      <c r="GJ44" s="368"/>
      <c r="GK44" s="368"/>
      <c r="GL44" s="368"/>
      <c r="GM44" s="368"/>
      <c r="GN44" s="368"/>
      <c r="GO44" s="368"/>
      <c r="GP44" s="368"/>
      <c r="GQ44" s="368"/>
      <c r="GR44" s="368"/>
      <c r="GS44" s="368"/>
      <c r="GT44" s="368"/>
      <c r="GU44" s="368"/>
      <c r="GV44" s="368"/>
      <c r="GW44" s="368"/>
      <c r="GX44" s="368"/>
      <c r="GY44" s="368"/>
      <c r="GZ44" s="368"/>
      <c r="HA44" s="368"/>
      <c r="HB44" s="368"/>
      <c r="HC44" s="368"/>
      <c r="HD44" s="368"/>
      <c r="HE44" s="368"/>
      <c r="HF44" s="368"/>
      <c r="HG44" s="368"/>
      <c r="HH44" s="368"/>
      <c r="HI44" s="368"/>
      <c r="HJ44" s="368"/>
      <c r="HK44" s="368"/>
      <c r="HL44" s="368"/>
      <c r="HM44" s="368"/>
      <c r="HN44" s="368"/>
      <c r="HO44" s="368"/>
      <c r="HP44" s="368"/>
      <c r="HQ44" s="368"/>
      <c r="HR44" s="368"/>
      <c r="HS44" s="368"/>
      <c r="HT44" s="368"/>
      <c r="HU44" s="368"/>
      <c r="HV44" s="368"/>
      <c r="HW44" s="368"/>
      <c r="HX44" s="368"/>
      <c r="HY44" s="368"/>
      <c r="HZ44" s="368"/>
      <c r="IA44" s="368"/>
      <c r="IB44" s="368"/>
      <c r="IC44" s="368"/>
      <c r="ID44" s="368"/>
      <c r="IE44" s="368"/>
      <c r="IF44" s="368"/>
      <c r="IG44" s="368"/>
      <c r="IH44" s="368"/>
      <c r="II44" s="368"/>
      <c r="IJ44" s="368"/>
      <c r="IK44" s="368"/>
      <c r="IL44" s="368"/>
      <c r="IM44" s="368"/>
      <c r="IN44" s="368"/>
      <c r="IO44" s="368"/>
      <c r="IP44" s="368"/>
      <c r="IQ44" s="368"/>
      <c r="IR44" s="368"/>
      <c r="IS44" s="368"/>
      <c r="IT44" s="368"/>
      <c r="IU44" s="368"/>
      <c r="IV44" s="368"/>
      <c r="IW44" s="368"/>
      <c r="IX44" s="368"/>
      <c r="IY44" s="368"/>
      <c r="IZ44" s="368"/>
      <c r="JA44" s="368"/>
      <c r="JB44" s="368"/>
      <c r="JC44" s="368"/>
      <c r="JD44" s="368"/>
      <c r="JE44" s="368"/>
      <c r="JF44" s="368"/>
      <c r="JG44" s="368"/>
      <c r="JH44" s="368"/>
      <c r="JI44" s="368"/>
      <c r="JJ44" s="368"/>
      <c r="JK44" s="368"/>
      <c r="JL44" s="368"/>
      <c r="JM44" s="368"/>
      <c r="JN44" s="368"/>
      <c r="JO44" s="368"/>
      <c r="JP44" s="368"/>
      <c r="JQ44" s="368"/>
      <c r="JR44" s="368"/>
      <c r="JS44" s="368"/>
      <c r="JT44" s="368"/>
      <c r="JU44" s="368"/>
      <c r="JV44" s="368"/>
      <c r="JW44" s="368"/>
      <c r="JX44" s="368"/>
      <c r="JY44" s="368"/>
      <c r="JZ44" s="368"/>
      <c r="KA44" s="368"/>
      <c r="KB44" s="368"/>
      <c r="KC44" s="368"/>
      <c r="KD44" s="368"/>
      <c r="KE44" s="368"/>
      <c r="KF44" s="368"/>
      <c r="KG44" s="368"/>
      <c r="KH44" s="368"/>
      <c r="KI44" s="368"/>
      <c r="KJ44" s="368"/>
      <c r="KK44" s="368"/>
      <c r="KL44" s="368"/>
      <c r="KM44" s="368"/>
      <c r="KN44" s="368"/>
      <c r="KO44" s="368"/>
      <c r="KP44" s="368"/>
      <c r="KQ44" s="368"/>
      <c r="KR44" s="368"/>
      <c r="KS44" s="368"/>
      <c r="KT44" s="368"/>
      <c r="KU44" s="368"/>
      <c r="KV44" s="368"/>
      <c r="KW44" s="368"/>
      <c r="KX44" s="368"/>
      <c r="KY44" s="368"/>
      <c r="KZ44" s="368"/>
      <c r="LA44" s="368"/>
      <c r="LB44" s="368"/>
      <c r="LC44" s="368"/>
      <c r="LD44" s="368"/>
      <c r="LE44" s="368"/>
      <c r="LF44" s="368"/>
      <c r="LG44" s="368"/>
      <c r="LH44" s="368"/>
      <c r="LI44" s="368"/>
      <c r="LJ44" s="368"/>
      <c r="LK44" s="368"/>
      <c r="LL44" s="368"/>
      <c r="LM44" s="368"/>
      <c r="LN44" s="368"/>
      <c r="LO44" s="368"/>
      <c r="LP44" s="368"/>
      <c r="LQ44" s="368"/>
      <c r="LR44" s="368"/>
      <c r="LS44" s="368"/>
      <c r="LT44" s="368"/>
      <c r="LU44" s="368"/>
      <c r="LV44" s="368"/>
      <c r="LW44" s="368"/>
      <c r="LX44" s="368"/>
      <c r="LY44" s="368"/>
      <c r="LZ44" s="368"/>
      <c r="MA44" s="368"/>
      <c r="MB44" s="368"/>
      <c r="MC44" s="368"/>
      <c r="MD44" s="368"/>
      <c r="ME44" s="368"/>
      <c r="MF44" s="368"/>
      <c r="MG44" s="368"/>
      <c r="MH44" s="368"/>
      <c r="MI44" s="368"/>
      <c r="MJ44" s="368"/>
      <c r="MK44" s="368"/>
      <c r="ML44" s="368"/>
      <c r="MM44" s="368"/>
      <c r="MN44" s="368"/>
      <c r="MO44" s="368"/>
      <c r="MP44" s="368"/>
      <c r="MQ44" s="368"/>
      <c r="MR44" s="368"/>
      <c r="MS44" s="368"/>
      <c r="MT44" s="368"/>
      <c r="MU44" s="368"/>
      <c r="MV44" s="368"/>
      <c r="MW44" s="368"/>
      <c r="MX44" s="368"/>
      <c r="MY44" s="368"/>
      <c r="MZ44" s="368"/>
      <c r="NA44" s="368"/>
      <c r="NB44" s="368"/>
      <c r="NC44" s="368"/>
      <c r="ND44" s="368"/>
      <c r="NE44" s="368"/>
      <c r="NF44" s="368"/>
      <c r="NG44" s="368"/>
      <c r="NH44" s="368"/>
      <c r="NI44" s="368"/>
      <c r="NJ44" s="368"/>
      <c r="NK44" s="368"/>
      <c r="NL44" s="368"/>
      <c r="NM44" s="368"/>
      <c r="NN44" s="368"/>
      <c r="NO44" s="368"/>
      <c r="NP44" s="368"/>
      <c r="NQ44" s="368"/>
      <c r="NR44" s="368"/>
      <c r="NS44" s="368"/>
      <c r="NT44" s="368"/>
      <c r="NU44" s="368"/>
      <c r="NV44" s="368"/>
      <c r="NW44" s="368"/>
      <c r="NX44" s="368"/>
      <c r="NY44" s="368"/>
      <c r="NZ44" s="368"/>
      <c r="OA44" s="368"/>
      <c r="OB44" s="368"/>
      <c r="OC44" s="368"/>
      <c r="OD44" s="368"/>
      <c r="OE44" s="368"/>
      <c r="OF44" s="368"/>
      <c r="OG44" s="368"/>
      <c r="OH44" s="368"/>
      <c r="OI44" s="368"/>
      <c r="OJ44" s="368"/>
      <c r="OK44" s="368"/>
      <c r="OL44" s="368"/>
      <c r="OM44" s="368"/>
      <c r="ON44" s="368"/>
      <c r="OO44" s="368"/>
      <c r="OP44" s="368"/>
      <c r="OQ44" s="368"/>
      <c r="OR44" s="368"/>
      <c r="OS44" s="368"/>
      <c r="OT44" s="368"/>
      <c r="OU44" s="368"/>
      <c r="OV44" s="368"/>
      <c r="OW44" s="368"/>
      <c r="OX44" s="368"/>
      <c r="OY44" s="368"/>
      <c r="OZ44" s="368"/>
      <c r="PA44" s="368"/>
      <c r="PB44" s="368"/>
      <c r="PC44" s="368"/>
      <c r="PD44" s="368"/>
      <c r="PE44" s="368"/>
      <c r="PF44" s="368"/>
      <c r="PG44" s="368"/>
      <c r="PH44" s="368"/>
      <c r="PI44" s="368"/>
      <c r="PJ44" s="368"/>
      <c r="PK44" s="368"/>
      <c r="PL44" s="368"/>
      <c r="PM44" s="368"/>
      <c r="PN44" s="368"/>
      <c r="PO44" s="368"/>
      <c r="PP44" s="368"/>
      <c r="PQ44" s="368"/>
      <c r="PR44" s="368"/>
      <c r="PS44" s="368"/>
      <c r="PT44" s="368"/>
      <c r="PU44" s="368"/>
      <c r="PV44" s="368"/>
      <c r="PW44" s="368"/>
      <c r="PX44" s="368"/>
      <c r="PY44" s="368"/>
      <c r="PZ44" s="368"/>
      <c r="QA44" s="368"/>
      <c r="QB44" s="368"/>
      <c r="QC44" s="368"/>
      <c r="QD44" s="368"/>
      <c r="QE44" s="368"/>
      <c r="QF44" s="368"/>
      <c r="QG44" s="368"/>
      <c r="QH44" s="368"/>
      <c r="QI44" s="368"/>
      <c r="QJ44" s="368"/>
      <c r="QK44" s="368"/>
      <c r="QL44" s="368"/>
      <c r="QM44" s="368"/>
      <c r="QN44" s="368"/>
      <c r="QO44" s="368"/>
      <c r="QP44" s="368"/>
      <c r="QQ44" s="368"/>
      <c r="QR44" s="368"/>
      <c r="QS44" s="368"/>
      <c r="QT44" s="368"/>
      <c r="QU44" s="368"/>
      <c r="QV44" s="368"/>
      <c r="QW44" s="368"/>
      <c r="QX44" s="368"/>
      <c r="QY44" s="368"/>
      <c r="QZ44" s="368"/>
      <c r="RA44" s="368"/>
      <c r="RB44" s="368"/>
      <c r="RC44" s="368"/>
      <c r="RD44" s="368"/>
      <c r="RE44" s="368"/>
      <c r="RF44" s="368"/>
      <c r="RG44" s="368"/>
      <c r="RH44" s="368"/>
      <c r="RI44" s="368"/>
      <c r="RJ44" s="368"/>
      <c r="RK44" s="368"/>
      <c r="RL44" s="368"/>
      <c r="RM44" s="368"/>
      <c r="RN44" s="368"/>
      <c r="RO44" s="368"/>
      <c r="RP44" s="368"/>
      <c r="RQ44" s="368"/>
      <c r="RR44" s="368"/>
      <c r="RS44" s="368"/>
      <c r="RT44" s="368"/>
      <c r="RU44" s="368"/>
      <c r="RV44" s="368"/>
      <c r="RW44" s="368"/>
      <c r="RX44" s="368"/>
      <c r="RY44" s="368"/>
      <c r="RZ44" s="368"/>
      <c r="SA44" s="368"/>
      <c r="SB44" s="368"/>
      <c r="SC44" s="368"/>
      <c r="SD44" s="368"/>
      <c r="SE44" s="368"/>
      <c r="SF44" s="368"/>
      <c r="SG44" s="368"/>
      <c r="SH44" s="368"/>
      <c r="SI44" s="368"/>
      <c r="SJ44" s="368"/>
      <c r="SK44" s="368"/>
      <c r="SL44" s="368"/>
      <c r="SM44" s="368"/>
      <c r="SN44" s="368"/>
      <c r="SO44" s="368"/>
      <c r="SP44" s="368"/>
      <c r="SQ44" s="368"/>
      <c r="SR44" s="368"/>
      <c r="SS44" s="368"/>
      <c r="ST44" s="368"/>
      <c r="SU44" s="368"/>
      <c r="SV44" s="368"/>
      <c r="SW44" s="368"/>
      <c r="SX44" s="368"/>
      <c r="SY44" s="368"/>
      <c r="SZ44" s="368"/>
      <c r="TA44" s="368"/>
      <c r="TB44" s="368"/>
      <c r="TC44" s="368"/>
      <c r="TD44" s="368"/>
      <c r="TE44" s="368"/>
      <c r="TF44" s="368"/>
      <c r="TG44" s="368"/>
      <c r="TH44" s="368"/>
      <c r="TI44" s="368"/>
      <c r="TJ44" s="368"/>
      <c r="TK44" s="368"/>
      <c r="TL44" s="368"/>
      <c r="TM44" s="368"/>
      <c r="TN44" s="368"/>
      <c r="TO44" s="368"/>
      <c r="TP44" s="368"/>
      <c r="TQ44" s="368"/>
      <c r="TR44" s="368"/>
      <c r="TS44" s="368"/>
      <c r="TT44" s="368"/>
      <c r="TU44" s="368"/>
      <c r="TV44" s="368"/>
      <c r="TW44" s="368"/>
      <c r="TX44" s="368"/>
      <c r="TY44" s="368"/>
      <c r="TZ44" s="368"/>
      <c r="UA44" s="368"/>
      <c r="UB44" s="368"/>
      <c r="UC44" s="368"/>
      <c r="UD44" s="368"/>
      <c r="UE44" s="368"/>
      <c r="UF44" s="368"/>
      <c r="UG44" s="368"/>
      <c r="UH44" s="368"/>
      <c r="UI44" s="368"/>
      <c r="UJ44" s="368"/>
      <c r="UK44" s="368"/>
      <c r="UL44" s="368"/>
      <c r="UM44" s="368"/>
      <c r="UN44" s="368"/>
      <c r="UO44" s="368"/>
      <c r="UP44" s="368"/>
      <c r="UQ44" s="368"/>
      <c r="UR44" s="368"/>
      <c r="US44" s="368"/>
      <c r="UT44" s="368"/>
      <c r="UU44" s="368"/>
      <c r="UV44" s="368"/>
      <c r="UW44" s="368"/>
      <c r="UX44" s="368"/>
      <c r="UY44" s="368"/>
      <c r="UZ44" s="368"/>
      <c r="VA44" s="368"/>
      <c r="VB44" s="368"/>
      <c r="VC44" s="368"/>
      <c r="VD44" s="368"/>
      <c r="VE44" s="368"/>
      <c r="VF44" s="368"/>
      <c r="VG44" s="368"/>
      <c r="VH44" s="368"/>
      <c r="VI44" s="368"/>
      <c r="VJ44" s="368"/>
      <c r="VK44" s="368"/>
      <c r="VL44" s="368"/>
      <c r="VM44" s="368"/>
      <c r="VN44" s="368"/>
      <c r="VO44" s="368"/>
      <c r="VP44" s="368"/>
      <c r="VQ44" s="368"/>
      <c r="VR44" s="368"/>
      <c r="VS44" s="368"/>
      <c r="VT44" s="368"/>
      <c r="VU44" s="368"/>
      <c r="VV44" s="368"/>
      <c r="VW44" s="368"/>
      <c r="VX44" s="368"/>
      <c r="VY44" s="368"/>
      <c r="VZ44" s="368"/>
      <c r="WA44" s="368"/>
      <c r="WB44" s="368"/>
      <c r="WC44" s="368"/>
      <c r="WD44" s="368"/>
      <c r="WE44" s="368"/>
      <c r="WF44" s="368"/>
      <c r="WG44" s="368"/>
      <c r="WH44" s="368"/>
      <c r="WI44" s="368"/>
      <c r="WJ44" s="368"/>
      <c r="WK44" s="368"/>
      <c r="WL44" s="368"/>
      <c r="WM44" s="368"/>
      <c r="WN44" s="368"/>
      <c r="WO44" s="368"/>
      <c r="WP44" s="368"/>
      <c r="WQ44" s="368"/>
      <c r="WR44" s="368"/>
      <c r="WS44" s="368"/>
      <c r="WT44" s="368"/>
      <c r="WU44" s="368"/>
      <c r="WV44" s="368"/>
      <c r="WW44" s="368"/>
      <c r="WX44" s="368"/>
      <c r="WY44" s="368"/>
      <c r="WZ44" s="368"/>
      <c r="XA44" s="368"/>
      <c r="XB44" s="368"/>
      <c r="XC44" s="368"/>
      <c r="XD44" s="368"/>
      <c r="XE44" s="368"/>
      <c r="XF44" s="368"/>
      <c r="XG44" s="368"/>
      <c r="XH44" s="368"/>
      <c r="XI44" s="368"/>
      <c r="XJ44" s="368"/>
      <c r="XK44" s="368"/>
      <c r="XL44" s="368"/>
      <c r="XM44" s="368"/>
      <c r="XN44" s="368"/>
      <c r="XO44" s="368"/>
      <c r="XP44" s="368"/>
      <c r="XQ44" s="368"/>
      <c r="XR44" s="368"/>
      <c r="XS44" s="368"/>
      <c r="XT44" s="368"/>
      <c r="XU44" s="368"/>
      <c r="XV44" s="368"/>
      <c r="XW44" s="368"/>
      <c r="XX44" s="368"/>
      <c r="XY44" s="368"/>
      <c r="XZ44" s="368"/>
      <c r="YA44" s="368"/>
      <c r="YB44" s="368"/>
      <c r="YC44" s="368"/>
      <c r="YD44" s="368"/>
      <c r="YE44" s="368"/>
      <c r="YF44" s="368"/>
      <c r="YG44" s="368"/>
      <c r="YH44" s="368"/>
      <c r="YI44" s="368"/>
      <c r="YJ44" s="368"/>
      <c r="YK44" s="368"/>
      <c r="YL44" s="368"/>
      <c r="YM44" s="368"/>
      <c r="YN44" s="368"/>
      <c r="YO44" s="368"/>
      <c r="YP44" s="368"/>
      <c r="YQ44" s="368"/>
      <c r="YR44" s="368"/>
      <c r="YS44" s="368"/>
      <c r="YT44" s="368"/>
      <c r="YU44" s="368"/>
      <c r="YV44" s="368"/>
      <c r="YW44" s="368"/>
      <c r="YX44" s="368"/>
      <c r="YY44" s="368"/>
      <c r="YZ44" s="368"/>
      <c r="ZA44" s="368"/>
      <c r="ZB44" s="368"/>
      <c r="ZC44" s="368"/>
      <c r="ZD44" s="368"/>
      <c r="ZE44" s="368"/>
      <c r="ZF44" s="368"/>
      <c r="ZG44" s="368"/>
      <c r="ZH44" s="368"/>
      <c r="ZI44" s="368"/>
      <c r="ZJ44" s="368"/>
      <c r="ZK44" s="368"/>
      <c r="ZL44" s="368"/>
      <c r="ZM44" s="368"/>
      <c r="ZN44" s="368"/>
      <c r="ZO44" s="368"/>
      <c r="ZP44" s="368"/>
      <c r="ZQ44" s="368"/>
      <c r="ZR44" s="368"/>
      <c r="ZS44" s="368"/>
      <c r="ZT44" s="368"/>
      <c r="ZU44" s="368"/>
      <c r="ZV44" s="368"/>
      <c r="ZW44" s="368"/>
      <c r="ZX44" s="368"/>
      <c r="ZY44" s="368"/>
      <c r="ZZ44" s="368"/>
      <c r="AAA44" s="368"/>
      <c r="AAB44" s="368"/>
      <c r="AAC44" s="368"/>
      <c r="AAD44" s="368"/>
      <c r="AAE44" s="368"/>
      <c r="AAF44" s="368"/>
      <c r="AAG44" s="368"/>
      <c r="AAH44" s="368"/>
      <c r="AAI44" s="368"/>
      <c r="AAJ44" s="368"/>
      <c r="AAK44" s="368"/>
      <c r="AAL44" s="368"/>
      <c r="AAM44" s="368"/>
      <c r="AAN44" s="368"/>
      <c r="AAO44" s="368"/>
      <c r="AAP44" s="368"/>
      <c r="AAQ44" s="368"/>
      <c r="AAR44" s="368"/>
      <c r="AAS44" s="368"/>
      <c r="AAT44" s="368"/>
      <c r="AAU44" s="368"/>
      <c r="AAV44" s="368"/>
      <c r="AAW44" s="368"/>
      <c r="AAX44" s="368"/>
      <c r="AAY44" s="368"/>
      <c r="AAZ44" s="368"/>
      <c r="ABA44" s="368"/>
      <c r="ABB44" s="368"/>
      <c r="ABC44" s="368"/>
      <c r="ABD44" s="368"/>
      <c r="ABE44" s="368"/>
      <c r="ABF44" s="368"/>
      <c r="ABG44" s="368"/>
      <c r="ABH44" s="368"/>
      <c r="ABI44" s="368"/>
      <c r="ABJ44" s="368"/>
      <c r="ABK44" s="368"/>
      <c r="ABL44" s="368"/>
      <c r="ABM44" s="368"/>
      <c r="ABN44" s="368"/>
      <c r="ABO44" s="368"/>
      <c r="ABP44" s="368"/>
      <c r="ABQ44" s="368"/>
      <c r="ABR44" s="368"/>
      <c r="ABS44" s="368"/>
      <c r="ABT44" s="368"/>
      <c r="ABU44" s="368"/>
      <c r="ABV44" s="368"/>
      <c r="ABW44" s="368"/>
      <c r="ABX44" s="368"/>
      <c r="ABY44" s="368"/>
      <c r="ABZ44" s="368"/>
      <c r="ACA44" s="368"/>
      <c r="ACB44" s="368"/>
      <c r="ACC44" s="368"/>
      <c r="ACD44" s="368"/>
      <c r="ACE44" s="368"/>
      <c r="ACF44" s="368"/>
      <c r="ACG44" s="368"/>
      <c r="ACH44" s="368"/>
      <c r="ACI44" s="368"/>
      <c r="ACJ44" s="368"/>
      <c r="ACK44" s="368"/>
      <c r="ACL44" s="368"/>
      <c r="ACM44" s="368"/>
      <c r="ACN44" s="368"/>
      <c r="ACO44" s="368"/>
      <c r="ACP44" s="368"/>
      <c r="ACQ44" s="368"/>
      <c r="ACR44" s="368"/>
      <c r="ACS44" s="368"/>
      <c r="ACT44" s="368"/>
      <c r="ACU44" s="368"/>
      <c r="ACV44" s="368"/>
      <c r="ACW44" s="368"/>
      <c r="ACX44" s="368"/>
      <c r="ACY44" s="368"/>
      <c r="ACZ44" s="368"/>
      <c r="ADA44" s="368"/>
      <c r="ADB44" s="368"/>
      <c r="ADC44" s="368"/>
      <c r="ADD44" s="368"/>
      <c r="ADE44" s="368"/>
      <c r="ADF44" s="368"/>
      <c r="ADG44" s="368"/>
      <c r="ADH44" s="368"/>
      <c r="ADI44" s="368"/>
      <c r="ADJ44" s="368"/>
      <c r="ADK44" s="368"/>
      <c r="ADL44" s="368"/>
      <c r="ADM44" s="368"/>
      <c r="ADN44" s="368"/>
      <c r="ADO44" s="368"/>
      <c r="ADP44" s="368"/>
      <c r="ADQ44" s="368"/>
      <c r="ADR44" s="368"/>
      <c r="ADS44" s="368"/>
      <c r="ADT44" s="368"/>
      <c r="ADU44" s="368"/>
      <c r="ADV44" s="368"/>
      <c r="ADW44" s="368"/>
      <c r="ADX44" s="368"/>
      <c r="ADY44" s="368"/>
      <c r="ADZ44" s="368"/>
      <c r="AEA44" s="368"/>
      <c r="AEB44" s="368"/>
      <c r="AEC44" s="368"/>
      <c r="AED44" s="368"/>
      <c r="AEE44" s="368"/>
      <c r="AEF44" s="368"/>
      <c r="AEG44" s="368"/>
      <c r="AEH44" s="368"/>
      <c r="AEI44" s="368"/>
      <c r="AEJ44" s="368"/>
      <c r="AEK44" s="368"/>
      <c r="AEL44" s="368"/>
      <c r="AEM44" s="368"/>
      <c r="AEN44" s="368"/>
      <c r="AEO44" s="368"/>
      <c r="AEP44" s="368"/>
      <c r="AEQ44" s="368"/>
      <c r="AER44" s="368"/>
      <c r="AES44" s="368"/>
      <c r="AET44" s="368"/>
      <c r="AEU44" s="368"/>
      <c r="AEV44" s="368"/>
      <c r="AEW44" s="368"/>
      <c r="AEX44" s="368"/>
      <c r="AEY44" s="368"/>
      <c r="AEZ44" s="368"/>
      <c r="AFA44" s="368"/>
      <c r="AFB44" s="368"/>
      <c r="AFC44" s="368"/>
      <c r="AFD44" s="368"/>
      <c r="AFE44" s="368"/>
      <c r="AFF44" s="368"/>
      <c r="AFG44" s="368"/>
      <c r="AFH44" s="368"/>
      <c r="AFI44" s="368"/>
      <c r="AFJ44" s="368"/>
      <c r="AFK44" s="368"/>
      <c r="AFL44" s="368"/>
      <c r="AFM44" s="368"/>
      <c r="AFN44" s="368"/>
      <c r="AFO44" s="368"/>
      <c r="AFP44" s="368"/>
      <c r="AFQ44" s="368"/>
      <c r="AFR44" s="368"/>
      <c r="AFS44" s="368"/>
      <c r="AFT44" s="368"/>
      <c r="AFU44" s="368"/>
      <c r="AFV44" s="368"/>
      <c r="AFW44" s="368"/>
      <c r="AFX44" s="368"/>
      <c r="AFY44" s="368"/>
      <c r="AFZ44" s="368"/>
      <c r="AGA44" s="368"/>
      <c r="AGB44" s="368"/>
      <c r="AGC44" s="368"/>
      <c r="AGD44" s="368"/>
      <c r="AGE44" s="368"/>
      <c r="AGF44" s="368"/>
      <c r="AGG44" s="368"/>
      <c r="AGH44" s="368"/>
      <c r="AGI44" s="368"/>
      <c r="AGJ44" s="368"/>
      <c r="AGK44" s="368"/>
      <c r="AGL44" s="368"/>
      <c r="AGM44" s="368"/>
      <c r="AGN44" s="368"/>
      <c r="AGO44" s="368"/>
      <c r="AGP44" s="368"/>
      <c r="AGQ44" s="368"/>
      <c r="AGR44" s="368"/>
      <c r="AGS44" s="368"/>
      <c r="AGT44" s="368"/>
      <c r="AGU44" s="368"/>
      <c r="AGV44" s="368"/>
      <c r="AGW44" s="368"/>
      <c r="AGX44" s="368"/>
      <c r="AGY44" s="368"/>
      <c r="AGZ44" s="368"/>
      <c r="AHA44" s="368"/>
      <c r="AHB44" s="368"/>
      <c r="AHC44" s="368"/>
      <c r="AHD44" s="368"/>
      <c r="AHE44" s="368"/>
      <c r="AHF44" s="368"/>
      <c r="AHG44" s="368"/>
      <c r="AHH44" s="368"/>
      <c r="AHI44" s="368"/>
      <c r="AHJ44" s="368"/>
      <c r="AHK44" s="368"/>
      <c r="AHL44" s="368"/>
      <c r="AHM44" s="368"/>
      <c r="AHN44" s="368"/>
      <c r="AHO44" s="368"/>
      <c r="AHP44" s="368"/>
      <c r="AHQ44" s="368"/>
      <c r="AHR44" s="368"/>
      <c r="AHS44" s="368"/>
      <c r="AHT44" s="368"/>
      <c r="AHU44" s="368"/>
      <c r="AHV44" s="368"/>
      <c r="AHW44" s="368"/>
      <c r="AHX44" s="368"/>
      <c r="AHY44" s="368"/>
      <c r="AHZ44" s="368"/>
      <c r="AIA44" s="368"/>
      <c r="AIB44" s="368"/>
      <c r="AIC44" s="368"/>
      <c r="AID44" s="368"/>
      <c r="AIE44" s="368"/>
      <c r="AIF44" s="368"/>
      <c r="AIG44" s="368"/>
      <c r="AIH44" s="368"/>
      <c r="AII44" s="368"/>
      <c r="AIJ44" s="368"/>
      <c r="AIK44" s="368"/>
      <c r="AIL44" s="368"/>
      <c r="AIM44" s="368"/>
      <c r="AIN44" s="368"/>
      <c r="AIO44" s="368"/>
      <c r="AIP44" s="368"/>
      <c r="AIQ44" s="368"/>
      <c r="AIR44" s="368"/>
      <c r="AIS44" s="368"/>
      <c r="AIT44" s="368"/>
      <c r="AIU44" s="368"/>
      <c r="AIV44" s="368"/>
      <c r="AIW44" s="368"/>
      <c r="AIX44" s="368"/>
      <c r="AIY44" s="368"/>
      <c r="AIZ44" s="368"/>
      <c r="AJA44" s="368"/>
      <c r="AJB44" s="368"/>
      <c r="AJC44" s="368"/>
      <c r="AJD44" s="368"/>
      <c r="AJE44" s="368"/>
      <c r="AJF44" s="368"/>
      <c r="AJG44" s="368"/>
      <c r="AJH44" s="368"/>
      <c r="AJI44" s="368"/>
      <c r="AJJ44" s="368"/>
      <c r="AJK44" s="368"/>
      <c r="AJL44" s="368"/>
      <c r="AJM44" s="368"/>
      <c r="AJN44" s="368"/>
      <c r="AJO44" s="368"/>
      <c r="AJP44" s="368"/>
      <c r="AJQ44" s="368"/>
      <c r="AJR44" s="368"/>
      <c r="AJS44" s="368"/>
      <c r="AJT44" s="368"/>
      <c r="AJU44" s="368"/>
      <c r="AJV44" s="368"/>
      <c r="AJW44" s="368"/>
      <c r="AJX44" s="368"/>
      <c r="AJY44" s="368"/>
      <c r="AJZ44" s="368"/>
      <c r="AKA44" s="368"/>
      <c r="AKB44" s="368"/>
      <c r="AKC44" s="368"/>
      <c r="AKD44" s="368"/>
      <c r="AKE44" s="368"/>
      <c r="AKF44" s="368"/>
      <c r="AKG44" s="368"/>
      <c r="AKH44" s="368"/>
      <c r="AKI44" s="368"/>
      <c r="AKJ44" s="368"/>
      <c r="AKK44" s="368"/>
      <c r="AKL44" s="368"/>
      <c r="AKM44" s="368"/>
      <c r="AKN44" s="368"/>
    </row>
    <row r="45" spans="1:976" s="14" customFormat="1" ht="22.5" customHeight="1" x14ac:dyDescent="0.2">
      <c r="A45" s="408" t="s">
        <v>408</v>
      </c>
      <c r="B45" s="408"/>
      <c r="C45" s="408" t="s">
        <v>221</v>
      </c>
      <c r="D45" s="408" t="s">
        <v>222</v>
      </c>
      <c r="E45" s="409">
        <v>408120</v>
      </c>
      <c r="F45" s="409">
        <v>846</v>
      </c>
      <c r="G45" s="409">
        <v>119</v>
      </c>
      <c r="H45" s="409">
        <v>1</v>
      </c>
      <c r="I45" s="410">
        <v>45776</v>
      </c>
      <c r="J45" s="408" t="s">
        <v>281</v>
      </c>
      <c r="K45" s="408" t="s">
        <v>409</v>
      </c>
      <c r="L45" s="411">
        <v>187.23</v>
      </c>
      <c r="M45" s="411">
        <v>0</v>
      </c>
      <c r="N45" s="450">
        <v>187.23</v>
      </c>
      <c r="O45" s="408"/>
      <c r="P45" s="412">
        <v>45782</v>
      </c>
      <c r="Q45" s="411">
        <v>187.23</v>
      </c>
      <c r="R45" s="408"/>
      <c r="S45" s="411">
        <v>0</v>
      </c>
      <c r="T45" s="411">
        <v>0</v>
      </c>
      <c r="U45" s="411">
        <v>0</v>
      </c>
      <c r="V45" s="411">
        <v>0</v>
      </c>
      <c r="W45" s="408"/>
      <c r="X45" s="408" t="s">
        <v>410</v>
      </c>
      <c r="Y45" s="408" t="s">
        <v>411</v>
      </c>
      <c r="Z45" s="408" t="s">
        <v>53</v>
      </c>
      <c r="AA45" s="408" t="s">
        <v>228</v>
      </c>
      <c r="AB45" s="408" t="s">
        <v>239</v>
      </c>
      <c r="AC45" s="408" t="s">
        <v>240</v>
      </c>
      <c r="AD45" s="408" t="s">
        <v>231</v>
      </c>
      <c r="AE45" s="408" t="s">
        <v>232</v>
      </c>
      <c r="AF45" s="408" t="s">
        <v>231</v>
      </c>
      <c r="AG45" s="408" t="s">
        <v>232</v>
      </c>
      <c r="AH45" s="408"/>
      <c r="AI45" s="408"/>
      <c r="AJ45" s="408"/>
      <c r="AK45" s="408"/>
      <c r="AL45" s="409">
        <v>1</v>
      </c>
      <c r="AM45" s="409">
        <v>0</v>
      </c>
      <c r="AN45" s="410">
        <v>45782</v>
      </c>
      <c r="AO45" s="410">
        <v>45782</v>
      </c>
      <c r="AP45" s="411">
        <v>187.23</v>
      </c>
      <c r="AQ45" s="410">
        <v>45781</v>
      </c>
    </row>
    <row r="46" spans="1:976" s="346" customFormat="1" ht="22.5" customHeight="1" x14ac:dyDescent="0.2">
      <c r="A46" s="370" t="s">
        <v>262</v>
      </c>
      <c r="B46" s="370"/>
      <c r="C46" s="370" t="s">
        <v>221</v>
      </c>
      <c r="D46" s="370" t="s">
        <v>222</v>
      </c>
      <c r="E46" s="371">
        <v>408156</v>
      </c>
      <c r="F46" s="371">
        <v>854</v>
      </c>
      <c r="G46" s="371">
        <v>124</v>
      </c>
      <c r="H46" s="371">
        <v>0</v>
      </c>
      <c r="I46" s="372">
        <v>45786</v>
      </c>
      <c r="J46" s="370" t="s">
        <v>395</v>
      </c>
      <c r="K46" s="370" t="s">
        <v>412</v>
      </c>
      <c r="L46" s="373">
        <v>141.56</v>
      </c>
      <c r="M46" s="373">
        <v>7.79</v>
      </c>
      <c r="N46" s="444">
        <v>149.35</v>
      </c>
      <c r="O46" s="370"/>
      <c r="P46" s="374">
        <v>45796</v>
      </c>
      <c r="Q46" s="373">
        <v>149.35</v>
      </c>
      <c r="R46" s="370" t="s">
        <v>413</v>
      </c>
      <c r="S46" s="373">
        <v>0</v>
      </c>
      <c r="T46" s="373">
        <v>0</v>
      </c>
      <c r="U46" s="373">
        <v>0</v>
      </c>
      <c r="V46" s="373">
        <v>0</v>
      </c>
      <c r="W46" s="370"/>
      <c r="X46" s="370" t="s">
        <v>293</v>
      </c>
      <c r="Y46" s="370" t="s">
        <v>294</v>
      </c>
      <c r="Z46" s="370" t="s">
        <v>42</v>
      </c>
      <c r="AA46" s="370" t="s">
        <v>228</v>
      </c>
      <c r="AB46" s="370" t="s">
        <v>235</v>
      </c>
      <c r="AC46" s="370" t="s">
        <v>331</v>
      </c>
      <c r="AD46" s="370" t="s">
        <v>231</v>
      </c>
      <c r="AE46" s="370" t="s">
        <v>232</v>
      </c>
      <c r="AF46" s="370" t="s">
        <v>231</v>
      </c>
      <c r="AG46" s="370" t="s">
        <v>232</v>
      </c>
      <c r="AH46" s="370"/>
      <c r="AI46" s="370"/>
      <c r="AJ46" s="370"/>
      <c r="AK46" s="370" t="s">
        <v>414</v>
      </c>
      <c r="AL46" s="371">
        <v>1</v>
      </c>
      <c r="AM46" s="371">
        <v>0</v>
      </c>
      <c r="AN46" s="372">
        <v>45796</v>
      </c>
      <c r="AO46" s="372">
        <v>45796</v>
      </c>
      <c r="AP46" s="373">
        <v>149.35</v>
      </c>
      <c r="AQ46" s="372">
        <v>45795</v>
      </c>
      <c r="AR46" s="368"/>
      <c r="AS46" s="368"/>
      <c r="AT46" s="368"/>
      <c r="AU46" s="368"/>
      <c r="AV46" s="368"/>
      <c r="AW46" s="368"/>
      <c r="AX46" s="368"/>
      <c r="AY46" s="368"/>
      <c r="AZ46" s="368"/>
      <c r="BA46" s="368"/>
      <c r="BB46" s="368"/>
      <c r="BC46" s="368"/>
      <c r="BD46" s="368"/>
      <c r="BE46" s="368"/>
      <c r="BF46" s="368"/>
      <c r="BG46" s="368"/>
      <c r="BH46" s="368"/>
      <c r="BI46" s="368"/>
      <c r="BJ46" s="368"/>
      <c r="BK46" s="368"/>
      <c r="BL46" s="368"/>
      <c r="BM46" s="368"/>
      <c r="BN46" s="368"/>
      <c r="BO46" s="368"/>
      <c r="BP46" s="368"/>
      <c r="BQ46" s="368"/>
      <c r="BR46" s="368"/>
      <c r="BS46" s="368"/>
      <c r="BT46" s="368"/>
      <c r="BU46" s="368"/>
      <c r="BV46" s="368"/>
      <c r="BW46" s="368"/>
      <c r="BX46" s="368"/>
      <c r="BY46" s="368"/>
      <c r="BZ46" s="368"/>
      <c r="CA46" s="368"/>
      <c r="CB46" s="368"/>
      <c r="CC46" s="368"/>
      <c r="CD46" s="368"/>
      <c r="CE46" s="368"/>
      <c r="CF46" s="368"/>
      <c r="CG46" s="368"/>
      <c r="CH46" s="368"/>
      <c r="CI46" s="368"/>
      <c r="CJ46" s="368"/>
      <c r="CK46" s="368"/>
      <c r="CL46" s="368"/>
      <c r="CM46" s="368"/>
      <c r="CN46" s="368"/>
      <c r="CO46" s="368"/>
      <c r="CP46" s="368"/>
      <c r="CQ46" s="368"/>
      <c r="CR46" s="368"/>
      <c r="CS46" s="368"/>
      <c r="CT46" s="368"/>
      <c r="CU46" s="368"/>
      <c r="CV46" s="368"/>
      <c r="CW46" s="368"/>
      <c r="CX46" s="368"/>
      <c r="CY46" s="368"/>
      <c r="CZ46" s="368"/>
      <c r="DA46" s="368"/>
      <c r="DB46" s="368"/>
      <c r="DC46" s="368"/>
      <c r="DD46" s="368"/>
      <c r="DE46" s="368"/>
      <c r="DF46" s="368"/>
      <c r="DG46" s="368"/>
      <c r="DH46" s="368"/>
      <c r="DI46" s="368"/>
      <c r="DJ46" s="368"/>
      <c r="DK46" s="368"/>
      <c r="DL46" s="368"/>
      <c r="DM46" s="368"/>
      <c r="DN46" s="368"/>
      <c r="DO46" s="368"/>
      <c r="DP46" s="368"/>
      <c r="DQ46" s="368"/>
      <c r="DR46" s="368"/>
      <c r="DS46" s="368"/>
      <c r="DT46" s="368"/>
      <c r="DU46" s="368"/>
      <c r="DV46" s="368"/>
      <c r="DW46" s="368"/>
      <c r="DX46" s="368"/>
      <c r="DY46" s="368"/>
      <c r="DZ46" s="368"/>
      <c r="EA46" s="368"/>
      <c r="EB46" s="368"/>
      <c r="EC46" s="368"/>
      <c r="ED46" s="368"/>
      <c r="EE46" s="368"/>
      <c r="EF46" s="368"/>
      <c r="EG46" s="368"/>
      <c r="EH46" s="368"/>
      <c r="EI46" s="368"/>
      <c r="EJ46" s="368"/>
      <c r="EK46" s="368"/>
      <c r="EL46" s="368"/>
      <c r="EM46" s="368"/>
      <c r="EN46" s="368"/>
      <c r="EO46" s="368"/>
      <c r="EP46" s="368"/>
      <c r="EQ46" s="368"/>
      <c r="ER46" s="368"/>
      <c r="ES46" s="368"/>
      <c r="ET46" s="368"/>
      <c r="EU46" s="368"/>
      <c r="EV46" s="368"/>
      <c r="EW46" s="368"/>
      <c r="EX46" s="368"/>
      <c r="EY46" s="368"/>
      <c r="EZ46" s="368"/>
      <c r="FA46" s="368"/>
      <c r="FB46" s="368"/>
      <c r="FC46" s="368"/>
      <c r="FD46" s="368"/>
      <c r="FE46" s="368"/>
      <c r="FF46" s="368"/>
      <c r="FG46" s="368"/>
      <c r="FH46" s="368"/>
      <c r="FI46" s="368"/>
      <c r="FJ46" s="368"/>
      <c r="FK46" s="368"/>
      <c r="FL46" s="368"/>
      <c r="FM46" s="368"/>
      <c r="FN46" s="368"/>
      <c r="FO46" s="368"/>
      <c r="FP46" s="368"/>
      <c r="FQ46" s="368"/>
      <c r="FR46" s="368"/>
      <c r="FS46" s="368"/>
      <c r="FT46" s="368"/>
      <c r="FU46" s="368"/>
      <c r="FV46" s="368"/>
      <c r="FW46" s="368"/>
      <c r="FX46" s="368"/>
      <c r="FY46" s="368"/>
      <c r="FZ46" s="368"/>
      <c r="GA46" s="368"/>
      <c r="GB46" s="368"/>
      <c r="GC46" s="368"/>
      <c r="GD46" s="368"/>
      <c r="GE46" s="368"/>
      <c r="GF46" s="368"/>
      <c r="GG46" s="368"/>
      <c r="GH46" s="368"/>
      <c r="GI46" s="368"/>
      <c r="GJ46" s="368"/>
      <c r="GK46" s="368"/>
      <c r="GL46" s="368"/>
      <c r="GM46" s="368"/>
      <c r="GN46" s="368"/>
      <c r="GO46" s="368"/>
      <c r="GP46" s="368"/>
      <c r="GQ46" s="368"/>
      <c r="GR46" s="368"/>
      <c r="GS46" s="368"/>
      <c r="GT46" s="368"/>
      <c r="GU46" s="368"/>
      <c r="GV46" s="368"/>
      <c r="GW46" s="368"/>
      <c r="GX46" s="368"/>
      <c r="GY46" s="368"/>
      <c r="GZ46" s="368"/>
      <c r="HA46" s="368"/>
      <c r="HB46" s="368"/>
      <c r="HC46" s="368"/>
      <c r="HD46" s="368"/>
      <c r="HE46" s="368"/>
      <c r="HF46" s="368"/>
      <c r="HG46" s="368"/>
      <c r="HH46" s="368"/>
      <c r="HI46" s="368"/>
      <c r="HJ46" s="368"/>
      <c r="HK46" s="368"/>
      <c r="HL46" s="368"/>
      <c r="HM46" s="368"/>
      <c r="HN46" s="368"/>
      <c r="HO46" s="368"/>
      <c r="HP46" s="368"/>
      <c r="HQ46" s="368"/>
      <c r="HR46" s="368"/>
      <c r="HS46" s="368"/>
      <c r="HT46" s="368"/>
      <c r="HU46" s="368"/>
      <c r="HV46" s="368"/>
      <c r="HW46" s="368"/>
      <c r="HX46" s="368"/>
      <c r="HY46" s="368"/>
      <c r="HZ46" s="368"/>
      <c r="IA46" s="368"/>
      <c r="IB46" s="368"/>
      <c r="IC46" s="368"/>
      <c r="ID46" s="368"/>
      <c r="IE46" s="368"/>
      <c r="IF46" s="368"/>
      <c r="IG46" s="368"/>
      <c r="IH46" s="368"/>
      <c r="II46" s="368"/>
      <c r="IJ46" s="368"/>
      <c r="IK46" s="368"/>
      <c r="IL46" s="368"/>
      <c r="IM46" s="368"/>
      <c r="IN46" s="368"/>
      <c r="IO46" s="368"/>
      <c r="IP46" s="368"/>
      <c r="IQ46" s="368"/>
      <c r="IR46" s="368"/>
      <c r="IS46" s="368"/>
      <c r="IT46" s="368"/>
      <c r="IU46" s="368"/>
      <c r="IV46" s="368"/>
      <c r="IW46" s="368"/>
      <c r="IX46" s="368"/>
      <c r="IY46" s="368"/>
      <c r="IZ46" s="368"/>
      <c r="JA46" s="368"/>
      <c r="JB46" s="368"/>
      <c r="JC46" s="368"/>
      <c r="JD46" s="368"/>
      <c r="JE46" s="368"/>
      <c r="JF46" s="368"/>
      <c r="JG46" s="368"/>
      <c r="JH46" s="368"/>
      <c r="JI46" s="368"/>
      <c r="JJ46" s="368"/>
      <c r="JK46" s="368"/>
      <c r="JL46" s="368"/>
      <c r="JM46" s="368"/>
      <c r="JN46" s="368"/>
      <c r="JO46" s="368"/>
      <c r="JP46" s="368"/>
      <c r="JQ46" s="368"/>
      <c r="JR46" s="368"/>
      <c r="JS46" s="368"/>
      <c r="JT46" s="368"/>
      <c r="JU46" s="368"/>
      <c r="JV46" s="368"/>
      <c r="JW46" s="368"/>
      <c r="JX46" s="368"/>
      <c r="JY46" s="368"/>
      <c r="JZ46" s="368"/>
      <c r="KA46" s="368"/>
      <c r="KB46" s="368"/>
      <c r="KC46" s="368"/>
      <c r="KD46" s="368"/>
      <c r="KE46" s="368"/>
      <c r="KF46" s="368"/>
      <c r="KG46" s="368"/>
      <c r="KH46" s="368"/>
      <c r="KI46" s="368"/>
      <c r="KJ46" s="368"/>
      <c r="KK46" s="368"/>
      <c r="KL46" s="368"/>
      <c r="KM46" s="368"/>
      <c r="KN46" s="368"/>
      <c r="KO46" s="368"/>
      <c r="KP46" s="368"/>
      <c r="KQ46" s="368"/>
      <c r="KR46" s="368"/>
      <c r="KS46" s="368"/>
      <c r="KT46" s="368"/>
      <c r="KU46" s="368"/>
      <c r="KV46" s="368"/>
      <c r="KW46" s="368"/>
      <c r="KX46" s="368"/>
      <c r="KY46" s="368"/>
      <c r="KZ46" s="368"/>
      <c r="LA46" s="368"/>
      <c r="LB46" s="368"/>
      <c r="LC46" s="368"/>
      <c r="LD46" s="368"/>
      <c r="LE46" s="368"/>
      <c r="LF46" s="368"/>
      <c r="LG46" s="368"/>
      <c r="LH46" s="368"/>
      <c r="LI46" s="368"/>
      <c r="LJ46" s="368"/>
      <c r="LK46" s="368"/>
      <c r="LL46" s="368"/>
      <c r="LM46" s="368"/>
      <c r="LN46" s="368"/>
      <c r="LO46" s="368"/>
      <c r="LP46" s="368"/>
      <c r="LQ46" s="368"/>
      <c r="LR46" s="368"/>
      <c r="LS46" s="368"/>
      <c r="LT46" s="368"/>
      <c r="LU46" s="368"/>
      <c r="LV46" s="368"/>
      <c r="LW46" s="368"/>
      <c r="LX46" s="368"/>
      <c r="LY46" s="368"/>
      <c r="LZ46" s="368"/>
      <c r="MA46" s="368"/>
      <c r="MB46" s="368"/>
      <c r="MC46" s="368"/>
      <c r="MD46" s="368"/>
      <c r="ME46" s="368"/>
      <c r="MF46" s="368"/>
      <c r="MG46" s="368"/>
      <c r="MH46" s="368"/>
      <c r="MI46" s="368"/>
      <c r="MJ46" s="368"/>
      <c r="MK46" s="368"/>
      <c r="ML46" s="368"/>
      <c r="MM46" s="368"/>
      <c r="MN46" s="368"/>
      <c r="MO46" s="368"/>
      <c r="MP46" s="368"/>
      <c r="MQ46" s="368"/>
      <c r="MR46" s="368"/>
      <c r="MS46" s="368"/>
      <c r="MT46" s="368"/>
      <c r="MU46" s="368"/>
      <c r="MV46" s="368"/>
      <c r="MW46" s="368"/>
      <c r="MX46" s="368"/>
      <c r="MY46" s="368"/>
      <c r="MZ46" s="368"/>
      <c r="NA46" s="368"/>
      <c r="NB46" s="368"/>
      <c r="NC46" s="368"/>
      <c r="ND46" s="368"/>
      <c r="NE46" s="368"/>
      <c r="NF46" s="368"/>
      <c r="NG46" s="368"/>
      <c r="NH46" s="368"/>
      <c r="NI46" s="368"/>
      <c r="NJ46" s="368"/>
      <c r="NK46" s="368"/>
      <c r="NL46" s="368"/>
      <c r="NM46" s="368"/>
      <c r="NN46" s="368"/>
      <c r="NO46" s="368"/>
      <c r="NP46" s="368"/>
      <c r="NQ46" s="368"/>
      <c r="NR46" s="368"/>
      <c r="NS46" s="368"/>
      <c r="NT46" s="368"/>
      <c r="NU46" s="368"/>
      <c r="NV46" s="368"/>
      <c r="NW46" s="368"/>
      <c r="NX46" s="368"/>
      <c r="NY46" s="368"/>
      <c r="NZ46" s="368"/>
      <c r="OA46" s="368"/>
      <c r="OB46" s="368"/>
      <c r="OC46" s="368"/>
      <c r="OD46" s="368"/>
      <c r="OE46" s="368"/>
      <c r="OF46" s="368"/>
      <c r="OG46" s="368"/>
      <c r="OH46" s="368"/>
      <c r="OI46" s="368"/>
      <c r="OJ46" s="368"/>
      <c r="OK46" s="368"/>
      <c r="OL46" s="368"/>
      <c r="OM46" s="368"/>
      <c r="ON46" s="368"/>
      <c r="OO46" s="368"/>
      <c r="OP46" s="368"/>
      <c r="OQ46" s="368"/>
      <c r="OR46" s="368"/>
      <c r="OS46" s="368"/>
      <c r="OT46" s="368"/>
      <c r="OU46" s="368"/>
      <c r="OV46" s="368"/>
      <c r="OW46" s="368"/>
      <c r="OX46" s="368"/>
      <c r="OY46" s="368"/>
      <c r="OZ46" s="368"/>
      <c r="PA46" s="368"/>
      <c r="PB46" s="368"/>
      <c r="PC46" s="368"/>
      <c r="PD46" s="368"/>
      <c r="PE46" s="368"/>
      <c r="PF46" s="368"/>
      <c r="PG46" s="368"/>
      <c r="PH46" s="368"/>
      <c r="PI46" s="368"/>
      <c r="PJ46" s="368"/>
      <c r="PK46" s="368"/>
      <c r="PL46" s="368"/>
      <c r="PM46" s="368"/>
      <c r="PN46" s="368"/>
      <c r="PO46" s="368"/>
      <c r="PP46" s="368"/>
      <c r="PQ46" s="368"/>
      <c r="PR46" s="368"/>
      <c r="PS46" s="368"/>
      <c r="PT46" s="368"/>
      <c r="PU46" s="368"/>
      <c r="PV46" s="368"/>
      <c r="PW46" s="368"/>
      <c r="PX46" s="368"/>
      <c r="PY46" s="368"/>
      <c r="PZ46" s="368"/>
      <c r="QA46" s="368"/>
      <c r="QB46" s="368"/>
      <c r="QC46" s="368"/>
      <c r="QD46" s="368"/>
      <c r="QE46" s="368"/>
      <c r="QF46" s="368"/>
      <c r="QG46" s="368"/>
      <c r="QH46" s="368"/>
      <c r="QI46" s="368"/>
      <c r="QJ46" s="368"/>
      <c r="QK46" s="368"/>
      <c r="QL46" s="368"/>
      <c r="QM46" s="368"/>
      <c r="QN46" s="368"/>
      <c r="QO46" s="368"/>
      <c r="QP46" s="368"/>
      <c r="QQ46" s="368"/>
      <c r="QR46" s="368"/>
      <c r="QS46" s="368"/>
      <c r="QT46" s="368"/>
      <c r="QU46" s="368"/>
      <c r="QV46" s="368"/>
      <c r="QW46" s="368"/>
      <c r="QX46" s="368"/>
      <c r="QY46" s="368"/>
      <c r="QZ46" s="368"/>
      <c r="RA46" s="368"/>
      <c r="RB46" s="368"/>
      <c r="RC46" s="368"/>
      <c r="RD46" s="368"/>
      <c r="RE46" s="368"/>
      <c r="RF46" s="368"/>
      <c r="RG46" s="368"/>
      <c r="RH46" s="368"/>
      <c r="RI46" s="368"/>
      <c r="RJ46" s="368"/>
      <c r="RK46" s="368"/>
      <c r="RL46" s="368"/>
      <c r="RM46" s="368"/>
      <c r="RN46" s="368"/>
      <c r="RO46" s="368"/>
      <c r="RP46" s="368"/>
      <c r="RQ46" s="368"/>
      <c r="RR46" s="368"/>
      <c r="RS46" s="368"/>
      <c r="RT46" s="368"/>
      <c r="RU46" s="368"/>
      <c r="RV46" s="368"/>
      <c r="RW46" s="368"/>
      <c r="RX46" s="368"/>
      <c r="RY46" s="368"/>
      <c r="RZ46" s="368"/>
      <c r="SA46" s="368"/>
      <c r="SB46" s="368"/>
      <c r="SC46" s="368"/>
      <c r="SD46" s="368"/>
      <c r="SE46" s="368"/>
      <c r="SF46" s="368"/>
      <c r="SG46" s="368"/>
      <c r="SH46" s="368"/>
      <c r="SI46" s="368"/>
      <c r="SJ46" s="368"/>
      <c r="SK46" s="368"/>
      <c r="SL46" s="368"/>
      <c r="SM46" s="368"/>
      <c r="SN46" s="368"/>
      <c r="SO46" s="368"/>
      <c r="SP46" s="368"/>
      <c r="SQ46" s="368"/>
      <c r="SR46" s="368"/>
      <c r="SS46" s="368"/>
      <c r="ST46" s="368"/>
      <c r="SU46" s="368"/>
      <c r="SV46" s="368"/>
      <c r="SW46" s="368"/>
      <c r="SX46" s="368"/>
      <c r="SY46" s="368"/>
      <c r="SZ46" s="368"/>
      <c r="TA46" s="368"/>
      <c r="TB46" s="368"/>
      <c r="TC46" s="368"/>
      <c r="TD46" s="368"/>
      <c r="TE46" s="368"/>
      <c r="TF46" s="368"/>
      <c r="TG46" s="368"/>
      <c r="TH46" s="368"/>
      <c r="TI46" s="368"/>
      <c r="TJ46" s="368"/>
      <c r="TK46" s="368"/>
      <c r="TL46" s="368"/>
      <c r="TM46" s="368"/>
      <c r="TN46" s="368"/>
      <c r="TO46" s="368"/>
      <c r="TP46" s="368"/>
      <c r="TQ46" s="368"/>
      <c r="TR46" s="368"/>
      <c r="TS46" s="368"/>
      <c r="TT46" s="368"/>
      <c r="TU46" s="368"/>
      <c r="TV46" s="368"/>
      <c r="TW46" s="368"/>
      <c r="TX46" s="368"/>
      <c r="TY46" s="368"/>
      <c r="TZ46" s="368"/>
      <c r="UA46" s="368"/>
      <c r="UB46" s="368"/>
      <c r="UC46" s="368"/>
      <c r="UD46" s="368"/>
      <c r="UE46" s="368"/>
      <c r="UF46" s="368"/>
      <c r="UG46" s="368"/>
      <c r="UH46" s="368"/>
      <c r="UI46" s="368"/>
      <c r="UJ46" s="368"/>
      <c r="UK46" s="368"/>
      <c r="UL46" s="368"/>
      <c r="UM46" s="368"/>
      <c r="UN46" s="368"/>
      <c r="UO46" s="368"/>
      <c r="UP46" s="368"/>
      <c r="UQ46" s="368"/>
      <c r="UR46" s="368"/>
      <c r="US46" s="368"/>
      <c r="UT46" s="368"/>
      <c r="UU46" s="368"/>
      <c r="UV46" s="368"/>
      <c r="UW46" s="368"/>
      <c r="UX46" s="368"/>
      <c r="UY46" s="368"/>
      <c r="UZ46" s="368"/>
      <c r="VA46" s="368"/>
      <c r="VB46" s="368"/>
      <c r="VC46" s="368"/>
      <c r="VD46" s="368"/>
      <c r="VE46" s="368"/>
      <c r="VF46" s="368"/>
      <c r="VG46" s="368"/>
      <c r="VH46" s="368"/>
      <c r="VI46" s="368"/>
      <c r="VJ46" s="368"/>
      <c r="VK46" s="368"/>
      <c r="VL46" s="368"/>
      <c r="VM46" s="368"/>
      <c r="VN46" s="368"/>
      <c r="VO46" s="368"/>
      <c r="VP46" s="368"/>
      <c r="VQ46" s="368"/>
      <c r="VR46" s="368"/>
      <c r="VS46" s="368"/>
      <c r="VT46" s="368"/>
      <c r="VU46" s="368"/>
      <c r="VV46" s="368"/>
      <c r="VW46" s="368"/>
      <c r="VX46" s="368"/>
      <c r="VY46" s="368"/>
      <c r="VZ46" s="368"/>
      <c r="WA46" s="368"/>
      <c r="WB46" s="368"/>
      <c r="WC46" s="368"/>
      <c r="WD46" s="368"/>
      <c r="WE46" s="368"/>
      <c r="WF46" s="368"/>
      <c r="WG46" s="368"/>
      <c r="WH46" s="368"/>
      <c r="WI46" s="368"/>
      <c r="WJ46" s="368"/>
      <c r="WK46" s="368"/>
      <c r="WL46" s="368"/>
      <c r="WM46" s="368"/>
      <c r="WN46" s="368"/>
      <c r="WO46" s="368"/>
      <c r="WP46" s="368"/>
      <c r="WQ46" s="368"/>
      <c r="WR46" s="368"/>
      <c r="WS46" s="368"/>
      <c r="WT46" s="368"/>
      <c r="WU46" s="368"/>
      <c r="WV46" s="368"/>
      <c r="WW46" s="368"/>
      <c r="WX46" s="368"/>
      <c r="WY46" s="368"/>
      <c r="WZ46" s="368"/>
      <c r="XA46" s="368"/>
      <c r="XB46" s="368"/>
      <c r="XC46" s="368"/>
      <c r="XD46" s="368"/>
      <c r="XE46" s="368"/>
      <c r="XF46" s="368"/>
      <c r="XG46" s="368"/>
      <c r="XH46" s="368"/>
      <c r="XI46" s="368"/>
      <c r="XJ46" s="368"/>
      <c r="XK46" s="368"/>
      <c r="XL46" s="368"/>
      <c r="XM46" s="368"/>
      <c r="XN46" s="368"/>
      <c r="XO46" s="368"/>
      <c r="XP46" s="368"/>
      <c r="XQ46" s="368"/>
      <c r="XR46" s="368"/>
      <c r="XS46" s="368"/>
      <c r="XT46" s="368"/>
      <c r="XU46" s="368"/>
      <c r="XV46" s="368"/>
      <c r="XW46" s="368"/>
      <c r="XX46" s="368"/>
      <c r="XY46" s="368"/>
      <c r="XZ46" s="368"/>
      <c r="YA46" s="368"/>
      <c r="YB46" s="368"/>
      <c r="YC46" s="368"/>
      <c r="YD46" s="368"/>
      <c r="YE46" s="368"/>
      <c r="YF46" s="368"/>
      <c r="YG46" s="368"/>
      <c r="YH46" s="368"/>
      <c r="YI46" s="368"/>
      <c r="YJ46" s="368"/>
      <c r="YK46" s="368"/>
      <c r="YL46" s="368"/>
      <c r="YM46" s="368"/>
      <c r="YN46" s="368"/>
      <c r="YO46" s="368"/>
      <c r="YP46" s="368"/>
      <c r="YQ46" s="368"/>
      <c r="YR46" s="368"/>
      <c r="YS46" s="368"/>
      <c r="YT46" s="368"/>
      <c r="YU46" s="368"/>
      <c r="YV46" s="368"/>
      <c r="YW46" s="368"/>
      <c r="YX46" s="368"/>
      <c r="YY46" s="368"/>
      <c r="YZ46" s="368"/>
      <c r="ZA46" s="368"/>
      <c r="ZB46" s="368"/>
      <c r="ZC46" s="368"/>
      <c r="ZD46" s="368"/>
      <c r="ZE46" s="368"/>
      <c r="ZF46" s="368"/>
      <c r="ZG46" s="368"/>
      <c r="ZH46" s="368"/>
      <c r="ZI46" s="368"/>
      <c r="ZJ46" s="368"/>
      <c r="ZK46" s="368"/>
      <c r="ZL46" s="368"/>
      <c r="ZM46" s="368"/>
      <c r="ZN46" s="368"/>
      <c r="ZO46" s="368"/>
      <c r="ZP46" s="368"/>
      <c r="ZQ46" s="368"/>
      <c r="ZR46" s="368"/>
      <c r="ZS46" s="368"/>
      <c r="ZT46" s="368"/>
      <c r="ZU46" s="368"/>
      <c r="ZV46" s="368"/>
      <c r="ZW46" s="368"/>
      <c r="ZX46" s="368"/>
      <c r="ZY46" s="368"/>
      <c r="ZZ46" s="368"/>
      <c r="AAA46" s="368"/>
      <c r="AAB46" s="368"/>
      <c r="AAC46" s="368"/>
      <c r="AAD46" s="368"/>
      <c r="AAE46" s="368"/>
      <c r="AAF46" s="368"/>
      <c r="AAG46" s="368"/>
      <c r="AAH46" s="368"/>
      <c r="AAI46" s="368"/>
      <c r="AAJ46" s="368"/>
      <c r="AAK46" s="368"/>
      <c r="AAL46" s="368"/>
      <c r="AAM46" s="368"/>
      <c r="AAN46" s="368"/>
      <c r="AAO46" s="368"/>
      <c r="AAP46" s="368"/>
      <c r="AAQ46" s="368"/>
      <c r="AAR46" s="368"/>
      <c r="AAS46" s="368"/>
      <c r="AAT46" s="368"/>
      <c r="AAU46" s="368"/>
      <c r="AAV46" s="368"/>
      <c r="AAW46" s="368"/>
      <c r="AAX46" s="368"/>
      <c r="AAY46" s="368"/>
      <c r="AAZ46" s="368"/>
      <c r="ABA46" s="368"/>
      <c r="ABB46" s="368"/>
      <c r="ABC46" s="368"/>
      <c r="ABD46" s="368"/>
      <c r="ABE46" s="368"/>
      <c r="ABF46" s="368"/>
      <c r="ABG46" s="368"/>
      <c r="ABH46" s="368"/>
      <c r="ABI46" s="368"/>
      <c r="ABJ46" s="368"/>
      <c r="ABK46" s="368"/>
      <c r="ABL46" s="368"/>
      <c r="ABM46" s="368"/>
      <c r="ABN46" s="368"/>
      <c r="ABO46" s="368"/>
      <c r="ABP46" s="368"/>
      <c r="ABQ46" s="368"/>
      <c r="ABR46" s="368"/>
      <c r="ABS46" s="368"/>
      <c r="ABT46" s="368"/>
      <c r="ABU46" s="368"/>
      <c r="ABV46" s="368"/>
      <c r="ABW46" s="368"/>
      <c r="ABX46" s="368"/>
      <c r="ABY46" s="368"/>
      <c r="ABZ46" s="368"/>
      <c r="ACA46" s="368"/>
      <c r="ACB46" s="368"/>
      <c r="ACC46" s="368"/>
      <c r="ACD46" s="368"/>
      <c r="ACE46" s="368"/>
      <c r="ACF46" s="368"/>
      <c r="ACG46" s="368"/>
      <c r="ACH46" s="368"/>
      <c r="ACI46" s="368"/>
      <c r="ACJ46" s="368"/>
      <c r="ACK46" s="368"/>
      <c r="ACL46" s="368"/>
      <c r="ACM46" s="368"/>
      <c r="ACN46" s="368"/>
      <c r="ACO46" s="368"/>
      <c r="ACP46" s="368"/>
      <c r="ACQ46" s="368"/>
      <c r="ACR46" s="368"/>
      <c r="ACS46" s="368"/>
      <c r="ACT46" s="368"/>
      <c r="ACU46" s="368"/>
      <c r="ACV46" s="368"/>
      <c r="ACW46" s="368"/>
      <c r="ACX46" s="368"/>
      <c r="ACY46" s="368"/>
      <c r="ACZ46" s="368"/>
      <c r="ADA46" s="368"/>
      <c r="ADB46" s="368"/>
      <c r="ADC46" s="368"/>
      <c r="ADD46" s="368"/>
      <c r="ADE46" s="368"/>
      <c r="ADF46" s="368"/>
      <c r="ADG46" s="368"/>
      <c r="ADH46" s="368"/>
      <c r="ADI46" s="368"/>
      <c r="ADJ46" s="368"/>
      <c r="ADK46" s="368"/>
      <c r="ADL46" s="368"/>
      <c r="ADM46" s="368"/>
      <c r="ADN46" s="368"/>
      <c r="ADO46" s="368"/>
      <c r="ADP46" s="368"/>
      <c r="ADQ46" s="368"/>
      <c r="ADR46" s="368"/>
      <c r="ADS46" s="368"/>
      <c r="ADT46" s="368"/>
      <c r="ADU46" s="368"/>
      <c r="ADV46" s="368"/>
      <c r="ADW46" s="368"/>
      <c r="ADX46" s="368"/>
      <c r="ADY46" s="368"/>
      <c r="ADZ46" s="368"/>
      <c r="AEA46" s="368"/>
      <c r="AEB46" s="368"/>
      <c r="AEC46" s="368"/>
      <c r="AED46" s="368"/>
      <c r="AEE46" s="368"/>
      <c r="AEF46" s="368"/>
      <c r="AEG46" s="368"/>
      <c r="AEH46" s="368"/>
      <c r="AEI46" s="368"/>
      <c r="AEJ46" s="368"/>
      <c r="AEK46" s="368"/>
      <c r="AEL46" s="368"/>
      <c r="AEM46" s="368"/>
      <c r="AEN46" s="368"/>
      <c r="AEO46" s="368"/>
      <c r="AEP46" s="368"/>
      <c r="AEQ46" s="368"/>
      <c r="AER46" s="368"/>
      <c r="AES46" s="368"/>
      <c r="AET46" s="368"/>
      <c r="AEU46" s="368"/>
      <c r="AEV46" s="368"/>
      <c r="AEW46" s="368"/>
      <c r="AEX46" s="368"/>
      <c r="AEY46" s="368"/>
      <c r="AEZ46" s="368"/>
      <c r="AFA46" s="368"/>
      <c r="AFB46" s="368"/>
      <c r="AFC46" s="368"/>
      <c r="AFD46" s="368"/>
      <c r="AFE46" s="368"/>
      <c r="AFF46" s="368"/>
      <c r="AFG46" s="368"/>
      <c r="AFH46" s="368"/>
      <c r="AFI46" s="368"/>
      <c r="AFJ46" s="368"/>
      <c r="AFK46" s="368"/>
      <c r="AFL46" s="368"/>
      <c r="AFM46" s="368"/>
      <c r="AFN46" s="368"/>
      <c r="AFO46" s="368"/>
      <c r="AFP46" s="368"/>
      <c r="AFQ46" s="368"/>
      <c r="AFR46" s="368"/>
      <c r="AFS46" s="368"/>
      <c r="AFT46" s="368"/>
      <c r="AFU46" s="368"/>
      <c r="AFV46" s="368"/>
      <c r="AFW46" s="368"/>
      <c r="AFX46" s="368"/>
      <c r="AFY46" s="368"/>
      <c r="AFZ46" s="368"/>
      <c r="AGA46" s="368"/>
      <c r="AGB46" s="368"/>
      <c r="AGC46" s="368"/>
      <c r="AGD46" s="368"/>
      <c r="AGE46" s="368"/>
      <c r="AGF46" s="368"/>
      <c r="AGG46" s="368"/>
      <c r="AGH46" s="368"/>
      <c r="AGI46" s="368"/>
      <c r="AGJ46" s="368"/>
      <c r="AGK46" s="368"/>
      <c r="AGL46" s="368"/>
      <c r="AGM46" s="368"/>
      <c r="AGN46" s="368"/>
      <c r="AGO46" s="368"/>
      <c r="AGP46" s="368"/>
      <c r="AGQ46" s="368"/>
      <c r="AGR46" s="368"/>
      <c r="AGS46" s="368"/>
      <c r="AGT46" s="368"/>
      <c r="AGU46" s="368"/>
      <c r="AGV46" s="368"/>
      <c r="AGW46" s="368"/>
      <c r="AGX46" s="368"/>
      <c r="AGY46" s="368"/>
      <c r="AGZ46" s="368"/>
      <c r="AHA46" s="368"/>
      <c r="AHB46" s="368"/>
      <c r="AHC46" s="368"/>
      <c r="AHD46" s="368"/>
      <c r="AHE46" s="368"/>
      <c r="AHF46" s="368"/>
      <c r="AHG46" s="368"/>
      <c r="AHH46" s="368"/>
      <c r="AHI46" s="368"/>
      <c r="AHJ46" s="368"/>
      <c r="AHK46" s="368"/>
      <c r="AHL46" s="368"/>
      <c r="AHM46" s="368"/>
      <c r="AHN46" s="368"/>
      <c r="AHO46" s="368"/>
      <c r="AHP46" s="368"/>
      <c r="AHQ46" s="368"/>
      <c r="AHR46" s="368"/>
      <c r="AHS46" s="368"/>
      <c r="AHT46" s="368"/>
      <c r="AHU46" s="368"/>
      <c r="AHV46" s="368"/>
      <c r="AHW46" s="368"/>
      <c r="AHX46" s="368"/>
      <c r="AHY46" s="368"/>
      <c r="AHZ46" s="368"/>
      <c r="AIA46" s="368"/>
      <c r="AIB46" s="368"/>
      <c r="AIC46" s="368"/>
      <c r="AID46" s="368"/>
      <c r="AIE46" s="368"/>
      <c r="AIF46" s="368"/>
      <c r="AIG46" s="368"/>
      <c r="AIH46" s="368"/>
      <c r="AII46" s="368"/>
      <c r="AIJ46" s="368"/>
      <c r="AIK46" s="368"/>
      <c r="AIL46" s="368"/>
      <c r="AIM46" s="368"/>
      <c r="AIN46" s="368"/>
      <c r="AIO46" s="368"/>
      <c r="AIP46" s="368"/>
      <c r="AIQ46" s="368"/>
      <c r="AIR46" s="368"/>
      <c r="AIS46" s="368"/>
      <c r="AIT46" s="368"/>
      <c r="AIU46" s="368"/>
      <c r="AIV46" s="368"/>
      <c r="AIW46" s="368"/>
      <c r="AIX46" s="368"/>
      <c r="AIY46" s="368"/>
      <c r="AIZ46" s="368"/>
      <c r="AJA46" s="368"/>
      <c r="AJB46" s="368"/>
      <c r="AJC46" s="368"/>
      <c r="AJD46" s="368"/>
      <c r="AJE46" s="368"/>
      <c r="AJF46" s="368"/>
      <c r="AJG46" s="368"/>
      <c r="AJH46" s="368"/>
      <c r="AJI46" s="368"/>
      <c r="AJJ46" s="368"/>
      <c r="AJK46" s="368"/>
      <c r="AJL46" s="368"/>
      <c r="AJM46" s="368"/>
      <c r="AJN46" s="368"/>
      <c r="AJO46" s="368"/>
      <c r="AJP46" s="368"/>
      <c r="AJQ46" s="368"/>
      <c r="AJR46" s="368"/>
      <c r="AJS46" s="368"/>
      <c r="AJT46" s="368"/>
      <c r="AJU46" s="368"/>
      <c r="AJV46" s="368"/>
      <c r="AJW46" s="368"/>
      <c r="AJX46" s="368"/>
      <c r="AJY46" s="368"/>
      <c r="AJZ46" s="368"/>
      <c r="AKA46" s="368"/>
      <c r="AKB46" s="368"/>
      <c r="AKC46" s="368"/>
      <c r="AKD46" s="368"/>
      <c r="AKE46" s="368"/>
      <c r="AKF46" s="368"/>
      <c r="AKG46" s="368"/>
      <c r="AKH46" s="368"/>
      <c r="AKI46" s="368"/>
      <c r="AKJ46" s="368"/>
      <c r="AKK46" s="368"/>
      <c r="AKL46" s="368"/>
      <c r="AKM46" s="368"/>
      <c r="AKN46" s="368"/>
    </row>
    <row r="47" spans="1:976" s="346" customFormat="1" ht="22.5" customHeight="1" x14ac:dyDescent="0.2">
      <c r="A47" s="370" t="s">
        <v>262</v>
      </c>
      <c r="B47" s="370"/>
      <c r="C47" s="370" t="s">
        <v>221</v>
      </c>
      <c r="D47" s="370" t="s">
        <v>222</v>
      </c>
      <c r="E47" s="371">
        <v>408157</v>
      </c>
      <c r="F47" s="371">
        <v>855</v>
      </c>
      <c r="G47" s="371">
        <v>124</v>
      </c>
      <c r="H47" s="371">
        <v>0</v>
      </c>
      <c r="I47" s="372">
        <v>45786</v>
      </c>
      <c r="J47" s="370" t="s">
        <v>395</v>
      </c>
      <c r="K47" s="370" t="s">
        <v>415</v>
      </c>
      <c r="L47" s="373">
        <v>142.18</v>
      </c>
      <c r="M47" s="373">
        <v>7.82</v>
      </c>
      <c r="N47" s="444">
        <v>150</v>
      </c>
      <c r="O47" s="370"/>
      <c r="P47" s="374">
        <v>45796</v>
      </c>
      <c r="Q47" s="373">
        <v>150</v>
      </c>
      <c r="R47" s="370" t="s">
        <v>416</v>
      </c>
      <c r="S47" s="373">
        <v>0</v>
      </c>
      <c r="T47" s="373">
        <v>0</v>
      </c>
      <c r="U47" s="373">
        <v>0</v>
      </c>
      <c r="V47" s="373">
        <v>0</v>
      </c>
      <c r="W47" s="370"/>
      <c r="X47" s="370" t="s">
        <v>293</v>
      </c>
      <c r="Y47" s="370" t="s">
        <v>294</v>
      </c>
      <c r="Z47" s="370" t="s">
        <v>42</v>
      </c>
      <c r="AA47" s="370" t="s">
        <v>228</v>
      </c>
      <c r="AB47" s="370" t="s">
        <v>235</v>
      </c>
      <c r="AC47" s="370" t="s">
        <v>331</v>
      </c>
      <c r="AD47" s="370" t="s">
        <v>231</v>
      </c>
      <c r="AE47" s="370" t="s">
        <v>232</v>
      </c>
      <c r="AF47" s="370" t="s">
        <v>231</v>
      </c>
      <c r="AG47" s="370" t="s">
        <v>232</v>
      </c>
      <c r="AH47" s="370"/>
      <c r="AI47" s="370"/>
      <c r="AJ47" s="370"/>
      <c r="AK47" s="370" t="s">
        <v>417</v>
      </c>
      <c r="AL47" s="371">
        <v>1</v>
      </c>
      <c r="AM47" s="371">
        <v>0</v>
      </c>
      <c r="AN47" s="372">
        <v>45796</v>
      </c>
      <c r="AO47" s="372">
        <v>45796</v>
      </c>
      <c r="AP47" s="373">
        <v>150</v>
      </c>
      <c r="AQ47" s="372">
        <v>45795</v>
      </c>
      <c r="AR47" s="368"/>
      <c r="AS47" s="368"/>
      <c r="AT47" s="368"/>
      <c r="AU47" s="368"/>
      <c r="AV47" s="368"/>
      <c r="AW47" s="368"/>
      <c r="AX47" s="368"/>
      <c r="AY47" s="368"/>
      <c r="AZ47" s="368"/>
      <c r="BA47" s="368"/>
      <c r="BB47" s="368"/>
      <c r="BC47" s="368"/>
      <c r="BD47" s="368"/>
      <c r="BE47" s="368"/>
      <c r="BF47" s="368"/>
      <c r="BG47" s="368"/>
      <c r="BH47" s="368"/>
      <c r="BI47" s="368"/>
      <c r="BJ47" s="368"/>
      <c r="BK47" s="368"/>
      <c r="BL47" s="368"/>
      <c r="BM47" s="368"/>
      <c r="BN47" s="368"/>
      <c r="BO47" s="368"/>
      <c r="BP47" s="368"/>
      <c r="BQ47" s="368"/>
      <c r="BR47" s="368"/>
      <c r="BS47" s="368"/>
      <c r="BT47" s="368"/>
      <c r="BU47" s="368"/>
      <c r="BV47" s="368"/>
      <c r="BW47" s="368"/>
      <c r="BX47" s="368"/>
      <c r="BY47" s="368"/>
      <c r="BZ47" s="368"/>
      <c r="CA47" s="368"/>
      <c r="CB47" s="368"/>
      <c r="CC47" s="368"/>
      <c r="CD47" s="368"/>
      <c r="CE47" s="368"/>
      <c r="CF47" s="368"/>
      <c r="CG47" s="368"/>
      <c r="CH47" s="368"/>
      <c r="CI47" s="368"/>
      <c r="CJ47" s="368"/>
      <c r="CK47" s="368"/>
      <c r="CL47" s="368"/>
      <c r="CM47" s="368"/>
      <c r="CN47" s="368"/>
      <c r="CO47" s="368"/>
      <c r="CP47" s="368"/>
      <c r="CQ47" s="368"/>
      <c r="CR47" s="368"/>
      <c r="CS47" s="368"/>
      <c r="CT47" s="368"/>
      <c r="CU47" s="368"/>
      <c r="CV47" s="368"/>
      <c r="CW47" s="368"/>
      <c r="CX47" s="368"/>
      <c r="CY47" s="368"/>
      <c r="CZ47" s="368"/>
      <c r="DA47" s="368"/>
      <c r="DB47" s="368"/>
      <c r="DC47" s="368"/>
      <c r="DD47" s="368"/>
      <c r="DE47" s="368"/>
      <c r="DF47" s="368"/>
      <c r="DG47" s="368"/>
      <c r="DH47" s="368"/>
      <c r="DI47" s="368"/>
      <c r="DJ47" s="368"/>
      <c r="DK47" s="368"/>
      <c r="DL47" s="368"/>
      <c r="DM47" s="368"/>
      <c r="DN47" s="368"/>
      <c r="DO47" s="368"/>
      <c r="DP47" s="368"/>
      <c r="DQ47" s="368"/>
      <c r="DR47" s="368"/>
      <c r="DS47" s="368"/>
      <c r="DT47" s="368"/>
      <c r="DU47" s="368"/>
      <c r="DV47" s="368"/>
      <c r="DW47" s="368"/>
      <c r="DX47" s="368"/>
      <c r="DY47" s="368"/>
      <c r="DZ47" s="368"/>
      <c r="EA47" s="368"/>
      <c r="EB47" s="368"/>
      <c r="EC47" s="368"/>
      <c r="ED47" s="368"/>
      <c r="EE47" s="368"/>
      <c r="EF47" s="368"/>
      <c r="EG47" s="368"/>
      <c r="EH47" s="368"/>
      <c r="EI47" s="368"/>
      <c r="EJ47" s="368"/>
      <c r="EK47" s="368"/>
      <c r="EL47" s="368"/>
      <c r="EM47" s="368"/>
      <c r="EN47" s="368"/>
      <c r="EO47" s="368"/>
      <c r="EP47" s="368"/>
      <c r="EQ47" s="368"/>
      <c r="ER47" s="368"/>
      <c r="ES47" s="368"/>
      <c r="ET47" s="368"/>
      <c r="EU47" s="368"/>
      <c r="EV47" s="368"/>
      <c r="EW47" s="368"/>
      <c r="EX47" s="368"/>
      <c r="EY47" s="368"/>
      <c r="EZ47" s="368"/>
      <c r="FA47" s="368"/>
      <c r="FB47" s="368"/>
      <c r="FC47" s="368"/>
      <c r="FD47" s="368"/>
      <c r="FE47" s="368"/>
      <c r="FF47" s="368"/>
      <c r="FG47" s="368"/>
      <c r="FH47" s="368"/>
      <c r="FI47" s="368"/>
      <c r="FJ47" s="368"/>
      <c r="FK47" s="368"/>
      <c r="FL47" s="368"/>
      <c r="FM47" s="368"/>
      <c r="FN47" s="368"/>
      <c r="FO47" s="368"/>
      <c r="FP47" s="368"/>
      <c r="FQ47" s="368"/>
      <c r="FR47" s="368"/>
      <c r="FS47" s="368"/>
      <c r="FT47" s="368"/>
      <c r="FU47" s="368"/>
      <c r="FV47" s="368"/>
      <c r="FW47" s="368"/>
      <c r="FX47" s="368"/>
      <c r="FY47" s="368"/>
      <c r="FZ47" s="368"/>
      <c r="GA47" s="368"/>
      <c r="GB47" s="368"/>
      <c r="GC47" s="368"/>
      <c r="GD47" s="368"/>
      <c r="GE47" s="368"/>
      <c r="GF47" s="368"/>
      <c r="GG47" s="368"/>
      <c r="GH47" s="368"/>
      <c r="GI47" s="368"/>
      <c r="GJ47" s="368"/>
      <c r="GK47" s="368"/>
      <c r="GL47" s="368"/>
      <c r="GM47" s="368"/>
      <c r="GN47" s="368"/>
      <c r="GO47" s="368"/>
      <c r="GP47" s="368"/>
      <c r="GQ47" s="368"/>
      <c r="GR47" s="368"/>
      <c r="GS47" s="368"/>
      <c r="GT47" s="368"/>
      <c r="GU47" s="368"/>
      <c r="GV47" s="368"/>
      <c r="GW47" s="368"/>
      <c r="GX47" s="368"/>
      <c r="GY47" s="368"/>
      <c r="GZ47" s="368"/>
      <c r="HA47" s="368"/>
      <c r="HB47" s="368"/>
      <c r="HC47" s="368"/>
      <c r="HD47" s="368"/>
      <c r="HE47" s="368"/>
      <c r="HF47" s="368"/>
      <c r="HG47" s="368"/>
      <c r="HH47" s="368"/>
      <c r="HI47" s="368"/>
      <c r="HJ47" s="368"/>
      <c r="HK47" s="368"/>
      <c r="HL47" s="368"/>
      <c r="HM47" s="368"/>
      <c r="HN47" s="368"/>
      <c r="HO47" s="368"/>
      <c r="HP47" s="368"/>
      <c r="HQ47" s="368"/>
      <c r="HR47" s="368"/>
      <c r="HS47" s="368"/>
      <c r="HT47" s="368"/>
      <c r="HU47" s="368"/>
      <c r="HV47" s="368"/>
      <c r="HW47" s="368"/>
      <c r="HX47" s="368"/>
      <c r="HY47" s="368"/>
      <c r="HZ47" s="368"/>
      <c r="IA47" s="368"/>
      <c r="IB47" s="368"/>
      <c r="IC47" s="368"/>
      <c r="ID47" s="368"/>
      <c r="IE47" s="368"/>
      <c r="IF47" s="368"/>
      <c r="IG47" s="368"/>
      <c r="IH47" s="368"/>
      <c r="II47" s="368"/>
      <c r="IJ47" s="368"/>
      <c r="IK47" s="368"/>
      <c r="IL47" s="368"/>
      <c r="IM47" s="368"/>
      <c r="IN47" s="368"/>
      <c r="IO47" s="368"/>
      <c r="IP47" s="368"/>
      <c r="IQ47" s="368"/>
      <c r="IR47" s="368"/>
      <c r="IS47" s="368"/>
      <c r="IT47" s="368"/>
      <c r="IU47" s="368"/>
      <c r="IV47" s="368"/>
      <c r="IW47" s="368"/>
      <c r="IX47" s="368"/>
      <c r="IY47" s="368"/>
      <c r="IZ47" s="368"/>
      <c r="JA47" s="368"/>
      <c r="JB47" s="368"/>
      <c r="JC47" s="368"/>
      <c r="JD47" s="368"/>
      <c r="JE47" s="368"/>
      <c r="JF47" s="368"/>
      <c r="JG47" s="368"/>
      <c r="JH47" s="368"/>
      <c r="JI47" s="368"/>
      <c r="JJ47" s="368"/>
      <c r="JK47" s="368"/>
      <c r="JL47" s="368"/>
      <c r="JM47" s="368"/>
      <c r="JN47" s="368"/>
      <c r="JO47" s="368"/>
      <c r="JP47" s="368"/>
      <c r="JQ47" s="368"/>
      <c r="JR47" s="368"/>
      <c r="JS47" s="368"/>
      <c r="JT47" s="368"/>
      <c r="JU47" s="368"/>
      <c r="JV47" s="368"/>
      <c r="JW47" s="368"/>
      <c r="JX47" s="368"/>
      <c r="JY47" s="368"/>
      <c r="JZ47" s="368"/>
      <c r="KA47" s="368"/>
      <c r="KB47" s="368"/>
      <c r="KC47" s="368"/>
      <c r="KD47" s="368"/>
      <c r="KE47" s="368"/>
      <c r="KF47" s="368"/>
      <c r="KG47" s="368"/>
      <c r="KH47" s="368"/>
      <c r="KI47" s="368"/>
      <c r="KJ47" s="368"/>
      <c r="KK47" s="368"/>
      <c r="KL47" s="368"/>
      <c r="KM47" s="368"/>
      <c r="KN47" s="368"/>
      <c r="KO47" s="368"/>
      <c r="KP47" s="368"/>
      <c r="KQ47" s="368"/>
      <c r="KR47" s="368"/>
      <c r="KS47" s="368"/>
      <c r="KT47" s="368"/>
      <c r="KU47" s="368"/>
      <c r="KV47" s="368"/>
      <c r="KW47" s="368"/>
      <c r="KX47" s="368"/>
      <c r="KY47" s="368"/>
      <c r="KZ47" s="368"/>
      <c r="LA47" s="368"/>
      <c r="LB47" s="368"/>
      <c r="LC47" s="368"/>
      <c r="LD47" s="368"/>
      <c r="LE47" s="368"/>
      <c r="LF47" s="368"/>
      <c r="LG47" s="368"/>
      <c r="LH47" s="368"/>
      <c r="LI47" s="368"/>
      <c r="LJ47" s="368"/>
      <c r="LK47" s="368"/>
      <c r="LL47" s="368"/>
      <c r="LM47" s="368"/>
      <c r="LN47" s="368"/>
      <c r="LO47" s="368"/>
      <c r="LP47" s="368"/>
      <c r="LQ47" s="368"/>
      <c r="LR47" s="368"/>
      <c r="LS47" s="368"/>
      <c r="LT47" s="368"/>
      <c r="LU47" s="368"/>
      <c r="LV47" s="368"/>
      <c r="LW47" s="368"/>
      <c r="LX47" s="368"/>
      <c r="LY47" s="368"/>
      <c r="LZ47" s="368"/>
      <c r="MA47" s="368"/>
      <c r="MB47" s="368"/>
      <c r="MC47" s="368"/>
      <c r="MD47" s="368"/>
      <c r="ME47" s="368"/>
      <c r="MF47" s="368"/>
      <c r="MG47" s="368"/>
      <c r="MH47" s="368"/>
      <c r="MI47" s="368"/>
      <c r="MJ47" s="368"/>
      <c r="MK47" s="368"/>
      <c r="ML47" s="368"/>
      <c r="MM47" s="368"/>
      <c r="MN47" s="368"/>
      <c r="MO47" s="368"/>
      <c r="MP47" s="368"/>
      <c r="MQ47" s="368"/>
      <c r="MR47" s="368"/>
      <c r="MS47" s="368"/>
      <c r="MT47" s="368"/>
      <c r="MU47" s="368"/>
      <c r="MV47" s="368"/>
      <c r="MW47" s="368"/>
      <c r="MX47" s="368"/>
      <c r="MY47" s="368"/>
      <c r="MZ47" s="368"/>
      <c r="NA47" s="368"/>
      <c r="NB47" s="368"/>
      <c r="NC47" s="368"/>
      <c r="ND47" s="368"/>
      <c r="NE47" s="368"/>
      <c r="NF47" s="368"/>
      <c r="NG47" s="368"/>
      <c r="NH47" s="368"/>
      <c r="NI47" s="368"/>
      <c r="NJ47" s="368"/>
      <c r="NK47" s="368"/>
      <c r="NL47" s="368"/>
      <c r="NM47" s="368"/>
      <c r="NN47" s="368"/>
      <c r="NO47" s="368"/>
      <c r="NP47" s="368"/>
      <c r="NQ47" s="368"/>
      <c r="NR47" s="368"/>
      <c r="NS47" s="368"/>
      <c r="NT47" s="368"/>
      <c r="NU47" s="368"/>
      <c r="NV47" s="368"/>
      <c r="NW47" s="368"/>
      <c r="NX47" s="368"/>
      <c r="NY47" s="368"/>
      <c r="NZ47" s="368"/>
      <c r="OA47" s="368"/>
      <c r="OB47" s="368"/>
      <c r="OC47" s="368"/>
      <c r="OD47" s="368"/>
      <c r="OE47" s="368"/>
      <c r="OF47" s="368"/>
      <c r="OG47" s="368"/>
      <c r="OH47" s="368"/>
      <c r="OI47" s="368"/>
      <c r="OJ47" s="368"/>
      <c r="OK47" s="368"/>
      <c r="OL47" s="368"/>
      <c r="OM47" s="368"/>
      <c r="ON47" s="368"/>
      <c r="OO47" s="368"/>
      <c r="OP47" s="368"/>
      <c r="OQ47" s="368"/>
      <c r="OR47" s="368"/>
      <c r="OS47" s="368"/>
      <c r="OT47" s="368"/>
      <c r="OU47" s="368"/>
      <c r="OV47" s="368"/>
      <c r="OW47" s="368"/>
      <c r="OX47" s="368"/>
      <c r="OY47" s="368"/>
      <c r="OZ47" s="368"/>
      <c r="PA47" s="368"/>
      <c r="PB47" s="368"/>
      <c r="PC47" s="368"/>
      <c r="PD47" s="368"/>
      <c r="PE47" s="368"/>
      <c r="PF47" s="368"/>
      <c r="PG47" s="368"/>
      <c r="PH47" s="368"/>
      <c r="PI47" s="368"/>
      <c r="PJ47" s="368"/>
      <c r="PK47" s="368"/>
      <c r="PL47" s="368"/>
      <c r="PM47" s="368"/>
      <c r="PN47" s="368"/>
      <c r="PO47" s="368"/>
      <c r="PP47" s="368"/>
      <c r="PQ47" s="368"/>
      <c r="PR47" s="368"/>
      <c r="PS47" s="368"/>
      <c r="PT47" s="368"/>
      <c r="PU47" s="368"/>
      <c r="PV47" s="368"/>
      <c r="PW47" s="368"/>
      <c r="PX47" s="368"/>
      <c r="PY47" s="368"/>
      <c r="PZ47" s="368"/>
      <c r="QA47" s="368"/>
      <c r="QB47" s="368"/>
      <c r="QC47" s="368"/>
      <c r="QD47" s="368"/>
      <c r="QE47" s="368"/>
      <c r="QF47" s="368"/>
      <c r="QG47" s="368"/>
      <c r="QH47" s="368"/>
      <c r="QI47" s="368"/>
      <c r="QJ47" s="368"/>
      <c r="QK47" s="368"/>
      <c r="QL47" s="368"/>
      <c r="QM47" s="368"/>
      <c r="QN47" s="368"/>
      <c r="QO47" s="368"/>
      <c r="QP47" s="368"/>
      <c r="QQ47" s="368"/>
      <c r="QR47" s="368"/>
      <c r="QS47" s="368"/>
      <c r="QT47" s="368"/>
      <c r="QU47" s="368"/>
      <c r="QV47" s="368"/>
      <c r="QW47" s="368"/>
      <c r="QX47" s="368"/>
      <c r="QY47" s="368"/>
      <c r="QZ47" s="368"/>
      <c r="RA47" s="368"/>
      <c r="RB47" s="368"/>
      <c r="RC47" s="368"/>
      <c r="RD47" s="368"/>
      <c r="RE47" s="368"/>
      <c r="RF47" s="368"/>
      <c r="RG47" s="368"/>
      <c r="RH47" s="368"/>
      <c r="RI47" s="368"/>
      <c r="RJ47" s="368"/>
      <c r="RK47" s="368"/>
      <c r="RL47" s="368"/>
      <c r="RM47" s="368"/>
      <c r="RN47" s="368"/>
      <c r="RO47" s="368"/>
      <c r="RP47" s="368"/>
      <c r="RQ47" s="368"/>
      <c r="RR47" s="368"/>
      <c r="RS47" s="368"/>
      <c r="RT47" s="368"/>
      <c r="RU47" s="368"/>
      <c r="RV47" s="368"/>
      <c r="RW47" s="368"/>
      <c r="RX47" s="368"/>
      <c r="RY47" s="368"/>
      <c r="RZ47" s="368"/>
      <c r="SA47" s="368"/>
      <c r="SB47" s="368"/>
      <c r="SC47" s="368"/>
      <c r="SD47" s="368"/>
      <c r="SE47" s="368"/>
      <c r="SF47" s="368"/>
      <c r="SG47" s="368"/>
      <c r="SH47" s="368"/>
      <c r="SI47" s="368"/>
      <c r="SJ47" s="368"/>
      <c r="SK47" s="368"/>
      <c r="SL47" s="368"/>
      <c r="SM47" s="368"/>
      <c r="SN47" s="368"/>
      <c r="SO47" s="368"/>
      <c r="SP47" s="368"/>
      <c r="SQ47" s="368"/>
      <c r="SR47" s="368"/>
      <c r="SS47" s="368"/>
      <c r="ST47" s="368"/>
      <c r="SU47" s="368"/>
      <c r="SV47" s="368"/>
      <c r="SW47" s="368"/>
      <c r="SX47" s="368"/>
      <c r="SY47" s="368"/>
      <c r="SZ47" s="368"/>
      <c r="TA47" s="368"/>
      <c r="TB47" s="368"/>
      <c r="TC47" s="368"/>
      <c r="TD47" s="368"/>
      <c r="TE47" s="368"/>
      <c r="TF47" s="368"/>
      <c r="TG47" s="368"/>
      <c r="TH47" s="368"/>
      <c r="TI47" s="368"/>
      <c r="TJ47" s="368"/>
      <c r="TK47" s="368"/>
      <c r="TL47" s="368"/>
      <c r="TM47" s="368"/>
      <c r="TN47" s="368"/>
      <c r="TO47" s="368"/>
      <c r="TP47" s="368"/>
      <c r="TQ47" s="368"/>
      <c r="TR47" s="368"/>
      <c r="TS47" s="368"/>
      <c r="TT47" s="368"/>
      <c r="TU47" s="368"/>
      <c r="TV47" s="368"/>
      <c r="TW47" s="368"/>
      <c r="TX47" s="368"/>
      <c r="TY47" s="368"/>
      <c r="TZ47" s="368"/>
      <c r="UA47" s="368"/>
      <c r="UB47" s="368"/>
      <c r="UC47" s="368"/>
      <c r="UD47" s="368"/>
      <c r="UE47" s="368"/>
      <c r="UF47" s="368"/>
      <c r="UG47" s="368"/>
      <c r="UH47" s="368"/>
      <c r="UI47" s="368"/>
      <c r="UJ47" s="368"/>
      <c r="UK47" s="368"/>
      <c r="UL47" s="368"/>
      <c r="UM47" s="368"/>
      <c r="UN47" s="368"/>
      <c r="UO47" s="368"/>
      <c r="UP47" s="368"/>
      <c r="UQ47" s="368"/>
      <c r="UR47" s="368"/>
      <c r="US47" s="368"/>
      <c r="UT47" s="368"/>
      <c r="UU47" s="368"/>
      <c r="UV47" s="368"/>
      <c r="UW47" s="368"/>
      <c r="UX47" s="368"/>
      <c r="UY47" s="368"/>
      <c r="UZ47" s="368"/>
      <c r="VA47" s="368"/>
      <c r="VB47" s="368"/>
      <c r="VC47" s="368"/>
      <c r="VD47" s="368"/>
      <c r="VE47" s="368"/>
      <c r="VF47" s="368"/>
      <c r="VG47" s="368"/>
      <c r="VH47" s="368"/>
      <c r="VI47" s="368"/>
      <c r="VJ47" s="368"/>
      <c r="VK47" s="368"/>
      <c r="VL47" s="368"/>
      <c r="VM47" s="368"/>
      <c r="VN47" s="368"/>
      <c r="VO47" s="368"/>
      <c r="VP47" s="368"/>
      <c r="VQ47" s="368"/>
      <c r="VR47" s="368"/>
      <c r="VS47" s="368"/>
      <c r="VT47" s="368"/>
      <c r="VU47" s="368"/>
      <c r="VV47" s="368"/>
      <c r="VW47" s="368"/>
      <c r="VX47" s="368"/>
      <c r="VY47" s="368"/>
      <c r="VZ47" s="368"/>
      <c r="WA47" s="368"/>
      <c r="WB47" s="368"/>
      <c r="WC47" s="368"/>
      <c r="WD47" s="368"/>
      <c r="WE47" s="368"/>
      <c r="WF47" s="368"/>
      <c r="WG47" s="368"/>
      <c r="WH47" s="368"/>
      <c r="WI47" s="368"/>
      <c r="WJ47" s="368"/>
      <c r="WK47" s="368"/>
      <c r="WL47" s="368"/>
      <c r="WM47" s="368"/>
      <c r="WN47" s="368"/>
      <c r="WO47" s="368"/>
      <c r="WP47" s="368"/>
      <c r="WQ47" s="368"/>
      <c r="WR47" s="368"/>
      <c r="WS47" s="368"/>
      <c r="WT47" s="368"/>
      <c r="WU47" s="368"/>
      <c r="WV47" s="368"/>
      <c r="WW47" s="368"/>
      <c r="WX47" s="368"/>
      <c r="WY47" s="368"/>
      <c r="WZ47" s="368"/>
      <c r="XA47" s="368"/>
      <c r="XB47" s="368"/>
      <c r="XC47" s="368"/>
      <c r="XD47" s="368"/>
      <c r="XE47" s="368"/>
      <c r="XF47" s="368"/>
      <c r="XG47" s="368"/>
      <c r="XH47" s="368"/>
      <c r="XI47" s="368"/>
      <c r="XJ47" s="368"/>
      <c r="XK47" s="368"/>
      <c r="XL47" s="368"/>
      <c r="XM47" s="368"/>
      <c r="XN47" s="368"/>
      <c r="XO47" s="368"/>
      <c r="XP47" s="368"/>
      <c r="XQ47" s="368"/>
      <c r="XR47" s="368"/>
      <c r="XS47" s="368"/>
      <c r="XT47" s="368"/>
      <c r="XU47" s="368"/>
      <c r="XV47" s="368"/>
      <c r="XW47" s="368"/>
      <c r="XX47" s="368"/>
      <c r="XY47" s="368"/>
      <c r="XZ47" s="368"/>
      <c r="YA47" s="368"/>
      <c r="YB47" s="368"/>
      <c r="YC47" s="368"/>
      <c r="YD47" s="368"/>
      <c r="YE47" s="368"/>
      <c r="YF47" s="368"/>
      <c r="YG47" s="368"/>
      <c r="YH47" s="368"/>
      <c r="YI47" s="368"/>
      <c r="YJ47" s="368"/>
      <c r="YK47" s="368"/>
      <c r="YL47" s="368"/>
      <c r="YM47" s="368"/>
      <c r="YN47" s="368"/>
      <c r="YO47" s="368"/>
      <c r="YP47" s="368"/>
      <c r="YQ47" s="368"/>
      <c r="YR47" s="368"/>
      <c r="YS47" s="368"/>
      <c r="YT47" s="368"/>
      <c r="YU47" s="368"/>
      <c r="YV47" s="368"/>
      <c r="YW47" s="368"/>
      <c r="YX47" s="368"/>
      <c r="YY47" s="368"/>
      <c r="YZ47" s="368"/>
      <c r="ZA47" s="368"/>
      <c r="ZB47" s="368"/>
      <c r="ZC47" s="368"/>
      <c r="ZD47" s="368"/>
      <c r="ZE47" s="368"/>
      <c r="ZF47" s="368"/>
      <c r="ZG47" s="368"/>
      <c r="ZH47" s="368"/>
      <c r="ZI47" s="368"/>
      <c r="ZJ47" s="368"/>
      <c r="ZK47" s="368"/>
      <c r="ZL47" s="368"/>
      <c r="ZM47" s="368"/>
      <c r="ZN47" s="368"/>
      <c r="ZO47" s="368"/>
      <c r="ZP47" s="368"/>
      <c r="ZQ47" s="368"/>
      <c r="ZR47" s="368"/>
      <c r="ZS47" s="368"/>
      <c r="ZT47" s="368"/>
      <c r="ZU47" s="368"/>
      <c r="ZV47" s="368"/>
      <c r="ZW47" s="368"/>
      <c r="ZX47" s="368"/>
      <c r="ZY47" s="368"/>
      <c r="ZZ47" s="368"/>
      <c r="AAA47" s="368"/>
      <c r="AAB47" s="368"/>
      <c r="AAC47" s="368"/>
      <c r="AAD47" s="368"/>
      <c r="AAE47" s="368"/>
      <c r="AAF47" s="368"/>
      <c r="AAG47" s="368"/>
      <c r="AAH47" s="368"/>
      <c r="AAI47" s="368"/>
      <c r="AAJ47" s="368"/>
      <c r="AAK47" s="368"/>
      <c r="AAL47" s="368"/>
      <c r="AAM47" s="368"/>
      <c r="AAN47" s="368"/>
      <c r="AAO47" s="368"/>
      <c r="AAP47" s="368"/>
      <c r="AAQ47" s="368"/>
      <c r="AAR47" s="368"/>
      <c r="AAS47" s="368"/>
      <c r="AAT47" s="368"/>
      <c r="AAU47" s="368"/>
      <c r="AAV47" s="368"/>
      <c r="AAW47" s="368"/>
      <c r="AAX47" s="368"/>
      <c r="AAY47" s="368"/>
      <c r="AAZ47" s="368"/>
      <c r="ABA47" s="368"/>
      <c r="ABB47" s="368"/>
      <c r="ABC47" s="368"/>
      <c r="ABD47" s="368"/>
      <c r="ABE47" s="368"/>
      <c r="ABF47" s="368"/>
      <c r="ABG47" s="368"/>
      <c r="ABH47" s="368"/>
      <c r="ABI47" s="368"/>
      <c r="ABJ47" s="368"/>
      <c r="ABK47" s="368"/>
      <c r="ABL47" s="368"/>
      <c r="ABM47" s="368"/>
      <c r="ABN47" s="368"/>
      <c r="ABO47" s="368"/>
      <c r="ABP47" s="368"/>
      <c r="ABQ47" s="368"/>
      <c r="ABR47" s="368"/>
      <c r="ABS47" s="368"/>
      <c r="ABT47" s="368"/>
      <c r="ABU47" s="368"/>
      <c r="ABV47" s="368"/>
      <c r="ABW47" s="368"/>
      <c r="ABX47" s="368"/>
      <c r="ABY47" s="368"/>
      <c r="ABZ47" s="368"/>
      <c r="ACA47" s="368"/>
      <c r="ACB47" s="368"/>
      <c r="ACC47" s="368"/>
      <c r="ACD47" s="368"/>
      <c r="ACE47" s="368"/>
      <c r="ACF47" s="368"/>
      <c r="ACG47" s="368"/>
      <c r="ACH47" s="368"/>
      <c r="ACI47" s="368"/>
      <c r="ACJ47" s="368"/>
      <c r="ACK47" s="368"/>
      <c r="ACL47" s="368"/>
      <c r="ACM47" s="368"/>
      <c r="ACN47" s="368"/>
      <c r="ACO47" s="368"/>
      <c r="ACP47" s="368"/>
      <c r="ACQ47" s="368"/>
      <c r="ACR47" s="368"/>
      <c r="ACS47" s="368"/>
      <c r="ACT47" s="368"/>
      <c r="ACU47" s="368"/>
      <c r="ACV47" s="368"/>
      <c r="ACW47" s="368"/>
      <c r="ACX47" s="368"/>
      <c r="ACY47" s="368"/>
      <c r="ACZ47" s="368"/>
      <c r="ADA47" s="368"/>
      <c r="ADB47" s="368"/>
      <c r="ADC47" s="368"/>
      <c r="ADD47" s="368"/>
      <c r="ADE47" s="368"/>
      <c r="ADF47" s="368"/>
      <c r="ADG47" s="368"/>
      <c r="ADH47" s="368"/>
      <c r="ADI47" s="368"/>
      <c r="ADJ47" s="368"/>
      <c r="ADK47" s="368"/>
      <c r="ADL47" s="368"/>
      <c r="ADM47" s="368"/>
      <c r="ADN47" s="368"/>
      <c r="ADO47" s="368"/>
      <c r="ADP47" s="368"/>
      <c r="ADQ47" s="368"/>
      <c r="ADR47" s="368"/>
      <c r="ADS47" s="368"/>
      <c r="ADT47" s="368"/>
      <c r="ADU47" s="368"/>
      <c r="ADV47" s="368"/>
      <c r="ADW47" s="368"/>
      <c r="ADX47" s="368"/>
      <c r="ADY47" s="368"/>
      <c r="ADZ47" s="368"/>
      <c r="AEA47" s="368"/>
      <c r="AEB47" s="368"/>
      <c r="AEC47" s="368"/>
      <c r="AED47" s="368"/>
      <c r="AEE47" s="368"/>
      <c r="AEF47" s="368"/>
      <c r="AEG47" s="368"/>
      <c r="AEH47" s="368"/>
      <c r="AEI47" s="368"/>
      <c r="AEJ47" s="368"/>
      <c r="AEK47" s="368"/>
      <c r="AEL47" s="368"/>
      <c r="AEM47" s="368"/>
      <c r="AEN47" s="368"/>
      <c r="AEO47" s="368"/>
      <c r="AEP47" s="368"/>
      <c r="AEQ47" s="368"/>
      <c r="AER47" s="368"/>
      <c r="AES47" s="368"/>
      <c r="AET47" s="368"/>
      <c r="AEU47" s="368"/>
      <c r="AEV47" s="368"/>
      <c r="AEW47" s="368"/>
      <c r="AEX47" s="368"/>
      <c r="AEY47" s="368"/>
      <c r="AEZ47" s="368"/>
      <c r="AFA47" s="368"/>
      <c r="AFB47" s="368"/>
      <c r="AFC47" s="368"/>
      <c r="AFD47" s="368"/>
      <c r="AFE47" s="368"/>
      <c r="AFF47" s="368"/>
      <c r="AFG47" s="368"/>
      <c r="AFH47" s="368"/>
      <c r="AFI47" s="368"/>
      <c r="AFJ47" s="368"/>
      <c r="AFK47" s="368"/>
      <c r="AFL47" s="368"/>
      <c r="AFM47" s="368"/>
      <c r="AFN47" s="368"/>
      <c r="AFO47" s="368"/>
      <c r="AFP47" s="368"/>
      <c r="AFQ47" s="368"/>
      <c r="AFR47" s="368"/>
      <c r="AFS47" s="368"/>
      <c r="AFT47" s="368"/>
      <c r="AFU47" s="368"/>
      <c r="AFV47" s="368"/>
      <c r="AFW47" s="368"/>
      <c r="AFX47" s="368"/>
      <c r="AFY47" s="368"/>
      <c r="AFZ47" s="368"/>
      <c r="AGA47" s="368"/>
      <c r="AGB47" s="368"/>
      <c r="AGC47" s="368"/>
      <c r="AGD47" s="368"/>
      <c r="AGE47" s="368"/>
      <c r="AGF47" s="368"/>
      <c r="AGG47" s="368"/>
      <c r="AGH47" s="368"/>
      <c r="AGI47" s="368"/>
      <c r="AGJ47" s="368"/>
      <c r="AGK47" s="368"/>
      <c r="AGL47" s="368"/>
      <c r="AGM47" s="368"/>
      <c r="AGN47" s="368"/>
      <c r="AGO47" s="368"/>
      <c r="AGP47" s="368"/>
      <c r="AGQ47" s="368"/>
      <c r="AGR47" s="368"/>
      <c r="AGS47" s="368"/>
      <c r="AGT47" s="368"/>
      <c r="AGU47" s="368"/>
      <c r="AGV47" s="368"/>
      <c r="AGW47" s="368"/>
      <c r="AGX47" s="368"/>
      <c r="AGY47" s="368"/>
      <c r="AGZ47" s="368"/>
      <c r="AHA47" s="368"/>
      <c r="AHB47" s="368"/>
      <c r="AHC47" s="368"/>
      <c r="AHD47" s="368"/>
      <c r="AHE47" s="368"/>
      <c r="AHF47" s="368"/>
      <c r="AHG47" s="368"/>
      <c r="AHH47" s="368"/>
      <c r="AHI47" s="368"/>
      <c r="AHJ47" s="368"/>
      <c r="AHK47" s="368"/>
      <c r="AHL47" s="368"/>
      <c r="AHM47" s="368"/>
      <c r="AHN47" s="368"/>
      <c r="AHO47" s="368"/>
      <c r="AHP47" s="368"/>
      <c r="AHQ47" s="368"/>
      <c r="AHR47" s="368"/>
      <c r="AHS47" s="368"/>
      <c r="AHT47" s="368"/>
      <c r="AHU47" s="368"/>
      <c r="AHV47" s="368"/>
      <c r="AHW47" s="368"/>
      <c r="AHX47" s="368"/>
      <c r="AHY47" s="368"/>
      <c r="AHZ47" s="368"/>
      <c r="AIA47" s="368"/>
      <c r="AIB47" s="368"/>
      <c r="AIC47" s="368"/>
      <c r="AID47" s="368"/>
      <c r="AIE47" s="368"/>
      <c r="AIF47" s="368"/>
      <c r="AIG47" s="368"/>
      <c r="AIH47" s="368"/>
      <c r="AII47" s="368"/>
      <c r="AIJ47" s="368"/>
      <c r="AIK47" s="368"/>
      <c r="AIL47" s="368"/>
      <c r="AIM47" s="368"/>
      <c r="AIN47" s="368"/>
      <c r="AIO47" s="368"/>
      <c r="AIP47" s="368"/>
      <c r="AIQ47" s="368"/>
      <c r="AIR47" s="368"/>
      <c r="AIS47" s="368"/>
      <c r="AIT47" s="368"/>
      <c r="AIU47" s="368"/>
      <c r="AIV47" s="368"/>
      <c r="AIW47" s="368"/>
      <c r="AIX47" s="368"/>
      <c r="AIY47" s="368"/>
      <c r="AIZ47" s="368"/>
      <c r="AJA47" s="368"/>
      <c r="AJB47" s="368"/>
      <c r="AJC47" s="368"/>
      <c r="AJD47" s="368"/>
      <c r="AJE47" s="368"/>
      <c r="AJF47" s="368"/>
      <c r="AJG47" s="368"/>
      <c r="AJH47" s="368"/>
      <c r="AJI47" s="368"/>
      <c r="AJJ47" s="368"/>
      <c r="AJK47" s="368"/>
      <c r="AJL47" s="368"/>
      <c r="AJM47" s="368"/>
      <c r="AJN47" s="368"/>
      <c r="AJO47" s="368"/>
      <c r="AJP47" s="368"/>
      <c r="AJQ47" s="368"/>
      <c r="AJR47" s="368"/>
      <c r="AJS47" s="368"/>
      <c r="AJT47" s="368"/>
      <c r="AJU47" s="368"/>
      <c r="AJV47" s="368"/>
      <c r="AJW47" s="368"/>
      <c r="AJX47" s="368"/>
      <c r="AJY47" s="368"/>
      <c r="AJZ47" s="368"/>
      <c r="AKA47" s="368"/>
      <c r="AKB47" s="368"/>
      <c r="AKC47" s="368"/>
      <c r="AKD47" s="368"/>
      <c r="AKE47" s="368"/>
      <c r="AKF47" s="368"/>
      <c r="AKG47" s="368"/>
      <c r="AKH47" s="368"/>
      <c r="AKI47" s="368"/>
      <c r="AKJ47" s="368"/>
      <c r="AKK47" s="368"/>
      <c r="AKL47" s="368"/>
      <c r="AKM47" s="368"/>
      <c r="AKN47" s="368"/>
    </row>
    <row r="48" spans="1:976" s="346" customFormat="1" ht="22.5" customHeight="1" x14ac:dyDescent="0.2">
      <c r="A48" s="370" t="s">
        <v>262</v>
      </c>
      <c r="B48" s="370"/>
      <c r="C48" s="370" t="s">
        <v>221</v>
      </c>
      <c r="D48" s="370" t="s">
        <v>222</v>
      </c>
      <c r="E48" s="371">
        <v>408158</v>
      </c>
      <c r="F48" s="371">
        <v>856</v>
      </c>
      <c r="G48" s="371">
        <v>124</v>
      </c>
      <c r="H48" s="371">
        <v>0</v>
      </c>
      <c r="I48" s="372">
        <v>45786</v>
      </c>
      <c r="J48" s="370" t="s">
        <v>395</v>
      </c>
      <c r="K48" s="370" t="s">
        <v>418</v>
      </c>
      <c r="L48" s="373">
        <v>93.62</v>
      </c>
      <c r="M48" s="373">
        <v>6.26</v>
      </c>
      <c r="N48" s="444">
        <v>99.88</v>
      </c>
      <c r="O48" s="370"/>
      <c r="P48" s="374">
        <v>45796</v>
      </c>
      <c r="Q48" s="373">
        <v>99.88</v>
      </c>
      <c r="R48" s="370" t="s">
        <v>419</v>
      </c>
      <c r="S48" s="373">
        <v>0</v>
      </c>
      <c r="T48" s="373">
        <v>0</v>
      </c>
      <c r="U48" s="373">
        <v>0</v>
      </c>
      <c r="V48" s="373">
        <v>0</v>
      </c>
      <c r="W48" s="370"/>
      <c r="X48" s="370" t="s">
        <v>293</v>
      </c>
      <c r="Y48" s="370" t="s">
        <v>294</v>
      </c>
      <c r="Z48" s="370" t="s">
        <v>42</v>
      </c>
      <c r="AA48" s="370" t="s">
        <v>228</v>
      </c>
      <c r="AB48" s="370" t="s">
        <v>235</v>
      </c>
      <c r="AC48" s="370" t="s">
        <v>331</v>
      </c>
      <c r="AD48" s="370" t="s">
        <v>231</v>
      </c>
      <c r="AE48" s="370" t="s">
        <v>232</v>
      </c>
      <c r="AF48" s="370" t="s">
        <v>231</v>
      </c>
      <c r="AG48" s="370" t="s">
        <v>232</v>
      </c>
      <c r="AH48" s="370"/>
      <c r="AI48" s="370"/>
      <c r="AJ48" s="370"/>
      <c r="AK48" s="370" t="s">
        <v>420</v>
      </c>
      <c r="AL48" s="371">
        <v>1</v>
      </c>
      <c r="AM48" s="371">
        <v>0</v>
      </c>
      <c r="AN48" s="372">
        <v>45796</v>
      </c>
      <c r="AO48" s="372">
        <v>45796</v>
      </c>
      <c r="AP48" s="373">
        <v>99.88</v>
      </c>
      <c r="AQ48" s="372">
        <v>45795</v>
      </c>
      <c r="AR48" s="368"/>
      <c r="AS48" s="368"/>
      <c r="AT48" s="368"/>
      <c r="AU48" s="368"/>
      <c r="AV48" s="368"/>
      <c r="AW48" s="368"/>
      <c r="AX48" s="368"/>
      <c r="AY48" s="368"/>
      <c r="AZ48" s="368"/>
      <c r="BA48" s="368"/>
      <c r="BB48" s="368"/>
      <c r="BC48" s="368"/>
      <c r="BD48" s="368"/>
      <c r="BE48" s="368"/>
      <c r="BF48" s="368"/>
      <c r="BG48" s="368"/>
      <c r="BH48" s="368"/>
      <c r="BI48" s="368"/>
      <c r="BJ48" s="368"/>
      <c r="BK48" s="368"/>
      <c r="BL48" s="368"/>
      <c r="BM48" s="368"/>
      <c r="BN48" s="368"/>
      <c r="BO48" s="368"/>
      <c r="BP48" s="368"/>
      <c r="BQ48" s="368"/>
      <c r="BR48" s="368"/>
      <c r="BS48" s="368"/>
      <c r="BT48" s="368"/>
      <c r="BU48" s="368"/>
      <c r="BV48" s="368"/>
      <c r="BW48" s="368"/>
      <c r="BX48" s="368"/>
      <c r="BY48" s="368"/>
      <c r="BZ48" s="368"/>
      <c r="CA48" s="368"/>
      <c r="CB48" s="368"/>
      <c r="CC48" s="368"/>
      <c r="CD48" s="368"/>
      <c r="CE48" s="368"/>
      <c r="CF48" s="368"/>
      <c r="CG48" s="368"/>
      <c r="CH48" s="368"/>
      <c r="CI48" s="368"/>
      <c r="CJ48" s="368"/>
      <c r="CK48" s="368"/>
      <c r="CL48" s="368"/>
      <c r="CM48" s="368"/>
      <c r="CN48" s="368"/>
      <c r="CO48" s="368"/>
      <c r="CP48" s="368"/>
      <c r="CQ48" s="368"/>
      <c r="CR48" s="368"/>
      <c r="CS48" s="368"/>
      <c r="CT48" s="368"/>
      <c r="CU48" s="368"/>
      <c r="CV48" s="368"/>
      <c r="CW48" s="368"/>
      <c r="CX48" s="368"/>
      <c r="CY48" s="368"/>
      <c r="CZ48" s="368"/>
      <c r="DA48" s="368"/>
      <c r="DB48" s="368"/>
      <c r="DC48" s="368"/>
      <c r="DD48" s="368"/>
      <c r="DE48" s="368"/>
      <c r="DF48" s="368"/>
      <c r="DG48" s="368"/>
      <c r="DH48" s="368"/>
      <c r="DI48" s="368"/>
      <c r="DJ48" s="368"/>
      <c r="DK48" s="368"/>
      <c r="DL48" s="368"/>
      <c r="DM48" s="368"/>
      <c r="DN48" s="368"/>
      <c r="DO48" s="368"/>
      <c r="DP48" s="368"/>
      <c r="DQ48" s="368"/>
      <c r="DR48" s="368"/>
      <c r="DS48" s="368"/>
      <c r="DT48" s="368"/>
      <c r="DU48" s="368"/>
      <c r="DV48" s="368"/>
      <c r="DW48" s="368"/>
      <c r="DX48" s="368"/>
      <c r="DY48" s="368"/>
      <c r="DZ48" s="368"/>
      <c r="EA48" s="368"/>
      <c r="EB48" s="368"/>
      <c r="EC48" s="368"/>
      <c r="ED48" s="368"/>
      <c r="EE48" s="368"/>
      <c r="EF48" s="368"/>
      <c r="EG48" s="368"/>
      <c r="EH48" s="368"/>
      <c r="EI48" s="368"/>
      <c r="EJ48" s="368"/>
      <c r="EK48" s="368"/>
      <c r="EL48" s="368"/>
      <c r="EM48" s="368"/>
      <c r="EN48" s="368"/>
      <c r="EO48" s="368"/>
      <c r="EP48" s="368"/>
      <c r="EQ48" s="368"/>
      <c r="ER48" s="368"/>
      <c r="ES48" s="368"/>
      <c r="ET48" s="368"/>
      <c r="EU48" s="368"/>
      <c r="EV48" s="368"/>
      <c r="EW48" s="368"/>
      <c r="EX48" s="368"/>
      <c r="EY48" s="368"/>
      <c r="EZ48" s="368"/>
      <c r="FA48" s="368"/>
      <c r="FB48" s="368"/>
      <c r="FC48" s="368"/>
      <c r="FD48" s="368"/>
      <c r="FE48" s="368"/>
      <c r="FF48" s="368"/>
      <c r="FG48" s="368"/>
      <c r="FH48" s="368"/>
      <c r="FI48" s="368"/>
      <c r="FJ48" s="368"/>
      <c r="FK48" s="368"/>
      <c r="FL48" s="368"/>
      <c r="FM48" s="368"/>
      <c r="FN48" s="368"/>
      <c r="FO48" s="368"/>
      <c r="FP48" s="368"/>
      <c r="FQ48" s="368"/>
      <c r="FR48" s="368"/>
      <c r="FS48" s="368"/>
      <c r="FT48" s="368"/>
      <c r="FU48" s="368"/>
      <c r="FV48" s="368"/>
      <c r="FW48" s="368"/>
      <c r="FX48" s="368"/>
      <c r="FY48" s="368"/>
      <c r="FZ48" s="368"/>
      <c r="GA48" s="368"/>
      <c r="GB48" s="368"/>
      <c r="GC48" s="368"/>
      <c r="GD48" s="368"/>
      <c r="GE48" s="368"/>
      <c r="GF48" s="368"/>
      <c r="GG48" s="368"/>
      <c r="GH48" s="368"/>
      <c r="GI48" s="368"/>
      <c r="GJ48" s="368"/>
      <c r="GK48" s="368"/>
      <c r="GL48" s="368"/>
      <c r="GM48" s="368"/>
      <c r="GN48" s="368"/>
      <c r="GO48" s="368"/>
      <c r="GP48" s="368"/>
      <c r="GQ48" s="368"/>
      <c r="GR48" s="368"/>
      <c r="GS48" s="368"/>
      <c r="GT48" s="368"/>
      <c r="GU48" s="368"/>
      <c r="GV48" s="368"/>
      <c r="GW48" s="368"/>
      <c r="GX48" s="368"/>
      <c r="GY48" s="368"/>
      <c r="GZ48" s="368"/>
      <c r="HA48" s="368"/>
      <c r="HB48" s="368"/>
      <c r="HC48" s="368"/>
      <c r="HD48" s="368"/>
      <c r="HE48" s="368"/>
      <c r="HF48" s="368"/>
      <c r="HG48" s="368"/>
      <c r="HH48" s="368"/>
      <c r="HI48" s="368"/>
      <c r="HJ48" s="368"/>
      <c r="HK48" s="368"/>
      <c r="HL48" s="368"/>
      <c r="HM48" s="368"/>
      <c r="HN48" s="368"/>
      <c r="HO48" s="368"/>
      <c r="HP48" s="368"/>
      <c r="HQ48" s="368"/>
      <c r="HR48" s="368"/>
      <c r="HS48" s="368"/>
      <c r="HT48" s="368"/>
      <c r="HU48" s="368"/>
      <c r="HV48" s="368"/>
      <c r="HW48" s="368"/>
      <c r="HX48" s="368"/>
      <c r="HY48" s="368"/>
      <c r="HZ48" s="368"/>
      <c r="IA48" s="368"/>
      <c r="IB48" s="368"/>
      <c r="IC48" s="368"/>
      <c r="ID48" s="368"/>
      <c r="IE48" s="368"/>
      <c r="IF48" s="368"/>
      <c r="IG48" s="368"/>
      <c r="IH48" s="368"/>
      <c r="II48" s="368"/>
      <c r="IJ48" s="368"/>
      <c r="IK48" s="368"/>
      <c r="IL48" s="368"/>
      <c r="IM48" s="368"/>
      <c r="IN48" s="368"/>
      <c r="IO48" s="368"/>
      <c r="IP48" s="368"/>
      <c r="IQ48" s="368"/>
      <c r="IR48" s="368"/>
      <c r="IS48" s="368"/>
      <c r="IT48" s="368"/>
      <c r="IU48" s="368"/>
      <c r="IV48" s="368"/>
      <c r="IW48" s="368"/>
      <c r="IX48" s="368"/>
      <c r="IY48" s="368"/>
      <c r="IZ48" s="368"/>
      <c r="JA48" s="368"/>
      <c r="JB48" s="368"/>
      <c r="JC48" s="368"/>
      <c r="JD48" s="368"/>
      <c r="JE48" s="368"/>
      <c r="JF48" s="368"/>
      <c r="JG48" s="368"/>
      <c r="JH48" s="368"/>
      <c r="JI48" s="368"/>
      <c r="JJ48" s="368"/>
      <c r="JK48" s="368"/>
      <c r="JL48" s="368"/>
      <c r="JM48" s="368"/>
      <c r="JN48" s="368"/>
      <c r="JO48" s="368"/>
      <c r="JP48" s="368"/>
      <c r="JQ48" s="368"/>
      <c r="JR48" s="368"/>
      <c r="JS48" s="368"/>
      <c r="JT48" s="368"/>
      <c r="JU48" s="368"/>
      <c r="JV48" s="368"/>
      <c r="JW48" s="368"/>
      <c r="JX48" s="368"/>
      <c r="JY48" s="368"/>
      <c r="JZ48" s="368"/>
      <c r="KA48" s="368"/>
      <c r="KB48" s="368"/>
      <c r="KC48" s="368"/>
      <c r="KD48" s="368"/>
      <c r="KE48" s="368"/>
      <c r="KF48" s="368"/>
      <c r="KG48" s="368"/>
      <c r="KH48" s="368"/>
      <c r="KI48" s="368"/>
      <c r="KJ48" s="368"/>
      <c r="KK48" s="368"/>
      <c r="KL48" s="368"/>
      <c r="KM48" s="368"/>
      <c r="KN48" s="368"/>
      <c r="KO48" s="368"/>
      <c r="KP48" s="368"/>
      <c r="KQ48" s="368"/>
      <c r="KR48" s="368"/>
      <c r="KS48" s="368"/>
      <c r="KT48" s="368"/>
      <c r="KU48" s="368"/>
      <c r="KV48" s="368"/>
      <c r="KW48" s="368"/>
      <c r="KX48" s="368"/>
      <c r="KY48" s="368"/>
      <c r="KZ48" s="368"/>
      <c r="LA48" s="368"/>
      <c r="LB48" s="368"/>
      <c r="LC48" s="368"/>
      <c r="LD48" s="368"/>
      <c r="LE48" s="368"/>
      <c r="LF48" s="368"/>
      <c r="LG48" s="368"/>
      <c r="LH48" s="368"/>
      <c r="LI48" s="368"/>
      <c r="LJ48" s="368"/>
      <c r="LK48" s="368"/>
      <c r="LL48" s="368"/>
      <c r="LM48" s="368"/>
      <c r="LN48" s="368"/>
      <c r="LO48" s="368"/>
      <c r="LP48" s="368"/>
      <c r="LQ48" s="368"/>
      <c r="LR48" s="368"/>
      <c r="LS48" s="368"/>
      <c r="LT48" s="368"/>
      <c r="LU48" s="368"/>
      <c r="LV48" s="368"/>
      <c r="LW48" s="368"/>
      <c r="LX48" s="368"/>
      <c r="LY48" s="368"/>
      <c r="LZ48" s="368"/>
      <c r="MA48" s="368"/>
      <c r="MB48" s="368"/>
      <c r="MC48" s="368"/>
      <c r="MD48" s="368"/>
      <c r="ME48" s="368"/>
      <c r="MF48" s="368"/>
      <c r="MG48" s="368"/>
      <c r="MH48" s="368"/>
      <c r="MI48" s="368"/>
      <c r="MJ48" s="368"/>
      <c r="MK48" s="368"/>
      <c r="ML48" s="368"/>
      <c r="MM48" s="368"/>
      <c r="MN48" s="368"/>
      <c r="MO48" s="368"/>
      <c r="MP48" s="368"/>
      <c r="MQ48" s="368"/>
      <c r="MR48" s="368"/>
      <c r="MS48" s="368"/>
      <c r="MT48" s="368"/>
      <c r="MU48" s="368"/>
      <c r="MV48" s="368"/>
      <c r="MW48" s="368"/>
      <c r="MX48" s="368"/>
      <c r="MY48" s="368"/>
      <c r="MZ48" s="368"/>
      <c r="NA48" s="368"/>
      <c r="NB48" s="368"/>
      <c r="NC48" s="368"/>
      <c r="ND48" s="368"/>
      <c r="NE48" s="368"/>
      <c r="NF48" s="368"/>
      <c r="NG48" s="368"/>
      <c r="NH48" s="368"/>
      <c r="NI48" s="368"/>
      <c r="NJ48" s="368"/>
      <c r="NK48" s="368"/>
      <c r="NL48" s="368"/>
      <c r="NM48" s="368"/>
      <c r="NN48" s="368"/>
      <c r="NO48" s="368"/>
      <c r="NP48" s="368"/>
      <c r="NQ48" s="368"/>
      <c r="NR48" s="368"/>
      <c r="NS48" s="368"/>
      <c r="NT48" s="368"/>
      <c r="NU48" s="368"/>
      <c r="NV48" s="368"/>
      <c r="NW48" s="368"/>
      <c r="NX48" s="368"/>
      <c r="NY48" s="368"/>
      <c r="NZ48" s="368"/>
      <c r="OA48" s="368"/>
      <c r="OB48" s="368"/>
      <c r="OC48" s="368"/>
      <c r="OD48" s="368"/>
      <c r="OE48" s="368"/>
      <c r="OF48" s="368"/>
      <c r="OG48" s="368"/>
      <c r="OH48" s="368"/>
      <c r="OI48" s="368"/>
      <c r="OJ48" s="368"/>
      <c r="OK48" s="368"/>
      <c r="OL48" s="368"/>
      <c r="OM48" s="368"/>
      <c r="ON48" s="368"/>
      <c r="OO48" s="368"/>
      <c r="OP48" s="368"/>
      <c r="OQ48" s="368"/>
      <c r="OR48" s="368"/>
      <c r="OS48" s="368"/>
      <c r="OT48" s="368"/>
      <c r="OU48" s="368"/>
      <c r="OV48" s="368"/>
      <c r="OW48" s="368"/>
      <c r="OX48" s="368"/>
      <c r="OY48" s="368"/>
      <c r="OZ48" s="368"/>
      <c r="PA48" s="368"/>
      <c r="PB48" s="368"/>
      <c r="PC48" s="368"/>
      <c r="PD48" s="368"/>
      <c r="PE48" s="368"/>
      <c r="PF48" s="368"/>
      <c r="PG48" s="368"/>
      <c r="PH48" s="368"/>
      <c r="PI48" s="368"/>
      <c r="PJ48" s="368"/>
      <c r="PK48" s="368"/>
      <c r="PL48" s="368"/>
      <c r="PM48" s="368"/>
      <c r="PN48" s="368"/>
      <c r="PO48" s="368"/>
      <c r="PP48" s="368"/>
      <c r="PQ48" s="368"/>
      <c r="PR48" s="368"/>
      <c r="PS48" s="368"/>
      <c r="PT48" s="368"/>
      <c r="PU48" s="368"/>
      <c r="PV48" s="368"/>
      <c r="PW48" s="368"/>
      <c r="PX48" s="368"/>
      <c r="PY48" s="368"/>
      <c r="PZ48" s="368"/>
      <c r="QA48" s="368"/>
      <c r="QB48" s="368"/>
      <c r="QC48" s="368"/>
      <c r="QD48" s="368"/>
      <c r="QE48" s="368"/>
      <c r="QF48" s="368"/>
      <c r="QG48" s="368"/>
      <c r="QH48" s="368"/>
      <c r="QI48" s="368"/>
      <c r="QJ48" s="368"/>
      <c r="QK48" s="368"/>
      <c r="QL48" s="368"/>
      <c r="QM48" s="368"/>
      <c r="QN48" s="368"/>
      <c r="QO48" s="368"/>
      <c r="QP48" s="368"/>
      <c r="QQ48" s="368"/>
      <c r="QR48" s="368"/>
      <c r="QS48" s="368"/>
      <c r="QT48" s="368"/>
      <c r="QU48" s="368"/>
      <c r="QV48" s="368"/>
      <c r="QW48" s="368"/>
      <c r="QX48" s="368"/>
      <c r="QY48" s="368"/>
      <c r="QZ48" s="368"/>
      <c r="RA48" s="368"/>
      <c r="RB48" s="368"/>
      <c r="RC48" s="368"/>
      <c r="RD48" s="368"/>
      <c r="RE48" s="368"/>
      <c r="RF48" s="368"/>
      <c r="RG48" s="368"/>
      <c r="RH48" s="368"/>
      <c r="RI48" s="368"/>
      <c r="RJ48" s="368"/>
      <c r="RK48" s="368"/>
      <c r="RL48" s="368"/>
      <c r="RM48" s="368"/>
      <c r="RN48" s="368"/>
      <c r="RO48" s="368"/>
      <c r="RP48" s="368"/>
      <c r="RQ48" s="368"/>
      <c r="RR48" s="368"/>
      <c r="RS48" s="368"/>
      <c r="RT48" s="368"/>
      <c r="RU48" s="368"/>
      <c r="RV48" s="368"/>
      <c r="RW48" s="368"/>
      <c r="RX48" s="368"/>
      <c r="RY48" s="368"/>
      <c r="RZ48" s="368"/>
      <c r="SA48" s="368"/>
      <c r="SB48" s="368"/>
      <c r="SC48" s="368"/>
      <c r="SD48" s="368"/>
      <c r="SE48" s="368"/>
      <c r="SF48" s="368"/>
      <c r="SG48" s="368"/>
      <c r="SH48" s="368"/>
      <c r="SI48" s="368"/>
      <c r="SJ48" s="368"/>
      <c r="SK48" s="368"/>
      <c r="SL48" s="368"/>
      <c r="SM48" s="368"/>
      <c r="SN48" s="368"/>
      <c r="SO48" s="368"/>
      <c r="SP48" s="368"/>
      <c r="SQ48" s="368"/>
      <c r="SR48" s="368"/>
      <c r="SS48" s="368"/>
      <c r="ST48" s="368"/>
      <c r="SU48" s="368"/>
      <c r="SV48" s="368"/>
      <c r="SW48" s="368"/>
      <c r="SX48" s="368"/>
      <c r="SY48" s="368"/>
      <c r="SZ48" s="368"/>
      <c r="TA48" s="368"/>
      <c r="TB48" s="368"/>
      <c r="TC48" s="368"/>
      <c r="TD48" s="368"/>
      <c r="TE48" s="368"/>
      <c r="TF48" s="368"/>
      <c r="TG48" s="368"/>
      <c r="TH48" s="368"/>
      <c r="TI48" s="368"/>
      <c r="TJ48" s="368"/>
      <c r="TK48" s="368"/>
      <c r="TL48" s="368"/>
      <c r="TM48" s="368"/>
      <c r="TN48" s="368"/>
      <c r="TO48" s="368"/>
      <c r="TP48" s="368"/>
      <c r="TQ48" s="368"/>
      <c r="TR48" s="368"/>
      <c r="TS48" s="368"/>
      <c r="TT48" s="368"/>
      <c r="TU48" s="368"/>
      <c r="TV48" s="368"/>
      <c r="TW48" s="368"/>
      <c r="TX48" s="368"/>
      <c r="TY48" s="368"/>
      <c r="TZ48" s="368"/>
      <c r="UA48" s="368"/>
      <c r="UB48" s="368"/>
      <c r="UC48" s="368"/>
      <c r="UD48" s="368"/>
      <c r="UE48" s="368"/>
      <c r="UF48" s="368"/>
      <c r="UG48" s="368"/>
      <c r="UH48" s="368"/>
      <c r="UI48" s="368"/>
      <c r="UJ48" s="368"/>
      <c r="UK48" s="368"/>
      <c r="UL48" s="368"/>
      <c r="UM48" s="368"/>
      <c r="UN48" s="368"/>
      <c r="UO48" s="368"/>
      <c r="UP48" s="368"/>
      <c r="UQ48" s="368"/>
      <c r="UR48" s="368"/>
      <c r="US48" s="368"/>
      <c r="UT48" s="368"/>
      <c r="UU48" s="368"/>
      <c r="UV48" s="368"/>
      <c r="UW48" s="368"/>
      <c r="UX48" s="368"/>
      <c r="UY48" s="368"/>
      <c r="UZ48" s="368"/>
      <c r="VA48" s="368"/>
      <c r="VB48" s="368"/>
      <c r="VC48" s="368"/>
      <c r="VD48" s="368"/>
      <c r="VE48" s="368"/>
      <c r="VF48" s="368"/>
      <c r="VG48" s="368"/>
      <c r="VH48" s="368"/>
      <c r="VI48" s="368"/>
      <c r="VJ48" s="368"/>
      <c r="VK48" s="368"/>
      <c r="VL48" s="368"/>
      <c r="VM48" s="368"/>
      <c r="VN48" s="368"/>
      <c r="VO48" s="368"/>
      <c r="VP48" s="368"/>
      <c r="VQ48" s="368"/>
      <c r="VR48" s="368"/>
      <c r="VS48" s="368"/>
      <c r="VT48" s="368"/>
      <c r="VU48" s="368"/>
      <c r="VV48" s="368"/>
      <c r="VW48" s="368"/>
      <c r="VX48" s="368"/>
      <c r="VY48" s="368"/>
      <c r="VZ48" s="368"/>
      <c r="WA48" s="368"/>
      <c r="WB48" s="368"/>
      <c r="WC48" s="368"/>
      <c r="WD48" s="368"/>
      <c r="WE48" s="368"/>
      <c r="WF48" s="368"/>
      <c r="WG48" s="368"/>
      <c r="WH48" s="368"/>
      <c r="WI48" s="368"/>
      <c r="WJ48" s="368"/>
      <c r="WK48" s="368"/>
      <c r="WL48" s="368"/>
      <c r="WM48" s="368"/>
      <c r="WN48" s="368"/>
      <c r="WO48" s="368"/>
      <c r="WP48" s="368"/>
      <c r="WQ48" s="368"/>
      <c r="WR48" s="368"/>
      <c r="WS48" s="368"/>
      <c r="WT48" s="368"/>
      <c r="WU48" s="368"/>
      <c r="WV48" s="368"/>
      <c r="WW48" s="368"/>
      <c r="WX48" s="368"/>
      <c r="WY48" s="368"/>
      <c r="WZ48" s="368"/>
      <c r="XA48" s="368"/>
      <c r="XB48" s="368"/>
      <c r="XC48" s="368"/>
      <c r="XD48" s="368"/>
      <c r="XE48" s="368"/>
      <c r="XF48" s="368"/>
      <c r="XG48" s="368"/>
      <c r="XH48" s="368"/>
      <c r="XI48" s="368"/>
      <c r="XJ48" s="368"/>
      <c r="XK48" s="368"/>
      <c r="XL48" s="368"/>
      <c r="XM48" s="368"/>
      <c r="XN48" s="368"/>
      <c r="XO48" s="368"/>
      <c r="XP48" s="368"/>
      <c r="XQ48" s="368"/>
      <c r="XR48" s="368"/>
      <c r="XS48" s="368"/>
      <c r="XT48" s="368"/>
      <c r="XU48" s="368"/>
      <c r="XV48" s="368"/>
      <c r="XW48" s="368"/>
      <c r="XX48" s="368"/>
      <c r="XY48" s="368"/>
      <c r="XZ48" s="368"/>
      <c r="YA48" s="368"/>
      <c r="YB48" s="368"/>
      <c r="YC48" s="368"/>
      <c r="YD48" s="368"/>
      <c r="YE48" s="368"/>
      <c r="YF48" s="368"/>
      <c r="YG48" s="368"/>
      <c r="YH48" s="368"/>
      <c r="YI48" s="368"/>
      <c r="YJ48" s="368"/>
      <c r="YK48" s="368"/>
      <c r="YL48" s="368"/>
      <c r="YM48" s="368"/>
      <c r="YN48" s="368"/>
      <c r="YO48" s="368"/>
      <c r="YP48" s="368"/>
      <c r="YQ48" s="368"/>
      <c r="YR48" s="368"/>
      <c r="YS48" s="368"/>
      <c r="YT48" s="368"/>
      <c r="YU48" s="368"/>
      <c r="YV48" s="368"/>
      <c r="YW48" s="368"/>
      <c r="YX48" s="368"/>
      <c r="YY48" s="368"/>
      <c r="YZ48" s="368"/>
      <c r="ZA48" s="368"/>
      <c r="ZB48" s="368"/>
      <c r="ZC48" s="368"/>
      <c r="ZD48" s="368"/>
      <c r="ZE48" s="368"/>
      <c r="ZF48" s="368"/>
      <c r="ZG48" s="368"/>
      <c r="ZH48" s="368"/>
      <c r="ZI48" s="368"/>
      <c r="ZJ48" s="368"/>
      <c r="ZK48" s="368"/>
      <c r="ZL48" s="368"/>
      <c r="ZM48" s="368"/>
      <c r="ZN48" s="368"/>
      <c r="ZO48" s="368"/>
      <c r="ZP48" s="368"/>
      <c r="ZQ48" s="368"/>
      <c r="ZR48" s="368"/>
      <c r="ZS48" s="368"/>
      <c r="ZT48" s="368"/>
      <c r="ZU48" s="368"/>
      <c r="ZV48" s="368"/>
      <c r="ZW48" s="368"/>
      <c r="ZX48" s="368"/>
      <c r="ZY48" s="368"/>
      <c r="ZZ48" s="368"/>
      <c r="AAA48" s="368"/>
      <c r="AAB48" s="368"/>
      <c r="AAC48" s="368"/>
      <c r="AAD48" s="368"/>
      <c r="AAE48" s="368"/>
      <c r="AAF48" s="368"/>
      <c r="AAG48" s="368"/>
      <c r="AAH48" s="368"/>
      <c r="AAI48" s="368"/>
      <c r="AAJ48" s="368"/>
      <c r="AAK48" s="368"/>
      <c r="AAL48" s="368"/>
      <c r="AAM48" s="368"/>
      <c r="AAN48" s="368"/>
      <c r="AAO48" s="368"/>
      <c r="AAP48" s="368"/>
      <c r="AAQ48" s="368"/>
      <c r="AAR48" s="368"/>
      <c r="AAS48" s="368"/>
      <c r="AAT48" s="368"/>
      <c r="AAU48" s="368"/>
      <c r="AAV48" s="368"/>
      <c r="AAW48" s="368"/>
      <c r="AAX48" s="368"/>
      <c r="AAY48" s="368"/>
      <c r="AAZ48" s="368"/>
      <c r="ABA48" s="368"/>
      <c r="ABB48" s="368"/>
      <c r="ABC48" s="368"/>
      <c r="ABD48" s="368"/>
      <c r="ABE48" s="368"/>
      <c r="ABF48" s="368"/>
      <c r="ABG48" s="368"/>
      <c r="ABH48" s="368"/>
      <c r="ABI48" s="368"/>
      <c r="ABJ48" s="368"/>
      <c r="ABK48" s="368"/>
      <c r="ABL48" s="368"/>
      <c r="ABM48" s="368"/>
      <c r="ABN48" s="368"/>
      <c r="ABO48" s="368"/>
      <c r="ABP48" s="368"/>
      <c r="ABQ48" s="368"/>
      <c r="ABR48" s="368"/>
      <c r="ABS48" s="368"/>
      <c r="ABT48" s="368"/>
      <c r="ABU48" s="368"/>
      <c r="ABV48" s="368"/>
      <c r="ABW48" s="368"/>
      <c r="ABX48" s="368"/>
      <c r="ABY48" s="368"/>
      <c r="ABZ48" s="368"/>
      <c r="ACA48" s="368"/>
      <c r="ACB48" s="368"/>
      <c r="ACC48" s="368"/>
      <c r="ACD48" s="368"/>
      <c r="ACE48" s="368"/>
      <c r="ACF48" s="368"/>
      <c r="ACG48" s="368"/>
      <c r="ACH48" s="368"/>
      <c r="ACI48" s="368"/>
      <c r="ACJ48" s="368"/>
      <c r="ACK48" s="368"/>
      <c r="ACL48" s="368"/>
      <c r="ACM48" s="368"/>
      <c r="ACN48" s="368"/>
      <c r="ACO48" s="368"/>
      <c r="ACP48" s="368"/>
      <c r="ACQ48" s="368"/>
      <c r="ACR48" s="368"/>
      <c r="ACS48" s="368"/>
      <c r="ACT48" s="368"/>
      <c r="ACU48" s="368"/>
      <c r="ACV48" s="368"/>
      <c r="ACW48" s="368"/>
      <c r="ACX48" s="368"/>
      <c r="ACY48" s="368"/>
      <c r="ACZ48" s="368"/>
      <c r="ADA48" s="368"/>
      <c r="ADB48" s="368"/>
      <c r="ADC48" s="368"/>
      <c r="ADD48" s="368"/>
      <c r="ADE48" s="368"/>
      <c r="ADF48" s="368"/>
      <c r="ADG48" s="368"/>
      <c r="ADH48" s="368"/>
      <c r="ADI48" s="368"/>
      <c r="ADJ48" s="368"/>
      <c r="ADK48" s="368"/>
      <c r="ADL48" s="368"/>
      <c r="ADM48" s="368"/>
      <c r="ADN48" s="368"/>
      <c r="ADO48" s="368"/>
      <c r="ADP48" s="368"/>
      <c r="ADQ48" s="368"/>
      <c r="ADR48" s="368"/>
      <c r="ADS48" s="368"/>
      <c r="ADT48" s="368"/>
      <c r="ADU48" s="368"/>
      <c r="ADV48" s="368"/>
      <c r="ADW48" s="368"/>
      <c r="ADX48" s="368"/>
      <c r="ADY48" s="368"/>
      <c r="ADZ48" s="368"/>
      <c r="AEA48" s="368"/>
      <c r="AEB48" s="368"/>
      <c r="AEC48" s="368"/>
      <c r="AED48" s="368"/>
      <c r="AEE48" s="368"/>
      <c r="AEF48" s="368"/>
      <c r="AEG48" s="368"/>
      <c r="AEH48" s="368"/>
      <c r="AEI48" s="368"/>
      <c r="AEJ48" s="368"/>
      <c r="AEK48" s="368"/>
      <c r="AEL48" s="368"/>
      <c r="AEM48" s="368"/>
      <c r="AEN48" s="368"/>
      <c r="AEO48" s="368"/>
      <c r="AEP48" s="368"/>
      <c r="AEQ48" s="368"/>
      <c r="AER48" s="368"/>
      <c r="AES48" s="368"/>
      <c r="AET48" s="368"/>
      <c r="AEU48" s="368"/>
      <c r="AEV48" s="368"/>
      <c r="AEW48" s="368"/>
      <c r="AEX48" s="368"/>
      <c r="AEY48" s="368"/>
      <c r="AEZ48" s="368"/>
      <c r="AFA48" s="368"/>
      <c r="AFB48" s="368"/>
      <c r="AFC48" s="368"/>
      <c r="AFD48" s="368"/>
      <c r="AFE48" s="368"/>
      <c r="AFF48" s="368"/>
      <c r="AFG48" s="368"/>
      <c r="AFH48" s="368"/>
      <c r="AFI48" s="368"/>
      <c r="AFJ48" s="368"/>
      <c r="AFK48" s="368"/>
      <c r="AFL48" s="368"/>
      <c r="AFM48" s="368"/>
      <c r="AFN48" s="368"/>
      <c r="AFO48" s="368"/>
      <c r="AFP48" s="368"/>
      <c r="AFQ48" s="368"/>
      <c r="AFR48" s="368"/>
      <c r="AFS48" s="368"/>
      <c r="AFT48" s="368"/>
      <c r="AFU48" s="368"/>
      <c r="AFV48" s="368"/>
      <c r="AFW48" s="368"/>
      <c r="AFX48" s="368"/>
      <c r="AFY48" s="368"/>
      <c r="AFZ48" s="368"/>
      <c r="AGA48" s="368"/>
      <c r="AGB48" s="368"/>
      <c r="AGC48" s="368"/>
      <c r="AGD48" s="368"/>
      <c r="AGE48" s="368"/>
      <c r="AGF48" s="368"/>
      <c r="AGG48" s="368"/>
      <c r="AGH48" s="368"/>
      <c r="AGI48" s="368"/>
      <c r="AGJ48" s="368"/>
      <c r="AGK48" s="368"/>
      <c r="AGL48" s="368"/>
      <c r="AGM48" s="368"/>
      <c r="AGN48" s="368"/>
      <c r="AGO48" s="368"/>
      <c r="AGP48" s="368"/>
      <c r="AGQ48" s="368"/>
      <c r="AGR48" s="368"/>
      <c r="AGS48" s="368"/>
      <c r="AGT48" s="368"/>
      <c r="AGU48" s="368"/>
      <c r="AGV48" s="368"/>
      <c r="AGW48" s="368"/>
      <c r="AGX48" s="368"/>
      <c r="AGY48" s="368"/>
      <c r="AGZ48" s="368"/>
      <c r="AHA48" s="368"/>
      <c r="AHB48" s="368"/>
      <c r="AHC48" s="368"/>
      <c r="AHD48" s="368"/>
      <c r="AHE48" s="368"/>
      <c r="AHF48" s="368"/>
      <c r="AHG48" s="368"/>
      <c r="AHH48" s="368"/>
      <c r="AHI48" s="368"/>
      <c r="AHJ48" s="368"/>
      <c r="AHK48" s="368"/>
      <c r="AHL48" s="368"/>
      <c r="AHM48" s="368"/>
      <c r="AHN48" s="368"/>
      <c r="AHO48" s="368"/>
      <c r="AHP48" s="368"/>
      <c r="AHQ48" s="368"/>
      <c r="AHR48" s="368"/>
      <c r="AHS48" s="368"/>
      <c r="AHT48" s="368"/>
      <c r="AHU48" s="368"/>
      <c r="AHV48" s="368"/>
      <c r="AHW48" s="368"/>
      <c r="AHX48" s="368"/>
      <c r="AHY48" s="368"/>
      <c r="AHZ48" s="368"/>
      <c r="AIA48" s="368"/>
      <c r="AIB48" s="368"/>
      <c r="AIC48" s="368"/>
      <c r="AID48" s="368"/>
      <c r="AIE48" s="368"/>
      <c r="AIF48" s="368"/>
      <c r="AIG48" s="368"/>
      <c r="AIH48" s="368"/>
      <c r="AII48" s="368"/>
      <c r="AIJ48" s="368"/>
      <c r="AIK48" s="368"/>
      <c r="AIL48" s="368"/>
      <c r="AIM48" s="368"/>
      <c r="AIN48" s="368"/>
      <c r="AIO48" s="368"/>
      <c r="AIP48" s="368"/>
      <c r="AIQ48" s="368"/>
      <c r="AIR48" s="368"/>
      <c r="AIS48" s="368"/>
      <c r="AIT48" s="368"/>
      <c r="AIU48" s="368"/>
      <c r="AIV48" s="368"/>
      <c r="AIW48" s="368"/>
      <c r="AIX48" s="368"/>
      <c r="AIY48" s="368"/>
      <c r="AIZ48" s="368"/>
      <c r="AJA48" s="368"/>
      <c r="AJB48" s="368"/>
      <c r="AJC48" s="368"/>
      <c r="AJD48" s="368"/>
      <c r="AJE48" s="368"/>
      <c r="AJF48" s="368"/>
      <c r="AJG48" s="368"/>
      <c r="AJH48" s="368"/>
      <c r="AJI48" s="368"/>
      <c r="AJJ48" s="368"/>
      <c r="AJK48" s="368"/>
      <c r="AJL48" s="368"/>
      <c r="AJM48" s="368"/>
      <c r="AJN48" s="368"/>
      <c r="AJO48" s="368"/>
      <c r="AJP48" s="368"/>
      <c r="AJQ48" s="368"/>
      <c r="AJR48" s="368"/>
      <c r="AJS48" s="368"/>
      <c r="AJT48" s="368"/>
      <c r="AJU48" s="368"/>
      <c r="AJV48" s="368"/>
      <c r="AJW48" s="368"/>
      <c r="AJX48" s="368"/>
      <c r="AJY48" s="368"/>
      <c r="AJZ48" s="368"/>
      <c r="AKA48" s="368"/>
      <c r="AKB48" s="368"/>
      <c r="AKC48" s="368"/>
      <c r="AKD48" s="368"/>
      <c r="AKE48" s="368"/>
      <c r="AKF48" s="368"/>
      <c r="AKG48" s="368"/>
      <c r="AKH48" s="368"/>
      <c r="AKI48" s="368"/>
      <c r="AKJ48" s="368"/>
      <c r="AKK48" s="368"/>
      <c r="AKL48" s="368"/>
      <c r="AKM48" s="368"/>
      <c r="AKN48" s="368"/>
    </row>
    <row r="49" spans="1:976" s="346" customFormat="1" ht="22.5" customHeight="1" x14ac:dyDescent="0.2">
      <c r="A49" s="370" t="s">
        <v>262</v>
      </c>
      <c r="B49" s="370"/>
      <c r="C49" s="370" t="s">
        <v>221</v>
      </c>
      <c r="D49" s="370" t="s">
        <v>222</v>
      </c>
      <c r="E49" s="371">
        <v>408165</v>
      </c>
      <c r="F49" s="371">
        <v>862</v>
      </c>
      <c r="G49" s="371">
        <v>124</v>
      </c>
      <c r="H49" s="371">
        <v>0</v>
      </c>
      <c r="I49" s="372">
        <v>45786</v>
      </c>
      <c r="J49" s="370" t="s">
        <v>395</v>
      </c>
      <c r="K49" s="370" t="s">
        <v>421</v>
      </c>
      <c r="L49" s="373">
        <v>27.63</v>
      </c>
      <c r="M49" s="373">
        <v>2.23</v>
      </c>
      <c r="N49" s="444">
        <v>29.86</v>
      </c>
      <c r="O49" s="370"/>
      <c r="P49" s="374">
        <v>45796</v>
      </c>
      <c r="Q49" s="373">
        <v>29.86</v>
      </c>
      <c r="R49" s="370" t="s">
        <v>422</v>
      </c>
      <c r="S49" s="373">
        <v>0</v>
      </c>
      <c r="T49" s="373">
        <v>0</v>
      </c>
      <c r="U49" s="373">
        <v>0</v>
      </c>
      <c r="V49" s="373">
        <v>0</v>
      </c>
      <c r="W49" s="370"/>
      <c r="X49" s="370" t="s">
        <v>293</v>
      </c>
      <c r="Y49" s="370" t="s">
        <v>294</v>
      </c>
      <c r="Z49" s="370" t="s">
        <v>42</v>
      </c>
      <c r="AA49" s="370" t="s">
        <v>228</v>
      </c>
      <c r="AB49" s="370" t="s">
        <v>235</v>
      </c>
      <c r="AC49" s="370" t="s">
        <v>331</v>
      </c>
      <c r="AD49" s="370" t="s">
        <v>231</v>
      </c>
      <c r="AE49" s="370" t="s">
        <v>232</v>
      </c>
      <c r="AF49" s="370" t="s">
        <v>231</v>
      </c>
      <c r="AG49" s="370" t="s">
        <v>232</v>
      </c>
      <c r="AH49" s="370"/>
      <c r="AI49" s="370"/>
      <c r="AJ49" s="370"/>
      <c r="AK49" s="370" t="s">
        <v>423</v>
      </c>
      <c r="AL49" s="371">
        <v>1</v>
      </c>
      <c r="AM49" s="371">
        <v>0</v>
      </c>
      <c r="AN49" s="372">
        <v>45796</v>
      </c>
      <c r="AO49" s="372">
        <v>45796</v>
      </c>
      <c r="AP49" s="373">
        <v>29.86</v>
      </c>
      <c r="AQ49" s="372">
        <v>45795</v>
      </c>
      <c r="AR49" s="368"/>
      <c r="AS49" s="368"/>
      <c r="AT49" s="368"/>
      <c r="AU49" s="368"/>
      <c r="AV49" s="368"/>
      <c r="AW49" s="368"/>
      <c r="AX49" s="368"/>
      <c r="AY49" s="368"/>
      <c r="AZ49" s="368"/>
      <c r="BA49" s="368"/>
      <c r="BB49" s="368"/>
      <c r="BC49" s="368"/>
      <c r="BD49" s="368"/>
      <c r="BE49" s="368"/>
      <c r="BF49" s="368"/>
      <c r="BG49" s="368"/>
      <c r="BH49" s="368"/>
      <c r="BI49" s="368"/>
      <c r="BJ49" s="368"/>
      <c r="BK49" s="368"/>
      <c r="BL49" s="368"/>
      <c r="BM49" s="368"/>
      <c r="BN49" s="368"/>
      <c r="BO49" s="368"/>
      <c r="BP49" s="368"/>
      <c r="BQ49" s="368"/>
      <c r="BR49" s="368"/>
      <c r="BS49" s="368"/>
      <c r="BT49" s="368"/>
      <c r="BU49" s="368"/>
      <c r="BV49" s="368"/>
      <c r="BW49" s="368"/>
      <c r="BX49" s="368"/>
      <c r="BY49" s="368"/>
      <c r="BZ49" s="368"/>
      <c r="CA49" s="368"/>
      <c r="CB49" s="368"/>
      <c r="CC49" s="368"/>
      <c r="CD49" s="368"/>
      <c r="CE49" s="368"/>
      <c r="CF49" s="368"/>
      <c r="CG49" s="368"/>
      <c r="CH49" s="368"/>
      <c r="CI49" s="368"/>
      <c r="CJ49" s="368"/>
      <c r="CK49" s="368"/>
      <c r="CL49" s="368"/>
      <c r="CM49" s="368"/>
      <c r="CN49" s="368"/>
      <c r="CO49" s="368"/>
      <c r="CP49" s="368"/>
      <c r="CQ49" s="368"/>
      <c r="CR49" s="368"/>
      <c r="CS49" s="368"/>
      <c r="CT49" s="368"/>
      <c r="CU49" s="368"/>
      <c r="CV49" s="368"/>
      <c r="CW49" s="368"/>
      <c r="CX49" s="368"/>
      <c r="CY49" s="368"/>
      <c r="CZ49" s="368"/>
      <c r="DA49" s="368"/>
      <c r="DB49" s="368"/>
      <c r="DC49" s="368"/>
      <c r="DD49" s="368"/>
      <c r="DE49" s="368"/>
      <c r="DF49" s="368"/>
      <c r="DG49" s="368"/>
      <c r="DH49" s="368"/>
      <c r="DI49" s="368"/>
      <c r="DJ49" s="368"/>
      <c r="DK49" s="368"/>
      <c r="DL49" s="368"/>
      <c r="DM49" s="368"/>
      <c r="DN49" s="368"/>
      <c r="DO49" s="368"/>
      <c r="DP49" s="368"/>
      <c r="DQ49" s="368"/>
      <c r="DR49" s="368"/>
      <c r="DS49" s="368"/>
      <c r="DT49" s="368"/>
      <c r="DU49" s="368"/>
      <c r="DV49" s="368"/>
      <c r="DW49" s="368"/>
      <c r="DX49" s="368"/>
      <c r="DY49" s="368"/>
      <c r="DZ49" s="368"/>
      <c r="EA49" s="368"/>
      <c r="EB49" s="368"/>
      <c r="EC49" s="368"/>
      <c r="ED49" s="368"/>
      <c r="EE49" s="368"/>
      <c r="EF49" s="368"/>
      <c r="EG49" s="368"/>
      <c r="EH49" s="368"/>
      <c r="EI49" s="368"/>
      <c r="EJ49" s="368"/>
      <c r="EK49" s="368"/>
      <c r="EL49" s="368"/>
      <c r="EM49" s="368"/>
      <c r="EN49" s="368"/>
      <c r="EO49" s="368"/>
      <c r="EP49" s="368"/>
      <c r="EQ49" s="368"/>
      <c r="ER49" s="368"/>
      <c r="ES49" s="368"/>
      <c r="ET49" s="368"/>
      <c r="EU49" s="368"/>
      <c r="EV49" s="368"/>
      <c r="EW49" s="368"/>
      <c r="EX49" s="368"/>
      <c r="EY49" s="368"/>
      <c r="EZ49" s="368"/>
      <c r="FA49" s="368"/>
      <c r="FB49" s="368"/>
      <c r="FC49" s="368"/>
      <c r="FD49" s="368"/>
      <c r="FE49" s="368"/>
      <c r="FF49" s="368"/>
      <c r="FG49" s="368"/>
      <c r="FH49" s="368"/>
      <c r="FI49" s="368"/>
      <c r="FJ49" s="368"/>
      <c r="FK49" s="368"/>
      <c r="FL49" s="368"/>
      <c r="FM49" s="368"/>
      <c r="FN49" s="368"/>
      <c r="FO49" s="368"/>
      <c r="FP49" s="368"/>
      <c r="FQ49" s="368"/>
      <c r="FR49" s="368"/>
      <c r="FS49" s="368"/>
      <c r="FT49" s="368"/>
      <c r="FU49" s="368"/>
      <c r="FV49" s="368"/>
      <c r="FW49" s="368"/>
      <c r="FX49" s="368"/>
      <c r="FY49" s="368"/>
      <c r="FZ49" s="368"/>
      <c r="GA49" s="368"/>
      <c r="GB49" s="368"/>
      <c r="GC49" s="368"/>
      <c r="GD49" s="368"/>
      <c r="GE49" s="368"/>
      <c r="GF49" s="368"/>
      <c r="GG49" s="368"/>
      <c r="GH49" s="368"/>
      <c r="GI49" s="368"/>
      <c r="GJ49" s="368"/>
      <c r="GK49" s="368"/>
      <c r="GL49" s="368"/>
      <c r="GM49" s="368"/>
      <c r="GN49" s="368"/>
      <c r="GO49" s="368"/>
      <c r="GP49" s="368"/>
      <c r="GQ49" s="368"/>
      <c r="GR49" s="368"/>
      <c r="GS49" s="368"/>
      <c r="GT49" s="368"/>
      <c r="GU49" s="368"/>
      <c r="GV49" s="368"/>
      <c r="GW49" s="368"/>
      <c r="GX49" s="368"/>
      <c r="GY49" s="368"/>
      <c r="GZ49" s="368"/>
      <c r="HA49" s="368"/>
      <c r="HB49" s="368"/>
      <c r="HC49" s="368"/>
      <c r="HD49" s="368"/>
      <c r="HE49" s="368"/>
      <c r="HF49" s="368"/>
      <c r="HG49" s="368"/>
      <c r="HH49" s="368"/>
      <c r="HI49" s="368"/>
      <c r="HJ49" s="368"/>
      <c r="HK49" s="368"/>
      <c r="HL49" s="368"/>
      <c r="HM49" s="368"/>
      <c r="HN49" s="368"/>
      <c r="HO49" s="368"/>
      <c r="HP49" s="368"/>
      <c r="HQ49" s="368"/>
      <c r="HR49" s="368"/>
      <c r="HS49" s="368"/>
      <c r="HT49" s="368"/>
      <c r="HU49" s="368"/>
      <c r="HV49" s="368"/>
      <c r="HW49" s="368"/>
      <c r="HX49" s="368"/>
      <c r="HY49" s="368"/>
      <c r="HZ49" s="368"/>
      <c r="IA49" s="368"/>
      <c r="IB49" s="368"/>
      <c r="IC49" s="368"/>
      <c r="ID49" s="368"/>
      <c r="IE49" s="368"/>
      <c r="IF49" s="368"/>
      <c r="IG49" s="368"/>
      <c r="IH49" s="368"/>
      <c r="II49" s="368"/>
      <c r="IJ49" s="368"/>
      <c r="IK49" s="368"/>
      <c r="IL49" s="368"/>
      <c r="IM49" s="368"/>
      <c r="IN49" s="368"/>
      <c r="IO49" s="368"/>
      <c r="IP49" s="368"/>
      <c r="IQ49" s="368"/>
      <c r="IR49" s="368"/>
      <c r="IS49" s="368"/>
      <c r="IT49" s="368"/>
      <c r="IU49" s="368"/>
      <c r="IV49" s="368"/>
      <c r="IW49" s="368"/>
      <c r="IX49" s="368"/>
      <c r="IY49" s="368"/>
      <c r="IZ49" s="368"/>
      <c r="JA49" s="368"/>
      <c r="JB49" s="368"/>
      <c r="JC49" s="368"/>
      <c r="JD49" s="368"/>
      <c r="JE49" s="368"/>
      <c r="JF49" s="368"/>
      <c r="JG49" s="368"/>
      <c r="JH49" s="368"/>
      <c r="JI49" s="368"/>
      <c r="JJ49" s="368"/>
      <c r="JK49" s="368"/>
      <c r="JL49" s="368"/>
      <c r="JM49" s="368"/>
      <c r="JN49" s="368"/>
      <c r="JO49" s="368"/>
      <c r="JP49" s="368"/>
      <c r="JQ49" s="368"/>
      <c r="JR49" s="368"/>
      <c r="JS49" s="368"/>
      <c r="JT49" s="368"/>
      <c r="JU49" s="368"/>
      <c r="JV49" s="368"/>
      <c r="JW49" s="368"/>
      <c r="JX49" s="368"/>
      <c r="JY49" s="368"/>
      <c r="JZ49" s="368"/>
      <c r="KA49" s="368"/>
      <c r="KB49" s="368"/>
      <c r="KC49" s="368"/>
      <c r="KD49" s="368"/>
      <c r="KE49" s="368"/>
      <c r="KF49" s="368"/>
      <c r="KG49" s="368"/>
      <c r="KH49" s="368"/>
      <c r="KI49" s="368"/>
      <c r="KJ49" s="368"/>
      <c r="KK49" s="368"/>
      <c r="KL49" s="368"/>
      <c r="KM49" s="368"/>
      <c r="KN49" s="368"/>
      <c r="KO49" s="368"/>
      <c r="KP49" s="368"/>
      <c r="KQ49" s="368"/>
      <c r="KR49" s="368"/>
      <c r="KS49" s="368"/>
      <c r="KT49" s="368"/>
      <c r="KU49" s="368"/>
      <c r="KV49" s="368"/>
      <c r="KW49" s="368"/>
      <c r="KX49" s="368"/>
      <c r="KY49" s="368"/>
      <c r="KZ49" s="368"/>
      <c r="LA49" s="368"/>
      <c r="LB49" s="368"/>
      <c r="LC49" s="368"/>
      <c r="LD49" s="368"/>
      <c r="LE49" s="368"/>
      <c r="LF49" s="368"/>
      <c r="LG49" s="368"/>
      <c r="LH49" s="368"/>
      <c r="LI49" s="368"/>
      <c r="LJ49" s="368"/>
      <c r="LK49" s="368"/>
      <c r="LL49" s="368"/>
      <c r="LM49" s="368"/>
      <c r="LN49" s="368"/>
      <c r="LO49" s="368"/>
      <c r="LP49" s="368"/>
      <c r="LQ49" s="368"/>
      <c r="LR49" s="368"/>
      <c r="LS49" s="368"/>
      <c r="LT49" s="368"/>
      <c r="LU49" s="368"/>
      <c r="LV49" s="368"/>
      <c r="LW49" s="368"/>
      <c r="LX49" s="368"/>
      <c r="LY49" s="368"/>
      <c r="LZ49" s="368"/>
      <c r="MA49" s="368"/>
      <c r="MB49" s="368"/>
      <c r="MC49" s="368"/>
      <c r="MD49" s="368"/>
      <c r="ME49" s="368"/>
      <c r="MF49" s="368"/>
      <c r="MG49" s="368"/>
      <c r="MH49" s="368"/>
      <c r="MI49" s="368"/>
      <c r="MJ49" s="368"/>
      <c r="MK49" s="368"/>
      <c r="ML49" s="368"/>
      <c r="MM49" s="368"/>
      <c r="MN49" s="368"/>
      <c r="MO49" s="368"/>
      <c r="MP49" s="368"/>
      <c r="MQ49" s="368"/>
      <c r="MR49" s="368"/>
      <c r="MS49" s="368"/>
      <c r="MT49" s="368"/>
      <c r="MU49" s="368"/>
      <c r="MV49" s="368"/>
      <c r="MW49" s="368"/>
      <c r="MX49" s="368"/>
      <c r="MY49" s="368"/>
      <c r="MZ49" s="368"/>
      <c r="NA49" s="368"/>
      <c r="NB49" s="368"/>
      <c r="NC49" s="368"/>
      <c r="ND49" s="368"/>
      <c r="NE49" s="368"/>
      <c r="NF49" s="368"/>
      <c r="NG49" s="368"/>
      <c r="NH49" s="368"/>
      <c r="NI49" s="368"/>
      <c r="NJ49" s="368"/>
      <c r="NK49" s="368"/>
      <c r="NL49" s="368"/>
      <c r="NM49" s="368"/>
      <c r="NN49" s="368"/>
      <c r="NO49" s="368"/>
      <c r="NP49" s="368"/>
      <c r="NQ49" s="368"/>
      <c r="NR49" s="368"/>
      <c r="NS49" s="368"/>
      <c r="NT49" s="368"/>
      <c r="NU49" s="368"/>
      <c r="NV49" s="368"/>
      <c r="NW49" s="368"/>
      <c r="NX49" s="368"/>
      <c r="NY49" s="368"/>
      <c r="NZ49" s="368"/>
      <c r="OA49" s="368"/>
      <c r="OB49" s="368"/>
      <c r="OC49" s="368"/>
      <c r="OD49" s="368"/>
      <c r="OE49" s="368"/>
      <c r="OF49" s="368"/>
      <c r="OG49" s="368"/>
      <c r="OH49" s="368"/>
      <c r="OI49" s="368"/>
      <c r="OJ49" s="368"/>
      <c r="OK49" s="368"/>
      <c r="OL49" s="368"/>
      <c r="OM49" s="368"/>
      <c r="ON49" s="368"/>
      <c r="OO49" s="368"/>
      <c r="OP49" s="368"/>
      <c r="OQ49" s="368"/>
      <c r="OR49" s="368"/>
      <c r="OS49" s="368"/>
      <c r="OT49" s="368"/>
      <c r="OU49" s="368"/>
      <c r="OV49" s="368"/>
      <c r="OW49" s="368"/>
      <c r="OX49" s="368"/>
      <c r="OY49" s="368"/>
      <c r="OZ49" s="368"/>
      <c r="PA49" s="368"/>
      <c r="PB49" s="368"/>
      <c r="PC49" s="368"/>
      <c r="PD49" s="368"/>
      <c r="PE49" s="368"/>
      <c r="PF49" s="368"/>
      <c r="PG49" s="368"/>
      <c r="PH49" s="368"/>
      <c r="PI49" s="368"/>
      <c r="PJ49" s="368"/>
      <c r="PK49" s="368"/>
      <c r="PL49" s="368"/>
      <c r="PM49" s="368"/>
      <c r="PN49" s="368"/>
      <c r="PO49" s="368"/>
      <c r="PP49" s="368"/>
      <c r="PQ49" s="368"/>
      <c r="PR49" s="368"/>
      <c r="PS49" s="368"/>
      <c r="PT49" s="368"/>
      <c r="PU49" s="368"/>
      <c r="PV49" s="368"/>
      <c r="PW49" s="368"/>
      <c r="PX49" s="368"/>
      <c r="PY49" s="368"/>
      <c r="PZ49" s="368"/>
      <c r="QA49" s="368"/>
      <c r="QB49" s="368"/>
      <c r="QC49" s="368"/>
      <c r="QD49" s="368"/>
      <c r="QE49" s="368"/>
      <c r="QF49" s="368"/>
      <c r="QG49" s="368"/>
      <c r="QH49" s="368"/>
      <c r="QI49" s="368"/>
      <c r="QJ49" s="368"/>
      <c r="QK49" s="368"/>
      <c r="QL49" s="368"/>
      <c r="QM49" s="368"/>
      <c r="QN49" s="368"/>
      <c r="QO49" s="368"/>
      <c r="QP49" s="368"/>
      <c r="QQ49" s="368"/>
      <c r="QR49" s="368"/>
      <c r="QS49" s="368"/>
      <c r="QT49" s="368"/>
      <c r="QU49" s="368"/>
      <c r="QV49" s="368"/>
      <c r="QW49" s="368"/>
      <c r="QX49" s="368"/>
      <c r="QY49" s="368"/>
      <c r="QZ49" s="368"/>
      <c r="RA49" s="368"/>
      <c r="RB49" s="368"/>
      <c r="RC49" s="368"/>
      <c r="RD49" s="368"/>
      <c r="RE49" s="368"/>
      <c r="RF49" s="368"/>
      <c r="RG49" s="368"/>
      <c r="RH49" s="368"/>
      <c r="RI49" s="368"/>
      <c r="RJ49" s="368"/>
      <c r="RK49" s="368"/>
      <c r="RL49" s="368"/>
      <c r="RM49" s="368"/>
      <c r="RN49" s="368"/>
      <c r="RO49" s="368"/>
      <c r="RP49" s="368"/>
      <c r="RQ49" s="368"/>
      <c r="RR49" s="368"/>
      <c r="RS49" s="368"/>
      <c r="RT49" s="368"/>
      <c r="RU49" s="368"/>
      <c r="RV49" s="368"/>
      <c r="RW49" s="368"/>
      <c r="RX49" s="368"/>
      <c r="RY49" s="368"/>
      <c r="RZ49" s="368"/>
      <c r="SA49" s="368"/>
      <c r="SB49" s="368"/>
      <c r="SC49" s="368"/>
      <c r="SD49" s="368"/>
      <c r="SE49" s="368"/>
      <c r="SF49" s="368"/>
      <c r="SG49" s="368"/>
      <c r="SH49" s="368"/>
      <c r="SI49" s="368"/>
      <c r="SJ49" s="368"/>
      <c r="SK49" s="368"/>
      <c r="SL49" s="368"/>
      <c r="SM49" s="368"/>
      <c r="SN49" s="368"/>
      <c r="SO49" s="368"/>
      <c r="SP49" s="368"/>
      <c r="SQ49" s="368"/>
      <c r="SR49" s="368"/>
      <c r="SS49" s="368"/>
      <c r="ST49" s="368"/>
      <c r="SU49" s="368"/>
      <c r="SV49" s="368"/>
      <c r="SW49" s="368"/>
      <c r="SX49" s="368"/>
      <c r="SY49" s="368"/>
      <c r="SZ49" s="368"/>
      <c r="TA49" s="368"/>
      <c r="TB49" s="368"/>
      <c r="TC49" s="368"/>
      <c r="TD49" s="368"/>
      <c r="TE49" s="368"/>
      <c r="TF49" s="368"/>
      <c r="TG49" s="368"/>
      <c r="TH49" s="368"/>
      <c r="TI49" s="368"/>
      <c r="TJ49" s="368"/>
      <c r="TK49" s="368"/>
      <c r="TL49" s="368"/>
      <c r="TM49" s="368"/>
      <c r="TN49" s="368"/>
      <c r="TO49" s="368"/>
      <c r="TP49" s="368"/>
      <c r="TQ49" s="368"/>
      <c r="TR49" s="368"/>
      <c r="TS49" s="368"/>
      <c r="TT49" s="368"/>
      <c r="TU49" s="368"/>
      <c r="TV49" s="368"/>
      <c r="TW49" s="368"/>
      <c r="TX49" s="368"/>
      <c r="TY49" s="368"/>
      <c r="TZ49" s="368"/>
      <c r="UA49" s="368"/>
      <c r="UB49" s="368"/>
      <c r="UC49" s="368"/>
      <c r="UD49" s="368"/>
      <c r="UE49" s="368"/>
      <c r="UF49" s="368"/>
      <c r="UG49" s="368"/>
      <c r="UH49" s="368"/>
      <c r="UI49" s="368"/>
      <c r="UJ49" s="368"/>
      <c r="UK49" s="368"/>
      <c r="UL49" s="368"/>
      <c r="UM49" s="368"/>
      <c r="UN49" s="368"/>
      <c r="UO49" s="368"/>
      <c r="UP49" s="368"/>
      <c r="UQ49" s="368"/>
      <c r="UR49" s="368"/>
      <c r="US49" s="368"/>
      <c r="UT49" s="368"/>
      <c r="UU49" s="368"/>
      <c r="UV49" s="368"/>
      <c r="UW49" s="368"/>
      <c r="UX49" s="368"/>
      <c r="UY49" s="368"/>
      <c r="UZ49" s="368"/>
      <c r="VA49" s="368"/>
      <c r="VB49" s="368"/>
      <c r="VC49" s="368"/>
      <c r="VD49" s="368"/>
      <c r="VE49" s="368"/>
      <c r="VF49" s="368"/>
      <c r="VG49" s="368"/>
      <c r="VH49" s="368"/>
      <c r="VI49" s="368"/>
      <c r="VJ49" s="368"/>
      <c r="VK49" s="368"/>
      <c r="VL49" s="368"/>
      <c r="VM49" s="368"/>
      <c r="VN49" s="368"/>
      <c r="VO49" s="368"/>
      <c r="VP49" s="368"/>
      <c r="VQ49" s="368"/>
      <c r="VR49" s="368"/>
      <c r="VS49" s="368"/>
      <c r="VT49" s="368"/>
      <c r="VU49" s="368"/>
      <c r="VV49" s="368"/>
      <c r="VW49" s="368"/>
      <c r="VX49" s="368"/>
      <c r="VY49" s="368"/>
      <c r="VZ49" s="368"/>
      <c r="WA49" s="368"/>
      <c r="WB49" s="368"/>
      <c r="WC49" s="368"/>
      <c r="WD49" s="368"/>
      <c r="WE49" s="368"/>
      <c r="WF49" s="368"/>
      <c r="WG49" s="368"/>
      <c r="WH49" s="368"/>
      <c r="WI49" s="368"/>
      <c r="WJ49" s="368"/>
      <c r="WK49" s="368"/>
      <c r="WL49" s="368"/>
      <c r="WM49" s="368"/>
      <c r="WN49" s="368"/>
      <c r="WO49" s="368"/>
      <c r="WP49" s="368"/>
      <c r="WQ49" s="368"/>
      <c r="WR49" s="368"/>
      <c r="WS49" s="368"/>
      <c r="WT49" s="368"/>
      <c r="WU49" s="368"/>
      <c r="WV49" s="368"/>
      <c r="WW49" s="368"/>
      <c r="WX49" s="368"/>
      <c r="WY49" s="368"/>
      <c r="WZ49" s="368"/>
      <c r="XA49" s="368"/>
      <c r="XB49" s="368"/>
      <c r="XC49" s="368"/>
      <c r="XD49" s="368"/>
      <c r="XE49" s="368"/>
      <c r="XF49" s="368"/>
      <c r="XG49" s="368"/>
      <c r="XH49" s="368"/>
      <c r="XI49" s="368"/>
      <c r="XJ49" s="368"/>
      <c r="XK49" s="368"/>
      <c r="XL49" s="368"/>
      <c r="XM49" s="368"/>
      <c r="XN49" s="368"/>
      <c r="XO49" s="368"/>
      <c r="XP49" s="368"/>
      <c r="XQ49" s="368"/>
      <c r="XR49" s="368"/>
      <c r="XS49" s="368"/>
      <c r="XT49" s="368"/>
      <c r="XU49" s="368"/>
      <c r="XV49" s="368"/>
      <c r="XW49" s="368"/>
      <c r="XX49" s="368"/>
      <c r="XY49" s="368"/>
      <c r="XZ49" s="368"/>
      <c r="YA49" s="368"/>
      <c r="YB49" s="368"/>
      <c r="YC49" s="368"/>
      <c r="YD49" s="368"/>
      <c r="YE49" s="368"/>
      <c r="YF49" s="368"/>
      <c r="YG49" s="368"/>
      <c r="YH49" s="368"/>
      <c r="YI49" s="368"/>
      <c r="YJ49" s="368"/>
      <c r="YK49" s="368"/>
      <c r="YL49" s="368"/>
      <c r="YM49" s="368"/>
      <c r="YN49" s="368"/>
      <c r="YO49" s="368"/>
      <c r="YP49" s="368"/>
      <c r="YQ49" s="368"/>
      <c r="YR49" s="368"/>
      <c r="YS49" s="368"/>
      <c r="YT49" s="368"/>
      <c r="YU49" s="368"/>
      <c r="YV49" s="368"/>
      <c r="YW49" s="368"/>
      <c r="YX49" s="368"/>
      <c r="YY49" s="368"/>
      <c r="YZ49" s="368"/>
      <c r="ZA49" s="368"/>
      <c r="ZB49" s="368"/>
      <c r="ZC49" s="368"/>
      <c r="ZD49" s="368"/>
      <c r="ZE49" s="368"/>
      <c r="ZF49" s="368"/>
      <c r="ZG49" s="368"/>
      <c r="ZH49" s="368"/>
      <c r="ZI49" s="368"/>
      <c r="ZJ49" s="368"/>
      <c r="ZK49" s="368"/>
      <c r="ZL49" s="368"/>
      <c r="ZM49" s="368"/>
      <c r="ZN49" s="368"/>
      <c r="ZO49" s="368"/>
      <c r="ZP49" s="368"/>
      <c r="ZQ49" s="368"/>
      <c r="ZR49" s="368"/>
      <c r="ZS49" s="368"/>
      <c r="ZT49" s="368"/>
      <c r="ZU49" s="368"/>
      <c r="ZV49" s="368"/>
      <c r="ZW49" s="368"/>
      <c r="ZX49" s="368"/>
      <c r="ZY49" s="368"/>
      <c r="ZZ49" s="368"/>
      <c r="AAA49" s="368"/>
      <c r="AAB49" s="368"/>
      <c r="AAC49" s="368"/>
      <c r="AAD49" s="368"/>
      <c r="AAE49" s="368"/>
      <c r="AAF49" s="368"/>
      <c r="AAG49" s="368"/>
      <c r="AAH49" s="368"/>
      <c r="AAI49" s="368"/>
      <c r="AAJ49" s="368"/>
      <c r="AAK49" s="368"/>
      <c r="AAL49" s="368"/>
      <c r="AAM49" s="368"/>
      <c r="AAN49" s="368"/>
      <c r="AAO49" s="368"/>
      <c r="AAP49" s="368"/>
      <c r="AAQ49" s="368"/>
      <c r="AAR49" s="368"/>
      <c r="AAS49" s="368"/>
      <c r="AAT49" s="368"/>
      <c r="AAU49" s="368"/>
      <c r="AAV49" s="368"/>
      <c r="AAW49" s="368"/>
      <c r="AAX49" s="368"/>
      <c r="AAY49" s="368"/>
      <c r="AAZ49" s="368"/>
      <c r="ABA49" s="368"/>
      <c r="ABB49" s="368"/>
      <c r="ABC49" s="368"/>
      <c r="ABD49" s="368"/>
      <c r="ABE49" s="368"/>
      <c r="ABF49" s="368"/>
      <c r="ABG49" s="368"/>
      <c r="ABH49" s="368"/>
      <c r="ABI49" s="368"/>
      <c r="ABJ49" s="368"/>
      <c r="ABK49" s="368"/>
      <c r="ABL49" s="368"/>
      <c r="ABM49" s="368"/>
      <c r="ABN49" s="368"/>
      <c r="ABO49" s="368"/>
      <c r="ABP49" s="368"/>
      <c r="ABQ49" s="368"/>
      <c r="ABR49" s="368"/>
      <c r="ABS49" s="368"/>
      <c r="ABT49" s="368"/>
      <c r="ABU49" s="368"/>
      <c r="ABV49" s="368"/>
      <c r="ABW49" s="368"/>
      <c r="ABX49" s="368"/>
      <c r="ABY49" s="368"/>
      <c r="ABZ49" s="368"/>
      <c r="ACA49" s="368"/>
      <c r="ACB49" s="368"/>
      <c r="ACC49" s="368"/>
      <c r="ACD49" s="368"/>
      <c r="ACE49" s="368"/>
      <c r="ACF49" s="368"/>
      <c r="ACG49" s="368"/>
      <c r="ACH49" s="368"/>
      <c r="ACI49" s="368"/>
      <c r="ACJ49" s="368"/>
      <c r="ACK49" s="368"/>
      <c r="ACL49" s="368"/>
      <c r="ACM49" s="368"/>
      <c r="ACN49" s="368"/>
      <c r="ACO49" s="368"/>
      <c r="ACP49" s="368"/>
      <c r="ACQ49" s="368"/>
      <c r="ACR49" s="368"/>
      <c r="ACS49" s="368"/>
      <c r="ACT49" s="368"/>
      <c r="ACU49" s="368"/>
      <c r="ACV49" s="368"/>
      <c r="ACW49" s="368"/>
      <c r="ACX49" s="368"/>
      <c r="ACY49" s="368"/>
      <c r="ACZ49" s="368"/>
      <c r="ADA49" s="368"/>
      <c r="ADB49" s="368"/>
      <c r="ADC49" s="368"/>
      <c r="ADD49" s="368"/>
      <c r="ADE49" s="368"/>
      <c r="ADF49" s="368"/>
      <c r="ADG49" s="368"/>
      <c r="ADH49" s="368"/>
      <c r="ADI49" s="368"/>
      <c r="ADJ49" s="368"/>
      <c r="ADK49" s="368"/>
      <c r="ADL49" s="368"/>
      <c r="ADM49" s="368"/>
      <c r="ADN49" s="368"/>
      <c r="ADO49" s="368"/>
      <c r="ADP49" s="368"/>
      <c r="ADQ49" s="368"/>
      <c r="ADR49" s="368"/>
      <c r="ADS49" s="368"/>
      <c r="ADT49" s="368"/>
      <c r="ADU49" s="368"/>
      <c r="ADV49" s="368"/>
      <c r="ADW49" s="368"/>
      <c r="ADX49" s="368"/>
      <c r="ADY49" s="368"/>
      <c r="ADZ49" s="368"/>
      <c r="AEA49" s="368"/>
      <c r="AEB49" s="368"/>
      <c r="AEC49" s="368"/>
      <c r="AED49" s="368"/>
      <c r="AEE49" s="368"/>
      <c r="AEF49" s="368"/>
      <c r="AEG49" s="368"/>
      <c r="AEH49" s="368"/>
      <c r="AEI49" s="368"/>
      <c r="AEJ49" s="368"/>
      <c r="AEK49" s="368"/>
      <c r="AEL49" s="368"/>
      <c r="AEM49" s="368"/>
      <c r="AEN49" s="368"/>
      <c r="AEO49" s="368"/>
      <c r="AEP49" s="368"/>
      <c r="AEQ49" s="368"/>
      <c r="AER49" s="368"/>
      <c r="AES49" s="368"/>
      <c r="AET49" s="368"/>
      <c r="AEU49" s="368"/>
      <c r="AEV49" s="368"/>
      <c r="AEW49" s="368"/>
      <c r="AEX49" s="368"/>
      <c r="AEY49" s="368"/>
      <c r="AEZ49" s="368"/>
      <c r="AFA49" s="368"/>
      <c r="AFB49" s="368"/>
      <c r="AFC49" s="368"/>
      <c r="AFD49" s="368"/>
      <c r="AFE49" s="368"/>
      <c r="AFF49" s="368"/>
      <c r="AFG49" s="368"/>
      <c r="AFH49" s="368"/>
      <c r="AFI49" s="368"/>
      <c r="AFJ49" s="368"/>
      <c r="AFK49" s="368"/>
      <c r="AFL49" s="368"/>
      <c r="AFM49" s="368"/>
      <c r="AFN49" s="368"/>
      <c r="AFO49" s="368"/>
      <c r="AFP49" s="368"/>
      <c r="AFQ49" s="368"/>
      <c r="AFR49" s="368"/>
      <c r="AFS49" s="368"/>
      <c r="AFT49" s="368"/>
      <c r="AFU49" s="368"/>
      <c r="AFV49" s="368"/>
      <c r="AFW49" s="368"/>
      <c r="AFX49" s="368"/>
      <c r="AFY49" s="368"/>
      <c r="AFZ49" s="368"/>
      <c r="AGA49" s="368"/>
      <c r="AGB49" s="368"/>
      <c r="AGC49" s="368"/>
      <c r="AGD49" s="368"/>
      <c r="AGE49" s="368"/>
      <c r="AGF49" s="368"/>
      <c r="AGG49" s="368"/>
      <c r="AGH49" s="368"/>
      <c r="AGI49" s="368"/>
      <c r="AGJ49" s="368"/>
      <c r="AGK49" s="368"/>
      <c r="AGL49" s="368"/>
      <c r="AGM49" s="368"/>
      <c r="AGN49" s="368"/>
      <c r="AGO49" s="368"/>
      <c r="AGP49" s="368"/>
      <c r="AGQ49" s="368"/>
      <c r="AGR49" s="368"/>
      <c r="AGS49" s="368"/>
      <c r="AGT49" s="368"/>
      <c r="AGU49" s="368"/>
      <c r="AGV49" s="368"/>
      <c r="AGW49" s="368"/>
      <c r="AGX49" s="368"/>
      <c r="AGY49" s="368"/>
      <c r="AGZ49" s="368"/>
      <c r="AHA49" s="368"/>
      <c r="AHB49" s="368"/>
      <c r="AHC49" s="368"/>
      <c r="AHD49" s="368"/>
      <c r="AHE49" s="368"/>
      <c r="AHF49" s="368"/>
      <c r="AHG49" s="368"/>
      <c r="AHH49" s="368"/>
      <c r="AHI49" s="368"/>
      <c r="AHJ49" s="368"/>
      <c r="AHK49" s="368"/>
      <c r="AHL49" s="368"/>
      <c r="AHM49" s="368"/>
      <c r="AHN49" s="368"/>
      <c r="AHO49" s="368"/>
      <c r="AHP49" s="368"/>
      <c r="AHQ49" s="368"/>
      <c r="AHR49" s="368"/>
      <c r="AHS49" s="368"/>
      <c r="AHT49" s="368"/>
      <c r="AHU49" s="368"/>
      <c r="AHV49" s="368"/>
      <c r="AHW49" s="368"/>
      <c r="AHX49" s="368"/>
      <c r="AHY49" s="368"/>
      <c r="AHZ49" s="368"/>
      <c r="AIA49" s="368"/>
      <c r="AIB49" s="368"/>
      <c r="AIC49" s="368"/>
      <c r="AID49" s="368"/>
      <c r="AIE49" s="368"/>
      <c r="AIF49" s="368"/>
      <c r="AIG49" s="368"/>
      <c r="AIH49" s="368"/>
      <c r="AII49" s="368"/>
      <c r="AIJ49" s="368"/>
      <c r="AIK49" s="368"/>
      <c r="AIL49" s="368"/>
      <c r="AIM49" s="368"/>
      <c r="AIN49" s="368"/>
      <c r="AIO49" s="368"/>
      <c r="AIP49" s="368"/>
      <c r="AIQ49" s="368"/>
      <c r="AIR49" s="368"/>
      <c r="AIS49" s="368"/>
      <c r="AIT49" s="368"/>
      <c r="AIU49" s="368"/>
      <c r="AIV49" s="368"/>
      <c r="AIW49" s="368"/>
      <c r="AIX49" s="368"/>
      <c r="AIY49" s="368"/>
      <c r="AIZ49" s="368"/>
      <c r="AJA49" s="368"/>
      <c r="AJB49" s="368"/>
      <c r="AJC49" s="368"/>
      <c r="AJD49" s="368"/>
      <c r="AJE49" s="368"/>
      <c r="AJF49" s="368"/>
      <c r="AJG49" s="368"/>
      <c r="AJH49" s="368"/>
      <c r="AJI49" s="368"/>
      <c r="AJJ49" s="368"/>
      <c r="AJK49" s="368"/>
      <c r="AJL49" s="368"/>
      <c r="AJM49" s="368"/>
      <c r="AJN49" s="368"/>
      <c r="AJO49" s="368"/>
      <c r="AJP49" s="368"/>
      <c r="AJQ49" s="368"/>
      <c r="AJR49" s="368"/>
      <c r="AJS49" s="368"/>
      <c r="AJT49" s="368"/>
      <c r="AJU49" s="368"/>
      <c r="AJV49" s="368"/>
      <c r="AJW49" s="368"/>
      <c r="AJX49" s="368"/>
      <c r="AJY49" s="368"/>
      <c r="AJZ49" s="368"/>
      <c r="AKA49" s="368"/>
      <c r="AKB49" s="368"/>
      <c r="AKC49" s="368"/>
      <c r="AKD49" s="368"/>
      <c r="AKE49" s="368"/>
      <c r="AKF49" s="368"/>
      <c r="AKG49" s="368"/>
      <c r="AKH49" s="368"/>
      <c r="AKI49" s="368"/>
      <c r="AKJ49" s="368"/>
      <c r="AKK49" s="368"/>
      <c r="AKL49" s="368"/>
      <c r="AKM49" s="368"/>
      <c r="AKN49" s="368"/>
    </row>
    <row r="50" spans="1:976" s="346" customFormat="1" ht="22.5" customHeight="1" x14ac:dyDescent="0.2">
      <c r="A50" s="370" t="s">
        <v>262</v>
      </c>
      <c r="B50" s="370"/>
      <c r="C50" s="370" t="s">
        <v>221</v>
      </c>
      <c r="D50" s="370" t="s">
        <v>222</v>
      </c>
      <c r="E50" s="371">
        <v>408166</v>
      </c>
      <c r="F50" s="371">
        <v>863</v>
      </c>
      <c r="G50" s="371">
        <v>124</v>
      </c>
      <c r="H50" s="371">
        <v>0</v>
      </c>
      <c r="I50" s="372">
        <v>45786</v>
      </c>
      <c r="J50" s="370" t="s">
        <v>395</v>
      </c>
      <c r="K50" s="370" t="s">
        <v>424</v>
      </c>
      <c r="L50" s="373">
        <v>28.37</v>
      </c>
      <c r="M50" s="373">
        <v>1.56</v>
      </c>
      <c r="N50" s="444">
        <v>29.93</v>
      </c>
      <c r="O50" s="370"/>
      <c r="P50" s="374">
        <v>45796</v>
      </c>
      <c r="Q50" s="373">
        <v>29.93</v>
      </c>
      <c r="R50" s="370" t="s">
        <v>425</v>
      </c>
      <c r="S50" s="373">
        <v>0</v>
      </c>
      <c r="T50" s="373">
        <v>0</v>
      </c>
      <c r="U50" s="373">
        <v>0</v>
      </c>
      <c r="V50" s="373">
        <v>0</v>
      </c>
      <c r="W50" s="370"/>
      <c r="X50" s="370" t="s">
        <v>293</v>
      </c>
      <c r="Y50" s="370" t="s">
        <v>294</v>
      </c>
      <c r="Z50" s="370" t="s">
        <v>42</v>
      </c>
      <c r="AA50" s="370" t="s">
        <v>228</v>
      </c>
      <c r="AB50" s="370" t="s">
        <v>235</v>
      </c>
      <c r="AC50" s="370" t="s">
        <v>331</v>
      </c>
      <c r="AD50" s="370" t="s">
        <v>231</v>
      </c>
      <c r="AE50" s="370" t="s">
        <v>232</v>
      </c>
      <c r="AF50" s="370" t="s">
        <v>231</v>
      </c>
      <c r="AG50" s="370" t="s">
        <v>232</v>
      </c>
      <c r="AH50" s="370"/>
      <c r="AI50" s="370"/>
      <c r="AJ50" s="370"/>
      <c r="AK50" s="370" t="s">
        <v>426</v>
      </c>
      <c r="AL50" s="371">
        <v>1</v>
      </c>
      <c r="AM50" s="371">
        <v>0</v>
      </c>
      <c r="AN50" s="372">
        <v>45796</v>
      </c>
      <c r="AO50" s="372">
        <v>45796</v>
      </c>
      <c r="AP50" s="373">
        <v>29.93</v>
      </c>
      <c r="AQ50" s="372">
        <v>45795</v>
      </c>
      <c r="AR50" s="368"/>
      <c r="AS50" s="368"/>
      <c r="AT50" s="368"/>
      <c r="AU50" s="368"/>
      <c r="AV50" s="368"/>
      <c r="AW50" s="368"/>
      <c r="AX50" s="368"/>
      <c r="AY50" s="368"/>
      <c r="AZ50" s="368"/>
      <c r="BA50" s="368"/>
      <c r="BB50" s="368"/>
      <c r="BC50" s="368"/>
      <c r="BD50" s="368"/>
      <c r="BE50" s="368"/>
      <c r="BF50" s="368"/>
      <c r="BG50" s="368"/>
      <c r="BH50" s="368"/>
      <c r="BI50" s="368"/>
      <c r="BJ50" s="368"/>
      <c r="BK50" s="368"/>
      <c r="BL50" s="368"/>
      <c r="BM50" s="368"/>
      <c r="BN50" s="368"/>
      <c r="BO50" s="368"/>
      <c r="BP50" s="368"/>
      <c r="BQ50" s="368"/>
      <c r="BR50" s="368"/>
      <c r="BS50" s="368"/>
      <c r="BT50" s="368"/>
      <c r="BU50" s="368"/>
      <c r="BV50" s="368"/>
      <c r="BW50" s="368"/>
      <c r="BX50" s="368"/>
      <c r="BY50" s="368"/>
      <c r="BZ50" s="368"/>
      <c r="CA50" s="368"/>
      <c r="CB50" s="368"/>
      <c r="CC50" s="368"/>
      <c r="CD50" s="368"/>
      <c r="CE50" s="368"/>
      <c r="CF50" s="368"/>
      <c r="CG50" s="368"/>
      <c r="CH50" s="368"/>
      <c r="CI50" s="368"/>
      <c r="CJ50" s="368"/>
      <c r="CK50" s="368"/>
      <c r="CL50" s="368"/>
      <c r="CM50" s="368"/>
      <c r="CN50" s="368"/>
      <c r="CO50" s="368"/>
      <c r="CP50" s="368"/>
      <c r="CQ50" s="368"/>
      <c r="CR50" s="368"/>
      <c r="CS50" s="368"/>
      <c r="CT50" s="368"/>
      <c r="CU50" s="368"/>
      <c r="CV50" s="368"/>
      <c r="CW50" s="368"/>
      <c r="CX50" s="368"/>
      <c r="CY50" s="368"/>
      <c r="CZ50" s="368"/>
      <c r="DA50" s="368"/>
      <c r="DB50" s="368"/>
      <c r="DC50" s="368"/>
      <c r="DD50" s="368"/>
      <c r="DE50" s="368"/>
      <c r="DF50" s="368"/>
      <c r="DG50" s="368"/>
      <c r="DH50" s="368"/>
      <c r="DI50" s="368"/>
      <c r="DJ50" s="368"/>
      <c r="DK50" s="368"/>
      <c r="DL50" s="368"/>
      <c r="DM50" s="368"/>
      <c r="DN50" s="368"/>
      <c r="DO50" s="368"/>
      <c r="DP50" s="368"/>
      <c r="DQ50" s="368"/>
      <c r="DR50" s="368"/>
      <c r="DS50" s="368"/>
      <c r="DT50" s="368"/>
      <c r="DU50" s="368"/>
      <c r="DV50" s="368"/>
      <c r="DW50" s="368"/>
      <c r="DX50" s="368"/>
      <c r="DY50" s="368"/>
      <c r="DZ50" s="368"/>
      <c r="EA50" s="368"/>
      <c r="EB50" s="368"/>
      <c r="EC50" s="368"/>
      <c r="ED50" s="368"/>
      <c r="EE50" s="368"/>
      <c r="EF50" s="368"/>
      <c r="EG50" s="368"/>
      <c r="EH50" s="368"/>
      <c r="EI50" s="368"/>
      <c r="EJ50" s="368"/>
      <c r="EK50" s="368"/>
      <c r="EL50" s="368"/>
      <c r="EM50" s="368"/>
      <c r="EN50" s="368"/>
      <c r="EO50" s="368"/>
      <c r="EP50" s="368"/>
      <c r="EQ50" s="368"/>
      <c r="ER50" s="368"/>
      <c r="ES50" s="368"/>
      <c r="ET50" s="368"/>
      <c r="EU50" s="368"/>
      <c r="EV50" s="368"/>
      <c r="EW50" s="368"/>
      <c r="EX50" s="368"/>
      <c r="EY50" s="368"/>
      <c r="EZ50" s="368"/>
      <c r="FA50" s="368"/>
      <c r="FB50" s="368"/>
      <c r="FC50" s="368"/>
      <c r="FD50" s="368"/>
      <c r="FE50" s="368"/>
      <c r="FF50" s="368"/>
      <c r="FG50" s="368"/>
      <c r="FH50" s="368"/>
      <c r="FI50" s="368"/>
      <c r="FJ50" s="368"/>
      <c r="FK50" s="368"/>
      <c r="FL50" s="368"/>
      <c r="FM50" s="368"/>
      <c r="FN50" s="368"/>
      <c r="FO50" s="368"/>
      <c r="FP50" s="368"/>
      <c r="FQ50" s="368"/>
      <c r="FR50" s="368"/>
      <c r="FS50" s="368"/>
      <c r="FT50" s="368"/>
      <c r="FU50" s="368"/>
      <c r="FV50" s="368"/>
      <c r="FW50" s="368"/>
      <c r="FX50" s="368"/>
      <c r="FY50" s="368"/>
      <c r="FZ50" s="368"/>
      <c r="GA50" s="368"/>
      <c r="GB50" s="368"/>
      <c r="GC50" s="368"/>
      <c r="GD50" s="368"/>
      <c r="GE50" s="368"/>
      <c r="GF50" s="368"/>
      <c r="GG50" s="368"/>
      <c r="GH50" s="368"/>
      <c r="GI50" s="368"/>
      <c r="GJ50" s="368"/>
      <c r="GK50" s="368"/>
      <c r="GL50" s="368"/>
      <c r="GM50" s="368"/>
      <c r="GN50" s="368"/>
      <c r="GO50" s="368"/>
      <c r="GP50" s="368"/>
      <c r="GQ50" s="368"/>
      <c r="GR50" s="368"/>
      <c r="GS50" s="368"/>
      <c r="GT50" s="368"/>
      <c r="GU50" s="368"/>
      <c r="GV50" s="368"/>
      <c r="GW50" s="368"/>
      <c r="GX50" s="368"/>
      <c r="GY50" s="368"/>
      <c r="GZ50" s="368"/>
      <c r="HA50" s="368"/>
      <c r="HB50" s="368"/>
      <c r="HC50" s="368"/>
      <c r="HD50" s="368"/>
      <c r="HE50" s="368"/>
      <c r="HF50" s="368"/>
      <c r="HG50" s="368"/>
      <c r="HH50" s="368"/>
      <c r="HI50" s="368"/>
      <c r="HJ50" s="368"/>
      <c r="HK50" s="368"/>
      <c r="HL50" s="368"/>
      <c r="HM50" s="368"/>
      <c r="HN50" s="368"/>
      <c r="HO50" s="368"/>
      <c r="HP50" s="368"/>
      <c r="HQ50" s="368"/>
      <c r="HR50" s="368"/>
      <c r="HS50" s="368"/>
      <c r="HT50" s="368"/>
      <c r="HU50" s="368"/>
      <c r="HV50" s="368"/>
      <c r="HW50" s="368"/>
      <c r="HX50" s="368"/>
      <c r="HY50" s="368"/>
      <c r="HZ50" s="368"/>
      <c r="IA50" s="368"/>
      <c r="IB50" s="368"/>
      <c r="IC50" s="368"/>
      <c r="ID50" s="368"/>
      <c r="IE50" s="368"/>
      <c r="IF50" s="368"/>
      <c r="IG50" s="368"/>
      <c r="IH50" s="368"/>
      <c r="II50" s="368"/>
      <c r="IJ50" s="368"/>
      <c r="IK50" s="368"/>
      <c r="IL50" s="368"/>
      <c r="IM50" s="368"/>
      <c r="IN50" s="368"/>
      <c r="IO50" s="368"/>
      <c r="IP50" s="368"/>
      <c r="IQ50" s="368"/>
      <c r="IR50" s="368"/>
      <c r="IS50" s="368"/>
      <c r="IT50" s="368"/>
      <c r="IU50" s="368"/>
      <c r="IV50" s="368"/>
      <c r="IW50" s="368"/>
      <c r="IX50" s="368"/>
      <c r="IY50" s="368"/>
      <c r="IZ50" s="368"/>
      <c r="JA50" s="368"/>
      <c r="JB50" s="368"/>
      <c r="JC50" s="368"/>
      <c r="JD50" s="368"/>
      <c r="JE50" s="368"/>
      <c r="JF50" s="368"/>
      <c r="JG50" s="368"/>
      <c r="JH50" s="368"/>
      <c r="JI50" s="368"/>
      <c r="JJ50" s="368"/>
      <c r="JK50" s="368"/>
      <c r="JL50" s="368"/>
      <c r="JM50" s="368"/>
      <c r="JN50" s="368"/>
      <c r="JO50" s="368"/>
      <c r="JP50" s="368"/>
      <c r="JQ50" s="368"/>
      <c r="JR50" s="368"/>
      <c r="JS50" s="368"/>
      <c r="JT50" s="368"/>
      <c r="JU50" s="368"/>
      <c r="JV50" s="368"/>
      <c r="JW50" s="368"/>
      <c r="JX50" s="368"/>
      <c r="JY50" s="368"/>
      <c r="JZ50" s="368"/>
      <c r="KA50" s="368"/>
      <c r="KB50" s="368"/>
      <c r="KC50" s="368"/>
      <c r="KD50" s="368"/>
      <c r="KE50" s="368"/>
      <c r="KF50" s="368"/>
      <c r="KG50" s="368"/>
      <c r="KH50" s="368"/>
      <c r="KI50" s="368"/>
      <c r="KJ50" s="368"/>
      <c r="KK50" s="368"/>
      <c r="KL50" s="368"/>
      <c r="KM50" s="368"/>
      <c r="KN50" s="368"/>
      <c r="KO50" s="368"/>
      <c r="KP50" s="368"/>
      <c r="KQ50" s="368"/>
      <c r="KR50" s="368"/>
      <c r="KS50" s="368"/>
      <c r="KT50" s="368"/>
      <c r="KU50" s="368"/>
      <c r="KV50" s="368"/>
      <c r="KW50" s="368"/>
      <c r="KX50" s="368"/>
      <c r="KY50" s="368"/>
      <c r="KZ50" s="368"/>
      <c r="LA50" s="368"/>
      <c r="LB50" s="368"/>
      <c r="LC50" s="368"/>
      <c r="LD50" s="368"/>
      <c r="LE50" s="368"/>
      <c r="LF50" s="368"/>
      <c r="LG50" s="368"/>
      <c r="LH50" s="368"/>
      <c r="LI50" s="368"/>
      <c r="LJ50" s="368"/>
      <c r="LK50" s="368"/>
      <c r="LL50" s="368"/>
      <c r="LM50" s="368"/>
      <c r="LN50" s="368"/>
      <c r="LO50" s="368"/>
      <c r="LP50" s="368"/>
      <c r="LQ50" s="368"/>
      <c r="LR50" s="368"/>
      <c r="LS50" s="368"/>
      <c r="LT50" s="368"/>
      <c r="LU50" s="368"/>
      <c r="LV50" s="368"/>
      <c r="LW50" s="368"/>
      <c r="LX50" s="368"/>
      <c r="LY50" s="368"/>
      <c r="LZ50" s="368"/>
      <c r="MA50" s="368"/>
      <c r="MB50" s="368"/>
      <c r="MC50" s="368"/>
      <c r="MD50" s="368"/>
      <c r="ME50" s="368"/>
      <c r="MF50" s="368"/>
      <c r="MG50" s="368"/>
      <c r="MH50" s="368"/>
      <c r="MI50" s="368"/>
      <c r="MJ50" s="368"/>
      <c r="MK50" s="368"/>
      <c r="ML50" s="368"/>
      <c r="MM50" s="368"/>
      <c r="MN50" s="368"/>
      <c r="MO50" s="368"/>
      <c r="MP50" s="368"/>
      <c r="MQ50" s="368"/>
      <c r="MR50" s="368"/>
      <c r="MS50" s="368"/>
      <c r="MT50" s="368"/>
      <c r="MU50" s="368"/>
      <c r="MV50" s="368"/>
      <c r="MW50" s="368"/>
      <c r="MX50" s="368"/>
      <c r="MY50" s="368"/>
      <c r="MZ50" s="368"/>
      <c r="NA50" s="368"/>
      <c r="NB50" s="368"/>
      <c r="NC50" s="368"/>
      <c r="ND50" s="368"/>
      <c r="NE50" s="368"/>
      <c r="NF50" s="368"/>
      <c r="NG50" s="368"/>
      <c r="NH50" s="368"/>
      <c r="NI50" s="368"/>
      <c r="NJ50" s="368"/>
      <c r="NK50" s="368"/>
      <c r="NL50" s="368"/>
      <c r="NM50" s="368"/>
      <c r="NN50" s="368"/>
      <c r="NO50" s="368"/>
      <c r="NP50" s="368"/>
      <c r="NQ50" s="368"/>
      <c r="NR50" s="368"/>
      <c r="NS50" s="368"/>
      <c r="NT50" s="368"/>
      <c r="NU50" s="368"/>
      <c r="NV50" s="368"/>
      <c r="NW50" s="368"/>
      <c r="NX50" s="368"/>
      <c r="NY50" s="368"/>
      <c r="NZ50" s="368"/>
      <c r="OA50" s="368"/>
      <c r="OB50" s="368"/>
      <c r="OC50" s="368"/>
      <c r="OD50" s="368"/>
      <c r="OE50" s="368"/>
      <c r="OF50" s="368"/>
      <c r="OG50" s="368"/>
      <c r="OH50" s="368"/>
      <c r="OI50" s="368"/>
      <c r="OJ50" s="368"/>
      <c r="OK50" s="368"/>
      <c r="OL50" s="368"/>
      <c r="OM50" s="368"/>
      <c r="ON50" s="368"/>
      <c r="OO50" s="368"/>
      <c r="OP50" s="368"/>
      <c r="OQ50" s="368"/>
      <c r="OR50" s="368"/>
      <c r="OS50" s="368"/>
      <c r="OT50" s="368"/>
      <c r="OU50" s="368"/>
      <c r="OV50" s="368"/>
      <c r="OW50" s="368"/>
      <c r="OX50" s="368"/>
      <c r="OY50" s="368"/>
      <c r="OZ50" s="368"/>
      <c r="PA50" s="368"/>
      <c r="PB50" s="368"/>
      <c r="PC50" s="368"/>
      <c r="PD50" s="368"/>
      <c r="PE50" s="368"/>
      <c r="PF50" s="368"/>
      <c r="PG50" s="368"/>
      <c r="PH50" s="368"/>
      <c r="PI50" s="368"/>
      <c r="PJ50" s="368"/>
      <c r="PK50" s="368"/>
      <c r="PL50" s="368"/>
      <c r="PM50" s="368"/>
      <c r="PN50" s="368"/>
      <c r="PO50" s="368"/>
      <c r="PP50" s="368"/>
      <c r="PQ50" s="368"/>
      <c r="PR50" s="368"/>
      <c r="PS50" s="368"/>
      <c r="PT50" s="368"/>
      <c r="PU50" s="368"/>
      <c r="PV50" s="368"/>
      <c r="PW50" s="368"/>
      <c r="PX50" s="368"/>
      <c r="PY50" s="368"/>
      <c r="PZ50" s="368"/>
      <c r="QA50" s="368"/>
      <c r="QB50" s="368"/>
      <c r="QC50" s="368"/>
      <c r="QD50" s="368"/>
      <c r="QE50" s="368"/>
      <c r="QF50" s="368"/>
      <c r="QG50" s="368"/>
      <c r="QH50" s="368"/>
      <c r="QI50" s="368"/>
      <c r="QJ50" s="368"/>
      <c r="QK50" s="368"/>
      <c r="QL50" s="368"/>
      <c r="QM50" s="368"/>
      <c r="QN50" s="368"/>
      <c r="QO50" s="368"/>
      <c r="QP50" s="368"/>
      <c r="QQ50" s="368"/>
      <c r="QR50" s="368"/>
      <c r="QS50" s="368"/>
      <c r="QT50" s="368"/>
      <c r="QU50" s="368"/>
      <c r="QV50" s="368"/>
      <c r="QW50" s="368"/>
      <c r="QX50" s="368"/>
      <c r="QY50" s="368"/>
      <c r="QZ50" s="368"/>
      <c r="RA50" s="368"/>
      <c r="RB50" s="368"/>
      <c r="RC50" s="368"/>
      <c r="RD50" s="368"/>
      <c r="RE50" s="368"/>
      <c r="RF50" s="368"/>
      <c r="RG50" s="368"/>
      <c r="RH50" s="368"/>
      <c r="RI50" s="368"/>
      <c r="RJ50" s="368"/>
      <c r="RK50" s="368"/>
      <c r="RL50" s="368"/>
      <c r="RM50" s="368"/>
      <c r="RN50" s="368"/>
      <c r="RO50" s="368"/>
      <c r="RP50" s="368"/>
      <c r="RQ50" s="368"/>
      <c r="RR50" s="368"/>
      <c r="RS50" s="368"/>
      <c r="RT50" s="368"/>
      <c r="RU50" s="368"/>
      <c r="RV50" s="368"/>
      <c r="RW50" s="368"/>
      <c r="RX50" s="368"/>
      <c r="RY50" s="368"/>
      <c r="RZ50" s="368"/>
      <c r="SA50" s="368"/>
      <c r="SB50" s="368"/>
      <c r="SC50" s="368"/>
      <c r="SD50" s="368"/>
      <c r="SE50" s="368"/>
      <c r="SF50" s="368"/>
      <c r="SG50" s="368"/>
      <c r="SH50" s="368"/>
      <c r="SI50" s="368"/>
      <c r="SJ50" s="368"/>
      <c r="SK50" s="368"/>
      <c r="SL50" s="368"/>
      <c r="SM50" s="368"/>
      <c r="SN50" s="368"/>
      <c r="SO50" s="368"/>
      <c r="SP50" s="368"/>
      <c r="SQ50" s="368"/>
      <c r="SR50" s="368"/>
      <c r="SS50" s="368"/>
      <c r="ST50" s="368"/>
      <c r="SU50" s="368"/>
      <c r="SV50" s="368"/>
      <c r="SW50" s="368"/>
      <c r="SX50" s="368"/>
      <c r="SY50" s="368"/>
      <c r="SZ50" s="368"/>
      <c r="TA50" s="368"/>
      <c r="TB50" s="368"/>
      <c r="TC50" s="368"/>
      <c r="TD50" s="368"/>
      <c r="TE50" s="368"/>
      <c r="TF50" s="368"/>
      <c r="TG50" s="368"/>
      <c r="TH50" s="368"/>
      <c r="TI50" s="368"/>
      <c r="TJ50" s="368"/>
      <c r="TK50" s="368"/>
      <c r="TL50" s="368"/>
      <c r="TM50" s="368"/>
      <c r="TN50" s="368"/>
      <c r="TO50" s="368"/>
      <c r="TP50" s="368"/>
      <c r="TQ50" s="368"/>
      <c r="TR50" s="368"/>
      <c r="TS50" s="368"/>
      <c r="TT50" s="368"/>
      <c r="TU50" s="368"/>
      <c r="TV50" s="368"/>
      <c r="TW50" s="368"/>
      <c r="TX50" s="368"/>
      <c r="TY50" s="368"/>
      <c r="TZ50" s="368"/>
      <c r="UA50" s="368"/>
      <c r="UB50" s="368"/>
      <c r="UC50" s="368"/>
      <c r="UD50" s="368"/>
      <c r="UE50" s="368"/>
      <c r="UF50" s="368"/>
      <c r="UG50" s="368"/>
      <c r="UH50" s="368"/>
      <c r="UI50" s="368"/>
      <c r="UJ50" s="368"/>
      <c r="UK50" s="368"/>
      <c r="UL50" s="368"/>
      <c r="UM50" s="368"/>
      <c r="UN50" s="368"/>
      <c r="UO50" s="368"/>
      <c r="UP50" s="368"/>
      <c r="UQ50" s="368"/>
      <c r="UR50" s="368"/>
      <c r="US50" s="368"/>
      <c r="UT50" s="368"/>
      <c r="UU50" s="368"/>
      <c r="UV50" s="368"/>
      <c r="UW50" s="368"/>
      <c r="UX50" s="368"/>
      <c r="UY50" s="368"/>
      <c r="UZ50" s="368"/>
      <c r="VA50" s="368"/>
      <c r="VB50" s="368"/>
      <c r="VC50" s="368"/>
      <c r="VD50" s="368"/>
      <c r="VE50" s="368"/>
      <c r="VF50" s="368"/>
      <c r="VG50" s="368"/>
      <c r="VH50" s="368"/>
      <c r="VI50" s="368"/>
      <c r="VJ50" s="368"/>
      <c r="VK50" s="368"/>
      <c r="VL50" s="368"/>
      <c r="VM50" s="368"/>
      <c r="VN50" s="368"/>
      <c r="VO50" s="368"/>
      <c r="VP50" s="368"/>
      <c r="VQ50" s="368"/>
      <c r="VR50" s="368"/>
      <c r="VS50" s="368"/>
      <c r="VT50" s="368"/>
      <c r="VU50" s="368"/>
      <c r="VV50" s="368"/>
      <c r="VW50" s="368"/>
      <c r="VX50" s="368"/>
      <c r="VY50" s="368"/>
      <c r="VZ50" s="368"/>
      <c r="WA50" s="368"/>
      <c r="WB50" s="368"/>
      <c r="WC50" s="368"/>
      <c r="WD50" s="368"/>
      <c r="WE50" s="368"/>
      <c r="WF50" s="368"/>
      <c r="WG50" s="368"/>
      <c r="WH50" s="368"/>
      <c r="WI50" s="368"/>
      <c r="WJ50" s="368"/>
      <c r="WK50" s="368"/>
      <c r="WL50" s="368"/>
      <c r="WM50" s="368"/>
      <c r="WN50" s="368"/>
      <c r="WO50" s="368"/>
      <c r="WP50" s="368"/>
      <c r="WQ50" s="368"/>
      <c r="WR50" s="368"/>
      <c r="WS50" s="368"/>
      <c r="WT50" s="368"/>
      <c r="WU50" s="368"/>
      <c r="WV50" s="368"/>
      <c r="WW50" s="368"/>
      <c r="WX50" s="368"/>
      <c r="WY50" s="368"/>
      <c r="WZ50" s="368"/>
      <c r="XA50" s="368"/>
      <c r="XB50" s="368"/>
      <c r="XC50" s="368"/>
      <c r="XD50" s="368"/>
      <c r="XE50" s="368"/>
      <c r="XF50" s="368"/>
      <c r="XG50" s="368"/>
      <c r="XH50" s="368"/>
      <c r="XI50" s="368"/>
      <c r="XJ50" s="368"/>
      <c r="XK50" s="368"/>
      <c r="XL50" s="368"/>
      <c r="XM50" s="368"/>
      <c r="XN50" s="368"/>
      <c r="XO50" s="368"/>
      <c r="XP50" s="368"/>
      <c r="XQ50" s="368"/>
      <c r="XR50" s="368"/>
      <c r="XS50" s="368"/>
      <c r="XT50" s="368"/>
      <c r="XU50" s="368"/>
      <c r="XV50" s="368"/>
      <c r="XW50" s="368"/>
      <c r="XX50" s="368"/>
      <c r="XY50" s="368"/>
      <c r="XZ50" s="368"/>
      <c r="YA50" s="368"/>
      <c r="YB50" s="368"/>
      <c r="YC50" s="368"/>
      <c r="YD50" s="368"/>
      <c r="YE50" s="368"/>
      <c r="YF50" s="368"/>
      <c r="YG50" s="368"/>
      <c r="YH50" s="368"/>
      <c r="YI50" s="368"/>
      <c r="YJ50" s="368"/>
      <c r="YK50" s="368"/>
      <c r="YL50" s="368"/>
      <c r="YM50" s="368"/>
      <c r="YN50" s="368"/>
      <c r="YO50" s="368"/>
      <c r="YP50" s="368"/>
      <c r="YQ50" s="368"/>
      <c r="YR50" s="368"/>
      <c r="YS50" s="368"/>
      <c r="YT50" s="368"/>
      <c r="YU50" s="368"/>
      <c r="YV50" s="368"/>
      <c r="YW50" s="368"/>
      <c r="YX50" s="368"/>
      <c r="YY50" s="368"/>
      <c r="YZ50" s="368"/>
      <c r="ZA50" s="368"/>
      <c r="ZB50" s="368"/>
      <c r="ZC50" s="368"/>
      <c r="ZD50" s="368"/>
      <c r="ZE50" s="368"/>
      <c r="ZF50" s="368"/>
      <c r="ZG50" s="368"/>
      <c r="ZH50" s="368"/>
      <c r="ZI50" s="368"/>
      <c r="ZJ50" s="368"/>
      <c r="ZK50" s="368"/>
      <c r="ZL50" s="368"/>
      <c r="ZM50" s="368"/>
      <c r="ZN50" s="368"/>
      <c r="ZO50" s="368"/>
      <c r="ZP50" s="368"/>
      <c r="ZQ50" s="368"/>
      <c r="ZR50" s="368"/>
      <c r="ZS50" s="368"/>
      <c r="ZT50" s="368"/>
      <c r="ZU50" s="368"/>
      <c r="ZV50" s="368"/>
      <c r="ZW50" s="368"/>
      <c r="ZX50" s="368"/>
      <c r="ZY50" s="368"/>
      <c r="ZZ50" s="368"/>
      <c r="AAA50" s="368"/>
      <c r="AAB50" s="368"/>
      <c r="AAC50" s="368"/>
      <c r="AAD50" s="368"/>
      <c r="AAE50" s="368"/>
      <c r="AAF50" s="368"/>
      <c r="AAG50" s="368"/>
      <c r="AAH50" s="368"/>
      <c r="AAI50" s="368"/>
      <c r="AAJ50" s="368"/>
      <c r="AAK50" s="368"/>
      <c r="AAL50" s="368"/>
      <c r="AAM50" s="368"/>
      <c r="AAN50" s="368"/>
      <c r="AAO50" s="368"/>
      <c r="AAP50" s="368"/>
      <c r="AAQ50" s="368"/>
      <c r="AAR50" s="368"/>
      <c r="AAS50" s="368"/>
      <c r="AAT50" s="368"/>
      <c r="AAU50" s="368"/>
      <c r="AAV50" s="368"/>
      <c r="AAW50" s="368"/>
      <c r="AAX50" s="368"/>
      <c r="AAY50" s="368"/>
      <c r="AAZ50" s="368"/>
      <c r="ABA50" s="368"/>
      <c r="ABB50" s="368"/>
      <c r="ABC50" s="368"/>
      <c r="ABD50" s="368"/>
      <c r="ABE50" s="368"/>
      <c r="ABF50" s="368"/>
      <c r="ABG50" s="368"/>
      <c r="ABH50" s="368"/>
      <c r="ABI50" s="368"/>
      <c r="ABJ50" s="368"/>
      <c r="ABK50" s="368"/>
      <c r="ABL50" s="368"/>
      <c r="ABM50" s="368"/>
      <c r="ABN50" s="368"/>
      <c r="ABO50" s="368"/>
      <c r="ABP50" s="368"/>
      <c r="ABQ50" s="368"/>
      <c r="ABR50" s="368"/>
      <c r="ABS50" s="368"/>
      <c r="ABT50" s="368"/>
      <c r="ABU50" s="368"/>
      <c r="ABV50" s="368"/>
      <c r="ABW50" s="368"/>
      <c r="ABX50" s="368"/>
      <c r="ABY50" s="368"/>
      <c r="ABZ50" s="368"/>
      <c r="ACA50" s="368"/>
      <c r="ACB50" s="368"/>
      <c r="ACC50" s="368"/>
      <c r="ACD50" s="368"/>
      <c r="ACE50" s="368"/>
      <c r="ACF50" s="368"/>
      <c r="ACG50" s="368"/>
      <c r="ACH50" s="368"/>
      <c r="ACI50" s="368"/>
      <c r="ACJ50" s="368"/>
      <c r="ACK50" s="368"/>
      <c r="ACL50" s="368"/>
      <c r="ACM50" s="368"/>
      <c r="ACN50" s="368"/>
      <c r="ACO50" s="368"/>
      <c r="ACP50" s="368"/>
      <c r="ACQ50" s="368"/>
      <c r="ACR50" s="368"/>
      <c r="ACS50" s="368"/>
      <c r="ACT50" s="368"/>
      <c r="ACU50" s="368"/>
      <c r="ACV50" s="368"/>
      <c r="ACW50" s="368"/>
      <c r="ACX50" s="368"/>
      <c r="ACY50" s="368"/>
      <c r="ACZ50" s="368"/>
      <c r="ADA50" s="368"/>
      <c r="ADB50" s="368"/>
      <c r="ADC50" s="368"/>
      <c r="ADD50" s="368"/>
      <c r="ADE50" s="368"/>
      <c r="ADF50" s="368"/>
      <c r="ADG50" s="368"/>
      <c r="ADH50" s="368"/>
      <c r="ADI50" s="368"/>
      <c r="ADJ50" s="368"/>
      <c r="ADK50" s="368"/>
      <c r="ADL50" s="368"/>
      <c r="ADM50" s="368"/>
      <c r="ADN50" s="368"/>
      <c r="ADO50" s="368"/>
      <c r="ADP50" s="368"/>
      <c r="ADQ50" s="368"/>
      <c r="ADR50" s="368"/>
      <c r="ADS50" s="368"/>
      <c r="ADT50" s="368"/>
      <c r="ADU50" s="368"/>
      <c r="ADV50" s="368"/>
      <c r="ADW50" s="368"/>
      <c r="ADX50" s="368"/>
      <c r="ADY50" s="368"/>
      <c r="ADZ50" s="368"/>
      <c r="AEA50" s="368"/>
      <c r="AEB50" s="368"/>
      <c r="AEC50" s="368"/>
      <c r="AED50" s="368"/>
      <c r="AEE50" s="368"/>
      <c r="AEF50" s="368"/>
      <c r="AEG50" s="368"/>
      <c r="AEH50" s="368"/>
      <c r="AEI50" s="368"/>
      <c r="AEJ50" s="368"/>
      <c r="AEK50" s="368"/>
      <c r="AEL50" s="368"/>
      <c r="AEM50" s="368"/>
      <c r="AEN50" s="368"/>
      <c r="AEO50" s="368"/>
      <c r="AEP50" s="368"/>
      <c r="AEQ50" s="368"/>
      <c r="AER50" s="368"/>
      <c r="AES50" s="368"/>
      <c r="AET50" s="368"/>
      <c r="AEU50" s="368"/>
      <c r="AEV50" s="368"/>
      <c r="AEW50" s="368"/>
      <c r="AEX50" s="368"/>
      <c r="AEY50" s="368"/>
      <c r="AEZ50" s="368"/>
      <c r="AFA50" s="368"/>
      <c r="AFB50" s="368"/>
      <c r="AFC50" s="368"/>
      <c r="AFD50" s="368"/>
      <c r="AFE50" s="368"/>
      <c r="AFF50" s="368"/>
      <c r="AFG50" s="368"/>
      <c r="AFH50" s="368"/>
      <c r="AFI50" s="368"/>
      <c r="AFJ50" s="368"/>
      <c r="AFK50" s="368"/>
      <c r="AFL50" s="368"/>
      <c r="AFM50" s="368"/>
      <c r="AFN50" s="368"/>
      <c r="AFO50" s="368"/>
      <c r="AFP50" s="368"/>
      <c r="AFQ50" s="368"/>
      <c r="AFR50" s="368"/>
      <c r="AFS50" s="368"/>
      <c r="AFT50" s="368"/>
      <c r="AFU50" s="368"/>
      <c r="AFV50" s="368"/>
      <c r="AFW50" s="368"/>
      <c r="AFX50" s="368"/>
      <c r="AFY50" s="368"/>
      <c r="AFZ50" s="368"/>
      <c r="AGA50" s="368"/>
      <c r="AGB50" s="368"/>
      <c r="AGC50" s="368"/>
      <c r="AGD50" s="368"/>
      <c r="AGE50" s="368"/>
      <c r="AGF50" s="368"/>
      <c r="AGG50" s="368"/>
      <c r="AGH50" s="368"/>
      <c r="AGI50" s="368"/>
      <c r="AGJ50" s="368"/>
      <c r="AGK50" s="368"/>
      <c r="AGL50" s="368"/>
      <c r="AGM50" s="368"/>
      <c r="AGN50" s="368"/>
      <c r="AGO50" s="368"/>
      <c r="AGP50" s="368"/>
      <c r="AGQ50" s="368"/>
      <c r="AGR50" s="368"/>
      <c r="AGS50" s="368"/>
      <c r="AGT50" s="368"/>
      <c r="AGU50" s="368"/>
      <c r="AGV50" s="368"/>
      <c r="AGW50" s="368"/>
      <c r="AGX50" s="368"/>
      <c r="AGY50" s="368"/>
      <c r="AGZ50" s="368"/>
      <c r="AHA50" s="368"/>
      <c r="AHB50" s="368"/>
      <c r="AHC50" s="368"/>
      <c r="AHD50" s="368"/>
      <c r="AHE50" s="368"/>
      <c r="AHF50" s="368"/>
      <c r="AHG50" s="368"/>
      <c r="AHH50" s="368"/>
      <c r="AHI50" s="368"/>
      <c r="AHJ50" s="368"/>
      <c r="AHK50" s="368"/>
      <c r="AHL50" s="368"/>
      <c r="AHM50" s="368"/>
      <c r="AHN50" s="368"/>
      <c r="AHO50" s="368"/>
      <c r="AHP50" s="368"/>
      <c r="AHQ50" s="368"/>
      <c r="AHR50" s="368"/>
      <c r="AHS50" s="368"/>
      <c r="AHT50" s="368"/>
      <c r="AHU50" s="368"/>
      <c r="AHV50" s="368"/>
      <c r="AHW50" s="368"/>
      <c r="AHX50" s="368"/>
      <c r="AHY50" s="368"/>
      <c r="AHZ50" s="368"/>
      <c r="AIA50" s="368"/>
      <c r="AIB50" s="368"/>
      <c r="AIC50" s="368"/>
      <c r="AID50" s="368"/>
      <c r="AIE50" s="368"/>
      <c r="AIF50" s="368"/>
      <c r="AIG50" s="368"/>
      <c r="AIH50" s="368"/>
      <c r="AII50" s="368"/>
      <c r="AIJ50" s="368"/>
      <c r="AIK50" s="368"/>
      <c r="AIL50" s="368"/>
      <c r="AIM50" s="368"/>
      <c r="AIN50" s="368"/>
      <c r="AIO50" s="368"/>
      <c r="AIP50" s="368"/>
      <c r="AIQ50" s="368"/>
      <c r="AIR50" s="368"/>
      <c r="AIS50" s="368"/>
      <c r="AIT50" s="368"/>
      <c r="AIU50" s="368"/>
      <c r="AIV50" s="368"/>
      <c r="AIW50" s="368"/>
      <c r="AIX50" s="368"/>
      <c r="AIY50" s="368"/>
      <c r="AIZ50" s="368"/>
      <c r="AJA50" s="368"/>
      <c r="AJB50" s="368"/>
      <c r="AJC50" s="368"/>
      <c r="AJD50" s="368"/>
      <c r="AJE50" s="368"/>
      <c r="AJF50" s="368"/>
      <c r="AJG50" s="368"/>
      <c r="AJH50" s="368"/>
      <c r="AJI50" s="368"/>
      <c r="AJJ50" s="368"/>
      <c r="AJK50" s="368"/>
      <c r="AJL50" s="368"/>
      <c r="AJM50" s="368"/>
      <c r="AJN50" s="368"/>
      <c r="AJO50" s="368"/>
      <c r="AJP50" s="368"/>
      <c r="AJQ50" s="368"/>
      <c r="AJR50" s="368"/>
      <c r="AJS50" s="368"/>
      <c r="AJT50" s="368"/>
      <c r="AJU50" s="368"/>
      <c r="AJV50" s="368"/>
      <c r="AJW50" s="368"/>
      <c r="AJX50" s="368"/>
      <c r="AJY50" s="368"/>
      <c r="AJZ50" s="368"/>
      <c r="AKA50" s="368"/>
      <c r="AKB50" s="368"/>
      <c r="AKC50" s="368"/>
      <c r="AKD50" s="368"/>
      <c r="AKE50" s="368"/>
      <c r="AKF50" s="368"/>
      <c r="AKG50" s="368"/>
      <c r="AKH50" s="368"/>
      <c r="AKI50" s="368"/>
      <c r="AKJ50" s="368"/>
      <c r="AKK50" s="368"/>
      <c r="AKL50" s="368"/>
      <c r="AKM50" s="368"/>
      <c r="AKN50" s="368"/>
    </row>
    <row r="51" spans="1:976" s="346" customFormat="1" ht="22.5" customHeight="1" x14ac:dyDescent="0.2">
      <c r="A51" s="370" t="s">
        <v>262</v>
      </c>
      <c r="B51" s="370"/>
      <c r="C51" s="370" t="s">
        <v>221</v>
      </c>
      <c r="D51" s="370" t="s">
        <v>222</v>
      </c>
      <c r="E51" s="371">
        <v>408167</v>
      </c>
      <c r="F51" s="371">
        <v>864</v>
      </c>
      <c r="G51" s="371">
        <v>124</v>
      </c>
      <c r="H51" s="371">
        <v>0</v>
      </c>
      <c r="I51" s="372">
        <v>45786</v>
      </c>
      <c r="J51" s="370" t="s">
        <v>395</v>
      </c>
      <c r="K51" s="370" t="s">
        <v>427</v>
      </c>
      <c r="L51" s="373">
        <v>28.25</v>
      </c>
      <c r="M51" s="373">
        <v>1.55</v>
      </c>
      <c r="N51" s="444">
        <v>29.8</v>
      </c>
      <c r="O51" s="370"/>
      <c r="P51" s="374">
        <v>45796</v>
      </c>
      <c r="Q51" s="373">
        <v>29.8</v>
      </c>
      <c r="R51" s="370" t="s">
        <v>428</v>
      </c>
      <c r="S51" s="373">
        <v>0</v>
      </c>
      <c r="T51" s="373">
        <v>0</v>
      </c>
      <c r="U51" s="373">
        <v>0</v>
      </c>
      <c r="V51" s="373">
        <v>0</v>
      </c>
      <c r="W51" s="370"/>
      <c r="X51" s="370" t="s">
        <v>293</v>
      </c>
      <c r="Y51" s="370" t="s">
        <v>294</v>
      </c>
      <c r="Z51" s="370" t="s">
        <v>42</v>
      </c>
      <c r="AA51" s="370" t="s">
        <v>228</v>
      </c>
      <c r="AB51" s="370" t="s">
        <v>235</v>
      </c>
      <c r="AC51" s="370" t="s">
        <v>331</v>
      </c>
      <c r="AD51" s="370" t="s">
        <v>231</v>
      </c>
      <c r="AE51" s="370" t="s">
        <v>232</v>
      </c>
      <c r="AF51" s="370" t="s">
        <v>231</v>
      </c>
      <c r="AG51" s="370" t="s">
        <v>232</v>
      </c>
      <c r="AH51" s="370"/>
      <c r="AI51" s="370"/>
      <c r="AJ51" s="370"/>
      <c r="AK51" s="370" t="s">
        <v>429</v>
      </c>
      <c r="AL51" s="371">
        <v>1</v>
      </c>
      <c r="AM51" s="371">
        <v>0</v>
      </c>
      <c r="AN51" s="372">
        <v>45796</v>
      </c>
      <c r="AO51" s="372">
        <v>45796</v>
      </c>
      <c r="AP51" s="373">
        <v>29.8</v>
      </c>
      <c r="AQ51" s="372">
        <v>45795</v>
      </c>
      <c r="AR51" s="368"/>
      <c r="AS51" s="368"/>
      <c r="AT51" s="368"/>
      <c r="AU51" s="368"/>
      <c r="AV51" s="368"/>
      <c r="AW51" s="368"/>
      <c r="AX51" s="368"/>
      <c r="AY51" s="368"/>
      <c r="AZ51" s="368"/>
      <c r="BA51" s="368"/>
      <c r="BB51" s="368"/>
      <c r="BC51" s="368"/>
      <c r="BD51" s="368"/>
      <c r="BE51" s="368"/>
      <c r="BF51" s="368"/>
      <c r="BG51" s="368"/>
      <c r="BH51" s="368"/>
      <c r="BI51" s="368"/>
      <c r="BJ51" s="368"/>
      <c r="BK51" s="368"/>
      <c r="BL51" s="368"/>
      <c r="BM51" s="368"/>
      <c r="BN51" s="368"/>
      <c r="BO51" s="368"/>
      <c r="BP51" s="368"/>
      <c r="BQ51" s="368"/>
      <c r="BR51" s="368"/>
      <c r="BS51" s="368"/>
      <c r="BT51" s="368"/>
      <c r="BU51" s="368"/>
      <c r="BV51" s="368"/>
      <c r="BW51" s="368"/>
      <c r="BX51" s="368"/>
      <c r="BY51" s="368"/>
      <c r="BZ51" s="368"/>
      <c r="CA51" s="368"/>
      <c r="CB51" s="368"/>
      <c r="CC51" s="368"/>
      <c r="CD51" s="368"/>
      <c r="CE51" s="368"/>
      <c r="CF51" s="368"/>
      <c r="CG51" s="368"/>
      <c r="CH51" s="368"/>
      <c r="CI51" s="368"/>
      <c r="CJ51" s="368"/>
      <c r="CK51" s="368"/>
      <c r="CL51" s="368"/>
      <c r="CM51" s="368"/>
      <c r="CN51" s="368"/>
      <c r="CO51" s="368"/>
      <c r="CP51" s="368"/>
      <c r="CQ51" s="368"/>
      <c r="CR51" s="368"/>
      <c r="CS51" s="368"/>
      <c r="CT51" s="368"/>
      <c r="CU51" s="368"/>
      <c r="CV51" s="368"/>
      <c r="CW51" s="368"/>
      <c r="CX51" s="368"/>
      <c r="CY51" s="368"/>
      <c r="CZ51" s="368"/>
      <c r="DA51" s="368"/>
      <c r="DB51" s="368"/>
      <c r="DC51" s="368"/>
      <c r="DD51" s="368"/>
      <c r="DE51" s="368"/>
      <c r="DF51" s="368"/>
      <c r="DG51" s="368"/>
      <c r="DH51" s="368"/>
      <c r="DI51" s="368"/>
      <c r="DJ51" s="368"/>
      <c r="DK51" s="368"/>
      <c r="DL51" s="368"/>
      <c r="DM51" s="368"/>
      <c r="DN51" s="368"/>
      <c r="DO51" s="368"/>
      <c r="DP51" s="368"/>
      <c r="DQ51" s="368"/>
      <c r="DR51" s="368"/>
      <c r="DS51" s="368"/>
      <c r="DT51" s="368"/>
      <c r="DU51" s="368"/>
      <c r="DV51" s="368"/>
      <c r="DW51" s="368"/>
      <c r="DX51" s="368"/>
      <c r="DY51" s="368"/>
      <c r="DZ51" s="368"/>
      <c r="EA51" s="368"/>
      <c r="EB51" s="368"/>
      <c r="EC51" s="368"/>
      <c r="ED51" s="368"/>
      <c r="EE51" s="368"/>
      <c r="EF51" s="368"/>
      <c r="EG51" s="368"/>
      <c r="EH51" s="368"/>
      <c r="EI51" s="368"/>
      <c r="EJ51" s="368"/>
      <c r="EK51" s="368"/>
      <c r="EL51" s="368"/>
      <c r="EM51" s="368"/>
      <c r="EN51" s="368"/>
      <c r="EO51" s="368"/>
      <c r="EP51" s="368"/>
      <c r="EQ51" s="368"/>
      <c r="ER51" s="368"/>
      <c r="ES51" s="368"/>
      <c r="ET51" s="368"/>
      <c r="EU51" s="368"/>
      <c r="EV51" s="368"/>
      <c r="EW51" s="368"/>
      <c r="EX51" s="368"/>
      <c r="EY51" s="368"/>
      <c r="EZ51" s="368"/>
      <c r="FA51" s="368"/>
      <c r="FB51" s="368"/>
      <c r="FC51" s="368"/>
      <c r="FD51" s="368"/>
      <c r="FE51" s="368"/>
      <c r="FF51" s="368"/>
      <c r="FG51" s="368"/>
      <c r="FH51" s="368"/>
      <c r="FI51" s="368"/>
      <c r="FJ51" s="368"/>
      <c r="FK51" s="368"/>
      <c r="FL51" s="368"/>
      <c r="FM51" s="368"/>
      <c r="FN51" s="368"/>
      <c r="FO51" s="368"/>
      <c r="FP51" s="368"/>
      <c r="FQ51" s="368"/>
      <c r="FR51" s="368"/>
      <c r="FS51" s="368"/>
      <c r="FT51" s="368"/>
      <c r="FU51" s="368"/>
      <c r="FV51" s="368"/>
      <c r="FW51" s="368"/>
      <c r="FX51" s="368"/>
      <c r="FY51" s="368"/>
      <c r="FZ51" s="368"/>
      <c r="GA51" s="368"/>
      <c r="GB51" s="368"/>
      <c r="GC51" s="368"/>
      <c r="GD51" s="368"/>
      <c r="GE51" s="368"/>
      <c r="GF51" s="368"/>
      <c r="GG51" s="368"/>
      <c r="GH51" s="368"/>
      <c r="GI51" s="368"/>
      <c r="GJ51" s="368"/>
      <c r="GK51" s="368"/>
      <c r="GL51" s="368"/>
      <c r="GM51" s="368"/>
      <c r="GN51" s="368"/>
      <c r="GO51" s="368"/>
      <c r="GP51" s="368"/>
      <c r="GQ51" s="368"/>
      <c r="GR51" s="368"/>
      <c r="GS51" s="368"/>
      <c r="GT51" s="368"/>
      <c r="GU51" s="368"/>
      <c r="GV51" s="368"/>
      <c r="GW51" s="368"/>
      <c r="GX51" s="368"/>
      <c r="GY51" s="368"/>
      <c r="GZ51" s="368"/>
      <c r="HA51" s="368"/>
      <c r="HB51" s="368"/>
      <c r="HC51" s="368"/>
      <c r="HD51" s="368"/>
      <c r="HE51" s="368"/>
      <c r="HF51" s="368"/>
      <c r="HG51" s="368"/>
      <c r="HH51" s="368"/>
      <c r="HI51" s="368"/>
      <c r="HJ51" s="368"/>
      <c r="HK51" s="368"/>
      <c r="HL51" s="368"/>
      <c r="HM51" s="368"/>
      <c r="HN51" s="368"/>
      <c r="HO51" s="368"/>
      <c r="HP51" s="368"/>
      <c r="HQ51" s="368"/>
      <c r="HR51" s="368"/>
      <c r="HS51" s="368"/>
      <c r="HT51" s="368"/>
      <c r="HU51" s="368"/>
      <c r="HV51" s="368"/>
      <c r="HW51" s="368"/>
      <c r="HX51" s="368"/>
      <c r="HY51" s="368"/>
      <c r="HZ51" s="368"/>
      <c r="IA51" s="368"/>
      <c r="IB51" s="368"/>
      <c r="IC51" s="368"/>
      <c r="ID51" s="368"/>
      <c r="IE51" s="368"/>
      <c r="IF51" s="368"/>
      <c r="IG51" s="368"/>
      <c r="IH51" s="368"/>
      <c r="II51" s="368"/>
      <c r="IJ51" s="368"/>
      <c r="IK51" s="368"/>
      <c r="IL51" s="368"/>
      <c r="IM51" s="368"/>
      <c r="IN51" s="368"/>
      <c r="IO51" s="368"/>
      <c r="IP51" s="368"/>
      <c r="IQ51" s="368"/>
      <c r="IR51" s="368"/>
      <c r="IS51" s="368"/>
      <c r="IT51" s="368"/>
      <c r="IU51" s="368"/>
      <c r="IV51" s="368"/>
      <c r="IW51" s="368"/>
      <c r="IX51" s="368"/>
      <c r="IY51" s="368"/>
      <c r="IZ51" s="368"/>
      <c r="JA51" s="368"/>
      <c r="JB51" s="368"/>
      <c r="JC51" s="368"/>
      <c r="JD51" s="368"/>
      <c r="JE51" s="368"/>
      <c r="JF51" s="368"/>
      <c r="JG51" s="368"/>
      <c r="JH51" s="368"/>
      <c r="JI51" s="368"/>
      <c r="JJ51" s="368"/>
      <c r="JK51" s="368"/>
      <c r="JL51" s="368"/>
      <c r="JM51" s="368"/>
      <c r="JN51" s="368"/>
      <c r="JO51" s="368"/>
      <c r="JP51" s="368"/>
      <c r="JQ51" s="368"/>
      <c r="JR51" s="368"/>
      <c r="JS51" s="368"/>
      <c r="JT51" s="368"/>
      <c r="JU51" s="368"/>
      <c r="JV51" s="368"/>
      <c r="JW51" s="368"/>
      <c r="JX51" s="368"/>
      <c r="JY51" s="368"/>
      <c r="JZ51" s="368"/>
      <c r="KA51" s="368"/>
      <c r="KB51" s="368"/>
      <c r="KC51" s="368"/>
      <c r="KD51" s="368"/>
      <c r="KE51" s="368"/>
      <c r="KF51" s="368"/>
      <c r="KG51" s="368"/>
      <c r="KH51" s="368"/>
      <c r="KI51" s="368"/>
      <c r="KJ51" s="368"/>
      <c r="KK51" s="368"/>
      <c r="KL51" s="368"/>
      <c r="KM51" s="368"/>
      <c r="KN51" s="368"/>
      <c r="KO51" s="368"/>
      <c r="KP51" s="368"/>
      <c r="KQ51" s="368"/>
      <c r="KR51" s="368"/>
      <c r="KS51" s="368"/>
      <c r="KT51" s="368"/>
      <c r="KU51" s="368"/>
      <c r="KV51" s="368"/>
      <c r="KW51" s="368"/>
      <c r="KX51" s="368"/>
      <c r="KY51" s="368"/>
      <c r="KZ51" s="368"/>
      <c r="LA51" s="368"/>
      <c r="LB51" s="368"/>
      <c r="LC51" s="368"/>
      <c r="LD51" s="368"/>
      <c r="LE51" s="368"/>
      <c r="LF51" s="368"/>
      <c r="LG51" s="368"/>
      <c r="LH51" s="368"/>
      <c r="LI51" s="368"/>
      <c r="LJ51" s="368"/>
      <c r="LK51" s="368"/>
      <c r="LL51" s="368"/>
      <c r="LM51" s="368"/>
      <c r="LN51" s="368"/>
      <c r="LO51" s="368"/>
      <c r="LP51" s="368"/>
      <c r="LQ51" s="368"/>
      <c r="LR51" s="368"/>
      <c r="LS51" s="368"/>
      <c r="LT51" s="368"/>
      <c r="LU51" s="368"/>
      <c r="LV51" s="368"/>
      <c r="LW51" s="368"/>
      <c r="LX51" s="368"/>
      <c r="LY51" s="368"/>
      <c r="LZ51" s="368"/>
      <c r="MA51" s="368"/>
      <c r="MB51" s="368"/>
      <c r="MC51" s="368"/>
      <c r="MD51" s="368"/>
      <c r="ME51" s="368"/>
      <c r="MF51" s="368"/>
      <c r="MG51" s="368"/>
      <c r="MH51" s="368"/>
      <c r="MI51" s="368"/>
      <c r="MJ51" s="368"/>
      <c r="MK51" s="368"/>
      <c r="ML51" s="368"/>
      <c r="MM51" s="368"/>
      <c r="MN51" s="368"/>
      <c r="MO51" s="368"/>
      <c r="MP51" s="368"/>
      <c r="MQ51" s="368"/>
      <c r="MR51" s="368"/>
      <c r="MS51" s="368"/>
      <c r="MT51" s="368"/>
      <c r="MU51" s="368"/>
      <c r="MV51" s="368"/>
      <c r="MW51" s="368"/>
      <c r="MX51" s="368"/>
      <c r="MY51" s="368"/>
      <c r="MZ51" s="368"/>
      <c r="NA51" s="368"/>
      <c r="NB51" s="368"/>
      <c r="NC51" s="368"/>
      <c r="ND51" s="368"/>
      <c r="NE51" s="368"/>
      <c r="NF51" s="368"/>
      <c r="NG51" s="368"/>
      <c r="NH51" s="368"/>
      <c r="NI51" s="368"/>
      <c r="NJ51" s="368"/>
      <c r="NK51" s="368"/>
      <c r="NL51" s="368"/>
      <c r="NM51" s="368"/>
      <c r="NN51" s="368"/>
      <c r="NO51" s="368"/>
      <c r="NP51" s="368"/>
      <c r="NQ51" s="368"/>
      <c r="NR51" s="368"/>
      <c r="NS51" s="368"/>
      <c r="NT51" s="368"/>
      <c r="NU51" s="368"/>
      <c r="NV51" s="368"/>
      <c r="NW51" s="368"/>
      <c r="NX51" s="368"/>
      <c r="NY51" s="368"/>
      <c r="NZ51" s="368"/>
      <c r="OA51" s="368"/>
      <c r="OB51" s="368"/>
      <c r="OC51" s="368"/>
      <c r="OD51" s="368"/>
      <c r="OE51" s="368"/>
      <c r="OF51" s="368"/>
      <c r="OG51" s="368"/>
      <c r="OH51" s="368"/>
      <c r="OI51" s="368"/>
      <c r="OJ51" s="368"/>
      <c r="OK51" s="368"/>
      <c r="OL51" s="368"/>
      <c r="OM51" s="368"/>
      <c r="ON51" s="368"/>
      <c r="OO51" s="368"/>
      <c r="OP51" s="368"/>
      <c r="OQ51" s="368"/>
      <c r="OR51" s="368"/>
      <c r="OS51" s="368"/>
      <c r="OT51" s="368"/>
      <c r="OU51" s="368"/>
      <c r="OV51" s="368"/>
      <c r="OW51" s="368"/>
      <c r="OX51" s="368"/>
      <c r="OY51" s="368"/>
      <c r="OZ51" s="368"/>
      <c r="PA51" s="368"/>
      <c r="PB51" s="368"/>
      <c r="PC51" s="368"/>
      <c r="PD51" s="368"/>
      <c r="PE51" s="368"/>
      <c r="PF51" s="368"/>
      <c r="PG51" s="368"/>
      <c r="PH51" s="368"/>
      <c r="PI51" s="368"/>
      <c r="PJ51" s="368"/>
      <c r="PK51" s="368"/>
      <c r="PL51" s="368"/>
      <c r="PM51" s="368"/>
      <c r="PN51" s="368"/>
      <c r="PO51" s="368"/>
      <c r="PP51" s="368"/>
      <c r="PQ51" s="368"/>
      <c r="PR51" s="368"/>
      <c r="PS51" s="368"/>
      <c r="PT51" s="368"/>
      <c r="PU51" s="368"/>
      <c r="PV51" s="368"/>
      <c r="PW51" s="368"/>
      <c r="PX51" s="368"/>
      <c r="PY51" s="368"/>
      <c r="PZ51" s="368"/>
      <c r="QA51" s="368"/>
      <c r="QB51" s="368"/>
      <c r="QC51" s="368"/>
      <c r="QD51" s="368"/>
      <c r="QE51" s="368"/>
      <c r="QF51" s="368"/>
      <c r="QG51" s="368"/>
      <c r="QH51" s="368"/>
      <c r="QI51" s="368"/>
      <c r="QJ51" s="368"/>
      <c r="QK51" s="368"/>
      <c r="QL51" s="368"/>
      <c r="QM51" s="368"/>
      <c r="QN51" s="368"/>
      <c r="QO51" s="368"/>
      <c r="QP51" s="368"/>
      <c r="QQ51" s="368"/>
      <c r="QR51" s="368"/>
      <c r="QS51" s="368"/>
      <c r="QT51" s="368"/>
      <c r="QU51" s="368"/>
      <c r="QV51" s="368"/>
      <c r="QW51" s="368"/>
      <c r="QX51" s="368"/>
      <c r="QY51" s="368"/>
      <c r="QZ51" s="368"/>
      <c r="RA51" s="368"/>
      <c r="RB51" s="368"/>
      <c r="RC51" s="368"/>
      <c r="RD51" s="368"/>
      <c r="RE51" s="368"/>
      <c r="RF51" s="368"/>
      <c r="RG51" s="368"/>
      <c r="RH51" s="368"/>
      <c r="RI51" s="368"/>
      <c r="RJ51" s="368"/>
      <c r="RK51" s="368"/>
      <c r="RL51" s="368"/>
      <c r="RM51" s="368"/>
      <c r="RN51" s="368"/>
      <c r="RO51" s="368"/>
      <c r="RP51" s="368"/>
      <c r="RQ51" s="368"/>
      <c r="RR51" s="368"/>
      <c r="RS51" s="368"/>
      <c r="RT51" s="368"/>
      <c r="RU51" s="368"/>
      <c r="RV51" s="368"/>
      <c r="RW51" s="368"/>
      <c r="RX51" s="368"/>
      <c r="RY51" s="368"/>
      <c r="RZ51" s="368"/>
      <c r="SA51" s="368"/>
      <c r="SB51" s="368"/>
      <c r="SC51" s="368"/>
      <c r="SD51" s="368"/>
      <c r="SE51" s="368"/>
      <c r="SF51" s="368"/>
      <c r="SG51" s="368"/>
      <c r="SH51" s="368"/>
      <c r="SI51" s="368"/>
      <c r="SJ51" s="368"/>
      <c r="SK51" s="368"/>
      <c r="SL51" s="368"/>
      <c r="SM51" s="368"/>
      <c r="SN51" s="368"/>
      <c r="SO51" s="368"/>
      <c r="SP51" s="368"/>
      <c r="SQ51" s="368"/>
      <c r="SR51" s="368"/>
      <c r="SS51" s="368"/>
      <c r="ST51" s="368"/>
      <c r="SU51" s="368"/>
      <c r="SV51" s="368"/>
      <c r="SW51" s="368"/>
      <c r="SX51" s="368"/>
      <c r="SY51" s="368"/>
      <c r="SZ51" s="368"/>
      <c r="TA51" s="368"/>
      <c r="TB51" s="368"/>
      <c r="TC51" s="368"/>
      <c r="TD51" s="368"/>
      <c r="TE51" s="368"/>
      <c r="TF51" s="368"/>
      <c r="TG51" s="368"/>
      <c r="TH51" s="368"/>
      <c r="TI51" s="368"/>
      <c r="TJ51" s="368"/>
      <c r="TK51" s="368"/>
      <c r="TL51" s="368"/>
      <c r="TM51" s="368"/>
      <c r="TN51" s="368"/>
      <c r="TO51" s="368"/>
      <c r="TP51" s="368"/>
      <c r="TQ51" s="368"/>
      <c r="TR51" s="368"/>
      <c r="TS51" s="368"/>
      <c r="TT51" s="368"/>
      <c r="TU51" s="368"/>
      <c r="TV51" s="368"/>
      <c r="TW51" s="368"/>
      <c r="TX51" s="368"/>
      <c r="TY51" s="368"/>
      <c r="TZ51" s="368"/>
      <c r="UA51" s="368"/>
      <c r="UB51" s="368"/>
      <c r="UC51" s="368"/>
      <c r="UD51" s="368"/>
      <c r="UE51" s="368"/>
      <c r="UF51" s="368"/>
      <c r="UG51" s="368"/>
      <c r="UH51" s="368"/>
      <c r="UI51" s="368"/>
      <c r="UJ51" s="368"/>
      <c r="UK51" s="368"/>
      <c r="UL51" s="368"/>
      <c r="UM51" s="368"/>
      <c r="UN51" s="368"/>
      <c r="UO51" s="368"/>
      <c r="UP51" s="368"/>
      <c r="UQ51" s="368"/>
      <c r="UR51" s="368"/>
      <c r="US51" s="368"/>
      <c r="UT51" s="368"/>
      <c r="UU51" s="368"/>
      <c r="UV51" s="368"/>
      <c r="UW51" s="368"/>
      <c r="UX51" s="368"/>
      <c r="UY51" s="368"/>
      <c r="UZ51" s="368"/>
      <c r="VA51" s="368"/>
      <c r="VB51" s="368"/>
      <c r="VC51" s="368"/>
      <c r="VD51" s="368"/>
      <c r="VE51" s="368"/>
      <c r="VF51" s="368"/>
      <c r="VG51" s="368"/>
      <c r="VH51" s="368"/>
      <c r="VI51" s="368"/>
      <c r="VJ51" s="368"/>
      <c r="VK51" s="368"/>
      <c r="VL51" s="368"/>
      <c r="VM51" s="368"/>
      <c r="VN51" s="368"/>
      <c r="VO51" s="368"/>
      <c r="VP51" s="368"/>
      <c r="VQ51" s="368"/>
      <c r="VR51" s="368"/>
      <c r="VS51" s="368"/>
      <c r="VT51" s="368"/>
      <c r="VU51" s="368"/>
      <c r="VV51" s="368"/>
      <c r="VW51" s="368"/>
      <c r="VX51" s="368"/>
      <c r="VY51" s="368"/>
      <c r="VZ51" s="368"/>
      <c r="WA51" s="368"/>
      <c r="WB51" s="368"/>
      <c r="WC51" s="368"/>
      <c r="WD51" s="368"/>
      <c r="WE51" s="368"/>
      <c r="WF51" s="368"/>
      <c r="WG51" s="368"/>
      <c r="WH51" s="368"/>
      <c r="WI51" s="368"/>
      <c r="WJ51" s="368"/>
      <c r="WK51" s="368"/>
      <c r="WL51" s="368"/>
      <c r="WM51" s="368"/>
      <c r="WN51" s="368"/>
      <c r="WO51" s="368"/>
      <c r="WP51" s="368"/>
      <c r="WQ51" s="368"/>
      <c r="WR51" s="368"/>
      <c r="WS51" s="368"/>
      <c r="WT51" s="368"/>
      <c r="WU51" s="368"/>
      <c r="WV51" s="368"/>
      <c r="WW51" s="368"/>
      <c r="WX51" s="368"/>
      <c r="WY51" s="368"/>
      <c r="WZ51" s="368"/>
      <c r="XA51" s="368"/>
      <c r="XB51" s="368"/>
      <c r="XC51" s="368"/>
      <c r="XD51" s="368"/>
      <c r="XE51" s="368"/>
      <c r="XF51" s="368"/>
      <c r="XG51" s="368"/>
      <c r="XH51" s="368"/>
      <c r="XI51" s="368"/>
      <c r="XJ51" s="368"/>
      <c r="XK51" s="368"/>
      <c r="XL51" s="368"/>
      <c r="XM51" s="368"/>
      <c r="XN51" s="368"/>
      <c r="XO51" s="368"/>
      <c r="XP51" s="368"/>
      <c r="XQ51" s="368"/>
      <c r="XR51" s="368"/>
      <c r="XS51" s="368"/>
      <c r="XT51" s="368"/>
      <c r="XU51" s="368"/>
      <c r="XV51" s="368"/>
      <c r="XW51" s="368"/>
      <c r="XX51" s="368"/>
      <c r="XY51" s="368"/>
      <c r="XZ51" s="368"/>
      <c r="YA51" s="368"/>
      <c r="YB51" s="368"/>
      <c r="YC51" s="368"/>
      <c r="YD51" s="368"/>
      <c r="YE51" s="368"/>
      <c r="YF51" s="368"/>
      <c r="YG51" s="368"/>
      <c r="YH51" s="368"/>
      <c r="YI51" s="368"/>
      <c r="YJ51" s="368"/>
      <c r="YK51" s="368"/>
      <c r="YL51" s="368"/>
      <c r="YM51" s="368"/>
      <c r="YN51" s="368"/>
      <c r="YO51" s="368"/>
      <c r="YP51" s="368"/>
      <c r="YQ51" s="368"/>
      <c r="YR51" s="368"/>
      <c r="YS51" s="368"/>
      <c r="YT51" s="368"/>
      <c r="YU51" s="368"/>
      <c r="YV51" s="368"/>
      <c r="YW51" s="368"/>
      <c r="YX51" s="368"/>
      <c r="YY51" s="368"/>
      <c r="YZ51" s="368"/>
      <c r="ZA51" s="368"/>
      <c r="ZB51" s="368"/>
      <c r="ZC51" s="368"/>
      <c r="ZD51" s="368"/>
      <c r="ZE51" s="368"/>
      <c r="ZF51" s="368"/>
      <c r="ZG51" s="368"/>
      <c r="ZH51" s="368"/>
      <c r="ZI51" s="368"/>
      <c r="ZJ51" s="368"/>
      <c r="ZK51" s="368"/>
      <c r="ZL51" s="368"/>
      <c r="ZM51" s="368"/>
      <c r="ZN51" s="368"/>
      <c r="ZO51" s="368"/>
      <c r="ZP51" s="368"/>
      <c r="ZQ51" s="368"/>
      <c r="ZR51" s="368"/>
      <c r="ZS51" s="368"/>
      <c r="ZT51" s="368"/>
      <c r="ZU51" s="368"/>
      <c r="ZV51" s="368"/>
      <c r="ZW51" s="368"/>
      <c r="ZX51" s="368"/>
      <c r="ZY51" s="368"/>
      <c r="ZZ51" s="368"/>
      <c r="AAA51" s="368"/>
      <c r="AAB51" s="368"/>
      <c r="AAC51" s="368"/>
      <c r="AAD51" s="368"/>
      <c r="AAE51" s="368"/>
      <c r="AAF51" s="368"/>
      <c r="AAG51" s="368"/>
      <c r="AAH51" s="368"/>
      <c r="AAI51" s="368"/>
      <c r="AAJ51" s="368"/>
      <c r="AAK51" s="368"/>
      <c r="AAL51" s="368"/>
      <c r="AAM51" s="368"/>
      <c r="AAN51" s="368"/>
      <c r="AAO51" s="368"/>
      <c r="AAP51" s="368"/>
      <c r="AAQ51" s="368"/>
      <c r="AAR51" s="368"/>
      <c r="AAS51" s="368"/>
      <c r="AAT51" s="368"/>
      <c r="AAU51" s="368"/>
      <c r="AAV51" s="368"/>
      <c r="AAW51" s="368"/>
      <c r="AAX51" s="368"/>
      <c r="AAY51" s="368"/>
      <c r="AAZ51" s="368"/>
      <c r="ABA51" s="368"/>
      <c r="ABB51" s="368"/>
      <c r="ABC51" s="368"/>
      <c r="ABD51" s="368"/>
      <c r="ABE51" s="368"/>
      <c r="ABF51" s="368"/>
      <c r="ABG51" s="368"/>
      <c r="ABH51" s="368"/>
      <c r="ABI51" s="368"/>
      <c r="ABJ51" s="368"/>
      <c r="ABK51" s="368"/>
      <c r="ABL51" s="368"/>
      <c r="ABM51" s="368"/>
      <c r="ABN51" s="368"/>
      <c r="ABO51" s="368"/>
      <c r="ABP51" s="368"/>
      <c r="ABQ51" s="368"/>
      <c r="ABR51" s="368"/>
      <c r="ABS51" s="368"/>
      <c r="ABT51" s="368"/>
      <c r="ABU51" s="368"/>
      <c r="ABV51" s="368"/>
      <c r="ABW51" s="368"/>
      <c r="ABX51" s="368"/>
      <c r="ABY51" s="368"/>
      <c r="ABZ51" s="368"/>
      <c r="ACA51" s="368"/>
      <c r="ACB51" s="368"/>
      <c r="ACC51" s="368"/>
      <c r="ACD51" s="368"/>
      <c r="ACE51" s="368"/>
      <c r="ACF51" s="368"/>
      <c r="ACG51" s="368"/>
      <c r="ACH51" s="368"/>
      <c r="ACI51" s="368"/>
      <c r="ACJ51" s="368"/>
      <c r="ACK51" s="368"/>
      <c r="ACL51" s="368"/>
      <c r="ACM51" s="368"/>
      <c r="ACN51" s="368"/>
      <c r="ACO51" s="368"/>
      <c r="ACP51" s="368"/>
      <c r="ACQ51" s="368"/>
      <c r="ACR51" s="368"/>
      <c r="ACS51" s="368"/>
      <c r="ACT51" s="368"/>
      <c r="ACU51" s="368"/>
      <c r="ACV51" s="368"/>
      <c r="ACW51" s="368"/>
      <c r="ACX51" s="368"/>
      <c r="ACY51" s="368"/>
      <c r="ACZ51" s="368"/>
      <c r="ADA51" s="368"/>
      <c r="ADB51" s="368"/>
      <c r="ADC51" s="368"/>
      <c r="ADD51" s="368"/>
      <c r="ADE51" s="368"/>
      <c r="ADF51" s="368"/>
      <c r="ADG51" s="368"/>
      <c r="ADH51" s="368"/>
      <c r="ADI51" s="368"/>
      <c r="ADJ51" s="368"/>
      <c r="ADK51" s="368"/>
      <c r="ADL51" s="368"/>
      <c r="ADM51" s="368"/>
      <c r="ADN51" s="368"/>
      <c r="ADO51" s="368"/>
      <c r="ADP51" s="368"/>
      <c r="ADQ51" s="368"/>
      <c r="ADR51" s="368"/>
      <c r="ADS51" s="368"/>
      <c r="ADT51" s="368"/>
      <c r="ADU51" s="368"/>
      <c r="ADV51" s="368"/>
      <c r="ADW51" s="368"/>
      <c r="ADX51" s="368"/>
      <c r="ADY51" s="368"/>
      <c r="ADZ51" s="368"/>
      <c r="AEA51" s="368"/>
      <c r="AEB51" s="368"/>
      <c r="AEC51" s="368"/>
      <c r="AED51" s="368"/>
      <c r="AEE51" s="368"/>
      <c r="AEF51" s="368"/>
      <c r="AEG51" s="368"/>
      <c r="AEH51" s="368"/>
      <c r="AEI51" s="368"/>
      <c r="AEJ51" s="368"/>
      <c r="AEK51" s="368"/>
      <c r="AEL51" s="368"/>
      <c r="AEM51" s="368"/>
      <c r="AEN51" s="368"/>
      <c r="AEO51" s="368"/>
      <c r="AEP51" s="368"/>
      <c r="AEQ51" s="368"/>
      <c r="AER51" s="368"/>
      <c r="AES51" s="368"/>
      <c r="AET51" s="368"/>
      <c r="AEU51" s="368"/>
      <c r="AEV51" s="368"/>
      <c r="AEW51" s="368"/>
      <c r="AEX51" s="368"/>
      <c r="AEY51" s="368"/>
      <c r="AEZ51" s="368"/>
      <c r="AFA51" s="368"/>
      <c r="AFB51" s="368"/>
      <c r="AFC51" s="368"/>
      <c r="AFD51" s="368"/>
      <c r="AFE51" s="368"/>
      <c r="AFF51" s="368"/>
      <c r="AFG51" s="368"/>
      <c r="AFH51" s="368"/>
      <c r="AFI51" s="368"/>
      <c r="AFJ51" s="368"/>
      <c r="AFK51" s="368"/>
      <c r="AFL51" s="368"/>
      <c r="AFM51" s="368"/>
      <c r="AFN51" s="368"/>
      <c r="AFO51" s="368"/>
      <c r="AFP51" s="368"/>
      <c r="AFQ51" s="368"/>
      <c r="AFR51" s="368"/>
      <c r="AFS51" s="368"/>
      <c r="AFT51" s="368"/>
      <c r="AFU51" s="368"/>
      <c r="AFV51" s="368"/>
      <c r="AFW51" s="368"/>
      <c r="AFX51" s="368"/>
      <c r="AFY51" s="368"/>
      <c r="AFZ51" s="368"/>
      <c r="AGA51" s="368"/>
      <c r="AGB51" s="368"/>
      <c r="AGC51" s="368"/>
      <c r="AGD51" s="368"/>
      <c r="AGE51" s="368"/>
      <c r="AGF51" s="368"/>
      <c r="AGG51" s="368"/>
      <c r="AGH51" s="368"/>
      <c r="AGI51" s="368"/>
      <c r="AGJ51" s="368"/>
      <c r="AGK51" s="368"/>
      <c r="AGL51" s="368"/>
      <c r="AGM51" s="368"/>
      <c r="AGN51" s="368"/>
      <c r="AGO51" s="368"/>
      <c r="AGP51" s="368"/>
      <c r="AGQ51" s="368"/>
      <c r="AGR51" s="368"/>
      <c r="AGS51" s="368"/>
      <c r="AGT51" s="368"/>
      <c r="AGU51" s="368"/>
      <c r="AGV51" s="368"/>
      <c r="AGW51" s="368"/>
      <c r="AGX51" s="368"/>
      <c r="AGY51" s="368"/>
      <c r="AGZ51" s="368"/>
      <c r="AHA51" s="368"/>
      <c r="AHB51" s="368"/>
      <c r="AHC51" s="368"/>
      <c r="AHD51" s="368"/>
      <c r="AHE51" s="368"/>
      <c r="AHF51" s="368"/>
      <c r="AHG51" s="368"/>
      <c r="AHH51" s="368"/>
      <c r="AHI51" s="368"/>
      <c r="AHJ51" s="368"/>
      <c r="AHK51" s="368"/>
      <c r="AHL51" s="368"/>
      <c r="AHM51" s="368"/>
      <c r="AHN51" s="368"/>
      <c r="AHO51" s="368"/>
      <c r="AHP51" s="368"/>
      <c r="AHQ51" s="368"/>
      <c r="AHR51" s="368"/>
      <c r="AHS51" s="368"/>
      <c r="AHT51" s="368"/>
      <c r="AHU51" s="368"/>
      <c r="AHV51" s="368"/>
      <c r="AHW51" s="368"/>
      <c r="AHX51" s="368"/>
      <c r="AHY51" s="368"/>
      <c r="AHZ51" s="368"/>
      <c r="AIA51" s="368"/>
      <c r="AIB51" s="368"/>
      <c r="AIC51" s="368"/>
      <c r="AID51" s="368"/>
      <c r="AIE51" s="368"/>
      <c r="AIF51" s="368"/>
      <c r="AIG51" s="368"/>
      <c r="AIH51" s="368"/>
      <c r="AII51" s="368"/>
      <c r="AIJ51" s="368"/>
      <c r="AIK51" s="368"/>
      <c r="AIL51" s="368"/>
      <c r="AIM51" s="368"/>
      <c r="AIN51" s="368"/>
      <c r="AIO51" s="368"/>
      <c r="AIP51" s="368"/>
      <c r="AIQ51" s="368"/>
      <c r="AIR51" s="368"/>
      <c r="AIS51" s="368"/>
      <c r="AIT51" s="368"/>
      <c r="AIU51" s="368"/>
      <c r="AIV51" s="368"/>
      <c r="AIW51" s="368"/>
      <c r="AIX51" s="368"/>
      <c r="AIY51" s="368"/>
      <c r="AIZ51" s="368"/>
      <c r="AJA51" s="368"/>
      <c r="AJB51" s="368"/>
      <c r="AJC51" s="368"/>
      <c r="AJD51" s="368"/>
      <c r="AJE51" s="368"/>
      <c r="AJF51" s="368"/>
      <c r="AJG51" s="368"/>
      <c r="AJH51" s="368"/>
      <c r="AJI51" s="368"/>
      <c r="AJJ51" s="368"/>
      <c r="AJK51" s="368"/>
      <c r="AJL51" s="368"/>
      <c r="AJM51" s="368"/>
      <c r="AJN51" s="368"/>
      <c r="AJO51" s="368"/>
      <c r="AJP51" s="368"/>
      <c r="AJQ51" s="368"/>
      <c r="AJR51" s="368"/>
      <c r="AJS51" s="368"/>
      <c r="AJT51" s="368"/>
      <c r="AJU51" s="368"/>
      <c r="AJV51" s="368"/>
      <c r="AJW51" s="368"/>
      <c r="AJX51" s="368"/>
      <c r="AJY51" s="368"/>
      <c r="AJZ51" s="368"/>
      <c r="AKA51" s="368"/>
      <c r="AKB51" s="368"/>
      <c r="AKC51" s="368"/>
      <c r="AKD51" s="368"/>
      <c r="AKE51" s="368"/>
      <c r="AKF51" s="368"/>
      <c r="AKG51" s="368"/>
      <c r="AKH51" s="368"/>
      <c r="AKI51" s="368"/>
      <c r="AKJ51" s="368"/>
      <c r="AKK51" s="368"/>
      <c r="AKL51" s="368"/>
      <c r="AKM51" s="368"/>
      <c r="AKN51" s="368"/>
    </row>
    <row r="52" spans="1:976" s="346" customFormat="1" ht="22.5" customHeight="1" x14ac:dyDescent="0.2">
      <c r="A52" s="370" t="s">
        <v>262</v>
      </c>
      <c r="B52" s="370"/>
      <c r="C52" s="370" t="s">
        <v>221</v>
      </c>
      <c r="D52" s="370" t="s">
        <v>222</v>
      </c>
      <c r="E52" s="371">
        <v>408168</v>
      </c>
      <c r="F52" s="371">
        <v>865</v>
      </c>
      <c r="G52" s="371">
        <v>124</v>
      </c>
      <c r="H52" s="371">
        <v>0</v>
      </c>
      <c r="I52" s="372">
        <v>45786</v>
      </c>
      <c r="J52" s="370" t="s">
        <v>395</v>
      </c>
      <c r="K52" s="370" t="s">
        <v>430</v>
      </c>
      <c r="L52" s="373">
        <v>142.01</v>
      </c>
      <c r="M52" s="373">
        <v>7.81</v>
      </c>
      <c r="N52" s="444">
        <v>149.82</v>
      </c>
      <c r="O52" s="370"/>
      <c r="P52" s="374">
        <v>45796</v>
      </c>
      <c r="Q52" s="373">
        <v>149.82</v>
      </c>
      <c r="R52" s="370" t="s">
        <v>431</v>
      </c>
      <c r="S52" s="373">
        <v>0</v>
      </c>
      <c r="T52" s="373">
        <v>0</v>
      </c>
      <c r="U52" s="373">
        <v>0</v>
      </c>
      <c r="V52" s="373">
        <v>0</v>
      </c>
      <c r="W52" s="370"/>
      <c r="X52" s="370" t="s">
        <v>293</v>
      </c>
      <c r="Y52" s="370" t="s">
        <v>294</v>
      </c>
      <c r="Z52" s="370" t="s">
        <v>42</v>
      </c>
      <c r="AA52" s="370" t="s">
        <v>228</v>
      </c>
      <c r="AB52" s="370" t="s">
        <v>235</v>
      </c>
      <c r="AC52" s="370" t="s">
        <v>331</v>
      </c>
      <c r="AD52" s="370" t="s">
        <v>231</v>
      </c>
      <c r="AE52" s="370" t="s">
        <v>232</v>
      </c>
      <c r="AF52" s="370" t="s">
        <v>231</v>
      </c>
      <c r="AG52" s="370" t="s">
        <v>232</v>
      </c>
      <c r="AH52" s="370"/>
      <c r="AI52" s="370"/>
      <c r="AJ52" s="370"/>
      <c r="AK52" s="370" t="s">
        <v>432</v>
      </c>
      <c r="AL52" s="371">
        <v>1</v>
      </c>
      <c r="AM52" s="371">
        <v>0</v>
      </c>
      <c r="AN52" s="372">
        <v>45796</v>
      </c>
      <c r="AO52" s="372">
        <v>45796</v>
      </c>
      <c r="AP52" s="373">
        <v>149.82</v>
      </c>
      <c r="AQ52" s="372">
        <v>45795</v>
      </c>
      <c r="AR52" s="368"/>
      <c r="AS52" s="368"/>
      <c r="AT52" s="368"/>
      <c r="AU52" s="368"/>
      <c r="AV52" s="368"/>
      <c r="AW52" s="368"/>
      <c r="AX52" s="368"/>
      <c r="AY52" s="368"/>
      <c r="AZ52" s="368"/>
      <c r="BA52" s="368"/>
      <c r="BB52" s="368"/>
      <c r="BC52" s="368"/>
      <c r="BD52" s="368"/>
      <c r="BE52" s="368"/>
      <c r="BF52" s="368"/>
      <c r="BG52" s="368"/>
      <c r="BH52" s="368"/>
      <c r="BI52" s="368"/>
      <c r="BJ52" s="368"/>
      <c r="BK52" s="368"/>
      <c r="BL52" s="368"/>
      <c r="BM52" s="368"/>
      <c r="BN52" s="368"/>
      <c r="BO52" s="368"/>
      <c r="BP52" s="368"/>
      <c r="BQ52" s="368"/>
      <c r="BR52" s="368"/>
      <c r="BS52" s="368"/>
      <c r="BT52" s="368"/>
      <c r="BU52" s="368"/>
      <c r="BV52" s="368"/>
      <c r="BW52" s="368"/>
      <c r="BX52" s="368"/>
      <c r="BY52" s="368"/>
      <c r="BZ52" s="368"/>
      <c r="CA52" s="368"/>
      <c r="CB52" s="368"/>
      <c r="CC52" s="368"/>
      <c r="CD52" s="368"/>
      <c r="CE52" s="368"/>
      <c r="CF52" s="368"/>
      <c r="CG52" s="368"/>
      <c r="CH52" s="368"/>
      <c r="CI52" s="368"/>
      <c r="CJ52" s="368"/>
      <c r="CK52" s="368"/>
      <c r="CL52" s="368"/>
      <c r="CM52" s="368"/>
      <c r="CN52" s="368"/>
      <c r="CO52" s="368"/>
      <c r="CP52" s="368"/>
      <c r="CQ52" s="368"/>
      <c r="CR52" s="368"/>
      <c r="CS52" s="368"/>
      <c r="CT52" s="368"/>
      <c r="CU52" s="368"/>
      <c r="CV52" s="368"/>
      <c r="CW52" s="368"/>
      <c r="CX52" s="368"/>
      <c r="CY52" s="368"/>
      <c r="CZ52" s="368"/>
      <c r="DA52" s="368"/>
      <c r="DB52" s="368"/>
      <c r="DC52" s="368"/>
      <c r="DD52" s="368"/>
      <c r="DE52" s="368"/>
      <c r="DF52" s="368"/>
      <c r="DG52" s="368"/>
      <c r="DH52" s="368"/>
      <c r="DI52" s="368"/>
      <c r="DJ52" s="368"/>
      <c r="DK52" s="368"/>
      <c r="DL52" s="368"/>
      <c r="DM52" s="368"/>
      <c r="DN52" s="368"/>
      <c r="DO52" s="368"/>
      <c r="DP52" s="368"/>
      <c r="DQ52" s="368"/>
      <c r="DR52" s="368"/>
      <c r="DS52" s="368"/>
      <c r="DT52" s="368"/>
      <c r="DU52" s="368"/>
      <c r="DV52" s="368"/>
      <c r="DW52" s="368"/>
      <c r="DX52" s="368"/>
      <c r="DY52" s="368"/>
      <c r="DZ52" s="368"/>
      <c r="EA52" s="368"/>
      <c r="EB52" s="368"/>
      <c r="EC52" s="368"/>
      <c r="ED52" s="368"/>
      <c r="EE52" s="368"/>
      <c r="EF52" s="368"/>
      <c r="EG52" s="368"/>
      <c r="EH52" s="368"/>
      <c r="EI52" s="368"/>
      <c r="EJ52" s="368"/>
      <c r="EK52" s="368"/>
      <c r="EL52" s="368"/>
      <c r="EM52" s="368"/>
      <c r="EN52" s="368"/>
      <c r="EO52" s="368"/>
      <c r="EP52" s="368"/>
      <c r="EQ52" s="368"/>
      <c r="ER52" s="368"/>
      <c r="ES52" s="368"/>
      <c r="ET52" s="368"/>
      <c r="EU52" s="368"/>
      <c r="EV52" s="368"/>
      <c r="EW52" s="368"/>
      <c r="EX52" s="368"/>
      <c r="EY52" s="368"/>
      <c r="EZ52" s="368"/>
      <c r="FA52" s="368"/>
      <c r="FB52" s="368"/>
      <c r="FC52" s="368"/>
      <c r="FD52" s="368"/>
      <c r="FE52" s="368"/>
      <c r="FF52" s="368"/>
      <c r="FG52" s="368"/>
      <c r="FH52" s="368"/>
      <c r="FI52" s="368"/>
      <c r="FJ52" s="368"/>
      <c r="FK52" s="368"/>
      <c r="FL52" s="368"/>
      <c r="FM52" s="368"/>
      <c r="FN52" s="368"/>
      <c r="FO52" s="368"/>
      <c r="FP52" s="368"/>
      <c r="FQ52" s="368"/>
      <c r="FR52" s="368"/>
      <c r="FS52" s="368"/>
      <c r="FT52" s="368"/>
      <c r="FU52" s="368"/>
      <c r="FV52" s="368"/>
      <c r="FW52" s="368"/>
      <c r="FX52" s="368"/>
      <c r="FY52" s="368"/>
      <c r="FZ52" s="368"/>
      <c r="GA52" s="368"/>
      <c r="GB52" s="368"/>
      <c r="GC52" s="368"/>
      <c r="GD52" s="368"/>
      <c r="GE52" s="368"/>
      <c r="GF52" s="368"/>
      <c r="GG52" s="368"/>
      <c r="GH52" s="368"/>
      <c r="GI52" s="368"/>
      <c r="GJ52" s="368"/>
      <c r="GK52" s="368"/>
      <c r="GL52" s="368"/>
      <c r="GM52" s="368"/>
      <c r="GN52" s="368"/>
      <c r="GO52" s="368"/>
      <c r="GP52" s="368"/>
      <c r="GQ52" s="368"/>
      <c r="GR52" s="368"/>
      <c r="GS52" s="368"/>
      <c r="GT52" s="368"/>
      <c r="GU52" s="368"/>
      <c r="GV52" s="368"/>
      <c r="GW52" s="368"/>
      <c r="GX52" s="368"/>
      <c r="GY52" s="368"/>
      <c r="GZ52" s="368"/>
      <c r="HA52" s="368"/>
      <c r="HB52" s="368"/>
      <c r="HC52" s="368"/>
      <c r="HD52" s="368"/>
      <c r="HE52" s="368"/>
      <c r="HF52" s="368"/>
      <c r="HG52" s="368"/>
      <c r="HH52" s="368"/>
      <c r="HI52" s="368"/>
      <c r="HJ52" s="368"/>
      <c r="HK52" s="368"/>
      <c r="HL52" s="368"/>
      <c r="HM52" s="368"/>
      <c r="HN52" s="368"/>
      <c r="HO52" s="368"/>
      <c r="HP52" s="368"/>
      <c r="HQ52" s="368"/>
      <c r="HR52" s="368"/>
      <c r="HS52" s="368"/>
      <c r="HT52" s="368"/>
      <c r="HU52" s="368"/>
      <c r="HV52" s="368"/>
      <c r="HW52" s="368"/>
      <c r="HX52" s="368"/>
      <c r="HY52" s="368"/>
      <c r="HZ52" s="368"/>
      <c r="IA52" s="368"/>
      <c r="IB52" s="368"/>
      <c r="IC52" s="368"/>
      <c r="ID52" s="368"/>
      <c r="IE52" s="368"/>
      <c r="IF52" s="368"/>
      <c r="IG52" s="368"/>
      <c r="IH52" s="368"/>
      <c r="II52" s="368"/>
      <c r="IJ52" s="368"/>
      <c r="IK52" s="368"/>
      <c r="IL52" s="368"/>
      <c r="IM52" s="368"/>
      <c r="IN52" s="368"/>
      <c r="IO52" s="368"/>
      <c r="IP52" s="368"/>
      <c r="IQ52" s="368"/>
      <c r="IR52" s="368"/>
      <c r="IS52" s="368"/>
      <c r="IT52" s="368"/>
      <c r="IU52" s="368"/>
      <c r="IV52" s="368"/>
      <c r="IW52" s="368"/>
      <c r="IX52" s="368"/>
      <c r="IY52" s="368"/>
      <c r="IZ52" s="368"/>
      <c r="JA52" s="368"/>
      <c r="JB52" s="368"/>
      <c r="JC52" s="368"/>
      <c r="JD52" s="368"/>
      <c r="JE52" s="368"/>
      <c r="JF52" s="368"/>
      <c r="JG52" s="368"/>
      <c r="JH52" s="368"/>
      <c r="JI52" s="368"/>
      <c r="JJ52" s="368"/>
      <c r="JK52" s="368"/>
      <c r="JL52" s="368"/>
      <c r="JM52" s="368"/>
      <c r="JN52" s="368"/>
      <c r="JO52" s="368"/>
      <c r="JP52" s="368"/>
      <c r="JQ52" s="368"/>
      <c r="JR52" s="368"/>
      <c r="JS52" s="368"/>
      <c r="JT52" s="368"/>
      <c r="JU52" s="368"/>
      <c r="JV52" s="368"/>
      <c r="JW52" s="368"/>
      <c r="JX52" s="368"/>
      <c r="JY52" s="368"/>
      <c r="JZ52" s="368"/>
      <c r="KA52" s="368"/>
      <c r="KB52" s="368"/>
      <c r="KC52" s="368"/>
      <c r="KD52" s="368"/>
      <c r="KE52" s="368"/>
      <c r="KF52" s="368"/>
      <c r="KG52" s="368"/>
      <c r="KH52" s="368"/>
      <c r="KI52" s="368"/>
      <c r="KJ52" s="368"/>
      <c r="KK52" s="368"/>
      <c r="KL52" s="368"/>
      <c r="KM52" s="368"/>
      <c r="KN52" s="368"/>
      <c r="KO52" s="368"/>
      <c r="KP52" s="368"/>
      <c r="KQ52" s="368"/>
      <c r="KR52" s="368"/>
      <c r="KS52" s="368"/>
      <c r="KT52" s="368"/>
      <c r="KU52" s="368"/>
      <c r="KV52" s="368"/>
      <c r="KW52" s="368"/>
      <c r="KX52" s="368"/>
      <c r="KY52" s="368"/>
      <c r="KZ52" s="368"/>
      <c r="LA52" s="368"/>
      <c r="LB52" s="368"/>
      <c r="LC52" s="368"/>
      <c r="LD52" s="368"/>
      <c r="LE52" s="368"/>
      <c r="LF52" s="368"/>
      <c r="LG52" s="368"/>
      <c r="LH52" s="368"/>
      <c r="LI52" s="368"/>
      <c r="LJ52" s="368"/>
      <c r="LK52" s="368"/>
      <c r="LL52" s="368"/>
      <c r="LM52" s="368"/>
      <c r="LN52" s="368"/>
      <c r="LO52" s="368"/>
      <c r="LP52" s="368"/>
      <c r="LQ52" s="368"/>
      <c r="LR52" s="368"/>
      <c r="LS52" s="368"/>
      <c r="LT52" s="368"/>
      <c r="LU52" s="368"/>
      <c r="LV52" s="368"/>
      <c r="LW52" s="368"/>
      <c r="LX52" s="368"/>
      <c r="LY52" s="368"/>
      <c r="LZ52" s="368"/>
      <c r="MA52" s="368"/>
      <c r="MB52" s="368"/>
      <c r="MC52" s="368"/>
      <c r="MD52" s="368"/>
      <c r="ME52" s="368"/>
      <c r="MF52" s="368"/>
      <c r="MG52" s="368"/>
      <c r="MH52" s="368"/>
      <c r="MI52" s="368"/>
      <c r="MJ52" s="368"/>
      <c r="MK52" s="368"/>
      <c r="ML52" s="368"/>
      <c r="MM52" s="368"/>
      <c r="MN52" s="368"/>
      <c r="MO52" s="368"/>
      <c r="MP52" s="368"/>
      <c r="MQ52" s="368"/>
      <c r="MR52" s="368"/>
      <c r="MS52" s="368"/>
      <c r="MT52" s="368"/>
      <c r="MU52" s="368"/>
      <c r="MV52" s="368"/>
      <c r="MW52" s="368"/>
      <c r="MX52" s="368"/>
      <c r="MY52" s="368"/>
      <c r="MZ52" s="368"/>
      <c r="NA52" s="368"/>
      <c r="NB52" s="368"/>
      <c r="NC52" s="368"/>
      <c r="ND52" s="368"/>
      <c r="NE52" s="368"/>
      <c r="NF52" s="368"/>
      <c r="NG52" s="368"/>
      <c r="NH52" s="368"/>
      <c r="NI52" s="368"/>
      <c r="NJ52" s="368"/>
      <c r="NK52" s="368"/>
      <c r="NL52" s="368"/>
      <c r="NM52" s="368"/>
      <c r="NN52" s="368"/>
      <c r="NO52" s="368"/>
      <c r="NP52" s="368"/>
      <c r="NQ52" s="368"/>
      <c r="NR52" s="368"/>
      <c r="NS52" s="368"/>
      <c r="NT52" s="368"/>
      <c r="NU52" s="368"/>
      <c r="NV52" s="368"/>
      <c r="NW52" s="368"/>
      <c r="NX52" s="368"/>
      <c r="NY52" s="368"/>
      <c r="NZ52" s="368"/>
      <c r="OA52" s="368"/>
      <c r="OB52" s="368"/>
      <c r="OC52" s="368"/>
      <c r="OD52" s="368"/>
      <c r="OE52" s="368"/>
      <c r="OF52" s="368"/>
      <c r="OG52" s="368"/>
      <c r="OH52" s="368"/>
      <c r="OI52" s="368"/>
      <c r="OJ52" s="368"/>
      <c r="OK52" s="368"/>
      <c r="OL52" s="368"/>
      <c r="OM52" s="368"/>
      <c r="ON52" s="368"/>
      <c r="OO52" s="368"/>
      <c r="OP52" s="368"/>
      <c r="OQ52" s="368"/>
      <c r="OR52" s="368"/>
      <c r="OS52" s="368"/>
      <c r="OT52" s="368"/>
      <c r="OU52" s="368"/>
      <c r="OV52" s="368"/>
      <c r="OW52" s="368"/>
      <c r="OX52" s="368"/>
      <c r="OY52" s="368"/>
      <c r="OZ52" s="368"/>
      <c r="PA52" s="368"/>
      <c r="PB52" s="368"/>
      <c r="PC52" s="368"/>
      <c r="PD52" s="368"/>
      <c r="PE52" s="368"/>
      <c r="PF52" s="368"/>
      <c r="PG52" s="368"/>
      <c r="PH52" s="368"/>
      <c r="PI52" s="368"/>
      <c r="PJ52" s="368"/>
      <c r="PK52" s="368"/>
      <c r="PL52" s="368"/>
      <c r="PM52" s="368"/>
      <c r="PN52" s="368"/>
      <c r="PO52" s="368"/>
      <c r="PP52" s="368"/>
      <c r="PQ52" s="368"/>
      <c r="PR52" s="368"/>
      <c r="PS52" s="368"/>
      <c r="PT52" s="368"/>
      <c r="PU52" s="368"/>
      <c r="PV52" s="368"/>
      <c r="PW52" s="368"/>
      <c r="PX52" s="368"/>
      <c r="PY52" s="368"/>
      <c r="PZ52" s="368"/>
      <c r="QA52" s="368"/>
      <c r="QB52" s="368"/>
      <c r="QC52" s="368"/>
      <c r="QD52" s="368"/>
      <c r="QE52" s="368"/>
      <c r="QF52" s="368"/>
      <c r="QG52" s="368"/>
      <c r="QH52" s="368"/>
      <c r="QI52" s="368"/>
      <c r="QJ52" s="368"/>
      <c r="QK52" s="368"/>
      <c r="QL52" s="368"/>
      <c r="QM52" s="368"/>
      <c r="QN52" s="368"/>
      <c r="QO52" s="368"/>
      <c r="QP52" s="368"/>
      <c r="QQ52" s="368"/>
      <c r="QR52" s="368"/>
      <c r="QS52" s="368"/>
      <c r="QT52" s="368"/>
      <c r="QU52" s="368"/>
      <c r="QV52" s="368"/>
      <c r="QW52" s="368"/>
      <c r="QX52" s="368"/>
      <c r="QY52" s="368"/>
      <c r="QZ52" s="368"/>
      <c r="RA52" s="368"/>
      <c r="RB52" s="368"/>
      <c r="RC52" s="368"/>
      <c r="RD52" s="368"/>
      <c r="RE52" s="368"/>
      <c r="RF52" s="368"/>
      <c r="RG52" s="368"/>
      <c r="RH52" s="368"/>
      <c r="RI52" s="368"/>
      <c r="RJ52" s="368"/>
      <c r="RK52" s="368"/>
      <c r="RL52" s="368"/>
      <c r="RM52" s="368"/>
      <c r="RN52" s="368"/>
      <c r="RO52" s="368"/>
      <c r="RP52" s="368"/>
      <c r="RQ52" s="368"/>
      <c r="RR52" s="368"/>
      <c r="RS52" s="368"/>
      <c r="RT52" s="368"/>
      <c r="RU52" s="368"/>
      <c r="RV52" s="368"/>
      <c r="RW52" s="368"/>
      <c r="RX52" s="368"/>
      <c r="RY52" s="368"/>
      <c r="RZ52" s="368"/>
      <c r="SA52" s="368"/>
      <c r="SB52" s="368"/>
      <c r="SC52" s="368"/>
      <c r="SD52" s="368"/>
      <c r="SE52" s="368"/>
      <c r="SF52" s="368"/>
      <c r="SG52" s="368"/>
      <c r="SH52" s="368"/>
      <c r="SI52" s="368"/>
      <c r="SJ52" s="368"/>
      <c r="SK52" s="368"/>
      <c r="SL52" s="368"/>
      <c r="SM52" s="368"/>
      <c r="SN52" s="368"/>
      <c r="SO52" s="368"/>
      <c r="SP52" s="368"/>
      <c r="SQ52" s="368"/>
      <c r="SR52" s="368"/>
      <c r="SS52" s="368"/>
      <c r="ST52" s="368"/>
      <c r="SU52" s="368"/>
      <c r="SV52" s="368"/>
      <c r="SW52" s="368"/>
      <c r="SX52" s="368"/>
      <c r="SY52" s="368"/>
      <c r="SZ52" s="368"/>
      <c r="TA52" s="368"/>
      <c r="TB52" s="368"/>
      <c r="TC52" s="368"/>
      <c r="TD52" s="368"/>
      <c r="TE52" s="368"/>
      <c r="TF52" s="368"/>
      <c r="TG52" s="368"/>
      <c r="TH52" s="368"/>
      <c r="TI52" s="368"/>
      <c r="TJ52" s="368"/>
      <c r="TK52" s="368"/>
      <c r="TL52" s="368"/>
      <c r="TM52" s="368"/>
      <c r="TN52" s="368"/>
      <c r="TO52" s="368"/>
      <c r="TP52" s="368"/>
      <c r="TQ52" s="368"/>
      <c r="TR52" s="368"/>
      <c r="TS52" s="368"/>
      <c r="TT52" s="368"/>
      <c r="TU52" s="368"/>
      <c r="TV52" s="368"/>
      <c r="TW52" s="368"/>
      <c r="TX52" s="368"/>
      <c r="TY52" s="368"/>
      <c r="TZ52" s="368"/>
      <c r="UA52" s="368"/>
      <c r="UB52" s="368"/>
      <c r="UC52" s="368"/>
      <c r="UD52" s="368"/>
      <c r="UE52" s="368"/>
      <c r="UF52" s="368"/>
      <c r="UG52" s="368"/>
      <c r="UH52" s="368"/>
      <c r="UI52" s="368"/>
      <c r="UJ52" s="368"/>
      <c r="UK52" s="368"/>
      <c r="UL52" s="368"/>
      <c r="UM52" s="368"/>
      <c r="UN52" s="368"/>
      <c r="UO52" s="368"/>
      <c r="UP52" s="368"/>
      <c r="UQ52" s="368"/>
      <c r="UR52" s="368"/>
      <c r="US52" s="368"/>
      <c r="UT52" s="368"/>
      <c r="UU52" s="368"/>
      <c r="UV52" s="368"/>
      <c r="UW52" s="368"/>
      <c r="UX52" s="368"/>
      <c r="UY52" s="368"/>
      <c r="UZ52" s="368"/>
      <c r="VA52" s="368"/>
      <c r="VB52" s="368"/>
      <c r="VC52" s="368"/>
      <c r="VD52" s="368"/>
      <c r="VE52" s="368"/>
      <c r="VF52" s="368"/>
      <c r="VG52" s="368"/>
      <c r="VH52" s="368"/>
      <c r="VI52" s="368"/>
      <c r="VJ52" s="368"/>
      <c r="VK52" s="368"/>
      <c r="VL52" s="368"/>
      <c r="VM52" s="368"/>
      <c r="VN52" s="368"/>
      <c r="VO52" s="368"/>
      <c r="VP52" s="368"/>
      <c r="VQ52" s="368"/>
      <c r="VR52" s="368"/>
      <c r="VS52" s="368"/>
      <c r="VT52" s="368"/>
      <c r="VU52" s="368"/>
      <c r="VV52" s="368"/>
      <c r="VW52" s="368"/>
      <c r="VX52" s="368"/>
      <c r="VY52" s="368"/>
      <c r="VZ52" s="368"/>
      <c r="WA52" s="368"/>
      <c r="WB52" s="368"/>
      <c r="WC52" s="368"/>
      <c r="WD52" s="368"/>
      <c r="WE52" s="368"/>
      <c r="WF52" s="368"/>
      <c r="WG52" s="368"/>
      <c r="WH52" s="368"/>
      <c r="WI52" s="368"/>
      <c r="WJ52" s="368"/>
      <c r="WK52" s="368"/>
      <c r="WL52" s="368"/>
      <c r="WM52" s="368"/>
      <c r="WN52" s="368"/>
      <c r="WO52" s="368"/>
      <c r="WP52" s="368"/>
      <c r="WQ52" s="368"/>
      <c r="WR52" s="368"/>
      <c r="WS52" s="368"/>
      <c r="WT52" s="368"/>
      <c r="WU52" s="368"/>
      <c r="WV52" s="368"/>
      <c r="WW52" s="368"/>
      <c r="WX52" s="368"/>
      <c r="WY52" s="368"/>
      <c r="WZ52" s="368"/>
      <c r="XA52" s="368"/>
      <c r="XB52" s="368"/>
      <c r="XC52" s="368"/>
      <c r="XD52" s="368"/>
      <c r="XE52" s="368"/>
      <c r="XF52" s="368"/>
      <c r="XG52" s="368"/>
      <c r="XH52" s="368"/>
      <c r="XI52" s="368"/>
      <c r="XJ52" s="368"/>
      <c r="XK52" s="368"/>
      <c r="XL52" s="368"/>
      <c r="XM52" s="368"/>
      <c r="XN52" s="368"/>
      <c r="XO52" s="368"/>
      <c r="XP52" s="368"/>
      <c r="XQ52" s="368"/>
      <c r="XR52" s="368"/>
      <c r="XS52" s="368"/>
      <c r="XT52" s="368"/>
      <c r="XU52" s="368"/>
      <c r="XV52" s="368"/>
      <c r="XW52" s="368"/>
      <c r="XX52" s="368"/>
      <c r="XY52" s="368"/>
      <c r="XZ52" s="368"/>
      <c r="YA52" s="368"/>
      <c r="YB52" s="368"/>
      <c r="YC52" s="368"/>
      <c r="YD52" s="368"/>
      <c r="YE52" s="368"/>
      <c r="YF52" s="368"/>
      <c r="YG52" s="368"/>
      <c r="YH52" s="368"/>
      <c r="YI52" s="368"/>
      <c r="YJ52" s="368"/>
      <c r="YK52" s="368"/>
      <c r="YL52" s="368"/>
      <c r="YM52" s="368"/>
      <c r="YN52" s="368"/>
      <c r="YO52" s="368"/>
      <c r="YP52" s="368"/>
      <c r="YQ52" s="368"/>
      <c r="YR52" s="368"/>
      <c r="YS52" s="368"/>
      <c r="YT52" s="368"/>
      <c r="YU52" s="368"/>
      <c r="YV52" s="368"/>
      <c r="YW52" s="368"/>
      <c r="YX52" s="368"/>
      <c r="YY52" s="368"/>
      <c r="YZ52" s="368"/>
      <c r="ZA52" s="368"/>
      <c r="ZB52" s="368"/>
      <c r="ZC52" s="368"/>
      <c r="ZD52" s="368"/>
      <c r="ZE52" s="368"/>
      <c r="ZF52" s="368"/>
      <c r="ZG52" s="368"/>
      <c r="ZH52" s="368"/>
      <c r="ZI52" s="368"/>
      <c r="ZJ52" s="368"/>
      <c r="ZK52" s="368"/>
      <c r="ZL52" s="368"/>
      <c r="ZM52" s="368"/>
      <c r="ZN52" s="368"/>
      <c r="ZO52" s="368"/>
      <c r="ZP52" s="368"/>
      <c r="ZQ52" s="368"/>
      <c r="ZR52" s="368"/>
      <c r="ZS52" s="368"/>
      <c r="ZT52" s="368"/>
      <c r="ZU52" s="368"/>
      <c r="ZV52" s="368"/>
      <c r="ZW52" s="368"/>
      <c r="ZX52" s="368"/>
      <c r="ZY52" s="368"/>
      <c r="ZZ52" s="368"/>
      <c r="AAA52" s="368"/>
      <c r="AAB52" s="368"/>
      <c r="AAC52" s="368"/>
      <c r="AAD52" s="368"/>
      <c r="AAE52" s="368"/>
      <c r="AAF52" s="368"/>
      <c r="AAG52" s="368"/>
      <c r="AAH52" s="368"/>
      <c r="AAI52" s="368"/>
      <c r="AAJ52" s="368"/>
      <c r="AAK52" s="368"/>
      <c r="AAL52" s="368"/>
      <c r="AAM52" s="368"/>
      <c r="AAN52" s="368"/>
      <c r="AAO52" s="368"/>
      <c r="AAP52" s="368"/>
      <c r="AAQ52" s="368"/>
      <c r="AAR52" s="368"/>
      <c r="AAS52" s="368"/>
      <c r="AAT52" s="368"/>
      <c r="AAU52" s="368"/>
      <c r="AAV52" s="368"/>
      <c r="AAW52" s="368"/>
      <c r="AAX52" s="368"/>
      <c r="AAY52" s="368"/>
      <c r="AAZ52" s="368"/>
      <c r="ABA52" s="368"/>
      <c r="ABB52" s="368"/>
      <c r="ABC52" s="368"/>
      <c r="ABD52" s="368"/>
      <c r="ABE52" s="368"/>
      <c r="ABF52" s="368"/>
      <c r="ABG52" s="368"/>
      <c r="ABH52" s="368"/>
      <c r="ABI52" s="368"/>
      <c r="ABJ52" s="368"/>
      <c r="ABK52" s="368"/>
      <c r="ABL52" s="368"/>
      <c r="ABM52" s="368"/>
      <c r="ABN52" s="368"/>
      <c r="ABO52" s="368"/>
      <c r="ABP52" s="368"/>
      <c r="ABQ52" s="368"/>
      <c r="ABR52" s="368"/>
      <c r="ABS52" s="368"/>
      <c r="ABT52" s="368"/>
      <c r="ABU52" s="368"/>
      <c r="ABV52" s="368"/>
      <c r="ABW52" s="368"/>
      <c r="ABX52" s="368"/>
      <c r="ABY52" s="368"/>
      <c r="ABZ52" s="368"/>
      <c r="ACA52" s="368"/>
      <c r="ACB52" s="368"/>
      <c r="ACC52" s="368"/>
      <c r="ACD52" s="368"/>
      <c r="ACE52" s="368"/>
      <c r="ACF52" s="368"/>
      <c r="ACG52" s="368"/>
      <c r="ACH52" s="368"/>
      <c r="ACI52" s="368"/>
      <c r="ACJ52" s="368"/>
      <c r="ACK52" s="368"/>
      <c r="ACL52" s="368"/>
      <c r="ACM52" s="368"/>
      <c r="ACN52" s="368"/>
      <c r="ACO52" s="368"/>
      <c r="ACP52" s="368"/>
      <c r="ACQ52" s="368"/>
      <c r="ACR52" s="368"/>
      <c r="ACS52" s="368"/>
      <c r="ACT52" s="368"/>
      <c r="ACU52" s="368"/>
      <c r="ACV52" s="368"/>
      <c r="ACW52" s="368"/>
      <c r="ACX52" s="368"/>
      <c r="ACY52" s="368"/>
      <c r="ACZ52" s="368"/>
      <c r="ADA52" s="368"/>
      <c r="ADB52" s="368"/>
      <c r="ADC52" s="368"/>
      <c r="ADD52" s="368"/>
      <c r="ADE52" s="368"/>
      <c r="ADF52" s="368"/>
      <c r="ADG52" s="368"/>
      <c r="ADH52" s="368"/>
      <c r="ADI52" s="368"/>
      <c r="ADJ52" s="368"/>
      <c r="ADK52" s="368"/>
      <c r="ADL52" s="368"/>
      <c r="ADM52" s="368"/>
      <c r="ADN52" s="368"/>
      <c r="ADO52" s="368"/>
      <c r="ADP52" s="368"/>
      <c r="ADQ52" s="368"/>
      <c r="ADR52" s="368"/>
      <c r="ADS52" s="368"/>
      <c r="ADT52" s="368"/>
      <c r="ADU52" s="368"/>
      <c r="ADV52" s="368"/>
      <c r="ADW52" s="368"/>
      <c r="ADX52" s="368"/>
      <c r="ADY52" s="368"/>
      <c r="ADZ52" s="368"/>
      <c r="AEA52" s="368"/>
      <c r="AEB52" s="368"/>
      <c r="AEC52" s="368"/>
      <c r="AED52" s="368"/>
      <c r="AEE52" s="368"/>
      <c r="AEF52" s="368"/>
      <c r="AEG52" s="368"/>
      <c r="AEH52" s="368"/>
      <c r="AEI52" s="368"/>
      <c r="AEJ52" s="368"/>
      <c r="AEK52" s="368"/>
      <c r="AEL52" s="368"/>
      <c r="AEM52" s="368"/>
      <c r="AEN52" s="368"/>
      <c r="AEO52" s="368"/>
      <c r="AEP52" s="368"/>
      <c r="AEQ52" s="368"/>
      <c r="AER52" s="368"/>
      <c r="AES52" s="368"/>
      <c r="AET52" s="368"/>
      <c r="AEU52" s="368"/>
      <c r="AEV52" s="368"/>
      <c r="AEW52" s="368"/>
      <c r="AEX52" s="368"/>
      <c r="AEY52" s="368"/>
      <c r="AEZ52" s="368"/>
      <c r="AFA52" s="368"/>
      <c r="AFB52" s="368"/>
      <c r="AFC52" s="368"/>
      <c r="AFD52" s="368"/>
      <c r="AFE52" s="368"/>
      <c r="AFF52" s="368"/>
      <c r="AFG52" s="368"/>
      <c r="AFH52" s="368"/>
      <c r="AFI52" s="368"/>
      <c r="AFJ52" s="368"/>
      <c r="AFK52" s="368"/>
      <c r="AFL52" s="368"/>
      <c r="AFM52" s="368"/>
      <c r="AFN52" s="368"/>
      <c r="AFO52" s="368"/>
      <c r="AFP52" s="368"/>
      <c r="AFQ52" s="368"/>
      <c r="AFR52" s="368"/>
      <c r="AFS52" s="368"/>
      <c r="AFT52" s="368"/>
      <c r="AFU52" s="368"/>
      <c r="AFV52" s="368"/>
      <c r="AFW52" s="368"/>
      <c r="AFX52" s="368"/>
      <c r="AFY52" s="368"/>
      <c r="AFZ52" s="368"/>
      <c r="AGA52" s="368"/>
      <c r="AGB52" s="368"/>
      <c r="AGC52" s="368"/>
      <c r="AGD52" s="368"/>
      <c r="AGE52" s="368"/>
      <c r="AGF52" s="368"/>
      <c r="AGG52" s="368"/>
      <c r="AGH52" s="368"/>
      <c r="AGI52" s="368"/>
      <c r="AGJ52" s="368"/>
      <c r="AGK52" s="368"/>
      <c r="AGL52" s="368"/>
      <c r="AGM52" s="368"/>
      <c r="AGN52" s="368"/>
      <c r="AGO52" s="368"/>
      <c r="AGP52" s="368"/>
      <c r="AGQ52" s="368"/>
      <c r="AGR52" s="368"/>
      <c r="AGS52" s="368"/>
      <c r="AGT52" s="368"/>
      <c r="AGU52" s="368"/>
      <c r="AGV52" s="368"/>
      <c r="AGW52" s="368"/>
      <c r="AGX52" s="368"/>
      <c r="AGY52" s="368"/>
      <c r="AGZ52" s="368"/>
      <c r="AHA52" s="368"/>
      <c r="AHB52" s="368"/>
      <c r="AHC52" s="368"/>
      <c r="AHD52" s="368"/>
      <c r="AHE52" s="368"/>
      <c r="AHF52" s="368"/>
      <c r="AHG52" s="368"/>
      <c r="AHH52" s="368"/>
      <c r="AHI52" s="368"/>
      <c r="AHJ52" s="368"/>
      <c r="AHK52" s="368"/>
      <c r="AHL52" s="368"/>
      <c r="AHM52" s="368"/>
      <c r="AHN52" s="368"/>
      <c r="AHO52" s="368"/>
      <c r="AHP52" s="368"/>
      <c r="AHQ52" s="368"/>
      <c r="AHR52" s="368"/>
      <c r="AHS52" s="368"/>
      <c r="AHT52" s="368"/>
      <c r="AHU52" s="368"/>
      <c r="AHV52" s="368"/>
      <c r="AHW52" s="368"/>
      <c r="AHX52" s="368"/>
      <c r="AHY52" s="368"/>
      <c r="AHZ52" s="368"/>
      <c r="AIA52" s="368"/>
      <c r="AIB52" s="368"/>
      <c r="AIC52" s="368"/>
      <c r="AID52" s="368"/>
      <c r="AIE52" s="368"/>
      <c r="AIF52" s="368"/>
      <c r="AIG52" s="368"/>
      <c r="AIH52" s="368"/>
      <c r="AII52" s="368"/>
      <c r="AIJ52" s="368"/>
      <c r="AIK52" s="368"/>
      <c r="AIL52" s="368"/>
      <c r="AIM52" s="368"/>
      <c r="AIN52" s="368"/>
      <c r="AIO52" s="368"/>
      <c r="AIP52" s="368"/>
      <c r="AIQ52" s="368"/>
      <c r="AIR52" s="368"/>
      <c r="AIS52" s="368"/>
      <c r="AIT52" s="368"/>
      <c r="AIU52" s="368"/>
      <c r="AIV52" s="368"/>
      <c r="AIW52" s="368"/>
      <c r="AIX52" s="368"/>
      <c r="AIY52" s="368"/>
      <c r="AIZ52" s="368"/>
      <c r="AJA52" s="368"/>
      <c r="AJB52" s="368"/>
      <c r="AJC52" s="368"/>
      <c r="AJD52" s="368"/>
      <c r="AJE52" s="368"/>
      <c r="AJF52" s="368"/>
      <c r="AJG52" s="368"/>
      <c r="AJH52" s="368"/>
      <c r="AJI52" s="368"/>
      <c r="AJJ52" s="368"/>
      <c r="AJK52" s="368"/>
      <c r="AJL52" s="368"/>
      <c r="AJM52" s="368"/>
      <c r="AJN52" s="368"/>
      <c r="AJO52" s="368"/>
      <c r="AJP52" s="368"/>
      <c r="AJQ52" s="368"/>
      <c r="AJR52" s="368"/>
      <c r="AJS52" s="368"/>
      <c r="AJT52" s="368"/>
      <c r="AJU52" s="368"/>
      <c r="AJV52" s="368"/>
      <c r="AJW52" s="368"/>
      <c r="AJX52" s="368"/>
      <c r="AJY52" s="368"/>
      <c r="AJZ52" s="368"/>
      <c r="AKA52" s="368"/>
      <c r="AKB52" s="368"/>
      <c r="AKC52" s="368"/>
      <c r="AKD52" s="368"/>
      <c r="AKE52" s="368"/>
      <c r="AKF52" s="368"/>
      <c r="AKG52" s="368"/>
      <c r="AKH52" s="368"/>
      <c r="AKI52" s="368"/>
      <c r="AKJ52" s="368"/>
      <c r="AKK52" s="368"/>
      <c r="AKL52" s="368"/>
      <c r="AKM52" s="368"/>
      <c r="AKN52" s="368"/>
    </row>
    <row r="53" spans="1:976" s="14" customFormat="1" ht="22.5" customHeight="1" x14ac:dyDescent="0.2">
      <c r="A53" s="408" t="s">
        <v>262</v>
      </c>
      <c r="B53" s="408"/>
      <c r="C53" s="408" t="s">
        <v>221</v>
      </c>
      <c r="D53" s="408" t="s">
        <v>222</v>
      </c>
      <c r="E53" s="409">
        <v>408224</v>
      </c>
      <c r="F53" s="409">
        <v>883</v>
      </c>
      <c r="G53" s="409">
        <v>129</v>
      </c>
      <c r="H53" s="409">
        <v>0</v>
      </c>
      <c r="I53" s="410">
        <v>45789</v>
      </c>
      <c r="J53" s="408" t="s">
        <v>395</v>
      </c>
      <c r="K53" s="408" t="s">
        <v>433</v>
      </c>
      <c r="L53" s="411">
        <v>70.98</v>
      </c>
      <c r="M53" s="411">
        <v>4.3099999999999996</v>
      </c>
      <c r="N53" s="450">
        <v>75.290000000000006</v>
      </c>
      <c r="O53" s="408"/>
      <c r="P53" s="412">
        <v>45796</v>
      </c>
      <c r="Q53" s="411">
        <v>75.290000000000006</v>
      </c>
      <c r="R53" s="408" t="s">
        <v>434</v>
      </c>
      <c r="S53" s="411">
        <v>0</v>
      </c>
      <c r="T53" s="411">
        <v>0</v>
      </c>
      <c r="U53" s="411">
        <v>0</v>
      </c>
      <c r="V53" s="411">
        <v>0</v>
      </c>
      <c r="W53" s="408"/>
      <c r="X53" s="408" t="s">
        <v>293</v>
      </c>
      <c r="Y53" s="408" t="s">
        <v>294</v>
      </c>
      <c r="Z53" s="408" t="s">
        <v>53</v>
      </c>
      <c r="AA53" s="408" t="s">
        <v>228</v>
      </c>
      <c r="AB53" s="408" t="s">
        <v>239</v>
      </c>
      <c r="AC53" s="408" t="s">
        <v>240</v>
      </c>
      <c r="AD53" s="408" t="s">
        <v>231</v>
      </c>
      <c r="AE53" s="408" t="s">
        <v>232</v>
      </c>
      <c r="AF53" s="408" t="s">
        <v>231</v>
      </c>
      <c r="AG53" s="408" t="s">
        <v>232</v>
      </c>
      <c r="AH53" s="408"/>
      <c r="AI53" s="408"/>
      <c r="AJ53" s="408"/>
      <c r="AK53" s="408" t="s">
        <v>435</v>
      </c>
      <c r="AL53" s="409">
        <v>1</v>
      </c>
      <c r="AM53" s="409">
        <v>0</v>
      </c>
      <c r="AN53" s="410">
        <v>45796</v>
      </c>
      <c r="AO53" s="410">
        <v>45796</v>
      </c>
      <c r="AP53" s="411">
        <v>75.290000000000006</v>
      </c>
      <c r="AQ53" s="410">
        <v>45795</v>
      </c>
    </row>
    <row r="54" spans="1:976" s="14" customFormat="1" ht="22.5" customHeight="1" x14ac:dyDescent="0.2">
      <c r="A54" s="408" t="s">
        <v>262</v>
      </c>
      <c r="B54" s="408"/>
      <c r="C54" s="408" t="s">
        <v>221</v>
      </c>
      <c r="D54" s="408" t="s">
        <v>222</v>
      </c>
      <c r="E54" s="409">
        <v>408241</v>
      </c>
      <c r="F54" s="409">
        <v>889</v>
      </c>
      <c r="G54" s="409">
        <v>131</v>
      </c>
      <c r="H54" s="409">
        <v>0</v>
      </c>
      <c r="I54" s="410">
        <v>45789</v>
      </c>
      <c r="J54" s="408" t="s">
        <v>395</v>
      </c>
      <c r="K54" s="408" t="s">
        <v>436</v>
      </c>
      <c r="L54" s="411">
        <v>63.1</v>
      </c>
      <c r="M54" s="411">
        <v>5.83</v>
      </c>
      <c r="N54" s="450">
        <v>68.930000000000007</v>
      </c>
      <c r="O54" s="408"/>
      <c r="P54" s="412">
        <v>45796</v>
      </c>
      <c r="Q54" s="411">
        <v>68.930000000000007</v>
      </c>
      <c r="R54" s="408" t="s">
        <v>437</v>
      </c>
      <c r="S54" s="411">
        <v>0</v>
      </c>
      <c r="T54" s="411">
        <v>0</v>
      </c>
      <c r="U54" s="411">
        <v>0</v>
      </c>
      <c r="V54" s="411">
        <v>0</v>
      </c>
      <c r="W54" s="408"/>
      <c r="X54" s="408" t="s">
        <v>293</v>
      </c>
      <c r="Y54" s="408" t="s">
        <v>294</v>
      </c>
      <c r="Z54" s="408" t="s">
        <v>57</v>
      </c>
      <c r="AA54" s="408" t="s">
        <v>228</v>
      </c>
      <c r="AB54" s="408" t="s">
        <v>58</v>
      </c>
      <c r="AC54" s="408" t="s">
        <v>59</v>
      </c>
      <c r="AD54" s="408" t="s">
        <v>231</v>
      </c>
      <c r="AE54" s="408" t="s">
        <v>232</v>
      </c>
      <c r="AF54" s="408" t="s">
        <v>231</v>
      </c>
      <c r="AG54" s="408" t="s">
        <v>232</v>
      </c>
      <c r="AH54" s="408"/>
      <c r="AI54" s="408"/>
      <c r="AJ54" s="408"/>
      <c r="AK54" s="408" t="s">
        <v>438</v>
      </c>
      <c r="AL54" s="409">
        <v>1</v>
      </c>
      <c r="AM54" s="409">
        <v>0</v>
      </c>
      <c r="AN54" s="410">
        <v>45796</v>
      </c>
      <c r="AO54" s="410">
        <v>45796</v>
      </c>
      <c r="AP54" s="411">
        <v>68.930000000000007</v>
      </c>
      <c r="AQ54" s="410">
        <v>45795</v>
      </c>
    </row>
    <row r="55" spans="1:976" s="14" customFormat="1" ht="22.5" customHeight="1" x14ac:dyDescent="0.2">
      <c r="A55" s="408" t="s">
        <v>408</v>
      </c>
      <c r="B55" s="408"/>
      <c r="C55" s="408" t="s">
        <v>221</v>
      </c>
      <c r="D55" s="408" t="s">
        <v>222</v>
      </c>
      <c r="E55" s="409">
        <v>409402</v>
      </c>
      <c r="F55" s="409">
        <v>994</v>
      </c>
      <c r="G55" s="409">
        <v>146</v>
      </c>
      <c r="H55" s="409">
        <v>1</v>
      </c>
      <c r="I55" s="410">
        <v>45793</v>
      </c>
      <c r="J55" s="408" t="s">
        <v>281</v>
      </c>
      <c r="K55" s="408" t="s">
        <v>439</v>
      </c>
      <c r="L55" s="411">
        <v>18.239999999999998</v>
      </c>
      <c r="M55" s="411">
        <v>3.65</v>
      </c>
      <c r="N55" s="450">
        <v>21.89</v>
      </c>
      <c r="O55" s="408"/>
      <c r="P55" s="412">
        <v>45796</v>
      </c>
      <c r="Q55" s="411">
        <v>21.89</v>
      </c>
      <c r="R55" s="408"/>
      <c r="S55" s="411">
        <v>0</v>
      </c>
      <c r="T55" s="411">
        <v>0</v>
      </c>
      <c r="U55" s="411">
        <v>0</v>
      </c>
      <c r="V55" s="411">
        <v>0</v>
      </c>
      <c r="W55" s="408"/>
      <c r="X55" s="408" t="s">
        <v>283</v>
      </c>
      <c r="Y55" s="408" t="s">
        <v>284</v>
      </c>
      <c r="Z55" s="408" t="s">
        <v>46</v>
      </c>
      <c r="AA55" s="408" t="s">
        <v>228</v>
      </c>
      <c r="AB55" s="408" t="s">
        <v>285</v>
      </c>
      <c r="AC55" s="408" t="s">
        <v>286</v>
      </c>
      <c r="AD55" s="408" t="s">
        <v>231</v>
      </c>
      <c r="AE55" s="408" t="s">
        <v>232</v>
      </c>
      <c r="AF55" s="408" t="s">
        <v>231</v>
      </c>
      <c r="AG55" s="408" t="s">
        <v>232</v>
      </c>
      <c r="AH55" s="408"/>
      <c r="AI55" s="408"/>
      <c r="AJ55" s="408"/>
      <c r="AK55" s="408"/>
      <c r="AL55" s="409">
        <v>1</v>
      </c>
      <c r="AM55" s="409">
        <v>0</v>
      </c>
      <c r="AN55" s="410">
        <v>45796</v>
      </c>
      <c r="AO55" s="410">
        <v>45796</v>
      </c>
      <c r="AP55" s="411">
        <v>21.89</v>
      </c>
      <c r="AQ55" s="410">
        <v>45795</v>
      </c>
    </row>
    <row r="56" spans="1:976" s="345" customFormat="1" ht="22.5" customHeight="1" x14ac:dyDescent="0.2">
      <c r="A56" s="423" t="s">
        <v>262</v>
      </c>
      <c r="B56" s="423"/>
      <c r="C56" s="423" t="s">
        <v>221</v>
      </c>
      <c r="D56" s="423" t="s">
        <v>222</v>
      </c>
      <c r="E56" s="424">
        <v>409425</v>
      </c>
      <c r="F56" s="424">
        <v>998</v>
      </c>
      <c r="G56" s="424">
        <v>147</v>
      </c>
      <c r="H56" s="424">
        <v>0</v>
      </c>
      <c r="I56" s="425">
        <v>45798</v>
      </c>
      <c r="J56" s="423" t="s">
        <v>263</v>
      </c>
      <c r="K56" s="423" t="s">
        <v>440</v>
      </c>
      <c r="L56" s="426">
        <v>82.47</v>
      </c>
      <c r="M56" s="426">
        <v>16.489999999999998</v>
      </c>
      <c r="N56" s="451">
        <v>98.96</v>
      </c>
      <c r="O56" s="423"/>
      <c r="P56" s="427">
        <v>45811</v>
      </c>
      <c r="Q56" s="426">
        <v>98.96</v>
      </c>
      <c r="R56" s="423" t="s">
        <v>441</v>
      </c>
      <c r="S56" s="426">
        <v>0</v>
      </c>
      <c r="T56" s="426">
        <v>0</v>
      </c>
      <c r="U56" s="426">
        <v>0</v>
      </c>
      <c r="V56" s="426">
        <v>0</v>
      </c>
      <c r="W56" s="423"/>
      <c r="X56" s="423" t="s">
        <v>293</v>
      </c>
      <c r="Y56" s="423" t="s">
        <v>294</v>
      </c>
      <c r="Z56" s="423" t="s">
        <v>53</v>
      </c>
      <c r="AA56" s="423" t="s">
        <v>228</v>
      </c>
      <c r="AB56" s="423" t="s">
        <v>239</v>
      </c>
      <c r="AC56" s="423" t="s">
        <v>243</v>
      </c>
      <c r="AD56" s="423" t="s">
        <v>231</v>
      </c>
      <c r="AE56" s="423" t="s">
        <v>232</v>
      </c>
      <c r="AF56" s="423" t="s">
        <v>231</v>
      </c>
      <c r="AG56" s="423" t="s">
        <v>232</v>
      </c>
      <c r="AH56" s="423"/>
      <c r="AI56" s="423"/>
      <c r="AJ56" s="423"/>
      <c r="AK56" s="423" t="s">
        <v>442</v>
      </c>
      <c r="AL56" s="424">
        <v>1</v>
      </c>
      <c r="AM56" s="424">
        <v>0</v>
      </c>
      <c r="AN56" s="425">
        <v>45811</v>
      </c>
      <c r="AO56" s="425">
        <v>45811</v>
      </c>
      <c r="AP56" s="426">
        <v>98.96</v>
      </c>
      <c r="AQ56" s="425">
        <v>45810</v>
      </c>
    </row>
    <row r="57" spans="1:976" s="345" customFormat="1" ht="22.5" customHeight="1" x14ac:dyDescent="0.2">
      <c r="A57" s="423" t="s">
        <v>262</v>
      </c>
      <c r="B57" s="423"/>
      <c r="C57" s="423" t="s">
        <v>221</v>
      </c>
      <c r="D57" s="423" t="s">
        <v>222</v>
      </c>
      <c r="E57" s="424">
        <v>409433</v>
      </c>
      <c r="F57" s="424">
        <v>999</v>
      </c>
      <c r="G57" s="424">
        <v>147</v>
      </c>
      <c r="H57" s="424">
        <v>0</v>
      </c>
      <c r="I57" s="425">
        <v>45798</v>
      </c>
      <c r="J57" s="423" t="s">
        <v>263</v>
      </c>
      <c r="K57" s="423" t="s">
        <v>443</v>
      </c>
      <c r="L57" s="426">
        <v>166.29</v>
      </c>
      <c r="M57" s="426">
        <v>14.2</v>
      </c>
      <c r="N57" s="451">
        <v>180.49</v>
      </c>
      <c r="O57" s="423"/>
      <c r="P57" s="427">
        <v>45811</v>
      </c>
      <c r="Q57" s="426">
        <v>180.49</v>
      </c>
      <c r="R57" s="423" t="s">
        <v>444</v>
      </c>
      <c r="S57" s="426">
        <v>0</v>
      </c>
      <c r="T57" s="426">
        <v>0</v>
      </c>
      <c r="U57" s="426">
        <v>0</v>
      </c>
      <c r="V57" s="426">
        <v>0</v>
      </c>
      <c r="W57" s="423"/>
      <c r="X57" s="423" t="s">
        <v>293</v>
      </c>
      <c r="Y57" s="423" t="s">
        <v>294</v>
      </c>
      <c r="Z57" s="423" t="s">
        <v>53</v>
      </c>
      <c r="AA57" s="423" t="s">
        <v>228</v>
      </c>
      <c r="AB57" s="423" t="s">
        <v>239</v>
      </c>
      <c r="AC57" s="423" t="s">
        <v>243</v>
      </c>
      <c r="AD57" s="423" t="s">
        <v>231</v>
      </c>
      <c r="AE57" s="423" t="s">
        <v>232</v>
      </c>
      <c r="AF57" s="423" t="s">
        <v>231</v>
      </c>
      <c r="AG57" s="423" t="s">
        <v>232</v>
      </c>
      <c r="AH57" s="423"/>
      <c r="AI57" s="423"/>
      <c r="AJ57" s="423"/>
      <c r="AK57" s="423" t="s">
        <v>445</v>
      </c>
      <c r="AL57" s="424">
        <v>1</v>
      </c>
      <c r="AM57" s="424">
        <v>0</v>
      </c>
      <c r="AN57" s="425">
        <v>45811</v>
      </c>
      <c r="AO57" s="425">
        <v>45811</v>
      </c>
      <c r="AP57" s="426">
        <v>180.49</v>
      </c>
      <c r="AQ57" s="425">
        <v>45810</v>
      </c>
    </row>
    <row r="58" spans="1:976" s="363" customFormat="1" ht="22.5" customHeight="1" x14ac:dyDescent="0.2">
      <c r="A58" s="358" t="s">
        <v>262</v>
      </c>
      <c r="B58" s="358"/>
      <c r="C58" s="358" t="s">
        <v>221</v>
      </c>
      <c r="D58" s="358" t="s">
        <v>222</v>
      </c>
      <c r="E58" s="359">
        <v>409437</v>
      </c>
      <c r="F58" s="359">
        <v>1000</v>
      </c>
      <c r="G58" s="359">
        <v>147</v>
      </c>
      <c r="H58" s="359">
        <v>0</v>
      </c>
      <c r="I58" s="360">
        <v>45798</v>
      </c>
      <c r="J58" s="358" t="s">
        <v>263</v>
      </c>
      <c r="K58" s="358" t="s">
        <v>446</v>
      </c>
      <c r="L58" s="361">
        <v>113.71</v>
      </c>
      <c r="M58" s="361">
        <v>10.34</v>
      </c>
      <c r="N58" s="448">
        <v>124.05</v>
      </c>
      <c r="O58" s="358"/>
      <c r="P58" s="362">
        <v>45811</v>
      </c>
      <c r="Q58" s="361">
        <v>124.05</v>
      </c>
      <c r="R58" s="358" t="s">
        <v>447</v>
      </c>
      <c r="S58" s="361">
        <v>0</v>
      </c>
      <c r="T58" s="361">
        <v>0</v>
      </c>
      <c r="U58" s="361">
        <v>0</v>
      </c>
      <c r="V58" s="361">
        <v>0</v>
      </c>
      <c r="W58" s="358"/>
      <c r="X58" s="358" t="s">
        <v>365</v>
      </c>
      <c r="Y58" s="358" t="s">
        <v>366</v>
      </c>
      <c r="Z58" s="358" t="s">
        <v>46</v>
      </c>
      <c r="AA58" s="358" t="s">
        <v>228</v>
      </c>
      <c r="AB58" s="358" t="s">
        <v>289</v>
      </c>
      <c r="AC58" s="358" t="s">
        <v>31</v>
      </c>
      <c r="AD58" s="358" t="s">
        <v>231</v>
      </c>
      <c r="AE58" s="358" t="s">
        <v>232</v>
      </c>
      <c r="AF58" s="358" t="s">
        <v>231</v>
      </c>
      <c r="AG58" s="358" t="s">
        <v>232</v>
      </c>
      <c r="AH58" s="358"/>
      <c r="AI58" s="358"/>
      <c r="AJ58" s="358"/>
      <c r="AK58" s="358" t="s">
        <v>448</v>
      </c>
      <c r="AL58" s="359">
        <v>1</v>
      </c>
      <c r="AM58" s="359">
        <v>0</v>
      </c>
      <c r="AN58" s="360">
        <v>45811</v>
      </c>
      <c r="AO58" s="360">
        <v>45811</v>
      </c>
      <c r="AP58" s="361">
        <v>124.05</v>
      </c>
      <c r="AQ58" s="360">
        <v>45810</v>
      </c>
      <c r="AR58" s="368"/>
      <c r="AS58" s="368"/>
      <c r="AT58" s="368"/>
      <c r="AU58" s="368"/>
      <c r="AV58" s="368"/>
      <c r="AW58" s="368"/>
      <c r="AX58" s="368"/>
      <c r="AY58" s="368"/>
      <c r="AZ58" s="368"/>
      <c r="BA58" s="368"/>
      <c r="BB58" s="368"/>
      <c r="BC58" s="368"/>
      <c r="BD58" s="368"/>
      <c r="BE58" s="368"/>
      <c r="BF58" s="368"/>
      <c r="BG58" s="368"/>
      <c r="BH58" s="368"/>
      <c r="BI58" s="368"/>
      <c r="BJ58" s="368"/>
      <c r="BK58" s="368"/>
      <c r="BL58" s="368"/>
      <c r="BM58" s="368"/>
      <c r="BN58" s="368"/>
      <c r="BO58" s="368"/>
      <c r="BP58" s="368"/>
      <c r="BQ58" s="368"/>
      <c r="BR58" s="368"/>
      <c r="BS58" s="368"/>
      <c r="BT58" s="368"/>
      <c r="BU58" s="368"/>
      <c r="BV58" s="368"/>
      <c r="BW58" s="368"/>
      <c r="BX58" s="368"/>
      <c r="BY58" s="368"/>
      <c r="BZ58" s="368"/>
      <c r="CA58" s="368"/>
      <c r="CB58" s="368"/>
      <c r="CC58" s="368"/>
      <c r="CD58" s="368"/>
      <c r="CE58" s="368"/>
      <c r="CF58" s="368"/>
      <c r="CG58" s="368"/>
      <c r="CH58" s="368"/>
      <c r="CI58" s="368"/>
      <c r="CJ58" s="368"/>
      <c r="CK58" s="368"/>
      <c r="CL58" s="368"/>
      <c r="CM58" s="368"/>
      <c r="CN58" s="368"/>
      <c r="CO58" s="368"/>
      <c r="CP58" s="368"/>
      <c r="CQ58" s="368"/>
      <c r="CR58" s="368"/>
      <c r="CS58" s="368"/>
      <c r="CT58" s="368"/>
      <c r="CU58" s="368"/>
      <c r="CV58" s="368"/>
      <c r="CW58" s="368"/>
      <c r="CX58" s="368"/>
      <c r="CY58" s="368"/>
      <c r="CZ58" s="368"/>
      <c r="DA58" s="368"/>
      <c r="DB58" s="368"/>
      <c r="DC58" s="368"/>
      <c r="DD58" s="368"/>
      <c r="DE58" s="368"/>
      <c r="DF58" s="368"/>
      <c r="DG58" s="368"/>
      <c r="DH58" s="368"/>
      <c r="DI58" s="368"/>
      <c r="DJ58" s="368"/>
      <c r="DK58" s="368"/>
      <c r="DL58" s="368"/>
      <c r="DM58" s="368"/>
      <c r="DN58" s="368"/>
      <c r="DO58" s="368"/>
      <c r="DP58" s="368"/>
      <c r="DQ58" s="368"/>
      <c r="DR58" s="368"/>
      <c r="DS58" s="368"/>
      <c r="DT58" s="368"/>
      <c r="DU58" s="368"/>
      <c r="DV58" s="368"/>
      <c r="DW58" s="368"/>
      <c r="DX58" s="368"/>
      <c r="DY58" s="368"/>
      <c r="DZ58" s="368"/>
      <c r="EA58" s="368"/>
      <c r="EB58" s="368"/>
      <c r="EC58" s="368"/>
      <c r="ED58" s="368"/>
      <c r="EE58" s="368"/>
      <c r="EF58" s="368"/>
      <c r="EG58" s="368"/>
      <c r="EH58" s="368"/>
      <c r="EI58" s="368"/>
      <c r="EJ58" s="368"/>
      <c r="EK58" s="368"/>
      <c r="EL58" s="368"/>
      <c r="EM58" s="368"/>
      <c r="EN58" s="368"/>
      <c r="EO58" s="368"/>
      <c r="EP58" s="368"/>
      <c r="EQ58" s="368"/>
      <c r="ER58" s="368"/>
      <c r="ES58" s="368"/>
      <c r="ET58" s="368"/>
      <c r="EU58" s="368"/>
      <c r="EV58" s="368"/>
      <c r="EW58" s="368"/>
      <c r="EX58" s="368"/>
      <c r="EY58" s="368"/>
      <c r="EZ58" s="368"/>
      <c r="FA58" s="368"/>
      <c r="FB58" s="368"/>
      <c r="FC58" s="368"/>
      <c r="FD58" s="368"/>
      <c r="FE58" s="368"/>
      <c r="FF58" s="368"/>
      <c r="FG58" s="368"/>
      <c r="FH58" s="368"/>
      <c r="FI58" s="368"/>
      <c r="FJ58" s="368"/>
      <c r="FK58" s="368"/>
      <c r="FL58" s="368"/>
      <c r="FM58" s="368"/>
      <c r="FN58" s="368"/>
      <c r="FO58" s="368"/>
      <c r="FP58" s="368"/>
      <c r="FQ58" s="368"/>
      <c r="FR58" s="368"/>
      <c r="FS58" s="368"/>
      <c r="FT58" s="368"/>
      <c r="FU58" s="368"/>
      <c r="FV58" s="368"/>
      <c r="FW58" s="368"/>
      <c r="FX58" s="368"/>
      <c r="FY58" s="368"/>
      <c r="FZ58" s="368"/>
      <c r="GA58" s="368"/>
      <c r="GB58" s="368"/>
      <c r="GC58" s="368"/>
      <c r="GD58" s="368"/>
      <c r="GE58" s="368"/>
      <c r="GF58" s="368"/>
      <c r="GG58" s="368"/>
      <c r="GH58" s="368"/>
      <c r="GI58" s="368"/>
      <c r="GJ58" s="368"/>
      <c r="GK58" s="368"/>
      <c r="GL58" s="368"/>
      <c r="GM58" s="368"/>
      <c r="GN58" s="368"/>
      <c r="GO58" s="368"/>
      <c r="GP58" s="368"/>
      <c r="GQ58" s="368"/>
      <c r="GR58" s="368"/>
      <c r="GS58" s="368"/>
      <c r="GT58" s="368"/>
      <c r="GU58" s="368"/>
      <c r="GV58" s="368"/>
      <c r="GW58" s="368"/>
      <c r="GX58" s="368"/>
      <c r="GY58" s="368"/>
      <c r="GZ58" s="368"/>
      <c r="HA58" s="368"/>
      <c r="HB58" s="368"/>
      <c r="HC58" s="368"/>
      <c r="HD58" s="368"/>
      <c r="HE58" s="368"/>
      <c r="HF58" s="368"/>
      <c r="HG58" s="368"/>
      <c r="HH58" s="368"/>
      <c r="HI58" s="368"/>
      <c r="HJ58" s="368"/>
      <c r="HK58" s="368"/>
      <c r="HL58" s="368"/>
      <c r="HM58" s="368"/>
      <c r="HN58" s="368"/>
      <c r="HO58" s="368"/>
      <c r="HP58" s="368"/>
      <c r="HQ58" s="368"/>
      <c r="HR58" s="368"/>
      <c r="HS58" s="368"/>
      <c r="HT58" s="368"/>
      <c r="HU58" s="368"/>
      <c r="HV58" s="368"/>
      <c r="HW58" s="368"/>
      <c r="HX58" s="368"/>
      <c r="HY58" s="368"/>
      <c r="HZ58" s="368"/>
      <c r="IA58" s="368"/>
      <c r="IB58" s="368"/>
      <c r="IC58" s="368"/>
      <c r="ID58" s="368"/>
      <c r="IE58" s="368"/>
      <c r="IF58" s="368"/>
      <c r="IG58" s="368"/>
      <c r="IH58" s="368"/>
      <c r="II58" s="368"/>
      <c r="IJ58" s="368"/>
      <c r="IK58" s="368"/>
      <c r="IL58" s="368"/>
      <c r="IM58" s="368"/>
      <c r="IN58" s="368"/>
      <c r="IO58" s="368"/>
      <c r="IP58" s="368"/>
      <c r="IQ58" s="368"/>
      <c r="IR58" s="368"/>
      <c r="IS58" s="368"/>
      <c r="IT58" s="368"/>
      <c r="IU58" s="368"/>
      <c r="IV58" s="368"/>
      <c r="IW58" s="368"/>
      <c r="IX58" s="368"/>
      <c r="IY58" s="368"/>
      <c r="IZ58" s="368"/>
      <c r="JA58" s="368"/>
      <c r="JB58" s="368"/>
      <c r="JC58" s="368"/>
      <c r="JD58" s="368"/>
      <c r="JE58" s="368"/>
      <c r="JF58" s="368"/>
      <c r="JG58" s="368"/>
      <c r="JH58" s="368"/>
      <c r="JI58" s="368"/>
      <c r="JJ58" s="368"/>
      <c r="JK58" s="368"/>
      <c r="JL58" s="368"/>
      <c r="JM58" s="368"/>
      <c r="JN58" s="368"/>
      <c r="JO58" s="368"/>
      <c r="JP58" s="368"/>
      <c r="JQ58" s="368"/>
      <c r="JR58" s="368"/>
      <c r="JS58" s="368"/>
      <c r="JT58" s="368"/>
      <c r="JU58" s="368"/>
      <c r="JV58" s="368"/>
      <c r="JW58" s="368"/>
      <c r="JX58" s="368"/>
      <c r="JY58" s="368"/>
      <c r="JZ58" s="368"/>
      <c r="KA58" s="368"/>
      <c r="KB58" s="368"/>
      <c r="KC58" s="368"/>
      <c r="KD58" s="368"/>
      <c r="KE58" s="368"/>
      <c r="KF58" s="368"/>
      <c r="KG58" s="368"/>
      <c r="KH58" s="368"/>
      <c r="KI58" s="368"/>
      <c r="KJ58" s="368"/>
      <c r="KK58" s="368"/>
      <c r="KL58" s="368"/>
      <c r="KM58" s="368"/>
      <c r="KN58" s="368"/>
      <c r="KO58" s="368"/>
      <c r="KP58" s="368"/>
      <c r="KQ58" s="368"/>
      <c r="KR58" s="368"/>
      <c r="KS58" s="368"/>
      <c r="KT58" s="368"/>
      <c r="KU58" s="368"/>
      <c r="KV58" s="368"/>
      <c r="KW58" s="368"/>
      <c r="KX58" s="368"/>
      <c r="KY58" s="368"/>
      <c r="KZ58" s="368"/>
      <c r="LA58" s="368"/>
      <c r="LB58" s="368"/>
      <c r="LC58" s="368"/>
      <c r="LD58" s="368"/>
      <c r="LE58" s="368"/>
      <c r="LF58" s="368"/>
      <c r="LG58" s="368"/>
      <c r="LH58" s="368"/>
      <c r="LI58" s="368"/>
      <c r="LJ58" s="368"/>
      <c r="LK58" s="368"/>
      <c r="LL58" s="368"/>
      <c r="LM58" s="368"/>
      <c r="LN58" s="368"/>
      <c r="LO58" s="368"/>
      <c r="LP58" s="368"/>
      <c r="LQ58" s="368"/>
      <c r="LR58" s="368"/>
      <c r="LS58" s="368"/>
      <c r="LT58" s="368"/>
      <c r="LU58" s="368"/>
      <c r="LV58" s="368"/>
      <c r="LW58" s="368"/>
      <c r="LX58" s="368"/>
      <c r="LY58" s="368"/>
      <c r="LZ58" s="368"/>
      <c r="MA58" s="368"/>
      <c r="MB58" s="368"/>
      <c r="MC58" s="368"/>
      <c r="MD58" s="368"/>
      <c r="ME58" s="368"/>
      <c r="MF58" s="368"/>
      <c r="MG58" s="368"/>
      <c r="MH58" s="368"/>
      <c r="MI58" s="368"/>
      <c r="MJ58" s="368"/>
      <c r="MK58" s="368"/>
      <c r="ML58" s="368"/>
      <c r="MM58" s="368"/>
      <c r="MN58" s="368"/>
      <c r="MO58" s="368"/>
      <c r="MP58" s="368"/>
      <c r="MQ58" s="368"/>
      <c r="MR58" s="368"/>
      <c r="MS58" s="368"/>
      <c r="MT58" s="368"/>
      <c r="MU58" s="368"/>
      <c r="MV58" s="368"/>
      <c r="MW58" s="368"/>
      <c r="MX58" s="368"/>
      <c r="MY58" s="368"/>
      <c r="MZ58" s="368"/>
      <c r="NA58" s="368"/>
      <c r="NB58" s="368"/>
      <c r="NC58" s="368"/>
      <c r="ND58" s="368"/>
      <c r="NE58" s="368"/>
      <c r="NF58" s="368"/>
      <c r="NG58" s="368"/>
      <c r="NH58" s="368"/>
      <c r="NI58" s="368"/>
      <c r="NJ58" s="368"/>
      <c r="NK58" s="368"/>
      <c r="NL58" s="368"/>
      <c r="NM58" s="368"/>
      <c r="NN58" s="368"/>
      <c r="NO58" s="368"/>
      <c r="NP58" s="368"/>
      <c r="NQ58" s="368"/>
      <c r="NR58" s="368"/>
      <c r="NS58" s="368"/>
      <c r="NT58" s="368"/>
      <c r="NU58" s="368"/>
      <c r="NV58" s="368"/>
      <c r="NW58" s="368"/>
      <c r="NX58" s="368"/>
      <c r="NY58" s="368"/>
      <c r="NZ58" s="368"/>
      <c r="OA58" s="368"/>
      <c r="OB58" s="368"/>
      <c r="OC58" s="368"/>
      <c r="OD58" s="368"/>
      <c r="OE58" s="368"/>
      <c r="OF58" s="368"/>
      <c r="OG58" s="368"/>
      <c r="OH58" s="368"/>
      <c r="OI58" s="368"/>
      <c r="OJ58" s="368"/>
      <c r="OK58" s="368"/>
      <c r="OL58" s="368"/>
      <c r="OM58" s="368"/>
      <c r="ON58" s="368"/>
      <c r="OO58" s="368"/>
      <c r="OP58" s="368"/>
      <c r="OQ58" s="368"/>
      <c r="OR58" s="368"/>
      <c r="OS58" s="368"/>
      <c r="OT58" s="368"/>
      <c r="OU58" s="368"/>
      <c r="OV58" s="368"/>
      <c r="OW58" s="368"/>
      <c r="OX58" s="368"/>
      <c r="OY58" s="368"/>
      <c r="OZ58" s="368"/>
      <c r="PA58" s="368"/>
      <c r="PB58" s="368"/>
      <c r="PC58" s="368"/>
      <c r="PD58" s="368"/>
      <c r="PE58" s="368"/>
      <c r="PF58" s="368"/>
      <c r="PG58" s="368"/>
      <c r="PH58" s="368"/>
      <c r="PI58" s="368"/>
      <c r="PJ58" s="368"/>
      <c r="PK58" s="368"/>
      <c r="PL58" s="368"/>
      <c r="PM58" s="368"/>
      <c r="PN58" s="368"/>
      <c r="PO58" s="368"/>
      <c r="PP58" s="368"/>
      <c r="PQ58" s="368"/>
      <c r="PR58" s="368"/>
      <c r="PS58" s="368"/>
      <c r="PT58" s="368"/>
      <c r="PU58" s="368"/>
      <c r="PV58" s="368"/>
      <c r="PW58" s="368"/>
      <c r="PX58" s="368"/>
      <c r="PY58" s="368"/>
      <c r="PZ58" s="368"/>
      <c r="QA58" s="368"/>
      <c r="QB58" s="368"/>
      <c r="QC58" s="368"/>
      <c r="QD58" s="368"/>
      <c r="QE58" s="368"/>
      <c r="QF58" s="368"/>
      <c r="QG58" s="368"/>
      <c r="QH58" s="368"/>
      <c r="QI58" s="368"/>
      <c r="QJ58" s="368"/>
      <c r="QK58" s="368"/>
      <c r="QL58" s="368"/>
      <c r="QM58" s="368"/>
      <c r="QN58" s="368"/>
      <c r="QO58" s="368"/>
      <c r="QP58" s="368"/>
      <c r="QQ58" s="368"/>
      <c r="QR58" s="368"/>
      <c r="QS58" s="368"/>
      <c r="QT58" s="368"/>
      <c r="QU58" s="368"/>
      <c r="QV58" s="368"/>
      <c r="QW58" s="368"/>
      <c r="QX58" s="368"/>
      <c r="QY58" s="368"/>
      <c r="QZ58" s="368"/>
      <c r="RA58" s="368"/>
      <c r="RB58" s="368"/>
      <c r="RC58" s="368"/>
      <c r="RD58" s="368"/>
      <c r="RE58" s="368"/>
      <c r="RF58" s="368"/>
      <c r="RG58" s="368"/>
      <c r="RH58" s="368"/>
      <c r="RI58" s="368"/>
      <c r="RJ58" s="368"/>
      <c r="RK58" s="368"/>
      <c r="RL58" s="368"/>
      <c r="RM58" s="368"/>
      <c r="RN58" s="368"/>
      <c r="RO58" s="368"/>
      <c r="RP58" s="368"/>
      <c r="RQ58" s="368"/>
      <c r="RR58" s="368"/>
      <c r="RS58" s="368"/>
      <c r="RT58" s="368"/>
      <c r="RU58" s="368"/>
      <c r="RV58" s="368"/>
      <c r="RW58" s="368"/>
      <c r="RX58" s="368"/>
      <c r="RY58" s="368"/>
      <c r="RZ58" s="368"/>
      <c r="SA58" s="368"/>
      <c r="SB58" s="368"/>
      <c r="SC58" s="368"/>
      <c r="SD58" s="368"/>
      <c r="SE58" s="368"/>
      <c r="SF58" s="368"/>
      <c r="SG58" s="368"/>
      <c r="SH58" s="368"/>
      <c r="SI58" s="368"/>
      <c r="SJ58" s="368"/>
      <c r="SK58" s="368"/>
      <c r="SL58" s="368"/>
      <c r="SM58" s="368"/>
      <c r="SN58" s="368"/>
      <c r="SO58" s="368"/>
      <c r="SP58" s="368"/>
      <c r="SQ58" s="368"/>
      <c r="SR58" s="368"/>
      <c r="SS58" s="368"/>
      <c r="ST58" s="368"/>
      <c r="SU58" s="368"/>
      <c r="SV58" s="368"/>
      <c r="SW58" s="368"/>
      <c r="SX58" s="368"/>
      <c r="SY58" s="368"/>
      <c r="SZ58" s="368"/>
      <c r="TA58" s="368"/>
      <c r="TB58" s="368"/>
      <c r="TC58" s="368"/>
      <c r="TD58" s="368"/>
      <c r="TE58" s="368"/>
      <c r="TF58" s="368"/>
      <c r="TG58" s="368"/>
      <c r="TH58" s="368"/>
      <c r="TI58" s="368"/>
      <c r="TJ58" s="368"/>
      <c r="TK58" s="368"/>
      <c r="TL58" s="368"/>
      <c r="TM58" s="368"/>
      <c r="TN58" s="368"/>
      <c r="TO58" s="368"/>
      <c r="TP58" s="368"/>
      <c r="TQ58" s="368"/>
      <c r="TR58" s="368"/>
      <c r="TS58" s="368"/>
      <c r="TT58" s="368"/>
      <c r="TU58" s="368"/>
      <c r="TV58" s="368"/>
      <c r="TW58" s="368"/>
      <c r="TX58" s="368"/>
      <c r="TY58" s="368"/>
      <c r="TZ58" s="368"/>
      <c r="UA58" s="368"/>
      <c r="UB58" s="368"/>
      <c r="UC58" s="368"/>
      <c r="UD58" s="368"/>
      <c r="UE58" s="368"/>
      <c r="UF58" s="368"/>
      <c r="UG58" s="368"/>
      <c r="UH58" s="368"/>
      <c r="UI58" s="368"/>
      <c r="UJ58" s="368"/>
      <c r="UK58" s="368"/>
      <c r="UL58" s="368"/>
      <c r="UM58" s="368"/>
      <c r="UN58" s="368"/>
      <c r="UO58" s="368"/>
      <c r="UP58" s="368"/>
      <c r="UQ58" s="368"/>
      <c r="UR58" s="368"/>
      <c r="US58" s="368"/>
      <c r="UT58" s="368"/>
      <c r="UU58" s="368"/>
      <c r="UV58" s="368"/>
      <c r="UW58" s="368"/>
      <c r="UX58" s="368"/>
      <c r="UY58" s="368"/>
      <c r="UZ58" s="368"/>
      <c r="VA58" s="368"/>
      <c r="VB58" s="368"/>
      <c r="VC58" s="368"/>
      <c r="VD58" s="368"/>
      <c r="VE58" s="368"/>
      <c r="VF58" s="368"/>
      <c r="VG58" s="368"/>
      <c r="VH58" s="368"/>
      <c r="VI58" s="368"/>
      <c r="VJ58" s="368"/>
      <c r="VK58" s="368"/>
      <c r="VL58" s="368"/>
      <c r="VM58" s="368"/>
      <c r="VN58" s="368"/>
      <c r="VO58" s="368"/>
      <c r="VP58" s="368"/>
      <c r="VQ58" s="368"/>
      <c r="VR58" s="368"/>
      <c r="VS58" s="368"/>
      <c r="VT58" s="368"/>
      <c r="VU58" s="368"/>
      <c r="VV58" s="368"/>
      <c r="VW58" s="368"/>
      <c r="VX58" s="368"/>
      <c r="VY58" s="368"/>
      <c r="VZ58" s="368"/>
      <c r="WA58" s="368"/>
      <c r="WB58" s="368"/>
      <c r="WC58" s="368"/>
      <c r="WD58" s="368"/>
      <c r="WE58" s="368"/>
      <c r="WF58" s="368"/>
      <c r="WG58" s="368"/>
      <c r="WH58" s="368"/>
      <c r="WI58" s="368"/>
      <c r="WJ58" s="368"/>
      <c r="WK58" s="368"/>
      <c r="WL58" s="368"/>
      <c r="WM58" s="368"/>
      <c r="WN58" s="368"/>
      <c r="WO58" s="368"/>
      <c r="WP58" s="368"/>
      <c r="WQ58" s="368"/>
      <c r="WR58" s="368"/>
      <c r="WS58" s="368"/>
      <c r="WT58" s="368"/>
      <c r="WU58" s="368"/>
      <c r="WV58" s="368"/>
      <c r="WW58" s="368"/>
      <c r="WX58" s="368"/>
      <c r="WY58" s="368"/>
      <c r="WZ58" s="368"/>
      <c r="XA58" s="368"/>
      <c r="XB58" s="368"/>
      <c r="XC58" s="368"/>
      <c r="XD58" s="368"/>
      <c r="XE58" s="368"/>
      <c r="XF58" s="368"/>
      <c r="XG58" s="368"/>
      <c r="XH58" s="368"/>
      <c r="XI58" s="368"/>
      <c r="XJ58" s="368"/>
      <c r="XK58" s="368"/>
      <c r="XL58" s="368"/>
      <c r="XM58" s="368"/>
      <c r="XN58" s="368"/>
      <c r="XO58" s="368"/>
      <c r="XP58" s="368"/>
      <c r="XQ58" s="368"/>
      <c r="XR58" s="368"/>
      <c r="XS58" s="368"/>
      <c r="XT58" s="368"/>
      <c r="XU58" s="368"/>
      <c r="XV58" s="368"/>
      <c r="XW58" s="368"/>
      <c r="XX58" s="368"/>
      <c r="XY58" s="368"/>
      <c r="XZ58" s="368"/>
      <c r="YA58" s="368"/>
      <c r="YB58" s="368"/>
      <c r="YC58" s="368"/>
      <c r="YD58" s="368"/>
      <c r="YE58" s="368"/>
      <c r="YF58" s="368"/>
      <c r="YG58" s="368"/>
      <c r="YH58" s="368"/>
      <c r="YI58" s="368"/>
      <c r="YJ58" s="368"/>
      <c r="YK58" s="368"/>
      <c r="YL58" s="368"/>
      <c r="YM58" s="368"/>
      <c r="YN58" s="368"/>
      <c r="YO58" s="368"/>
      <c r="YP58" s="368"/>
      <c r="YQ58" s="368"/>
      <c r="YR58" s="368"/>
      <c r="YS58" s="368"/>
      <c r="YT58" s="368"/>
      <c r="YU58" s="368"/>
      <c r="YV58" s="368"/>
      <c r="YW58" s="368"/>
      <c r="YX58" s="368"/>
      <c r="YY58" s="368"/>
      <c r="YZ58" s="368"/>
      <c r="ZA58" s="368"/>
      <c r="ZB58" s="368"/>
      <c r="ZC58" s="368"/>
      <c r="ZD58" s="368"/>
      <c r="ZE58" s="368"/>
      <c r="ZF58" s="368"/>
      <c r="ZG58" s="368"/>
      <c r="ZH58" s="368"/>
      <c r="ZI58" s="368"/>
      <c r="ZJ58" s="368"/>
      <c r="ZK58" s="368"/>
      <c r="ZL58" s="368"/>
      <c r="ZM58" s="368"/>
      <c r="ZN58" s="368"/>
      <c r="ZO58" s="368"/>
      <c r="ZP58" s="368"/>
      <c r="ZQ58" s="368"/>
      <c r="ZR58" s="368"/>
      <c r="ZS58" s="368"/>
      <c r="ZT58" s="368"/>
      <c r="ZU58" s="368"/>
      <c r="ZV58" s="368"/>
      <c r="ZW58" s="368"/>
      <c r="ZX58" s="368"/>
      <c r="ZY58" s="368"/>
      <c r="ZZ58" s="368"/>
      <c r="AAA58" s="368"/>
      <c r="AAB58" s="368"/>
      <c r="AAC58" s="368"/>
      <c r="AAD58" s="368"/>
      <c r="AAE58" s="368"/>
      <c r="AAF58" s="368"/>
      <c r="AAG58" s="368"/>
      <c r="AAH58" s="368"/>
      <c r="AAI58" s="368"/>
      <c r="AAJ58" s="368"/>
      <c r="AAK58" s="368"/>
      <c r="AAL58" s="368"/>
      <c r="AAM58" s="368"/>
      <c r="AAN58" s="368"/>
      <c r="AAO58" s="368"/>
      <c r="AAP58" s="368"/>
      <c r="AAQ58" s="368"/>
      <c r="AAR58" s="368"/>
      <c r="AAS58" s="368"/>
      <c r="AAT58" s="368"/>
      <c r="AAU58" s="368"/>
      <c r="AAV58" s="368"/>
      <c r="AAW58" s="368"/>
      <c r="AAX58" s="368"/>
      <c r="AAY58" s="368"/>
      <c r="AAZ58" s="368"/>
      <c r="ABA58" s="368"/>
      <c r="ABB58" s="368"/>
      <c r="ABC58" s="368"/>
      <c r="ABD58" s="368"/>
      <c r="ABE58" s="368"/>
      <c r="ABF58" s="368"/>
      <c r="ABG58" s="368"/>
      <c r="ABH58" s="368"/>
      <c r="ABI58" s="368"/>
      <c r="ABJ58" s="368"/>
      <c r="ABK58" s="368"/>
      <c r="ABL58" s="368"/>
      <c r="ABM58" s="368"/>
      <c r="ABN58" s="368"/>
      <c r="ABO58" s="368"/>
      <c r="ABP58" s="368"/>
      <c r="ABQ58" s="368"/>
      <c r="ABR58" s="368"/>
      <c r="ABS58" s="368"/>
      <c r="ABT58" s="368"/>
      <c r="ABU58" s="368"/>
      <c r="ABV58" s="368"/>
      <c r="ABW58" s="368"/>
      <c r="ABX58" s="368"/>
      <c r="ABY58" s="368"/>
      <c r="ABZ58" s="368"/>
      <c r="ACA58" s="368"/>
      <c r="ACB58" s="368"/>
      <c r="ACC58" s="368"/>
      <c r="ACD58" s="368"/>
      <c r="ACE58" s="368"/>
      <c r="ACF58" s="368"/>
      <c r="ACG58" s="368"/>
      <c r="ACH58" s="368"/>
      <c r="ACI58" s="368"/>
      <c r="ACJ58" s="368"/>
      <c r="ACK58" s="368"/>
      <c r="ACL58" s="368"/>
      <c r="ACM58" s="368"/>
      <c r="ACN58" s="368"/>
      <c r="ACO58" s="368"/>
      <c r="ACP58" s="368"/>
      <c r="ACQ58" s="368"/>
      <c r="ACR58" s="368"/>
      <c r="ACS58" s="368"/>
      <c r="ACT58" s="368"/>
      <c r="ACU58" s="368"/>
      <c r="ACV58" s="368"/>
      <c r="ACW58" s="368"/>
      <c r="ACX58" s="368"/>
      <c r="ACY58" s="368"/>
      <c r="ACZ58" s="368"/>
      <c r="ADA58" s="368"/>
      <c r="ADB58" s="368"/>
      <c r="ADC58" s="368"/>
      <c r="ADD58" s="368"/>
      <c r="ADE58" s="368"/>
      <c r="ADF58" s="368"/>
      <c r="ADG58" s="368"/>
      <c r="ADH58" s="368"/>
      <c r="ADI58" s="368"/>
      <c r="ADJ58" s="368"/>
      <c r="ADK58" s="368"/>
      <c r="ADL58" s="368"/>
      <c r="ADM58" s="368"/>
      <c r="ADN58" s="368"/>
      <c r="ADO58" s="368"/>
      <c r="ADP58" s="368"/>
      <c r="ADQ58" s="368"/>
      <c r="ADR58" s="368"/>
      <c r="ADS58" s="368"/>
      <c r="ADT58" s="368"/>
      <c r="ADU58" s="368"/>
      <c r="ADV58" s="368"/>
      <c r="ADW58" s="368"/>
      <c r="ADX58" s="368"/>
      <c r="ADY58" s="368"/>
      <c r="ADZ58" s="368"/>
      <c r="AEA58" s="368"/>
      <c r="AEB58" s="368"/>
      <c r="AEC58" s="368"/>
      <c r="AED58" s="368"/>
      <c r="AEE58" s="368"/>
      <c r="AEF58" s="368"/>
      <c r="AEG58" s="368"/>
      <c r="AEH58" s="368"/>
      <c r="AEI58" s="368"/>
      <c r="AEJ58" s="368"/>
      <c r="AEK58" s="368"/>
      <c r="AEL58" s="368"/>
      <c r="AEM58" s="368"/>
      <c r="AEN58" s="368"/>
      <c r="AEO58" s="368"/>
      <c r="AEP58" s="368"/>
      <c r="AEQ58" s="368"/>
      <c r="AER58" s="368"/>
      <c r="AES58" s="368"/>
      <c r="AET58" s="368"/>
      <c r="AEU58" s="368"/>
      <c r="AEV58" s="368"/>
      <c r="AEW58" s="368"/>
      <c r="AEX58" s="368"/>
      <c r="AEY58" s="368"/>
      <c r="AEZ58" s="368"/>
      <c r="AFA58" s="368"/>
      <c r="AFB58" s="368"/>
      <c r="AFC58" s="368"/>
      <c r="AFD58" s="368"/>
      <c r="AFE58" s="368"/>
      <c r="AFF58" s="368"/>
      <c r="AFG58" s="368"/>
      <c r="AFH58" s="368"/>
      <c r="AFI58" s="368"/>
      <c r="AFJ58" s="368"/>
      <c r="AFK58" s="368"/>
      <c r="AFL58" s="368"/>
      <c r="AFM58" s="368"/>
      <c r="AFN58" s="368"/>
      <c r="AFO58" s="368"/>
      <c r="AFP58" s="368"/>
      <c r="AFQ58" s="368"/>
      <c r="AFR58" s="368"/>
      <c r="AFS58" s="368"/>
      <c r="AFT58" s="368"/>
      <c r="AFU58" s="368"/>
      <c r="AFV58" s="368"/>
      <c r="AFW58" s="368"/>
      <c r="AFX58" s="368"/>
      <c r="AFY58" s="368"/>
      <c r="AFZ58" s="368"/>
      <c r="AGA58" s="368"/>
      <c r="AGB58" s="368"/>
      <c r="AGC58" s="368"/>
      <c r="AGD58" s="368"/>
      <c r="AGE58" s="368"/>
      <c r="AGF58" s="368"/>
      <c r="AGG58" s="368"/>
      <c r="AGH58" s="368"/>
      <c r="AGI58" s="368"/>
      <c r="AGJ58" s="368"/>
      <c r="AGK58" s="368"/>
      <c r="AGL58" s="368"/>
      <c r="AGM58" s="368"/>
      <c r="AGN58" s="368"/>
      <c r="AGO58" s="368"/>
      <c r="AGP58" s="368"/>
      <c r="AGQ58" s="368"/>
      <c r="AGR58" s="368"/>
      <c r="AGS58" s="368"/>
      <c r="AGT58" s="368"/>
      <c r="AGU58" s="368"/>
      <c r="AGV58" s="368"/>
      <c r="AGW58" s="368"/>
      <c r="AGX58" s="368"/>
      <c r="AGY58" s="368"/>
      <c r="AGZ58" s="368"/>
      <c r="AHA58" s="368"/>
      <c r="AHB58" s="368"/>
      <c r="AHC58" s="368"/>
      <c r="AHD58" s="368"/>
      <c r="AHE58" s="368"/>
      <c r="AHF58" s="368"/>
      <c r="AHG58" s="368"/>
      <c r="AHH58" s="368"/>
      <c r="AHI58" s="368"/>
      <c r="AHJ58" s="368"/>
      <c r="AHK58" s="368"/>
      <c r="AHL58" s="368"/>
      <c r="AHM58" s="368"/>
      <c r="AHN58" s="368"/>
      <c r="AHO58" s="368"/>
      <c r="AHP58" s="368"/>
      <c r="AHQ58" s="368"/>
      <c r="AHR58" s="368"/>
      <c r="AHS58" s="368"/>
      <c r="AHT58" s="368"/>
      <c r="AHU58" s="368"/>
      <c r="AHV58" s="368"/>
      <c r="AHW58" s="368"/>
      <c r="AHX58" s="368"/>
      <c r="AHY58" s="368"/>
      <c r="AHZ58" s="368"/>
      <c r="AIA58" s="368"/>
      <c r="AIB58" s="368"/>
      <c r="AIC58" s="368"/>
      <c r="AID58" s="368"/>
      <c r="AIE58" s="368"/>
      <c r="AIF58" s="368"/>
      <c r="AIG58" s="368"/>
      <c r="AIH58" s="368"/>
      <c r="AII58" s="368"/>
      <c r="AIJ58" s="368"/>
      <c r="AIK58" s="368"/>
      <c r="AIL58" s="368"/>
      <c r="AIM58" s="368"/>
      <c r="AIN58" s="368"/>
      <c r="AIO58" s="368"/>
      <c r="AIP58" s="368"/>
      <c r="AIQ58" s="368"/>
      <c r="AIR58" s="368"/>
      <c r="AIS58" s="368"/>
      <c r="AIT58" s="368"/>
      <c r="AIU58" s="368"/>
      <c r="AIV58" s="368"/>
      <c r="AIW58" s="368"/>
      <c r="AIX58" s="368"/>
      <c r="AIY58" s="368"/>
      <c r="AIZ58" s="368"/>
      <c r="AJA58" s="368"/>
      <c r="AJB58" s="368"/>
      <c r="AJC58" s="368"/>
      <c r="AJD58" s="368"/>
      <c r="AJE58" s="368"/>
      <c r="AJF58" s="368"/>
      <c r="AJG58" s="368"/>
      <c r="AJH58" s="368"/>
      <c r="AJI58" s="368"/>
      <c r="AJJ58" s="368"/>
      <c r="AJK58" s="368"/>
      <c r="AJL58" s="368"/>
      <c r="AJM58" s="368"/>
      <c r="AJN58" s="368"/>
      <c r="AJO58" s="368"/>
      <c r="AJP58" s="368"/>
      <c r="AJQ58" s="368"/>
      <c r="AJR58" s="368"/>
      <c r="AJS58" s="368"/>
      <c r="AJT58" s="368"/>
      <c r="AJU58" s="368"/>
      <c r="AJV58" s="368"/>
      <c r="AJW58" s="368"/>
      <c r="AJX58" s="368"/>
      <c r="AJY58" s="368"/>
      <c r="AJZ58" s="368"/>
      <c r="AKA58" s="368"/>
      <c r="AKB58" s="368"/>
      <c r="AKC58" s="368"/>
      <c r="AKD58" s="368"/>
      <c r="AKE58" s="368"/>
      <c r="AKF58" s="368"/>
      <c r="AKG58" s="368"/>
      <c r="AKH58" s="368"/>
      <c r="AKI58" s="368"/>
      <c r="AKJ58" s="368"/>
      <c r="AKK58" s="368"/>
      <c r="AKL58" s="368"/>
      <c r="AKM58" s="368"/>
      <c r="AKN58" s="368"/>
    </row>
    <row r="59" spans="1:976" s="363" customFormat="1" ht="22.5" customHeight="1" x14ac:dyDescent="0.2">
      <c r="A59" s="358" t="s">
        <v>262</v>
      </c>
      <c r="B59" s="358"/>
      <c r="C59" s="358" t="s">
        <v>221</v>
      </c>
      <c r="D59" s="358" t="s">
        <v>222</v>
      </c>
      <c r="E59" s="359">
        <v>409438</v>
      </c>
      <c r="F59" s="359">
        <v>1001</v>
      </c>
      <c r="G59" s="359">
        <v>147</v>
      </c>
      <c r="H59" s="359">
        <v>0</v>
      </c>
      <c r="I59" s="360">
        <v>45798</v>
      </c>
      <c r="J59" s="358" t="s">
        <v>263</v>
      </c>
      <c r="K59" s="358" t="s">
        <v>449</v>
      </c>
      <c r="L59" s="361">
        <v>11.75</v>
      </c>
      <c r="M59" s="361">
        <v>0.65</v>
      </c>
      <c r="N59" s="448">
        <v>12.4</v>
      </c>
      <c r="O59" s="358"/>
      <c r="P59" s="362">
        <v>45811</v>
      </c>
      <c r="Q59" s="361">
        <v>12.4</v>
      </c>
      <c r="R59" s="358" t="s">
        <v>450</v>
      </c>
      <c r="S59" s="361">
        <v>0</v>
      </c>
      <c r="T59" s="361">
        <v>0</v>
      </c>
      <c r="U59" s="361">
        <v>0</v>
      </c>
      <c r="V59" s="361">
        <v>0</v>
      </c>
      <c r="W59" s="358"/>
      <c r="X59" s="358" t="s">
        <v>365</v>
      </c>
      <c r="Y59" s="358" t="s">
        <v>366</v>
      </c>
      <c r="Z59" s="358" t="s">
        <v>259</v>
      </c>
      <c r="AA59" s="358" t="s">
        <v>228</v>
      </c>
      <c r="AB59" s="358" t="s">
        <v>260</v>
      </c>
      <c r="AC59" s="358" t="s">
        <v>31</v>
      </c>
      <c r="AD59" s="358" t="s">
        <v>231</v>
      </c>
      <c r="AE59" s="358" t="s">
        <v>232</v>
      </c>
      <c r="AF59" s="358" t="s">
        <v>231</v>
      </c>
      <c r="AG59" s="358" t="s">
        <v>232</v>
      </c>
      <c r="AH59" s="358"/>
      <c r="AI59" s="358"/>
      <c r="AJ59" s="358"/>
      <c r="AK59" s="358" t="s">
        <v>451</v>
      </c>
      <c r="AL59" s="359">
        <v>1</v>
      </c>
      <c r="AM59" s="359">
        <v>0</v>
      </c>
      <c r="AN59" s="360">
        <v>45811</v>
      </c>
      <c r="AO59" s="360">
        <v>45811</v>
      </c>
      <c r="AP59" s="361">
        <v>12.4</v>
      </c>
      <c r="AQ59" s="360">
        <v>45810</v>
      </c>
      <c r="AR59" s="368"/>
      <c r="AS59" s="368"/>
      <c r="AT59" s="368"/>
      <c r="AU59" s="368"/>
      <c r="AV59" s="368"/>
      <c r="AW59" s="368"/>
      <c r="AX59" s="368"/>
      <c r="AY59" s="368"/>
      <c r="AZ59" s="368"/>
      <c r="BA59" s="368"/>
      <c r="BB59" s="368"/>
      <c r="BC59" s="368"/>
      <c r="BD59" s="368"/>
      <c r="BE59" s="368"/>
      <c r="BF59" s="368"/>
      <c r="BG59" s="368"/>
      <c r="BH59" s="368"/>
      <c r="BI59" s="368"/>
      <c r="BJ59" s="368"/>
      <c r="BK59" s="368"/>
      <c r="BL59" s="368"/>
      <c r="BM59" s="368"/>
      <c r="BN59" s="368"/>
      <c r="BO59" s="368"/>
      <c r="BP59" s="368"/>
      <c r="BQ59" s="368"/>
      <c r="BR59" s="368"/>
      <c r="BS59" s="368"/>
      <c r="BT59" s="368"/>
      <c r="BU59" s="368"/>
      <c r="BV59" s="368"/>
      <c r="BW59" s="368"/>
      <c r="BX59" s="368"/>
      <c r="BY59" s="368"/>
      <c r="BZ59" s="368"/>
      <c r="CA59" s="368"/>
      <c r="CB59" s="368"/>
      <c r="CC59" s="368"/>
      <c r="CD59" s="368"/>
      <c r="CE59" s="368"/>
      <c r="CF59" s="368"/>
      <c r="CG59" s="368"/>
      <c r="CH59" s="368"/>
      <c r="CI59" s="368"/>
      <c r="CJ59" s="368"/>
      <c r="CK59" s="368"/>
      <c r="CL59" s="368"/>
      <c r="CM59" s="368"/>
      <c r="CN59" s="368"/>
      <c r="CO59" s="368"/>
      <c r="CP59" s="368"/>
      <c r="CQ59" s="368"/>
      <c r="CR59" s="368"/>
      <c r="CS59" s="368"/>
      <c r="CT59" s="368"/>
      <c r="CU59" s="368"/>
      <c r="CV59" s="368"/>
      <c r="CW59" s="368"/>
      <c r="CX59" s="368"/>
      <c r="CY59" s="368"/>
      <c r="CZ59" s="368"/>
      <c r="DA59" s="368"/>
      <c r="DB59" s="368"/>
      <c r="DC59" s="368"/>
      <c r="DD59" s="368"/>
      <c r="DE59" s="368"/>
      <c r="DF59" s="368"/>
      <c r="DG59" s="368"/>
      <c r="DH59" s="368"/>
      <c r="DI59" s="368"/>
      <c r="DJ59" s="368"/>
      <c r="DK59" s="368"/>
      <c r="DL59" s="368"/>
      <c r="DM59" s="368"/>
      <c r="DN59" s="368"/>
      <c r="DO59" s="368"/>
      <c r="DP59" s="368"/>
      <c r="DQ59" s="368"/>
      <c r="DR59" s="368"/>
      <c r="DS59" s="368"/>
      <c r="DT59" s="368"/>
      <c r="DU59" s="368"/>
      <c r="DV59" s="368"/>
      <c r="DW59" s="368"/>
      <c r="DX59" s="368"/>
      <c r="DY59" s="368"/>
      <c r="DZ59" s="368"/>
      <c r="EA59" s="368"/>
      <c r="EB59" s="368"/>
      <c r="EC59" s="368"/>
      <c r="ED59" s="368"/>
      <c r="EE59" s="368"/>
      <c r="EF59" s="368"/>
      <c r="EG59" s="368"/>
      <c r="EH59" s="368"/>
      <c r="EI59" s="368"/>
      <c r="EJ59" s="368"/>
      <c r="EK59" s="368"/>
      <c r="EL59" s="368"/>
      <c r="EM59" s="368"/>
      <c r="EN59" s="368"/>
      <c r="EO59" s="368"/>
      <c r="EP59" s="368"/>
      <c r="EQ59" s="368"/>
      <c r="ER59" s="368"/>
      <c r="ES59" s="368"/>
      <c r="ET59" s="368"/>
      <c r="EU59" s="368"/>
      <c r="EV59" s="368"/>
      <c r="EW59" s="368"/>
      <c r="EX59" s="368"/>
      <c r="EY59" s="368"/>
      <c r="EZ59" s="368"/>
      <c r="FA59" s="368"/>
      <c r="FB59" s="368"/>
      <c r="FC59" s="368"/>
      <c r="FD59" s="368"/>
      <c r="FE59" s="368"/>
      <c r="FF59" s="368"/>
      <c r="FG59" s="368"/>
      <c r="FH59" s="368"/>
      <c r="FI59" s="368"/>
      <c r="FJ59" s="368"/>
      <c r="FK59" s="368"/>
      <c r="FL59" s="368"/>
      <c r="FM59" s="368"/>
      <c r="FN59" s="368"/>
      <c r="FO59" s="368"/>
      <c r="FP59" s="368"/>
      <c r="FQ59" s="368"/>
      <c r="FR59" s="368"/>
      <c r="FS59" s="368"/>
      <c r="FT59" s="368"/>
      <c r="FU59" s="368"/>
      <c r="FV59" s="368"/>
      <c r="FW59" s="368"/>
      <c r="FX59" s="368"/>
      <c r="FY59" s="368"/>
      <c r="FZ59" s="368"/>
      <c r="GA59" s="368"/>
      <c r="GB59" s="368"/>
      <c r="GC59" s="368"/>
      <c r="GD59" s="368"/>
      <c r="GE59" s="368"/>
      <c r="GF59" s="368"/>
      <c r="GG59" s="368"/>
      <c r="GH59" s="368"/>
      <c r="GI59" s="368"/>
      <c r="GJ59" s="368"/>
      <c r="GK59" s="368"/>
      <c r="GL59" s="368"/>
      <c r="GM59" s="368"/>
      <c r="GN59" s="368"/>
      <c r="GO59" s="368"/>
      <c r="GP59" s="368"/>
      <c r="GQ59" s="368"/>
      <c r="GR59" s="368"/>
      <c r="GS59" s="368"/>
      <c r="GT59" s="368"/>
      <c r="GU59" s="368"/>
      <c r="GV59" s="368"/>
      <c r="GW59" s="368"/>
      <c r="GX59" s="368"/>
      <c r="GY59" s="368"/>
      <c r="GZ59" s="368"/>
      <c r="HA59" s="368"/>
      <c r="HB59" s="368"/>
      <c r="HC59" s="368"/>
      <c r="HD59" s="368"/>
      <c r="HE59" s="368"/>
      <c r="HF59" s="368"/>
      <c r="HG59" s="368"/>
      <c r="HH59" s="368"/>
      <c r="HI59" s="368"/>
      <c r="HJ59" s="368"/>
      <c r="HK59" s="368"/>
      <c r="HL59" s="368"/>
      <c r="HM59" s="368"/>
      <c r="HN59" s="368"/>
      <c r="HO59" s="368"/>
      <c r="HP59" s="368"/>
      <c r="HQ59" s="368"/>
      <c r="HR59" s="368"/>
      <c r="HS59" s="368"/>
      <c r="HT59" s="368"/>
      <c r="HU59" s="368"/>
      <c r="HV59" s="368"/>
      <c r="HW59" s="368"/>
      <c r="HX59" s="368"/>
      <c r="HY59" s="368"/>
      <c r="HZ59" s="368"/>
      <c r="IA59" s="368"/>
      <c r="IB59" s="368"/>
      <c r="IC59" s="368"/>
      <c r="ID59" s="368"/>
      <c r="IE59" s="368"/>
      <c r="IF59" s="368"/>
      <c r="IG59" s="368"/>
      <c r="IH59" s="368"/>
      <c r="II59" s="368"/>
      <c r="IJ59" s="368"/>
      <c r="IK59" s="368"/>
      <c r="IL59" s="368"/>
      <c r="IM59" s="368"/>
      <c r="IN59" s="368"/>
      <c r="IO59" s="368"/>
      <c r="IP59" s="368"/>
      <c r="IQ59" s="368"/>
      <c r="IR59" s="368"/>
      <c r="IS59" s="368"/>
      <c r="IT59" s="368"/>
      <c r="IU59" s="368"/>
      <c r="IV59" s="368"/>
      <c r="IW59" s="368"/>
      <c r="IX59" s="368"/>
      <c r="IY59" s="368"/>
      <c r="IZ59" s="368"/>
      <c r="JA59" s="368"/>
      <c r="JB59" s="368"/>
      <c r="JC59" s="368"/>
      <c r="JD59" s="368"/>
      <c r="JE59" s="368"/>
      <c r="JF59" s="368"/>
      <c r="JG59" s="368"/>
      <c r="JH59" s="368"/>
      <c r="JI59" s="368"/>
      <c r="JJ59" s="368"/>
      <c r="JK59" s="368"/>
      <c r="JL59" s="368"/>
      <c r="JM59" s="368"/>
      <c r="JN59" s="368"/>
      <c r="JO59" s="368"/>
      <c r="JP59" s="368"/>
      <c r="JQ59" s="368"/>
      <c r="JR59" s="368"/>
      <c r="JS59" s="368"/>
      <c r="JT59" s="368"/>
      <c r="JU59" s="368"/>
      <c r="JV59" s="368"/>
      <c r="JW59" s="368"/>
      <c r="JX59" s="368"/>
      <c r="JY59" s="368"/>
      <c r="JZ59" s="368"/>
      <c r="KA59" s="368"/>
      <c r="KB59" s="368"/>
      <c r="KC59" s="368"/>
      <c r="KD59" s="368"/>
      <c r="KE59" s="368"/>
      <c r="KF59" s="368"/>
      <c r="KG59" s="368"/>
      <c r="KH59" s="368"/>
      <c r="KI59" s="368"/>
      <c r="KJ59" s="368"/>
      <c r="KK59" s="368"/>
      <c r="KL59" s="368"/>
      <c r="KM59" s="368"/>
      <c r="KN59" s="368"/>
      <c r="KO59" s="368"/>
      <c r="KP59" s="368"/>
      <c r="KQ59" s="368"/>
      <c r="KR59" s="368"/>
      <c r="KS59" s="368"/>
      <c r="KT59" s="368"/>
      <c r="KU59" s="368"/>
      <c r="KV59" s="368"/>
      <c r="KW59" s="368"/>
      <c r="KX59" s="368"/>
      <c r="KY59" s="368"/>
      <c r="KZ59" s="368"/>
      <c r="LA59" s="368"/>
      <c r="LB59" s="368"/>
      <c r="LC59" s="368"/>
      <c r="LD59" s="368"/>
      <c r="LE59" s="368"/>
      <c r="LF59" s="368"/>
      <c r="LG59" s="368"/>
      <c r="LH59" s="368"/>
      <c r="LI59" s="368"/>
      <c r="LJ59" s="368"/>
      <c r="LK59" s="368"/>
      <c r="LL59" s="368"/>
      <c r="LM59" s="368"/>
      <c r="LN59" s="368"/>
      <c r="LO59" s="368"/>
      <c r="LP59" s="368"/>
      <c r="LQ59" s="368"/>
      <c r="LR59" s="368"/>
      <c r="LS59" s="368"/>
      <c r="LT59" s="368"/>
      <c r="LU59" s="368"/>
      <c r="LV59" s="368"/>
      <c r="LW59" s="368"/>
      <c r="LX59" s="368"/>
      <c r="LY59" s="368"/>
      <c r="LZ59" s="368"/>
      <c r="MA59" s="368"/>
      <c r="MB59" s="368"/>
      <c r="MC59" s="368"/>
      <c r="MD59" s="368"/>
      <c r="ME59" s="368"/>
      <c r="MF59" s="368"/>
      <c r="MG59" s="368"/>
      <c r="MH59" s="368"/>
      <c r="MI59" s="368"/>
      <c r="MJ59" s="368"/>
      <c r="MK59" s="368"/>
      <c r="ML59" s="368"/>
      <c r="MM59" s="368"/>
      <c r="MN59" s="368"/>
      <c r="MO59" s="368"/>
      <c r="MP59" s="368"/>
      <c r="MQ59" s="368"/>
      <c r="MR59" s="368"/>
      <c r="MS59" s="368"/>
      <c r="MT59" s="368"/>
      <c r="MU59" s="368"/>
      <c r="MV59" s="368"/>
      <c r="MW59" s="368"/>
      <c r="MX59" s="368"/>
      <c r="MY59" s="368"/>
      <c r="MZ59" s="368"/>
      <c r="NA59" s="368"/>
      <c r="NB59" s="368"/>
      <c r="NC59" s="368"/>
      <c r="ND59" s="368"/>
      <c r="NE59" s="368"/>
      <c r="NF59" s="368"/>
      <c r="NG59" s="368"/>
      <c r="NH59" s="368"/>
      <c r="NI59" s="368"/>
      <c r="NJ59" s="368"/>
      <c r="NK59" s="368"/>
      <c r="NL59" s="368"/>
      <c r="NM59" s="368"/>
      <c r="NN59" s="368"/>
      <c r="NO59" s="368"/>
      <c r="NP59" s="368"/>
      <c r="NQ59" s="368"/>
      <c r="NR59" s="368"/>
      <c r="NS59" s="368"/>
      <c r="NT59" s="368"/>
      <c r="NU59" s="368"/>
      <c r="NV59" s="368"/>
      <c r="NW59" s="368"/>
      <c r="NX59" s="368"/>
      <c r="NY59" s="368"/>
      <c r="NZ59" s="368"/>
      <c r="OA59" s="368"/>
      <c r="OB59" s="368"/>
      <c r="OC59" s="368"/>
      <c r="OD59" s="368"/>
      <c r="OE59" s="368"/>
      <c r="OF59" s="368"/>
      <c r="OG59" s="368"/>
      <c r="OH59" s="368"/>
      <c r="OI59" s="368"/>
      <c r="OJ59" s="368"/>
      <c r="OK59" s="368"/>
      <c r="OL59" s="368"/>
      <c r="OM59" s="368"/>
      <c r="ON59" s="368"/>
      <c r="OO59" s="368"/>
      <c r="OP59" s="368"/>
      <c r="OQ59" s="368"/>
      <c r="OR59" s="368"/>
      <c r="OS59" s="368"/>
      <c r="OT59" s="368"/>
      <c r="OU59" s="368"/>
      <c r="OV59" s="368"/>
      <c r="OW59" s="368"/>
      <c r="OX59" s="368"/>
      <c r="OY59" s="368"/>
      <c r="OZ59" s="368"/>
      <c r="PA59" s="368"/>
      <c r="PB59" s="368"/>
      <c r="PC59" s="368"/>
      <c r="PD59" s="368"/>
      <c r="PE59" s="368"/>
      <c r="PF59" s="368"/>
      <c r="PG59" s="368"/>
      <c r="PH59" s="368"/>
      <c r="PI59" s="368"/>
      <c r="PJ59" s="368"/>
      <c r="PK59" s="368"/>
      <c r="PL59" s="368"/>
      <c r="PM59" s="368"/>
      <c r="PN59" s="368"/>
      <c r="PO59" s="368"/>
      <c r="PP59" s="368"/>
      <c r="PQ59" s="368"/>
      <c r="PR59" s="368"/>
      <c r="PS59" s="368"/>
      <c r="PT59" s="368"/>
      <c r="PU59" s="368"/>
      <c r="PV59" s="368"/>
      <c r="PW59" s="368"/>
      <c r="PX59" s="368"/>
      <c r="PY59" s="368"/>
      <c r="PZ59" s="368"/>
      <c r="QA59" s="368"/>
      <c r="QB59" s="368"/>
      <c r="QC59" s="368"/>
      <c r="QD59" s="368"/>
      <c r="QE59" s="368"/>
      <c r="QF59" s="368"/>
      <c r="QG59" s="368"/>
      <c r="QH59" s="368"/>
      <c r="QI59" s="368"/>
      <c r="QJ59" s="368"/>
      <c r="QK59" s="368"/>
      <c r="QL59" s="368"/>
      <c r="QM59" s="368"/>
      <c r="QN59" s="368"/>
      <c r="QO59" s="368"/>
      <c r="QP59" s="368"/>
      <c r="QQ59" s="368"/>
      <c r="QR59" s="368"/>
      <c r="QS59" s="368"/>
      <c r="QT59" s="368"/>
      <c r="QU59" s="368"/>
      <c r="QV59" s="368"/>
      <c r="QW59" s="368"/>
      <c r="QX59" s="368"/>
      <c r="QY59" s="368"/>
      <c r="QZ59" s="368"/>
      <c r="RA59" s="368"/>
      <c r="RB59" s="368"/>
      <c r="RC59" s="368"/>
      <c r="RD59" s="368"/>
      <c r="RE59" s="368"/>
      <c r="RF59" s="368"/>
      <c r="RG59" s="368"/>
      <c r="RH59" s="368"/>
      <c r="RI59" s="368"/>
      <c r="RJ59" s="368"/>
      <c r="RK59" s="368"/>
      <c r="RL59" s="368"/>
      <c r="RM59" s="368"/>
      <c r="RN59" s="368"/>
      <c r="RO59" s="368"/>
      <c r="RP59" s="368"/>
      <c r="RQ59" s="368"/>
      <c r="RR59" s="368"/>
      <c r="RS59" s="368"/>
      <c r="RT59" s="368"/>
      <c r="RU59" s="368"/>
      <c r="RV59" s="368"/>
      <c r="RW59" s="368"/>
      <c r="RX59" s="368"/>
      <c r="RY59" s="368"/>
      <c r="RZ59" s="368"/>
      <c r="SA59" s="368"/>
      <c r="SB59" s="368"/>
      <c r="SC59" s="368"/>
      <c r="SD59" s="368"/>
      <c r="SE59" s="368"/>
      <c r="SF59" s="368"/>
      <c r="SG59" s="368"/>
      <c r="SH59" s="368"/>
      <c r="SI59" s="368"/>
      <c r="SJ59" s="368"/>
      <c r="SK59" s="368"/>
      <c r="SL59" s="368"/>
      <c r="SM59" s="368"/>
      <c r="SN59" s="368"/>
      <c r="SO59" s="368"/>
      <c r="SP59" s="368"/>
      <c r="SQ59" s="368"/>
      <c r="SR59" s="368"/>
      <c r="SS59" s="368"/>
      <c r="ST59" s="368"/>
      <c r="SU59" s="368"/>
      <c r="SV59" s="368"/>
      <c r="SW59" s="368"/>
      <c r="SX59" s="368"/>
      <c r="SY59" s="368"/>
      <c r="SZ59" s="368"/>
      <c r="TA59" s="368"/>
      <c r="TB59" s="368"/>
      <c r="TC59" s="368"/>
      <c r="TD59" s="368"/>
      <c r="TE59" s="368"/>
      <c r="TF59" s="368"/>
      <c r="TG59" s="368"/>
      <c r="TH59" s="368"/>
      <c r="TI59" s="368"/>
      <c r="TJ59" s="368"/>
      <c r="TK59" s="368"/>
      <c r="TL59" s="368"/>
      <c r="TM59" s="368"/>
      <c r="TN59" s="368"/>
      <c r="TO59" s="368"/>
      <c r="TP59" s="368"/>
      <c r="TQ59" s="368"/>
      <c r="TR59" s="368"/>
      <c r="TS59" s="368"/>
      <c r="TT59" s="368"/>
      <c r="TU59" s="368"/>
      <c r="TV59" s="368"/>
      <c r="TW59" s="368"/>
      <c r="TX59" s="368"/>
      <c r="TY59" s="368"/>
      <c r="TZ59" s="368"/>
      <c r="UA59" s="368"/>
      <c r="UB59" s="368"/>
      <c r="UC59" s="368"/>
      <c r="UD59" s="368"/>
      <c r="UE59" s="368"/>
      <c r="UF59" s="368"/>
      <c r="UG59" s="368"/>
      <c r="UH59" s="368"/>
      <c r="UI59" s="368"/>
      <c r="UJ59" s="368"/>
      <c r="UK59" s="368"/>
      <c r="UL59" s="368"/>
      <c r="UM59" s="368"/>
      <c r="UN59" s="368"/>
      <c r="UO59" s="368"/>
      <c r="UP59" s="368"/>
      <c r="UQ59" s="368"/>
      <c r="UR59" s="368"/>
      <c r="US59" s="368"/>
      <c r="UT59" s="368"/>
      <c r="UU59" s="368"/>
      <c r="UV59" s="368"/>
      <c r="UW59" s="368"/>
      <c r="UX59" s="368"/>
      <c r="UY59" s="368"/>
      <c r="UZ59" s="368"/>
      <c r="VA59" s="368"/>
      <c r="VB59" s="368"/>
      <c r="VC59" s="368"/>
      <c r="VD59" s="368"/>
      <c r="VE59" s="368"/>
      <c r="VF59" s="368"/>
      <c r="VG59" s="368"/>
      <c r="VH59" s="368"/>
      <c r="VI59" s="368"/>
      <c r="VJ59" s="368"/>
      <c r="VK59" s="368"/>
      <c r="VL59" s="368"/>
      <c r="VM59" s="368"/>
      <c r="VN59" s="368"/>
      <c r="VO59" s="368"/>
      <c r="VP59" s="368"/>
      <c r="VQ59" s="368"/>
      <c r="VR59" s="368"/>
      <c r="VS59" s="368"/>
      <c r="VT59" s="368"/>
      <c r="VU59" s="368"/>
      <c r="VV59" s="368"/>
      <c r="VW59" s="368"/>
      <c r="VX59" s="368"/>
      <c r="VY59" s="368"/>
      <c r="VZ59" s="368"/>
      <c r="WA59" s="368"/>
      <c r="WB59" s="368"/>
      <c r="WC59" s="368"/>
      <c r="WD59" s="368"/>
      <c r="WE59" s="368"/>
      <c r="WF59" s="368"/>
      <c r="WG59" s="368"/>
      <c r="WH59" s="368"/>
      <c r="WI59" s="368"/>
      <c r="WJ59" s="368"/>
      <c r="WK59" s="368"/>
      <c r="WL59" s="368"/>
      <c r="WM59" s="368"/>
      <c r="WN59" s="368"/>
      <c r="WO59" s="368"/>
      <c r="WP59" s="368"/>
      <c r="WQ59" s="368"/>
      <c r="WR59" s="368"/>
      <c r="WS59" s="368"/>
      <c r="WT59" s="368"/>
      <c r="WU59" s="368"/>
      <c r="WV59" s="368"/>
      <c r="WW59" s="368"/>
      <c r="WX59" s="368"/>
      <c r="WY59" s="368"/>
      <c r="WZ59" s="368"/>
      <c r="XA59" s="368"/>
      <c r="XB59" s="368"/>
      <c r="XC59" s="368"/>
      <c r="XD59" s="368"/>
      <c r="XE59" s="368"/>
      <c r="XF59" s="368"/>
      <c r="XG59" s="368"/>
      <c r="XH59" s="368"/>
      <c r="XI59" s="368"/>
      <c r="XJ59" s="368"/>
      <c r="XK59" s="368"/>
      <c r="XL59" s="368"/>
      <c r="XM59" s="368"/>
      <c r="XN59" s="368"/>
      <c r="XO59" s="368"/>
      <c r="XP59" s="368"/>
      <c r="XQ59" s="368"/>
      <c r="XR59" s="368"/>
      <c r="XS59" s="368"/>
      <c r="XT59" s="368"/>
      <c r="XU59" s="368"/>
      <c r="XV59" s="368"/>
      <c r="XW59" s="368"/>
      <c r="XX59" s="368"/>
      <c r="XY59" s="368"/>
      <c r="XZ59" s="368"/>
      <c r="YA59" s="368"/>
      <c r="YB59" s="368"/>
      <c r="YC59" s="368"/>
      <c r="YD59" s="368"/>
      <c r="YE59" s="368"/>
      <c r="YF59" s="368"/>
      <c r="YG59" s="368"/>
      <c r="YH59" s="368"/>
      <c r="YI59" s="368"/>
      <c r="YJ59" s="368"/>
      <c r="YK59" s="368"/>
      <c r="YL59" s="368"/>
      <c r="YM59" s="368"/>
      <c r="YN59" s="368"/>
      <c r="YO59" s="368"/>
      <c r="YP59" s="368"/>
      <c r="YQ59" s="368"/>
      <c r="YR59" s="368"/>
      <c r="YS59" s="368"/>
      <c r="YT59" s="368"/>
      <c r="YU59" s="368"/>
      <c r="YV59" s="368"/>
      <c r="YW59" s="368"/>
      <c r="YX59" s="368"/>
      <c r="YY59" s="368"/>
      <c r="YZ59" s="368"/>
      <c r="ZA59" s="368"/>
      <c r="ZB59" s="368"/>
      <c r="ZC59" s="368"/>
      <c r="ZD59" s="368"/>
      <c r="ZE59" s="368"/>
      <c r="ZF59" s="368"/>
      <c r="ZG59" s="368"/>
      <c r="ZH59" s="368"/>
      <c r="ZI59" s="368"/>
      <c r="ZJ59" s="368"/>
      <c r="ZK59" s="368"/>
      <c r="ZL59" s="368"/>
      <c r="ZM59" s="368"/>
      <c r="ZN59" s="368"/>
      <c r="ZO59" s="368"/>
      <c r="ZP59" s="368"/>
      <c r="ZQ59" s="368"/>
      <c r="ZR59" s="368"/>
      <c r="ZS59" s="368"/>
      <c r="ZT59" s="368"/>
      <c r="ZU59" s="368"/>
      <c r="ZV59" s="368"/>
      <c r="ZW59" s="368"/>
      <c r="ZX59" s="368"/>
      <c r="ZY59" s="368"/>
      <c r="ZZ59" s="368"/>
      <c r="AAA59" s="368"/>
      <c r="AAB59" s="368"/>
      <c r="AAC59" s="368"/>
      <c r="AAD59" s="368"/>
      <c r="AAE59" s="368"/>
      <c r="AAF59" s="368"/>
      <c r="AAG59" s="368"/>
      <c r="AAH59" s="368"/>
      <c r="AAI59" s="368"/>
      <c r="AAJ59" s="368"/>
      <c r="AAK59" s="368"/>
      <c r="AAL59" s="368"/>
      <c r="AAM59" s="368"/>
      <c r="AAN59" s="368"/>
      <c r="AAO59" s="368"/>
      <c r="AAP59" s="368"/>
      <c r="AAQ59" s="368"/>
      <c r="AAR59" s="368"/>
      <c r="AAS59" s="368"/>
      <c r="AAT59" s="368"/>
      <c r="AAU59" s="368"/>
      <c r="AAV59" s="368"/>
      <c r="AAW59" s="368"/>
      <c r="AAX59" s="368"/>
      <c r="AAY59" s="368"/>
      <c r="AAZ59" s="368"/>
      <c r="ABA59" s="368"/>
      <c r="ABB59" s="368"/>
      <c r="ABC59" s="368"/>
      <c r="ABD59" s="368"/>
      <c r="ABE59" s="368"/>
      <c r="ABF59" s="368"/>
      <c r="ABG59" s="368"/>
      <c r="ABH59" s="368"/>
      <c r="ABI59" s="368"/>
      <c r="ABJ59" s="368"/>
      <c r="ABK59" s="368"/>
      <c r="ABL59" s="368"/>
      <c r="ABM59" s="368"/>
      <c r="ABN59" s="368"/>
      <c r="ABO59" s="368"/>
      <c r="ABP59" s="368"/>
      <c r="ABQ59" s="368"/>
      <c r="ABR59" s="368"/>
      <c r="ABS59" s="368"/>
      <c r="ABT59" s="368"/>
      <c r="ABU59" s="368"/>
      <c r="ABV59" s="368"/>
      <c r="ABW59" s="368"/>
      <c r="ABX59" s="368"/>
      <c r="ABY59" s="368"/>
      <c r="ABZ59" s="368"/>
      <c r="ACA59" s="368"/>
      <c r="ACB59" s="368"/>
      <c r="ACC59" s="368"/>
      <c r="ACD59" s="368"/>
      <c r="ACE59" s="368"/>
      <c r="ACF59" s="368"/>
      <c r="ACG59" s="368"/>
      <c r="ACH59" s="368"/>
      <c r="ACI59" s="368"/>
      <c r="ACJ59" s="368"/>
      <c r="ACK59" s="368"/>
      <c r="ACL59" s="368"/>
      <c r="ACM59" s="368"/>
      <c r="ACN59" s="368"/>
      <c r="ACO59" s="368"/>
      <c r="ACP59" s="368"/>
      <c r="ACQ59" s="368"/>
      <c r="ACR59" s="368"/>
      <c r="ACS59" s="368"/>
      <c r="ACT59" s="368"/>
      <c r="ACU59" s="368"/>
      <c r="ACV59" s="368"/>
      <c r="ACW59" s="368"/>
      <c r="ACX59" s="368"/>
      <c r="ACY59" s="368"/>
      <c r="ACZ59" s="368"/>
      <c r="ADA59" s="368"/>
      <c r="ADB59" s="368"/>
      <c r="ADC59" s="368"/>
      <c r="ADD59" s="368"/>
      <c r="ADE59" s="368"/>
      <c r="ADF59" s="368"/>
      <c r="ADG59" s="368"/>
      <c r="ADH59" s="368"/>
      <c r="ADI59" s="368"/>
      <c r="ADJ59" s="368"/>
      <c r="ADK59" s="368"/>
      <c r="ADL59" s="368"/>
      <c r="ADM59" s="368"/>
      <c r="ADN59" s="368"/>
      <c r="ADO59" s="368"/>
      <c r="ADP59" s="368"/>
      <c r="ADQ59" s="368"/>
      <c r="ADR59" s="368"/>
      <c r="ADS59" s="368"/>
      <c r="ADT59" s="368"/>
      <c r="ADU59" s="368"/>
      <c r="ADV59" s="368"/>
      <c r="ADW59" s="368"/>
      <c r="ADX59" s="368"/>
      <c r="ADY59" s="368"/>
      <c r="ADZ59" s="368"/>
      <c r="AEA59" s="368"/>
      <c r="AEB59" s="368"/>
      <c r="AEC59" s="368"/>
      <c r="AED59" s="368"/>
      <c r="AEE59" s="368"/>
      <c r="AEF59" s="368"/>
      <c r="AEG59" s="368"/>
      <c r="AEH59" s="368"/>
      <c r="AEI59" s="368"/>
      <c r="AEJ59" s="368"/>
      <c r="AEK59" s="368"/>
      <c r="AEL59" s="368"/>
      <c r="AEM59" s="368"/>
      <c r="AEN59" s="368"/>
      <c r="AEO59" s="368"/>
      <c r="AEP59" s="368"/>
      <c r="AEQ59" s="368"/>
      <c r="AER59" s="368"/>
      <c r="AES59" s="368"/>
      <c r="AET59" s="368"/>
      <c r="AEU59" s="368"/>
      <c r="AEV59" s="368"/>
      <c r="AEW59" s="368"/>
      <c r="AEX59" s="368"/>
      <c r="AEY59" s="368"/>
      <c r="AEZ59" s="368"/>
      <c r="AFA59" s="368"/>
      <c r="AFB59" s="368"/>
      <c r="AFC59" s="368"/>
      <c r="AFD59" s="368"/>
      <c r="AFE59" s="368"/>
      <c r="AFF59" s="368"/>
      <c r="AFG59" s="368"/>
      <c r="AFH59" s="368"/>
      <c r="AFI59" s="368"/>
      <c r="AFJ59" s="368"/>
      <c r="AFK59" s="368"/>
      <c r="AFL59" s="368"/>
      <c r="AFM59" s="368"/>
      <c r="AFN59" s="368"/>
      <c r="AFO59" s="368"/>
      <c r="AFP59" s="368"/>
      <c r="AFQ59" s="368"/>
      <c r="AFR59" s="368"/>
      <c r="AFS59" s="368"/>
      <c r="AFT59" s="368"/>
      <c r="AFU59" s="368"/>
      <c r="AFV59" s="368"/>
      <c r="AFW59" s="368"/>
      <c r="AFX59" s="368"/>
      <c r="AFY59" s="368"/>
      <c r="AFZ59" s="368"/>
      <c r="AGA59" s="368"/>
      <c r="AGB59" s="368"/>
      <c r="AGC59" s="368"/>
      <c r="AGD59" s="368"/>
      <c r="AGE59" s="368"/>
      <c r="AGF59" s="368"/>
      <c r="AGG59" s="368"/>
      <c r="AGH59" s="368"/>
      <c r="AGI59" s="368"/>
      <c r="AGJ59" s="368"/>
      <c r="AGK59" s="368"/>
      <c r="AGL59" s="368"/>
      <c r="AGM59" s="368"/>
      <c r="AGN59" s="368"/>
      <c r="AGO59" s="368"/>
      <c r="AGP59" s="368"/>
      <c r="AGQ59" s="368"/>
      <c r="AGR59" s="368"/>
      <c r="AGS59" s="368"/>
      <c r="AGT59" s="368"/>
      <c r="AGU59" s="368"/>
      <c r="AGV59" s="368"/>
      <c r="AGW59" s="368"/>
      <c r="AGX59" s="368"/>
      <c r="AGY59" s="368"/>
      <c r="AGZ59" s="368"/>
      <c r="AHA59" s="368"/>
      <c r="AHB59" s="368"/>
      <c r="AHC59" s="368"/>
      <c r="AHD59" s="368"/>
      <c r="AHE59" s="368"/>
      <c r="AHF59" s="368"/>
      <c r="AHG59" s="368"/>
      <c r="AHH59" s="368"/>
      <c r="AHI59" s="368"/>
      <c r="AHJ59" s="368"/>
      <c r="AHK59" s="368"/>
      <c r="AHL59" s="368"/>
      <c r="AHM59" s="368"/>
      <c r="AHN59" s="368"/>
      <c r="AHO59" s="368"/>
      <c r="AHP59" s="368"/>
      <c r="AHQ59" s="368"/>
      <c r="AHR59" s="368"/>
      <c r="AHS59" s="368"/>
      <c r="AHT59" s="368"/>
      <c r="AHU59" s="368"/>
      <c r="AHV59" s="368"/>
      <c r="AHW59" s="368"/>
      <c r="AHX59" s="368"/>
      <c r="AHY59" s="368"/>
      <c r="AHZ59" s="368"/>
      <c r="AIA59" s="368"/>
      <c r="AIB59" s="368"/>
      <c r="AIC59" s="368"/>
      <c r="AID59" s="368"/>
      <c r="AIE59" s="368"/>
      <c r="AIF59" s="368"/>
      <c r="AIG59" s="368"/>
      <c r="AIH59" s="368"/>
      <c r="AII59" s="368"/>
      <c r="AIJ59" s="368"/>
      <c r="AIK59" s="368"/>
      <c r="AIL59" s="368"/>
      <c r="AIM59" s="368"/>
      <c r="AIN59" s="368"/>
      <c r="AIO59" s="368"/>
      <c r="AIP59" s="368"/>
      <c r="AIQ59" s="368"/>
      <c r="AIR59" s="368"/>
      <c r="AIS59" s="368"/>
      <c r="AIT59" s="368"/>
      <c r="AIU59" s="368"/>
      <c r="AIV59" s="368"/>
      <c r="AIW59" s="368"/>
      <c r="AIX59" s="368"/>
      <c r="AIY59" s="368"/>
      <c r="AIZ59" s="368"/>
      <c r="AJA59" s="368"/>
      <c r="AJB59" s="368"/>
      <c r="AJC59" s="368"/>
      <c r="AJD59" s="368"/>
      <c r="AJE59" s="368"/>
      <c r="AJF59" s="368"/>
      <c r="AJG59" s="368"/>
      <c r="AJH59" s="368"/>
      <c r="AJI59" s="368"/>
      <c r="AJJ59" s="368"/>
      <c r="AJK59" s="368"/>
      <c r="AJL59" s="368"/>
      <c r="AJM59" s="368"/>
      <c r="AJN59" s="368"/>
      <c r="AJO59" s="368"/>
      <c r="AJP59" s="368"/>
      <c r="AJQ59" s="368"/>
      <c r="AJR59" s="368"/>
      <c r="AJS59" s="368"/>
      <c r="AJT59" s="368"/>
      <c r="AJU59" s="368"/>
      <c r="AJV59" s="368"/>
      <c r="AJW59" s="368"/>
      <c r="AJX59" s="368"/>
      <c r="AJY59" s="368"/>
      <c r="AJZ59" s="368"/>
      <c r="AKA59" s="368"/>
      <c r="AKB59" s="368"/>
      <c r="AKC59" s="368"/>
      <c r="AKD59" s="368"/>
      <c r="AKE59" s="368"/>
      <c r="AKF59" s="368"/>
      <c r="AKG59" s="368"/>
      <c r="AKH59" s="368"/>
      <c r="AKI59" s="368"/>
      <c r="AKJ59" s="368"/>
      <c r="AKK59" s="368"/>
      <c r="AKL59" s="368"/>
      <c r="AKM59" s="368"/>
      <c r="AKN59" s="368"/>
    </row>
    <row r="60" spans="1:976" s="363" customFormat="1" ht="22.5" customHeight="1" x14ac:dyDescent="0.2">
      <c r="A60" s="358" t="s">
        <v>262</v>
      </c>
      <c r="B60" s="358"/>
      <c r="C60" s="358" t="s">
        <v>221</v>
      </c>
      <c r="D60" s="358" t="s">
        <v>222</v>
      </c>
      <c r="E60" s="359">
        <v>409473</v>
      </c>
      <c r="F60" s="359">
        <v>1030</v>
      </c>
      <c r="G60" s="359">
        <v>152</v>
      </c>
      <c r="H60" s="359">
        <v>0</v>
      </c>
      <c r="I60" s="360">
        <v>45804</v>
      </c>
      <c r="J60" s="358" t="s">
        <v>395</v>
      </c>
      <c r="K60" s="358" t="s">
        <v>452</v>
      </c>
      <c r="L60" s="361">
        <v>86.27</v>
      </c>
      <c r="M60" s="361">
        <v>11.88</v>
      </c>
      <c r="N60" s="448">
        <v>98.15</v>
      </c>
      <c r="O60" s="358"/>
      <c r="P60" s="362">
        <v>45810</v>
      </c>
      <c r="Q60" s="361">
        <v>98.15</v>
      </c>
      <c r="R60" s="358" t="s">
        <v>453</v>
      </c>
      <c r="S60" s="361">
        <v>0</v>
      </c>
      <c r="T60" s="361">
        <v>0</v>
      </c>
      <c r="U60" s="361">
        <v>0</v>
      </c>
      <c r="V60" s="361">
        <v>0</v>
      </c>
      <c r="W60" s="358"/>
      <c r="X60" s="358" t="s">
        <v>365</v>
      </c>
      <c r="Y60" s="358" t="s">
        <v>366</v>
      </c>
      <c r="Z60" s="358" t="s">
        <v>288</v>
      </c>
      <c r="AA60" s="358" t="s">
        <v>228</v>
      </c>
      <c r="AB60" s="358" t="s">
        <v>289</v>
      </c>
      <c r="AC60" s="358" t="s">
        <v>31</v>
      </c>
      <c r="AD60" s="358" t="s">
        <v>231</v>
      </c>
      <c r="AE60" s="358" t="s">
        <v>232</v>
      </c>
      <c r="AF60" s="358" t="s">
        <v>231</v>
      </c>
      <c r="AG60" s="358" t="s">
        <v>232</v>
      </c>
      <c r="AH60" s="358"/>
      <c r="AI60" s="358"/>
      <c r="AJ60" s="358"/>
      <c r="AK60" s="358" t="s">
        <v>454</v>
      </c>
      <c r="AL60" s="359">
        <v>1</v>
      </c>
      <c r="AM60" s="359">
        <v>0</v>
      </c>
      <c r="AN60" s="360">
        <v>45810</v>
      </c>
      <c r="AO60" s="360">
        <v>45810</v>
      </c>
      <c r="AP60" s="361">
        <v>98.15</v>
      </c>
      <c r="AQ60" s="360">
        <v>45809</v>
      </c>
      <c r="AR60" s="368"/>
      <c r="AS60" s="368"/>
      <c r="AT60" s="368"/>
      <c r="AU60" s="368"/>
      <c r="AV60" s="368"/>
      <c r="AW60" s="368"/>
      <c r="AX60" s="368"/>
      <c r="AY60" s="368"/>
      <c r="AZ60" s="368"/>
      <c r="BA60" s="368"/>
      <c r="BB60" s="368"/>
      <c r="BC60" s="368"/>
      <c r="BD60" s="368"/>
      <c r="BE60" s="368"/>
      <c r="BF60" s="368"/>
      <c r="BG60" s="368"/>
      <c r="BH60" s="368"/>
      <c r="BI60" s="368"/>
      <c r="BJ60" s="368"/>
      <c r="BK60" s="368"/>
      <c r="BL60" s="368"/>
      <c r="BM60" s="368"/>
      <c r="BN60" s="368"/>
      <c r="BO60" s="368"/>
      <c r="BP60" s="368"/>
      <c r="BQ60" s="368"/>
      <c r="BR60" s="368"/>
      <c r="BS60" s="368"/>
      <c r="BT60" s="368"/>
      <c r="BU60" s="368"/>
      <c r="BV60" s="368"/>
      <c r="BW60" s="368"/>
      <c r="BX60" s="368"/>
      <c r="BY60" s="368"/>
      <c r="BZ60" s="368"/>
      <c r="CA60" s="368"/>
      <c r="CB60" s="368"/>
      <c r="CC60" s="368"/>
      <c r="CD60" s="368"/>
      <c r="CE60" s="368"/>
      <c r="CF60" s="368"/>
      <c r="CG60" s="368"/>
      <c r="CH60" s="368"/>
      <c r="CI60" s="368"/>
      <c r="CJ60" s="368"/>
      <c r="CK60" s="368"/>
      <c r="CL60" s="368"/>
      <c r="CM60" s="368"/>
      <c r="CN60" s="368"/>
      <c r="CO60" s="368"/>
      <c r="CP60" s="368"/>
      <c r="CQ60" s="368"/>
      <c r="CR60" s="368"/>
      <c r="CS60" s="368"/>
      <c r="CT60" s="368"/>
      <c r="CU60" s="368"/>
      <c r="CV60" s="368"/>
      <c r="CW60" s="368"/>
      <c r="CX60" s="368"/>
      <c r="CY60" s="368"/>
      <c r="CZ60" s="368"/>
      <c r="DA60" s="368"/>
      <c r="DB60" s="368"/>
      <c r="DC60" s="368"/>
      <c r="DD60" s="368"/>
      <c r="DE60" s="368"/>
      <c r="DF60" s="368"/>
      <c r="DG60" s="368"/>
      <c r="DH60" s="368"/>
      <c r="DI60" s="368"/>
      <c r="DJ60" s="368"/>
      <c r="DK60" s="368"/>
      <c r="DL60" s="368"/>
      <c r="DM60" s="368"/>
      <c r="DN60" s="368"/>
      <c r="DO60" s="368"/>
      <c r="DP60" s="368"/>
      <c r="DQ60" s="368"/>
      <c r="DR60" s="368"/>
      <c r="DS60" s="368"/>
      <c r="DT60" s="368"/>
      <c r="DU60" s="368"/>
      <c r="DV60" s="368"/>
      <c r="DW60" s="368"/>
      <c r="DX60" s="368"/>
      <c r="DY60" s="368"/>
      <c r="DZ60" s="368"/>
      <c r="EA60" s="368"/>
      <c r="EB60" s="368"/>
      <c r="EC60" s="368"/>
      <c r="ED60" s="368"/>
      <c r="EE60" s="368"/>
      <c r="EF60" s="368"/>
      <c r="EG60" s="368"/>
      <c r="EH60" s="368"/>
      <c r="EI60" s="368"/>
      <c r="EJ60" s="368"/>
      <c r="EK60" s="368"/>
      <c r="EL60" s="368"/>
      <c r="EM60" s="368"/>
      <c r="EN60" s="368"/>
      <c r="EO60" s="368"/>
      <c r="EP60" s="368"/>
      <c r="EQ60" s="368"/>
      <c r="ER60" s="368"/>
      <c r="ES60" s="368"/>
      <c r="ET60" s="368"/>
      <c r="EU60" s="368"/>
      <c r="EV60" s="368"/>
      <c r="EW60" s="368"/>
      <c r="EX60" s="368"/>
      <c r="EY60" s="368"/>
      <c r="EZ60" s="368"/>
      <c r="FA60" s="368"/>
      <c r="FB60" s="368"/>
      <c r="FC60" s="368"/>
      <c r="FD60" s="368"/>
      <c r="FE60" s="368"/>
      <c r="FF60" s="368"/>
      <c r="FG60" s="368"/>
      <c r="FH60" s="368"/>
      <c r="FI60" s="368"/>
      <c r="FJ60" s="368"/>
      <c r="FK60" s="368"/>
      <c r="FL60" s="368"/>
      <c r="FM60" s="368"/>
      <c r="FN60" s="368"/>
      <c r="FO60" s="368"/>
      <c r="FP60" s="368"/>
      <c r="FQ60" s="368"/>
      <c r="FR60" s="368"/>
      <c r="FS60" s="368"/>
      <c r="FT60" s="368"/>
      <c r="FU60" s="368"/>
      <c r="FV60" s="368"/>
      <c r="FW60" s="368"/>
      <c r="FX60" s="368"/>
      <c r="FY60" s="368"/>
      <c r="FZ60" s="368"/>
      <c r="GA60" s="368"/>
      <c r="GB60" s="368"/>
      <c r="GC60" s="368"/>
      <c r="GD60" s="368"/>
      <c r="GE60" s="368"/>
      <c r="GF60" s="368"/>
      <c r="GG60" s="368"/>
      <c r="GH60" s="368"/>
      <c r="GI60" s="368"/>
      <c r="GJ60" s="368"/>
      <c r="GK60" s="368"/>
      <c r="GL60" s="368"/>
      <c r="GM60" s="368"/>
      <c r="GN60" s="368"/>
      <c r="GO60" s="368"/>
      <c r="GP60" s="368"/>
      <c r="GQ60" s="368"/>
      <c r="GR60" s="368"/>
      <c r="GS60" s="368"/>
      <c r="GT60" s="368"/>
      <c r="GU60" s="368"/>
      <c r="GV60" s="368"/>
      <c r="GW60" s="368"/>
      <c r="GX60" s="368"/>
      <c r="GY60" s="368"/>
      <c r="GZ60" s="368"/>
      <c r="HA60" s="368"/>
      <c r="HB60" s="368"/>
      <c r="HC60" s="368"/>
      <c r="HD60" s="368"/>
      <c r="HE60" s="368"/>
      <c r="HF60" s="368"/>
      <c r="HG60" s="368"/>
      <c r="HH60" s="368"/>
      <c r="HI60" s="368"/>
      <c r="HJ60" s="368"/>
      <c r="HK60" s="368"/>
      <c r="HL60" s="368"/>
      <c r="HM60" s="368"/>
      <c r="HN60" s="368"/>
      <c r="HO60" s="368"/>
      <c r="HP60" s="368"/>
      <c r="HQ60" s="368"/>
      <c r="HR60" s="368"/>
      <c r="HS60" s="368"/>
      <c r="HT60" s="368"/>
      <c r="HU60" s="368"/>
      <c r="HV60" s="368"/>
      <c r="HW60" s="368"/>
      <c r="HX60" s="368"/>
      <c r="HY60" s="368"/>
      <c r="HZ60" s="368"/>
      <c r="IA60" s="368"/>
      <c r="IB60" s="368"/>
      <c r="IC60" s="368"/>
      <c r="ID60" s="368"/>
      <c r="IE60" s="368"/>
      <c r="IF60" s="368"/>
      <c r="IG60" s="368"/>
      <c r="IH60" s="368"/>
      <c r="II60" s="368"/>
      <c r="IJ60" s="368"/>
      <c r="IK60" s="368"/>
      <c r="IL60" s="368"/>
      <c r="IM60" s="368"/>
      <c r="IN60" s="368"/>
      <c r="IO60" s="368"/>
      <c r="IP60" s="368"/>
      <c r="IQ60" s="368"/>
      <c r="IR60" s="368"/>
      <c r="IS60" s="368"/>
      <c r="IT60" s="368"/>
      <c r="IU60" s="368"/>
      <c r="IV60" s="368"/>
      <c r="IW60" s="368"/>
      <c r="IX60" s="368"/>
      <c r="IY60" s="368"/>
      <c r="IZ60" s="368"/>
      <c r="JA60" s="368"/>
      <c r="JB60" s="368"/>
      <c r="JC60" s="368"/>
      <c r="JD60" s="368"/>
      <c r="JE60" s="368"/>
      <c r="JF60" s="368"/>
      <c r="JG60" s="368"/>
      <c r="JH60" s="368"/>
      <c r="JI60" s="368"/>
      <c r="JJ60" s="368"/>
      <c r="JK60" s="368"/>
      <c r="JL60" s="368"/>
      <c r="JM60" s="368"/>
      <c r="JN60" s="368"/>
      <c r="JO60" s="368"/>
      <c r="JP60" s="368"/>
      <c r="JQ60" s="368"/>
      <c r="JR60" s="368"/>
      <c r="JS60" s="368"/>
      <c r="JT60" s="368"/>
      <c r="JU60" s="368"/>
      <c r="JV60" s="368"/>
      <c r="JW60" s="368"/>
      <c r="JX60" s="368"/>
      <c r="JY60" s="368"/>
      <c r="JZ60" s="368"/>
      <c r="KA60" s="368"/>
      <c r="KB60" s="368"/>
      <c r="KC60" s="368"/>
      <c r="KD60" s="368"/>
      <c r="KE60" s="368"/>
      <c r="KF60" s="368"/>
      <c r="KG60" s="368"/>
      <c r="KH60" s="368"/>
      <c r="KI60" s="368"/>
      <c r="KJ60" s="368"/>
      <c r="KK60" s="368"/>
      <c r="KL60" s="368"/>
      <c r="KM60" s="368"/>
      <c r="KN60" s="368"/>
      <c r="KO60" s="368"/>
      <c r="KP60" s="368"/>
      <c r="KQ60" s="368"/>
      <c r="KR60" s="368"/>
      <c r="KS60" s="368"/>
      <c r="KT60" s="368"/>
      <c r="KU60" s="368"/>
      <c r="KV60" s="368"/>
      <c r="KW60" s="368"/>
      <c r="KX60" s="368"/>
      <c r="KY60" s="368"/>
      <c r="KZ60" s="368"/>
      <c r="LA60" s="368"/>
      <c r="LB60" s="368"/>
      <c r="LC60" s="368"/>
      <c r="LD60" s="368"/>
      <c r="LE60" s="368"/>
      <c r="LF60" s="368"/>
      <c r="LG60" s="368"/>
      <c r="LH60" s="368"/>
      <c r="LI60" s="368"/>
      <c r="LJ60" s="368"/>
      <c r="LK60" s="368"/>
      <c r="LL60" s="368"/>
      <c r="LM60" s="368"/>
      <c r="LN60" s="368"/>
      <c r="LO60" s="368"/>
      <c r="LP60" s="368"/>
      <c r="LQ60" s="368"/>
      <c r="LR60" s="368"/>
      <c r="LS60" s="368"/>
      <c r="LT60" s="368"/>
      <c r="LU60" s="368"/>
      <c r="LV60" s="368"/>
      <c r="LW60" s="368"/>
      <c r="LX60" s="368"/>
      <c r="LY60" s="368"/>
      <c r="LZ60" s="368"/>
      <c r="MA60" s="368"/>
      <c r="MB60" s="368"/>
      <c r="MC60" s="368"/>
      <c r="MD60" s="368"/>
      <c r="ME60" s="368"/>
      <c r="MF60" s="368"/>
      <c r="MG60" s="368"/>
      <c r="MH60" s="368"/>
      <c r="MI60" s="368"/>
      <c r="MJ60" s="368"/>
      <c r="MK60" s="368"/>
      <c r="ML60" s="368"/>
      <c r="MM60" s="368"/>
      <c r="MN60" s="368"/>
      <c r="MO60" s="368"/>
      <c r="MP60" s="368"/>
      <c r="MQ60" s="368"/>
      <c r="MR60" s="368"/>
      <c r="MS60" s="368"/>
      <c r="MT60" s="368"/>
      <c r="MU60" s="368"/>
      <c r="MV60" s="368"/>
      <c r="MW60" s="368"/>
      <c r="MX60" s="368"/>
      <c r="MY60" s="368"/>
      <c r="MZ60" s="368"/>
      <c r="NA60" s="368"/>
      <c r="NB60" s="368"/>
      <c r="NC60" s="368"/>
      <c r="ND60" s="368"/>
      <c r="NE60" s="368"/>
      <c r="NF60" s="368"/>
      <c r="NG60" s="368"/>
      <c r="NH60" s="368"/>
      <c r="NI60" s="368"/>
      <c r="NJ60" s="368"/>
      <c r="NK60" s="368"/>
      <c r="NL60" s="368"/>
      <c r="NM60" s="368"/>
      <c r="NN60" s="368"/>
      <c r="NO60" s="368"/>
      <c r="NP60" s="368"/>
      <c r="NQ60" s="368"/>
      <c r="NR60" s="368"/>
      <c r="NS60" s="368"/>
      <c r="NT60" s="368"/>
      <c r="NU60" s="368"/>
      <c r="NV60" s="368"/>
      <c r="NW60" s="368"/>
      <c r="NX60" s="368"/>
      <c r="NY60" s="368"/>
      <c r="NZ60" s="368"/>
      <c r="OA60" s="368"/>
      <c r="OB60" s="368"/>
      <c r="OC60" s="368"/>
      <c r="OD60" s="368"/>
      <c r="OE60" s="368"/>
      <c r="OF60" s="368"/>
      <c r="OG60" s="368"/>
      <c r="OH60" s="368"/>
      <c r="OI60" s="368"/>
      <c r="OJ60" s="368"/>
      <c r="OK60" s="368"/>
      <c r="OL60" s="368"/>
      <c r="OM60" s="368"/>
      <c r="ON60" s="368"/>
      <c r="OO60" s="368"/>
      <c r="OP60" s="368"/>
      <c r="OQ60" s="368"/>
      <c r="OR60" s="368"/>
      <c r="OS60" s="368"/>
      <c r="OT60" s="368"/>
      <c r="OU60" s="368"/>
      <c r="OV60" s="368"/>
      <c r="OW60" s="368"/>
      <c r="OX60" s="368"/>
      <c r="OY60" s="368"/>
      <c r="OZ60" s="368"/>
      <c r="PA60" s="368"/>
      <c r="PB60" s="368"/>
      <c r="PC60" s="368"/>
      <c r="PD60" s="368"/>
      <c r="PE60" s="368"/>
      <c r="PF60" s="368"/>
      <c r="PG60" s="368"/>
      <c r="PH60" s="368"/>
      <c r="PI60" s="368"/>
      <c r="PJ60" s="368"/>
      <c r="PK60" s="368"/>
      <c r="PL60" s="368"/>
      <c r="PM60" s="368"/>
      <c r="PN60" s="368"/>
      <c r="PO60" s="368"/>
      <c r="PP60" s="368"/>
      <c r="PQ60" s="368"/>
      <c r="PR60" s="368"/>
      <c r="PS60" s="368"/>
      <c r="PT60" s="368"/>
      <c r="PU60" s="368"/>
      <c r="PV60" s="368"/>
      <c r="PW60" s="368"/>
      <c r="PX60" s="368"/>
      <c r="PY60" s="368"/>
      <c r="PZ60" s="368"/>
      <c r="QA60" s="368"/>
      <c r="QB60" s="368"/>
      <c r="QC60" s="368"/>
      <c r="QD60" s="368"/>
      <c r="QE60" s="368"/>
      <c r="QF60" s="368"/>
      <c r="QG60" s="368"/>
      <c r="QH60" s="368"/>
      <c r="QI60" s="368"/>
      <c r="QJ60" s="368"/>
      <c r="QK60" s="368"/>
      <c r="QL60" s="368"/>
      <c r="QM60" s="368"/>
      <c r="QN60" s="368"/>
      <c r="QO60" s="368"/>
      <c r="QP60" s="368"/>
      <c r="QQ60" s="368"/>
      <c r="QR60" s="368"/>
      <c r="QS60" s="368"/>
      <c r="QT60" s="368"/>
      <c r="QU60" s="368"/>
      <c r="QV60" s="368"/>
      <c r="QW60" s="368"/>
      <c r="QX60" s="368"/>
      <c r="QY60" s="368"/>
      <c r="QZ60" s="368"/>
      <c r="RA60" s="368"/>
      <c r="RB60" s="368"/>
      <c r="RC60" s="368"/>
      <c r="RD60" s="368"/>
      <c r="RE60" s="368"/>
      <c r="RF60" s="368"/>
      <c r="RG60" s="368"/>
      <c r="RH60" s="368"/>
      <c r="RI60" s="368"/>
      <c r="RJ60" s="368"/>
      <c r="RK60" s="368"/>
      <c r="RL60" s="368"/>
      <c r="RM60" s="368"/>
      <c r="RN60" s="368"/>
      <c r="RO60" s="368"/>
      <c r="RP60" s="368"/>
      <c r="RQ60" s="368"/>
      <c r="RR60" s="368"/>
      <c r="RS60" s="368"/>
      <c r="RT60" s="368"/>
      <c r="RU60" s="368"/>
      <c r="RV60" s="368"/>
      <c r="RW60" s="368"/>
      <c r="RX60" s="368"/>
      <c r="RY60" s="368"/>
      <c r="RZ60" s="368"/>
      <c r="SA60" s="368"/>
      <c r="SB60" s="368"/>
      <c r="SC60" s="368"/>
      <c r="SD60" s="368"/>
      <c r="SE60" s="368"/>
      <c r="SF60" s="368"/>
      <c r="SG60" s="368"/>
      <c r="SH60" s="368"/>
      <c r="SI60" s="368"/>
      <c r="SJ60" s="368"/>
      <c r="SK60" s="368"/>
      <c r="SL60" s="368"/>
      <c r="SM60" s="368"/>
      <c r="SN60" s="368"/>
      <c r="SO60" s="368"/>
      <c r="SP60" s="368"/>
      <c r="SQ60" s="368"/>
      <c r="SR60" s="368"/>
      <c r="SS60" s="368"/>
      <c r="ST60" s="368"/>
      <c r="SU60" s="368"/>
      <c r="SV60" s="368"/>
      <c r="SW60" s="368"/>
      <c r="SX60" s="368"/>
      <c r="SY60" s="368"/>
      <c r="SZ60" s="368"/>
      <c r="TA60" s="368"/>
      <c r="TB60" s="368"/>
      <c r="TC60" s="368"/>
      <c r="TD60" s="368"/>
      <c r="TE60" s="368"/>
      <c r="TF60" s="368"/>
      <c r="TG60" s="368"/>
      <c r="TH60" s="368"/>
      <c r="TI60" s="368"/>
      <c r="TJ60" s="368"/>
      <c r="TK60" s="368"/>
      <c r="TL60" s="368"/>
      <c r="TM60" s="368"/>
      <c r="TN60" s="368"/>
      <c r="TO60" s="368"/>
      <c r="TP60" s="368"/>
      <c r="TQ60" s="368"/>
      <c r="TR60" s="368"/>
      <c r="TS60" s="368"/>
      <c r="TT60" s="368"/>
      <c r="TU60" s="368"/>
      <c r="TV60" s="368"/>
      <c r="TW60" s="368"/>
      <c r="TX60" s="368"/>
      <c r="TY60" s="368"/>
      <c r="TZ60" s="368"/>
      <c r="UA60" s="368"/>
      <c r="UB60" s="368"/>
      <c r="UC60" s="368"/>
      <c r="UD60" s="368"/>
      <c r="UE60" s="368"/>
      <c r="UF60" s="368"/>
      <c r="UG60" s="368"/>
      <c r="UH60" s="368"/>
      <c r="UI60" s="368"/>
      <c r="UJ60" s="368"/>
      <c r="UK60" s="368"/>
      <c r="UL60" s="368"/>
      <c r="UM60" s="368"/>
      <c r="UN60" s="368"/>
      <c r="UO60" s="368"/>
      <c r="UP60" s="368"/>
      <c r="UQ60" s="368"/>
      <c r="UR60" s="368"/>
      <c r="US60" s="368"/>
      <c r="UT60" s="368"/>
      <c r="UU60" s="368"/>
      <c r="UV60" s="368"/>
      <c r="UW60" s="368"/>
      <c r="UX60" s="368"/>
      <c r="UY60" s="368"/>
      <c r="UZ60" s="368"/>
      <c r="VA60" s="368"/>
      <c r="VB60" s="368"/>
      <c r="VC60" s="368"/>
      <c r="VD60" s="368"/>
      <c r="VE60" s="368"/>
      <c r="VF60" s="368"/>
      <c r="VG60" s="368"/>
      <c r="VH60" s="368"/>
      <c r="VI60" s="368"/>
      <c r="VJ60" s="368"/>
      <c r="VK60" s="368"/>
      <c r="VL60" s="368"/>
      <c r="VM60" s="368"/>
      <c r="VN60" s="368"/>
      <c r="VO60" s="368"/>
      <c r="VP60" s="368"/>
      <c r="VQ60" s="368"/>
      <c r="VR60" s="368"/>
      <c r="VS60" s="368"/>
      <c r="VT60" s="368"/>
      <c r="VU60" s="368"/>
      <c r="VV60" s="368"/>
      <c r="VW60" s="368"/>
      <c r="VX60" s="368"/>
      <c r="VY60" s="368"/>
      <c r="VZ60" s="368"/>
      <c r="WA60" s="368"/>
      <c r="WB60" s="368"/>
      <c r="WC60" s="368"/>
      <c r="WD60" s="368"/>
      <c r="WE60" s="368"/>
      <c r="WF60" s="368"/>
      <c r="WG60" s="368"/>
      <c r="WH60" s="368"/>
      <c r="WI60" s="368"/>
      <c r="WJ60" s="368"/>
      <c r="WK60" s="368"/>
      <c r="WL60" s="368"/>
      <c r="WM60" s="368"/>
      <c r="WN60" s="368"/>
      <c r="WO60" s="368"/>
      <c r="WP60" s="368"/>
      <c r="WQ60" s="368"/>
      <c r="WR60" s="368"/>
      <c r="WS60" s="368"/>
      <c r="WT60" s="368"/>
      <c r="WU60" s="368"/>
      <c r="WV60" s="368"/>
      <c r="WW60" s="368"/>
      <c r="WX60" s="368"/>
      <c r="WY60" s="368"/>
      <c r="WZ60" s="368"/>
      <c r="XA60" s="368"/>
      <c r="XB60" s="368"/>
      <c r="XC60" s="368"/>
      <c r="XD60" s="368"/>
      <c r="XE60" s="368"/>
      <c r="XF60" s="368"/>
      <c r="XG60" s="368"/>
      <c r="XH60" s="368"/>
      <c r="XI60" s="368"/>
      <c r="XJ60" s="368"/>
      <c r="XK60" s="368"/>
      <c r="XL60" s="368"/>
      <c r="XM60" s="368"/>
      <c r="XN60" s="368"/>
      <c r="XO60" s="368"/>
      <c r="XP60" s="368"/>
      <c r="XQ60" s="368"/>
      <c r="XR60" s="368"/>
      <c r="XS60" s="368"/>
      <c r="XT60" s="368"/>
      <c r="XU60" s="368"/>
      <c r="XV60" s="368"/>
      <c r="XW60" s="368"/>
      <c r="XX60" s="368"/>
      <c r="XY60" s="368"/>
      <c r="XZ60" s="368"/>
      <c r="YA60" s="368"/>
      <c r="YB60" s="368"/>
      <c r="YC60" s="368"/>
      <c r="YD60" s="368"/>
      <c r="YE60" s="368"/>
      <c r="YF60" s="368"/>
      <c r="YG60" s="368"/>
      <c r="YH60" s="368"/>
      <c r="YI60" s="368"/>
      <c r="YJ60" s="368"/>
      <c r="YK60" s="368"/>
      <c r="YL60" s="368"/>
      <c r="YM60" s="368"/>
      <c r="YN60" s="368"/>
      <c r="YO60" s="368"/>
      <c r="YP60" s="368"/>
      <c r="YQ60" s="368"/>
      <c r="YR60" s="368"/>
      <c r="YS60" s="368"/>
      <c r="YT60" s="368"/>
      <c r="YU60" s="368"/>
      <c r="YV60" s="368"/>
      <c r="YW60" s="368"/>
      <c r="YX60" s="368"/>
      <c r="YY60" s="368"/>
      <c r="YZ60" s="368"/>
      <c r="ZA60" s="368"/>
      <c r="ZB60" s="368"/>
      <c r="ZC60" s="368"/>
      <c r="ZD60" s="368"/>
      <c r="ZE60" s="368"/>
      <c r="ZF60" s="368"/>
      <c r="ZG60" s="368"/>
      <c r="ZH60" s="368"/>
      <c r="ZI60" s="368"/>
      <c r="ZJ60" s="368"/>
      <c r="ZK60" s="368"/>
      <c r="ZL60" s="368"/>
      <c r="ZM60" s="368"/>
      <c r="ZN60" s="368"/>
      <c r="ZO60" s="368"/>
      <c r="ZP60" s="368"/>
      <c r="ZQ60" s="368"/>
      <c r="ZR60" s="368"/>
      <c r="ZS60" s="368"/>
      <c r="ZT60" s="368"/>
      <c r="ZU60" s="368"/>
      <c r="ZV60" s="368"/>
      <c r="ZW60" s="368"/>
      <c r="ZX60" s="368"/>
      <c r="ZY60" s="368"/>
      <c r="ZZ60" s="368"/>
      <c r="AAA60" s="368"/>
      <c r="AAB60" s="368"/>
      <c r="AAC60" s="368"/>
      <c r="AAD60" s="368"/>
      <c r="AAE60" s="368"/>
      <c r="AAF60" s="368"/>
      <c r="AAG60" s="368"/>
      <c r="AAH60" s="368"/>
      <c r="AAI60" s="368"/>
      <c r="AAJ60" s="368"/>
      <c r="AAK60" s="368"/>
      <c r="AAL60" s="368"/>
      <c r="AAM60" s="368"/>
      <c r="AAN60" s="368"/>
      <c r="AAO60" s="368"/>
      <c r="AAP60" s="368"/>
      <c r="AAQ60" s="368"/>
      <c r="AAR60" s="368"/>
      <c r="AAS60" s="368"/>
      <c r="AAT60" s="368"/>
      <c r="AAU60" s="368"/>
      <c r="AAV60" s="368"/>
      <c r="AAW60" s="368"/>
      <c r="AAX60" s="368"/>
      <c r="AAY60" s="368"/>
      <c r="AAZ60" s="368"/>
      <c r="ABA60" s="368"/>
      <c r="ABB60" s="368"/>
      <c r="ABC60" s="368"/>
      <c r="ABD60" s="368"/>
      <c r="ABE60" s="368"/>
      <c r="ABF60" s="368"/>
      <c r="ABG60" s="368"/>
      <c r="ABH60" s="368"/>
      <c r="ABI60" s="368"/>
      <c r="ABJ60" s="368"/>
      <c r="ABK60" s="368"/>
      <c r="ABL60" s="368"/>
      <c r="ABM60" s="368"/>
      <c r="ABN60" s="368"/>
      <c r="ABO60" s="368"/>
      <c r="ABP60" s="368"/>
      <c r="ABQ60" s="368"/>
      <c r="ABR60" s="368"/>
      <c r="ABS60" s="368"/>
      <c r="ABT60" s="368"/>
      <c r="ABU60" s="368"/>
      <c r="ABV60" s="368"/>
      <c r="ABW60" s="368"/>
      <c r="ABX60" s="368"/>
      <c r="ABY60" s="368"/>
      <c r="ABZ60" s="368"/>
      <c r="ACA60" s="368"/>
      <c r="ACB60" s="368"/>
      <c r="ACC60" s="368"/>
      <c r="ACD60" s="368"/>
      <c r="ACE60" s="368"/>
      <c r="ACF60" s="368"/>
      <c r="ACG60" s="368"/>
      <c r="ACH60" s="368"/>
      <c r="ACI60" s="368"/>
      <c r="ACJ60" s="368"/>
      <c r="ACK60" s="368"/>
      <c r="ACL60" s="368"/>
      <c r="ACM60" s="368"/>
      <c r="ACN60" s="368"/>
      <c r="ACO60" s="368"/>
      <c r="ACP60" s="368"/>
      <c r="ACQ60" s="368"/>
      <c r="ACR60" s="368"/>
      <c r="ACS60" s="368"/>
      <c r="ACT60" s="368"/>
      <c r="ACU60" s="368"/>
      <c r="ACV60" s="368"/>
      <c r="ACW60" s="368"/>
      <c r="ACX60" s="368"/>
      <c r="ACY60" s="368"/>
      <c r="ACZ60" s="368"/>
      <c r="ADA60" s="368"/>
      <c r="ADB60" s="368"/>
      <c r="ADC60" s="368"/>
      <c r="ADD60" s="368"/>
      <c r="ADE60" s="368"/>
      <c r="ADF60" s="368"/>
      <c r="ADG60" s="368"/>
      <c r="ADH60" s="368"/>
      <c r="ADI60" s="368"/>
      <c r="ADJ60" s="368"/>
      <c r="ADK60" s="368"/>
      <c r="ADL60" s="368"/>
      <c r="ADM60" s="368"/>
      <c r="ADN60" s="368"/>
      <c r="ADO60" s="368"/>
      <c r="ADP60" s="368"/>
      <c r="ADQ60" s="368"/>
      <c r="ADR60" s="368"/>
      <c r="ADS60" s="368"/>
      <c r="ADT60" s="368"/>
      <c r="ADU60" s="368"/>
      <c r="ADV60" s="368"/>
      <c r="ADW60" s="368"/>
      <c r="ADX60" s="368"/>
      <c r="ADY60" s="368"/>
      <c r="ADZ60" s="368"/>
      <c r="AEA60" s="368"/>
      <c r="AEB60" s="368"/>
      <c r="AEC60" s="368"/>
      <c r="AED60" s="368"/>
      <c r="AEE60" s="368"/>
      <c r="AEF60" s="368"/>
      <c r="AEG60" s="368"/>
      <c r="AEH60" s="368"/>
      <c r="AEI60" s="368"/>
      <c r="AEJ60" s="368"/>
      <c r="AEK60" s="368"/>
      <c r="AEL60" s="368"/>
      <c r="AEM60" s="368"/>
      <c r="AEN60" s="368"/>
      <c r="AEO60" s="368"/>
      <c r="AEP60" s="368"/>
      <c r="AEQ60" s="368"/>
      <c r="AER60" s="368"/>
      <c r="AES60" s="368"/>
      <c r="AET60" s="368"/>
      <c r="AEU60" s="368"/>
      <c r="AEV60" s="368"/>
      <c r="AEW60" s="368"/>
      <c r="AEX60" s="368"/>
      <c r="AEY60" s="368"/>
      <c r="AEZ60" s="368"/>
      <c r="AFA60" s="368"/>
      <c r="AFB60" s="368"/>
      <c r="AFC60" s="368"/>
      <c r="AFD60" s="368"/>
      <c r="AFE60" s="368"/>
      <c r="AFF60" s="368"/>
      <c r="AFG60" s="368"/>
      <c r="AFH60" s="368"/>
      <c r="AFI60" s="368"/>
      <c r="AFJ60" s="368"/>
      <c r="AFK60" s="368"/>
      <c r="AFL60" s="368"/>
      <c r="AFM60" s="368"/>
      <c r="AFN60" s="368"/>
      <c r="AFO60" s="368"/>
      <c r="AFP60" s="368"/>
      <c r="AFQ60" s="368"/>
      <c r="AFR60" s="368"/>
      <c r="AFS60" s="368"/>
      <c r="AFT60" s="368"/>
      <c r="AFU60" s="368"/>
      <c r="AFV60" s="368"/>
      <c r="AFW60" s="368"/>
      <c r="AFX60" s="368"/>
      <c r="AFY60" s="368"/>
      <c r="AFZ60" s="368"/>
      <c r="AGA60" s="368"/>
      <c r="AGB60" s="368"/>
      <c r="AGC60" s="368"/>
      <c r="AGD60" s="368"/>
      <c r="AGE60" s="368"/>
      <c r="AGF60" s="368"/>
      <c r="AGG60" s="368"/>
      <c r="AGH60" s="368"/>
      <c r="AGI60" s="368"/>
      <c r="AGJ60" s="368"/>
      <c r="AGK60" s="368"/>
      <c r="AGL60" s="368"/>
      <c r="AGM60" s="368"/>
      <c r="AGN60" s="368"/>
      <c r="AGO60" s="368"/>
      <c r="AGP60" s="368"/>
      <c r="AGQ60" s="368"/>
      <c r="AGR60" s="368"/>
      <c r="AGS60" s="368"/>
      <c r="AGT60" s="368"/>
      <c r="AGU60" s="368"/>
      <c r="AGV60" s="368"/>
      <c r="AGW60" s="368"/>
      <c r="AGX60" s="368"/>
      <c r="AGY60" s="368"/>
      <c r="AGZ60" s="368"/>
      <c r="AHA60" s="368"/>
      <c r="AHB60" s="368"/>
      <c r="AHC60" s="368"/>
      <c r="AHD60" s="368"/>
      <c r="AHE60" s="368"/>
      <c r="AHF60" s="368"/>
      <c r="AHG60" s="368"/>
      <c r="AHH60" s="368"/>
      <c r="AHI60" s="368"/>
      <c r="AHJ60" s="368"/>
      <c r="AHK60" s="368"/>
      <c r="AHL60" s="368"/>
      <c r="AHM60" s="368"/>
      <c r="AHN60" s="368"/>
      <c r="AHO60" s="368"/>
      <c r="AHP60" s="368"/>
      <c r="AHQ60" s="368"/>
      <c r="AHR60" s="368"/>
      <c r="AHS60" s="368"/>
      <c r="AHT60" s="368"/>
      <c r="AHU60" s="368"/>
      <c r="AHV60" s="368"/>
      <c r="AHW60" s="368"/>
      <c r="AHX60" s="368"/>
      <c r="AHY60" s="368"/>
      <c r="AHZ60" s="368"/>
      <c r="AIA60" s="368"/>
      <c r="AIB60" s="368"/>
      <c r="AIC60" s="368"/>
      <c r="AID60" s="368"/>
      <c r="AIE60" s="368"/>
      <c r="AIF60" s="368"/>
      <c r="AIG60" s="368"/>
      <c r="AIH60" s="368"/>
      <c r="AII60" s="368"/>
      <c r="AIJ60" s="368"/>
      <c r="AIK60" s="368"/>
      <c r="AIL60" s="368"/>
      <c r="AIM60" s="368"/>
      <c r="AIN60" s="368"/>
      <c r="AIO60" s="368"/>
      <c r="AIP60" s="368"/>
      <c r="AIQ60" s="368"/>
      <c r="AIR60" s="368"/>
      <c r="AIS60" s="368"/>
      <c r="AIT60" s="368"/>
      <c r="AIU60" s="368"/>
      <c r="AIV60" s="368"/>
      <c r="AIW60" s="368"/>
      <c r="AIX60" s="368"/>
      <c r="AIY60" s="368"/>
      <c r="AIZ60" s="368"/>
      <c r="AJA60" s="368"/>
      <c r="AJB60" s="368"/>
      <c r="AJC60" s="368"/>
      <c r="AJD60" s="368"/>
      <c r="AJE60" s="368"/>
      <c r="AJF60" s="368"/>
      <c r="AJG60" s="368"/>
      <c r="AJH60" s="368"/>
      <c r="AJI60" s="368"/>
      <c r="AJJ60" s="368"/>
      <c r="AJK60" s="368"/>
      <c r="AJL60" s="368"/>
      <c r="AJM60" s="368"/>
      <c r="AJN60" s="368"/>
      <c r="AJO60" s="368"/>
      <c r="AJP60" s="368"/>
      <c r="AJQ60" s="368"/>
      <c r="AJR60" s="368"/>
      <c r="AJS60" s="368"/>
      <c r="AJT60" s="368"/>
      <c r="AJU60" s="368"/>
      <c r="AJV60" s="368"/>
      <c r="AJW60" s="368"/>
      <c r="AJX60" s="368"/>
      <c r="AJY60" s="368"/>
      <c r="AJZ60" s="368"/>
      <c r="AKA60" s="368"/>
      <c r="AKB60" s="368"/>
      <c r="AKC60" s="368"/>
      <c r="AKD60" s="368"/>
      <c r="AKE60" s="368"/>
      <c r="AKF60" s="368"/>
      <c r="AKG60" s="368"/>
      <c r="AKH60" s="368"/>
      <c r="AKI60" s="368"/>
      <c r="AKJ60" s="368"/>
      <c r="AKK60" s="368"/>
      <c r="AKL60" s="368"/>
      <c r="AKM60" s="368"/>
      <c r="AKN60" s="368"/>
    </row>
    <row r="61" spans="1:976" s="14" customFormat="1" ht="22.5" customHeight="1" x14ac:dyDescent="0.2">
      <c r="A61" s="408" t="s">
        <v>262</v>
      </c>
      <c r="B61" s="408"/>
      <c r="C61" s="408" t="s">
        <v>221</v>
      </c>
      <c r="D61" s="408" t="s">
        <v>222</v>
      </c>
      <c r="E61" s="409">
        <v>409545</v>
      </c>
      <c r="F61" s="409">
        <v>1067</v>
      </c>
      <c r="G61" s="409">
        <v>158</v>
      </c>
      <c r="H61" s="409">
        <v>0</v>
      </c>
      <c r="I61" s="410">
        <v>45811</v>
      </c>
      <c r="J61" s="408" t="s">
        <v>395</v>
      </c>
      <c r="K61" s="408" t="s">
        <v>455</v>
      </c>
      <c r="L61" s="411">
        <v>362.96</v>
      </c>
      <c r="M61" s="411">
        <v>30.61</v>
      </c>
      <c r="N61" s="450">
        <v>393.57</v>
      </c>
      <c r="O61" s="408"/>
      <c r="P61" s="412">
        <v>45821</v>
      </c>
      <c r="Q61" s="411">
        <v>393.57</v>
      </c>
      <c r="R61" s="408" t="s">
        <v>456</v>
      </c>
      <c r="S61" s="411">
        <v>0</v>
      </c>
      <c r="T61" s="411">
        <v>0</v>
      </c>
      <c r="U61" s="411">
        <v>0</v>
      </c>
      <c r="V61" s="411">
        <v>0</v>
      </c>
      <c r="W61" s="408"/>
      <c r="X61" s="408" t="s">
        <v>293</v>
      </c>
      <c r="Y61" s="408" t="s">
        <v>294</v>
      </c>
      <c r="Z61" s="408" t="s">
        <v>53</v>
      </c>
      <c r="AA61" s="408" t="s">
        <v>228</v>
      </c>
      <c r="AB61" s="408" t="s">
        <v>239</v>
      </c>
      <c r="AC61" s="408" t="s">
        <v>457</v>
      </c>
      <c r="AD61" s="408" t="s">
        <v>231</v>
      </c>
      <c r="AE61" s="408" t="s">
        <v>232</v>
      </c>
      <c r="AF61" s="408" t="s">
        <v>231</v>
      </c>
      <c r="AG61" s="408" t="s">
        <v>232</v>
      </c>
      <c r="AH61" s="408"/>
      <c r="AI61" s="408"/>
      <c r="AJ61" s="408"/>
      <c r="AK61" s="408" t="s">
        <v>458</v>
      </c>
      <c r="AL61" s="409">
        <v>1</v>
      </c>
      <c r="AM61" s="409">
        <v>0</v>
      </c>
      <c r="AN61" s="410">
        <v>45821</v>
      </c>
      <c r="AO61" s="410">
        <v>45821</v>
      </c>
      <c r="AP61" s="411">
        <v>393.57</v>
      </c>
      <c r="AQ61" s="410">
        <v>45820</v>
      </c>
    </row>
    <row r="62" spans="1:976" s="363" customFormat="1" ht="22.5" customHeight="1" x14ac:dyDescent="0.2">
      <c r="A62" s="358" t="s">
        <v>262</v>
      </c>
      <c r="B62" s="358"/>
      <c r="C62" s="358" t="s">
        <v>221</v>
      </c>
      <c r="D62" s="358" t="s">
        <v>222</v>
      </c>
      <c r="E62" s="359">
        <v>409926</v>
      </c>
      <c r="F62" s="359">
        <v>1076</v>
      </c>
      <c r="G62" s="359">
        <v>160</v>
      </c>
      <c r="H62" s="359">
        <v>0</v>
      </c>
      <c r="I62" s="360">
        <v>45812</v>
      </c>
      <c r="J62" s="358" t="s">
        <v>395</v>
      </c>
      <c r="K62" s="358" t="s">
        <v>459</v>
      </c>
      <c r="L62" s="361">
        <v>469.04</v>
      </c>
      <c r="M62" s="361">
        <v>25.8</v>
      </c>
      <c r="N62" s="448">
        <v>494.84</v>
      </c>
      <c r="O62" s="358"/>
      <c r="P62" s="362">
        <v>45821</v>
      </c>
      <c r="Q62" s="361">
        <v>494.84</v>
      </c>
      <c r="R62" s="358" t="s">
        <v>460</v>
      </c>
      <c r="S62" s="361">
        <v>0</v>
      </c>
      <c r="T62" s="361">
        <v>0</v>
      </c>
      <c r="U62" s="361">
        <v>0</v>
      </c>
      <c r="V62" s="361">
        <v>0</v>
      </c>
      <c r="W62" s="358"/>
      <c r="X62" s="358" t="s">
        <v>266</v>
      </c>
      <c r="Y62" s="358" t="s">
        <v>267</v>
      </c>
      <c r="Z62" s="358" t="s">
        <v>32</v>
      </c>
      <c r="AA62" s="358" t="s">
        <v>228</v>
      </c>
      <c r="AB62" s="358" t="s">
        <v>34</v>
      </c>
      <c r="AC62" s="358" t="s">
        <v>31</v>
      </c>
      <c r="AD62" s="358" t="s">
        <v>231</v>
      </c>
      <c r="AE62" s="358" t="s">
        <v>232</v>
      </c>
      <c r="AF62" s="358" t="s">
        <v>231</v>
      </c>
      <c r="AG62" s="358" t="s">
        <v>232</v>
      </c>
      <c r="AH62" s="358"/>
      <c r="AI62" s="358"/>
      <c r="AJ62" s="358"/>
      <c r="AK62" s="358" t="s">
        <v>461</v>
      </c>
      <c r="AL62" s="359">
        <v>1</v>
      </c>
      <c r="AM62" s="359">
        <v>0</v>
      </c>
      <c r="AN62" s="360">
        <v>45821</v>
      </c>
      <c r="AO62" s="360">
        <v>45821</v>
      </c>
      <c r="AP62" s="361">
        <v>494.84</v>
      </c>
      <c r="AQ62" s="360">
        <v>45820</v>
      </c>
      <c r="AR62" s="368"/>
      <c r="AS62" s="368"/>
      <c r="AT62" s="368"/>
      <c r="AU62" s="368"/>
      <c r="AV62" s="368"/>
      <c r="AW62" s="368"/>
      <c r="AX62" s="368"/>
      <c r="AY62" s="368"/>
      <c r="AZ62" s="368"/>
      <c r="BA62" s="368"/>
      <c r="BB62" s="368"/>
      <c r="BC62" s="368"/>
      <c r="BD62" s="368"/>
      <c r="BE62" s="368"/>
      <c r="BF62" s="368"/>
      <c r="BG62" s="368"/>
      <c r="BH62" s="368"/>
      <c r="BI62" s="368"/>
      <c r="BJ62" s="368"/>
      <c r="BK62" s="368"/>
      <c r="BL62" s="368"/>
      <c r="BM62" s="368"/>
      <c r="BN62" s="368"/>
      <c r="BO62" s="368"/>
      <c r="BP62" s="368"/>
      <c r="BQ62" s="368"/>
      <c r="BR62" s="368"/>
      <c r="BS62" s="368"/>
      <c r="BT62" s="368"/>
      <c r="BU62" s="368"/>
      <c r="BV62" s="368"/>
      <c r="BW62" s="368"/>
      <c r="BX62" s="368"/>
      <c r="BY62" s="368"/>
      <c r="BZ62" s="368"/>
      <c r="CA62" s="368"/>
      <c r="CB62" s="368"/>
      <c r="CC62" s="368"/>
      <c r="CD62" s="368"/>
      <c r="CE62" s="368"/>
      <c r="CF62" s="368"/>
      <c r="CG62" s="368"/>
      <c r="CH62" s="368"/>
      <c r="CI62" s="368"/>
      <c r="CJ62" s="368"/>
      <c r="CK62" s="368"/>
      <c r="CL62" s="368"/>
      <c r="CM62" s="368"/>
      <c r="CN62" s="368"/>
      <c r="CO62" s="368"/>
      <c r="CP62" s="368"/>
      <c r="CQ62" s="368"/>
      <c r="CR62" s="368"/>
      <c r="CS62" s="368"/>
      <c r="CT62" s="368"/>
      <c r="CU62" s="368"/>
      <c r="CV62" s="368"/>
      <c r="CW62" s="368"/>
      <c r="CX62" s="368"/>
      <c r="CY62" s="368"/>
      <c r="CZ62" s="368"/>
      <c r="DA62" s="368"/>
      <c r="DB62" s="368"/>
      <c r="DC62" s="368"/>
      <c r="DD62" s="368"/>
      <c r="DE62" s="368"/>
      <c r="DF62" s="368"/>
      <c r="DG62" s="368"/>
      <c r="DH62" s="368"/>
      <c r="DI62" s="368"/>
      <c r="DJ62" s="368"/>
      <c r="DK62" s="368"/>
      <c r="DL62" s="368"/>
      <c r="DM62" s="368"/>
      <c r="DN62" s="368"/>
      <c r="DO62" s="368"/>
      <c r="DP62" s="368"/>
      <c r="DQ62" s="368"/>
      <c r="DR62" s="368"/>
      <c r="DS62" s="368"/>
      <c r="DT62" s="368"/>
      <c r="DU62" s="368"/>
      <c r="DV62" s="368"/>
      <c r="DW62" s="368"/>
      <c r="DX62" s="368"/>
      <c r="DY62" s="368"/>
      <c r="DZ62" s="368"/>
      <c r="EA62" s="368"/>
      <c r="EB62" s="368"/>
      <c r="EC62" s="368"/>
      <c r="ED62" s="368"/>
      <c r="EE62" s="368"/>
      <c r="EF62" s="368"/>
      <c r="EG62" s="368"/>
      <c r="EH62" s="368"/>
      <c r="EI62" s="368"/>
      <c r="EJ62" s="368"/>
      <c r="EK62" s="368"/>
      <c r="EL62" s="368"/>
      <c r="EM62" s="368"/>
      <c r="EN62" s="368"/>
      <c r="EO62" s="368"/>
      <c r="EP62" s="368"/>
      <c r="EQ62" s="368"/>
      <c r="ER62" s="368"/>
      <c r="ES62" s="368"/>
      <c r="ET62" s="368"/>
      <c r="EU62" s="368"/>
      <c r="EV62" s="368"/>
      <c r="EW62" s="368"/>
      <c r="EX62" s="368"/>
      <c r="EY62" s="368"/>
      <c r="EZ62" s="368"/>
      <c r="FA62" s="368"/>
      <c r="FB62" s="368"/>
      <c r="FC62" s="368"/>
      <c r="FD62" s="368"/>
      <c r="FE62" s="368"/>
      <c r="FF62" s="368"/>
      <c r="FG62" s="368"/>
      <c r="FH62" s="368"/>
      <c r="FI62" s="368"/>
      <c r="FJ62" s="368"/>
      <c r="FK62" s="368"/>
      <c r="FL62" s="368"/>
      <c r="FM62" s="368"/>
      <c r="FN62" s="368"/>
      <c r="FO62" s="368"/>
      <c r="FP62" s="368"/>
      <c r="FQ62" s="368"/>
      <c r="FR62" s="368"/>
      <c r="FS62" s="368"/>
      <c r="FT62" s="368"/>
      <c r="FU62" s="368"/>
      <c r="FV62" s="368"/>
      <c r="FW62" s="368"/>
      <c r="FX62" s="368"/>
      <c r="FY62" s="368"/>
      <c r="FZ62" s="368"/>
      <c r="GA62" s="368"/>
      <c r="GB62" s="368"/>
      <c r="GC62" s="368"/>
      <c r="GD62" s="368"/>
      <c r="GE62" s="368"/>
      <c r="GF62" s="368"/>
      <c r="GG62" s="368"/>
      <c r="GH62" s="368"/>
      <c r="GI62" s="368"/>
      <c r="GJ62" s="368"/>
      <c r="GK62" s="368"/>
      <c r="GL62" s="368"/>
      <c r="GM62" s="368"/>
      <c r="GN62" s="368"/>
      <c r="GO62" s="368"/>
      <c r="GP62" s="368"/>
      <c r="GQ62" s="368"/>
      <c r="GR62" s="368"/>
      <c r="GS62" s="368"/>
      <c r="GT62" s="368"/>
      <c r="GU62" s="368"/>
      <c r="GV62" s="368"/>
      <c r="GW62" s="368"/>
      <c r="GX62" s="368"/>
      <c r="GY62" s="368"/>
      <c r="GZ62" s="368"/>
      <c r="HA62" s="368"/>
      <c r="HB62" s="368"/>
      <c r="HC62" s="368"/>
      <c r="HD62" s="368"/>
      <c r="HE62" s="368"/>
      <c r="HF62" s="368"/>
      <c r="HG62" s="368"/>
      <c r="HH62" s="368"/>
      <c r="HI62" s="368"/>
      <c r="HJ62" s="368"/>
      <c r="HK62" s="368"/>
      <c r="HL62" s="368"/>
      <c r="HM62" s="368"/>
      <c r="HN62" s="368"/>
      <c r="HO62" s="368"/>
      <c r="HP62" s="368"/>
      <c r="HQ62" s="368"/>
      <c r="HR62" s="368"/>
      <c r="HS62" s="368"/>
      <c r="HT62" s="368"/>
      <c r="HU62" s="368"/>
      <c r="HV62" s="368"/>
      <c r="HW62" s="368"/>
      <c r="HX62" s="368"/>
      <c r="HY62" s="368"/>
      <c r="HZ62" s="368"/>
      <c r="IA62" s="368"/>
      <c r="IB62" s="368"/>
      <c r="IC62" s="368"/>
      <c r="ID62" s="368"/>
      <c r="IE62" s="368"/>
      <c r="IF62" s="368"/>
      <c r="IG62" s="368"/>
      <c r="IH62" s="368"/>
      <c r="II62" s="368"/>
      <c r="IJ62" s="368"/>
      <c r="IK62" s="368"/>
      <c r="IL62" s="368"/>
      <c r="IM62" s="368"/>
      <c r="IN62" s="368"/>
      <c r="IO62" s="368"/>
      <c r="IP62" s="368"/>
      <c r="IQ62" s="368"/>
      <c r="IR62" s="368"/>
      <c r="IS62" s="368"/>
      <c r="IT62" s="368"/>
      <c r="IU62" s="368"/>
      <c r="IV62" s="368"/>
      <c r="IW62" s="368"/>
      <c r="IX62" s="368"/>
      <c r="IY62" s="368"/>
      <c r="IZ62" s="368"/>
      <c r="JA62" s="368"/>
      <c r="JB62" s="368"/>
      <c r="JC62" s="368"/>
      <c r="JD62" s="368"/>
      <c r="JE62" s="368"/>
      <c r="JF62" s="368"/>
      <c r="JG62" s="368"/>
      <c r="JH62" s="368"/>
      <c r="JI62" s="368"/>
      <c r="JJ62" s="368"/>
      <c r="JK62" s="368"/>
      <c r="JL62" s="368"/>
      <c r="JM62" s="368"/>
      <c r="JN62" s="368"/>
      <c r="JO62" s="368"/>
      <c r="JP62" s="368"/>
      <c r="JQ62" s="368"/>
      <c r="JR62" s="368"/>
      <c r="JS62" s="368"/>
      <c r="JT62" s="368"/>
      <c r="JU62" s="368"/>
      <c r="JV62" s="368"/>
      <c r="JW62" s="368"/>
      <c r="JX62" s="368"/>
      <c r="JY62" s="368"/>
      <c r="JZ62" s="368"/>
      <c r="KA62" s="368"/>
      <c r="KB62" s="368"/>
      <c r="KC62" s="368"/>
      <c r="KD62" s="368"/>
      <c r="KE62" s="368"/>
      <c r="KF62" s="368"/>
      <c r="KG62" s="368"/>
      <c r="KH62" s="368"/>
      <c r="KI62" s="368"/>
      <c r="KJ62" s="368"/>
      <c r="KK62" s="368"/>
      <c r="KL62" s="368"/>
      <c r="KM62" s="368"/>
      <c r="KN62" s="368"/>
      <c r="KO62" s="368"/>
      <c r="KP62" s="368"/>
      <c r="KQ62" s="368"/>
      <c r="KR62" s="368"/>
      <c r="KS62" s="368"/>
      <c r="KT62" s="368"/>
      <c r="KU62" s="368"/>
      <c r="KV62" s="368"/>
      <c r="KW62" s="368"/>
      <c r="KX62" s="368"/>
      <c r="KY62" s="368"/>
      <c r="KZ62" s="368"/>
      <c r="LA62" s="368"/>
      <c r="LB62" s="368"/>
      <c r="LC62" s="368"/>
      <c r="LD62" s="368"/>
      <c r="LE62" s="368"/>
      <c r="LF62" s="368"/>
      <c r="LG62" s="368"/>
      <c r="LH62" s="368"/>
      <c r="LI62" s="368"/>
      <c r="LJ62" s="368"/>
      <c r="LK62" s="368"/>
      <c r="LL62" s="368"/>
      <c r="LM62" s="368"/>
      <c r="LN62" s="368"/>
      <c r="LO62" s="368"/>
      <c r="LP62" s="368"/>
      <c r="LQ62" s="368"/>
      <c r="LR62" s="368"/>
      <c r="LS62" s="368"/>
      <c r="LT62" s="368"/>
      <c r="LU62" s="368"/>
      <c r="LV62" s="368"/>
      <c r="LW62" s="368"/>
      <c r="LX62" s="368"/>
      <c r="LY62" s="368"/>
      <c r="LZ62" s="368"/>
      <c r="MA62" s="368"/>
      <c r="MB62" s="368"/>
      <c r="MC62" s="368"/>
      <c r="MD62" s="368"/>
      <c r="ME62" s="368"/>
      <c r="MF62" s="368"/>
      <c r="MG62" s="368"/>
      <c r="MH62" s="368"/>
      <c r="MI62" s="368"/>
      <c r="MJ62" s="368"/>
      <c r="MK62" s="368"/>
      <c r="ML62" s="368"/>
      <c r="MM62" s="368"/>
      <c r="MN62" s="368"/>
      <c r="MO62" s="368"/>
      <c r="MP62" s="368"/>
      <c r="MQ62" s="368"/>
      <c r="MR62" s="368"/>
      <c r="MS62" s="368"/>
      <c r="MT62" s="368"/>
      <c r="MU62" s="368"/>
      <c r="MV62" s="368"/>
      <c r="MW62" s="368"/>
      <c r="MX62" s="368"/>
      <c r="MY62" s="368"/>
      <c r="MZ62" s="368"/>
      <c r="NA62" s="368"/>
      <c r="NB62" s="368"/>
      <c r="NC62" s="368"/>
      <c r="ND62" s="368"/>
      <c r="NE62" s="368"/>
      <c r="NF62" s="368"/>
      <c r="NG62" s="368"/>
      <c r="NH62" s="368"/>
      <c r="NI62" s="368"/>
      <c r="NJ62" s="368"/>
      <c r="NK62" s="368"/>
      <c r="NL62" s="368"/>
      <c r="NM62" s="368"/>
      <c r="NN62" s="368"/>
      <c r="NO62" s="368"/>
      <c r="NP62" s="368"/>
      <c r="NQ62" s="368"/>
      <c r="NR62" s="368"/>
      <c r="NS62" s="368"/>
      <c r="NT62" s="368"/>
      <c r="NU62" s="368"/>
      <c r="NV62" s="368"/>
      <c r="NW62" s="368"/>
      <c r="NX62" s="368"/>
      <c r="NY62" s="368"/>
      <c r="NZ62" s="368"/>
      <c r="OA62" s="368"/>
      <c r="OB62" s="368"/>
      <c r="OC62" s="368"/>
      <c r="OD62" s="368"/>
      <c r="OE62" s="368"/>
      <c r="OF62" s="368"/>
      <c r="OG62" s="368"/>
      <c r="OH62" s="368"/>
      <c r="OI62" s="368"/>
      <c r="OJ62" s="368"/>
      <c r="OK62" s="368"/>
      <c r="OL62" s="368"/>
      <c r="OM62" s="368"/>
      <c r="ON62" s="368"/>
      <c r="OO62" s="368"/>
      <c r="OP62" s="368"/>
      <c r="OQ62" s="368"/>
      <c r="OR62" s="368"/>
      <c r="OS62" s="368"/>
      <c r="OT62" s="368"/>
      <c r="OU62" s="368"/>
      <c r="OV62" s="368"/>
      <c r="OW62" s="368"/>
      <c r="OX62" s="368"/>
      <c r="OY62" s="368"/>
      <c r="OZ62" s="368"/>
      <c r="PA62" s="368"/>
      <c r="PB62" s="368"/>
      <c r="PC62" s="368"/>
      <c r="PD62" s="368"/>
      <c r="PE62" s="368"/>
      <c r="PF62" s="368"/>
      <c r="PG62" s="368"/>
      <c r="PH62" s="368"/>
      <c r="PI62" s="368"/>
      <c r="PJ62" s="368"/>
      <c r="PK62" s="368"/>
      <c r="PL62" s="368"/>
      <c r="PM62" s="368"/>
      <c r="PN62" s="368"/>
      <c r="PO62" s="368"/>
      <c r="PP62" s="368"/>
      <c r="PQ62" s="368"/>
      <c r="PR62" s="368"/>
      <c r="PS62" s="368"/>
      <c r="PT62" s="368"/>
      <c r="PU62" s="368"/>
      <c r="PV62" s="368"/>
      <c r="PW62" s="368"/>
      <c r="PX62" s="368"/>
      <c r="PY62" s="368"/>
      <c r="PZ62" s="368"/>
      <c r="QA62" s="368"/>
      <c r="QB62" s="368"/>
      <c r="QC62" s="368"/>
      <c r="QD62" s="368"/>
      <c r="QE62" s="368"/>
      <c r="QF62" s="368"/>
      <c r="QG62" s="368"/>
      <c r="QH62" s="368"/>
      <c r="QI62" s="368"/>
      <c r="QJ62" s="368"/>
      <c r="QK62" s="368"/>
      <c r="QL62" s="368"/>
      <c r="QM62" s="368"/>
      <c r="QN62" s="368"/>
      <c r="QO62" s="368"/>
      <c r="QP62" s="368"/>
      <c r="QQ62" s="368"/>
      <c r="QR62" s="368"/>
      <c r="QS62" s="368"/>
      <c r="QT62" s="368"/>
      <c r="QU62" s="368"/>
      <c r="QV62" s="368"/>
      <c r="QW62" s="368"/>
      <c r="QX62" s="368"/>
      <c r="QY62" s="368"/>
      <c r="QZ62" s="368"/>
      <c r="RA62" s="368"/>
      <c r="RB62" s="368"/>
      <c r="RC62" s="368"/>
      <c r="RD62" s="368"/>
      <c r="RE62" s="368"/>
      <c r="RF62" s="368"/>
      <c r="RG62" s="368"/>
      <c r="RH62" s="368"/>
      <c r="RI62" s="368"/>
      <c r="RJ62" s="368"/>
      <c r="RK62" s="368"/>
      <c r="RL62" s="368"/>
      <c r="RM62" s="368"/>
      <c r="RN62" s="368"/>
      <c r="RO62" s="368"/>
      <c r="RP62" s="368"/>
      <c r="RQ62" s="368"/>
      <c r="RR62" s="368"/>
      <c r="RS62" s="368"/>
      <c r="RT62" s="368"/>
      <c r="RU62" s="368"/>
      <c r="RV62" s="368"/>
      <c r="RW62" s="368"/>
      <c r="RX62" s="368"/>
      <c r="RY62" s="368"/>
      <c r="RZ62" s="368"/>
      <c r="SA62" s="368"/>
      <c r="SB62" s="368"/>
      <c r="SC62" s="368"/>
      <c r="SD62" s="368"/>
      <c r="SE62" s="368"/>
      <c r="SF62" s="368"/>
      <c r="SG62" s="368"/>
      <c r="SH62" s="368"/>
      <c r="SI62" s="368"/>
      <c r="SJ62" s="368"/>
      <c r="SK62" s="368"/>
      <c r="SL62" s="368"/>
      <c r="SM62" s="368"/>
      <c r="SN62" s="368"/>
      <c r="SO62" s="368"/>
      <c r="SP62" s="368"/>
      <c r="SQ62" s="368"/>
      <c r="SR62" s="368"/>
      <c r="SS62" s="368"/>
      <c r="ST62" s="368"/>
      <c r="SU62" s="368"/>
      <c r="SV62" s="368"/>
      <c r="SW62" s="368"/>
      <c r="SX62" s="368"/>
      <c r="SY62" s="368"/>
      <c r="SZ62" s="368"/>
      <c r="TA62" s="368"/>
      <c r="TB62" s="368"/>
      <c r="TC62" s="368"/>
      <c r="TD62" s="368"/>
      <c r="TE62" s="368"/>
      <c r="TF62" s="368"/>
      <c r="TG62" s="368"/>
      <c r="TH62" s="368"/>
      <c r="TI62" s="368"/>
      <c r="TJ62" s="368"/>
      <c r="TK62" s="368"/>
      <c r="TL62" s="368"/>
      <c r="TM62" s="368"/>
      <c r="TN62" s="368"/>
      <c r="TO62" s="368"/>
      <c r="TP62" s="368"/>
      <c r="TQ62" s="368"/>
      <c r="TR62" s="368"/>
      <c r="TS62" s="368"/>
      <c r="TT62" s="368"/>
      <c r="TU62" s="368"/>
      <c r="TV62" s="368"/>
      <c r="TW62" s="368"/>
      <c r="TX62" s="368"/>
      <c r="TY62" s="368"/>
      <c r="TZ62" s="368"/>
      <c r="UA62" s="368"/>
      <c r="UB62" s="368"/>
      <c r="UC62" s="368"/>
      <c r="UD62" s="368"/>
      <c r="UE62" s="368"/>
      <c r="UF62" s="368"/>
      <c r="UG62" s="368"/>
      <c r="UH62" s="368"/>
      <c r="UI62" s="368"/>
      <c r="UJ62" s="368"/>
      <c r="UK62" s="368"/>
      <c r="UL62" s="368"/>
      <c r="UM62" s="368"/>
      <c r="UN62" s="368"/>
      <c r="UO62" s="368"/>
      <c r="UP62" s="368"/>
      <c r="UQ62" s="368"/>
      <c r="UR62" s="368"/>
      <c r="US62" s="368"/>
      <c r="UT62" s="368"/>
      <c r="UU62" s="368"/>
      <c r="UV62" s="368"/>
      <c r="UW62" s="368"/>
      <c r="UX62" s="368"/>
      <c r="UY62" s="368"/>
      <c r="UZ62" s="368"/>
      <c r="VA62" s="368"/>
      <c r="VB62" s="368"/>
      <c r="VC62" s="368"/>
      <c r="VD62" s="368"/>
      <c r="VE62" s="368"/>
      <c r="VF62" s="368"/>
      <c r="VG62" s="368"/>
      <c r="VH62" s="368"/>
      <c r="VI62" s="368"/>
      <c r="VJ62" s="368"/>
      <c r="VK62" s="368"/>
      <c r="VL62" s="368"/>
      <c r="VM62" s="368"/>
      <c r="VN62" s="368"/>
      <c r="VO62" s="368"/>
      <c r="VP62" s="368"/>
      <c r="VQ62" s="368"/>
      <c r="VR62" s="368"/>
      <c r="VS62" s="368"/>
      <c r="VT62" s="368"/>
      <c r="VU62" s="368"/>
      <c r="VV62" s="368"/>
      <c r="VW62" s="368"/>
      <c r="VX62" s="368"/>
      <c r="VY62" s="368"/>
      <c r="VZ62" s="368"/>
      <c r="WA62" s="368"/>
      <c r="WB62" s="368"/>
      <c r="WC62" s="368"/>
      <c r="WD62" s="368"/>
      <c r="WE62" s="368"/>
      <c r="WF62" s="368"/>
      <c r="WG62" s="368"/>
      <c r="WH62" s="368"/>
      <c r="WI62" s="368"/>
      <c r="WJ62" s="368"/>
      <c r="WK62" s="368"/>
      <c r="WL62" s="368"/>
      <c r="WM62" s="368"/>
      <c r="WN62" s="368"/>
      <c r="WO62" s="368"/>
      <c r="WP62" s="368"/>
      <c r="WQ62" s="368"/>
      <c r="WR62" s="368"/>
      <c r="WS62" s="368"/>
      <c r="WT62" s="368"/>
      <c r="WU62" s="368"/>
      <c r="WV62" s="368"/>
      <c r="WW62" s="368"/>
      <c r="WX62" s="368"/>
      <c r="WY62" s="368"/>
      <c r="WZ62" s="368"/>
      <c r="XA62" s="368"/>
      <c r="XB62" s="368"/>
      <c r="XC62" s="368"/>
      <c r="XD62" s="368"/>
      <c r="XE62" s="368"/>
      <c r="XF62" s="368"/>
      <c r="XG62" s="368"/>
      <c r="XH62" s="368"/>
      <c r="XI62" s="368"/>
      <c r="XJ62" s="368"/>
      <c r="XK62" s="368"/>
      <c r="XL62" s="368"/>
      <c r="XM62" s="368"/>
      <c r="XN62" s="368"/>
      <c r="XO62" s="368"/>
      <c r="XP62" s="368"/>
      <c r="XQ62" s="368"/>
      <c r="XR62" s="368"/>
      <c r="XS62" s="368"/>
      <c r="XT62" s="368"/>
      <c r="XU62" s="368"/>
      <c r="XV62" s="368"/>
      <c r="XW62" s="368"/>
      <c r="XX62" s="368"/>
      <c r="XY62" s="368"/>
      <c r="XZ62" s="368"/>
      <c r="YA62" s="368"/>
      <c r="YB62" s="368"/>
      <c r="YC62" s="368"/>
      <c r="YD62" s="368"/>
      <c r="YE62" s="368"/>
      <c r="YF62" s="368"/>
      <c r="YG62" s="368"/>
      <c r="YH62" s="368"/>
      <c r="YI62" s="368"/>
      <c r="YJ62" s="368"/>
      <c r="YK62" s="368"/>
      <c r="YL62" s="368"/>
      <c r="YM62" s="368"/>
      <c r="YN62" s="368"/>
      <c r="YO62" s="368"/>
      <c r="YP62" s="368"/>
      <c r="YQ62" s="368"/>
      <c r="YR62" s="368"/>
      <c r="YS62" s="368"/>
      <c r="YT62" s="368"/>
      <c r="YU62" s="368"/>
      <c r="YV62" s="368"/>
      <c r="YW62" s="368"/>
      <c r="YX62" s="368"/>
      <c r="YY62" s="368"/>
      <c r="YZ62" s="368"/>
      <c r="ZA62" s="368"/>
      <c r="ZB62" s="368"/>
      <c r="ZC62" s="368"/>
      <c r="ZD62" s="368"/>
      <c r="ZE62" s="368"/>
      <c r="ZF62" s="368"/>
      <c r="ZG62" s="368"/>
      <c r="ZH62" s="368"/>
      <c r="ZI62" s="368"/>
      <c r="ZJ62" s="368"/>
      <c r="ZK62" s="368"/>
      <c r="ZL62" s="368"/>
      <c r="ZM62" s="368"/>
      <c r="ZN62" s="368"/>
      <c r="ZO62" s="368"/>
      <c r="ZP62" s="368"/>
      <c r="ZQ62" s="368"/>
      <c r="ZR62" s="368"/>
      <c r="ZS62" s="368"/>
      <c r="ZT62" s="368"/>
      <c r="ZU62" s="368"/>
      <c r="ZV62" s="368"/>
      <c r="ZW62" s="368"/>
      <c r="ZX62" s="368"/>
      <c r="ZY62" s="368"/>
      <c r="ZZ62" s="368"/>
      <c r="AAA62" s="368"/>
      <c r="AAB62" s="368"/>
      <c r="AAC62" s="368"/>
      <c r="AAD62" s="368"/>
      <c r="AAE62" s="368"/>
      <c r="AAF62" s="368"/>
      <c r="AAG62" s="368"/>
      <c r="AAH62" s="368"/>
      <c r="AAI62" s="368"/>
      <c r="AAJ62" s="368"/>
      <c r="AAK62" s="368"/>
      <c r="AAL62" s="368"/>
      <c r="AAM62" s="368"/>
      <c r="AAN62" s="368"/>
      <c r="AAO62" s="368"/>
      <c r="AAP62" s="368"/>
      <c r="AAQ62" s="368"/>
      <c r="AAR62" s="368"/>
      <c r="AAS62" s="368"/>
      <c r="AAT62" s="368"/>
      <c r="AAU62" s="368"/>
      <c r="AAV62" s="368"/>
      <c r="AAW62" s="368"/>
      <c r="AAX62" s="368"/>
      <c r="AAY62" s="368"/>
      <c r="AAZ62" s="368"/>
      <c r="ABA62" s="368"/>
      <c r="ABB62" s="368"/>
      <c r="ABC62" s="368"/>
      <c r="ABD62" s="368"/>
      <c r="ABE62" s="368"/>
      <c r="ABF62" s="368"/>
      <c r="ABG62" s="368"/>
      <c r="ABH62" s="368"/>
      <c r="ABI62" s="368"/>
      <c r="ABJ62" s="368"/>
      <c r="ABK62" s="368"/>
      <c r="ABL62" s="368"/>
      <c r="ABM62" s="368"/>
      <c r="ABN62" s="368"/>
      <c r="ABO62" s="368"/>
      <c r="ABP62" s="368"/>
      <c r="ABQ62" s="368"/>
      <c r="ABR62" s="368"/>
      <c r="ABS62" s="368"/>
      <c r="ABT62" s="368"/>
      <c r="ABU62" s="368"/>
      <c r="ABV62" s="368"/>
      <c r="ABW62" s="368"/>
      <c r="ABX62" s="368"/>
      <c r="ABY62" s="368"/>
      <c r="ABZ62" s="368"/>
      <c r="ACA62" s="368"/>
      <c r="ACB62" s="368"/>
      <c r="ACC62" s="368"/>
      <c r="ACD62" s="368"/>
      <c r="ACE62" s="368"/>
      <c r="ACF62" s="368"/>
      <c r="ACG62" s="368"/>
      <c r="ACH62" s="368"/>
      <c r="ACI62" s="368"/>
      <c r="ACJ62" s="368"/>
      <c r="ACK62" s="368"/>
      <c r="ACL62" s="368"/>
      <c r="ACM62" s="368"/>
      <c r="ACN62" s="368"/>
      <c r="ACO62" s="368"/>
      <c r="ACP62" s="368"/>
      <c r="ACQ62" s="368"/>
      <c r="ACR62" s="368"/>
      <c r="ACS62" s="368"/>
      <c r="ACT62" s="368"/>
      <c r="ACU62" s="368"/>
      <c r="ACV62" s="368"/>
      <c r="ACW62" s="368"/>
      <c r="ACX62" s="368"/>
      <c r="ACY62" s="368"/>
      <c r="ACZ62" s="368"/>
      <c r="ADA62" s="368"/>
      <c r="ADB62" s="368"/>
      <c r="ADC62" s="368"/>
      <c r="ADD62" s="368"/>
      <c r="ADE62" s="368"/>
      <c r="ADF62" s="368"/>
      <c r="ADG62" s="368"/>
      <c r="ADH62" s="368"/>
      <c r="ADI62" s="368"/>
      <c r="ADJ62" s="368"/>
      <c r="ADK62" s="368"/>
      <c r="ADL62" s="368"/>
      <c r="ADM62" s="368"/>
      <c r="ADN62" s="368"/>
      <c r="ADO62" s="368"/>
      <c r="ADP62" s="368"/>
      <c r="ADQ62" s="368"/>
      <c r="ADR62" s="368"/>
      <c r="ADS62" s="368"/>
      <c r="ADT62" s="368"/>
      <c r="ADU62" s="368"/>
      <c r="ADV62" s="368"/>
      <c r="ADW62" s="368"/>
      <c r="ADX62" s="368"/>
      <c r="ADY62" s="368"/>
      <c r="ADZ62" s="368"/>
      <c r="AEA62" s="368"/>
      <c r="AEB62" s="368"/>
      <c r="AEC62" s="368"/>
      <c r="AED62" s="368"/>
      <c r="AEE62" s="368"/>
      <c r="AEF62" s="368"/>
      <c r="AEG62" s="368"/>
      <c r="AEH62" s="368"/>
      <c r="AEI62" s="368"/>
      <c r="AEJ62" s="368"/>
      <c r="AEK62" s="368"/>
      <c r="AEL62" s="368"/>
      <c r="AEM62" s="368"/>
      <c r="AEN62" s="368"/>
      <c r="AEO62" s="368"/>
      <c r="AEP62" s="368"/>
      <c r="AEQ62" s="368"/>
      <c r="AER62" s="368"/>
      <c r="AES62" s="368"/>
      <c r="AET62" s="368"/>
      <c r="AEU62" s="368"/>
      <c r="AEV62" s="368"/>
      <c r="AEW62" s="368"/>
      <c r="AEX62" s="368"/>
      <c r="AEY62" s="368"/>
      <c r="AEZ62" s="368"/>
      <c r="AFA62" s="368"/>
      <c r="AFB62" s="368"/>
      <c r="AFC62" s="368"/>
      <c r="AFD62" s="368"/>
      <c r="AFE62" s="368"/>
      <c r="AFF62" s="368"/>
      <c r="AFG62" s="368"/>
      <c r="AFH62" s="368"/>
      <c r="AFI62" s="368"/>
      <c r="AFJ62" s="368"/>
      <c r="AFK62" s="368"/>
      <c r="AFL62" s="368"/>
      <c r="AFM62" s="368"/>
      <c r="AFN62" s="368"/>
      <c r="AFO62" s="368"/>
      <c r="AFP62" s="368"/>
      <c r="AFQ62" s="368"/>
      <c r="AFR62" s="368"/>
      <c r="AFS62" s="368"/>
      <c r="AFT62" s="368"/>
      <c r="AFU62" s="368"/>
      <c r="AFV62" s="368"/>
      <c r="AFW62" s="368"/>
      <c r="AFX62" s="368"/>
      <c r="AFY62" s="368"/>
      <c r="AFZ62" s="368"/>
      <c r="AGA62" s="368"/>
      <c r="AGB62" s="368"/>
      <c r="AGC62" s="368"/>
      <c r="AGD62" s="368"/>
      <c r="AGE62" s="368"/>
      <c r="AGF62" s="368"/>
      <c r="AGG62" s="368"/>
      <c r="AGH62" s="368"/>
      <c r="AGI62" s="368"/>
      <c r="AGJ62" s="368"/>
      <c r="AGK62" s="368"/>
      <c r="AGL62" s="368"/>
      <c r="AGM62" s="368"/>
      <c r="AGN62" s="368"/>
      <c r="AGO62" s="368"/>
      <c r="AGP62" s="368"/>
      <c r="AGQ62" s="368"/>
      <c r="AGR62" s="368"/>
      <c r="AGS62" s="368"/>
      <c r="AGT62" s="368"/>
      <c r="AGU62" s="368"/>
      <c r="AGV62" s="368"/>
      <c r="AGW62" s="368"/>
      <c r="AGX62" s="368"/>
      <c r="AGY62" s="368"/>
      <c r="AGZ62" s="368"/>
      <c r="AHA62" s="368"/>
      <c r="AHB62" s="368"/>
      <c r="AHC62" s="368"/>
      <c r="AHD62" s="368"/>
      <c r="AHE62" s="368"/>
      <c r="AHF62" s="368"/>
      <c r="AHG62" s="368"/>
      <c r="AHH62" s="368"/>
      <c r="AHI62" s="368"/>
      <c r="AHJ62" s="368"/>
      <c r="AHK62" s="368"/>
      <c r="AHL62" s="368"/>
      <c r="AHM62" s="368"/>
      <c r="AHN62" s="368"/>
      <c r="AHO62" s="368"/>
      <c r="AHP62" s="368"/>
      <c r="AHQ62" s="368"/>
      <c r="AHR62" s="368"/>
      <c r="AHS62" s="368"/>
      <c r="AHT62" s="368"/>
      <c r="AHU62" s="368"/>
      <c r="AHV62" s="368"/>
      <c r="AHW62" s="368"/>
      <c r="AHX62" s="368"/>
      <c r="AHY62" s="368"/>
      <c r="AHZ62" s="368"/>
      <c r="AIA62" s="368"/>
      <c r="AIB62" s="368"/>
      <c r="AIC62" s="368"/>
      <c r="AID62" s="368"/>
      <c r="AIE62" s="368"/>
      <c r="AIF62" s="368"/>
      <c r="AIG62" s="368"/>
      <c r="AIH62" s="368"/>
      <c r="AII62" s="368"/>
      <c r="AIJ62" s="368"/>
      <c r="AIK62" s="368"/>
      <c r="AIL62" s="368"/>
      <c r="AIM62" s="368"/>
      <c r="AIN62" s="368"/>
      <c r="AIO62" s="368"/>
      <c r="AIP62" s="368"/>
      <c r="AIQ62" s="368"/>
      <c r="AIR62" s="368"/>
      <c r="AIS62" s="368"/>
      <c r="AIT62" s="368"/>
      <c r="AIU62" s="368"/>
      <c r="AIV62" s="368"/>
      <c r="AIW62" s="368"/>
      <c r="AIX62" s="368"/>
      <c r="AIY62" s="368"/>
      <c r="AIZ62" s="368"/>
      <c r="AJA62" s="368"/>
      <c r="AJB62" s="368"/>
      <c r="AJC62" s="368"/>
      <c r="AJD62" s="368"/>
      <c r="AJE62" s="368"/>
      <c r="AJF62" s="368"/>
      <c r="AJG62" s="368"/>
      <c r="AJH62" s="368"/>
      <c r="AJI62" s="368"/>
      <c r="AJJ62" s="368"/>
      <c r="AJK62" s="368"/>
      <c r="AJL62" s="368"/>
      <c r="AJM62" s="368"/>
      <c r="AJN62" s="368"/>
      <c r="AJO62" s="368"/>
      <c r="AJP62" s="368"/>
      <c r="AJQ62" s="368"/>
      <c r="AJR62" s="368"/>
      <c r="AJS62" s="368"/>
      <c r="AJT62" s="368"/>
      <c r="AJU62" s="368"/>
      <c r="AJV62" s="368"/>
      <c r="AJW62" s="368"/>
      <c r="AJX62" s="368"/>
      <c r="AJY62" s="368"/>
      <c r="AJZ62" s="368"/>
      <c r="AKA62" s="368"/>
      <c r="AKB62" s="368"/>
      <c r="AKC62" s="368"/>
      <c r="AKD62" s="368"/>
      <c r="AKE62" s="368"/>
      <c r="AKF62" s="368"/>
      <c r="AKG62" s="368"/>
      <c r="AKH62" s="368"/>
      <c r="AKI62" s="368"/>
      <c r="AKJ62" s="368"/>
      <c r="AKK62" s="368"/>
      <c r="AKL62" s="368"/>
      <c r="AKM62" s="368"/>
      <c r="AKN62" s="368"/>
    </row>
    <row r="63" spans="1:976" s="351" customFormat="1" ht="22.5" customHeight="1" x14ac:dyDescent="0.2">
      <c r="A63" s="418" t="s">
        <v>262</v>
      </c>
      <c r="B63" s="418"/>
      <c r="C63" s="418" t="s">
        <v>221</v>
      </c>
      <c r="D63" s="418" t="s">
        <v>222</v>
      </c>
      <c r="E63" s="419">
        <v>409927</v>
      </c>
      <c r="F63" s="419">
        <v>1077</v>
      </c>
      <c r="G63" s="419">
        <v>160</v>
      </c>
      <c r="H63" s="419">
        <v>0</v>
      </c>
      <c r="I63" s="420">
        <v>45812</v>
      </c>
      <c r="J63" s="418" t="s">
        <v>395</v>
      </c>
      <c r="K63" s="418" t="s">
        <v>462</v>
      </c>
      <c r="L63" s="421">
        <v>24.64</v>
      </c>
      <c r="M63" s="421">
        <v>1.36</v>
      </c>
      <c r="N63" s="443">
        <v>26</v>
      </c>
      <c r="O63" s="418"/>
      <c r="P63" s="422">
        <v>45821</v>
      </c>
      <c r="Q63" s="421">
        <v>26</v>
      </c>
      <c r="R63" s="418" t="s">
        <v>463</v>
      </c>
      <c r="S63" s="421">
        <v>0</v>
      </c>
      <c r="T63" s="421">
        <v>0</v>
      </c>
      <c r="U63" s="421">
        <v>0</v>
      </c>
      <c r="V63" s="421">
        <v>0</v>
      </c>
      <c r="W63" s="418"/>
      <c r="X63" s="418" t="s">
        <v>266</v>
      </c>
      <c r="Y63" s="418" t="s">
        <v>267</v>
      </c>
      <c r="Z63" s="418" t="s">
        <v>42</v>
      </c>
      <c r="AA63" s="418" t="s">
        <v>228</v>
      </c>
      <c r="AB63" s="418" t="s">
        <v>34</v>
      </c>
      <c r="AC63" s="418" t="s">
        <v>250</v>
      </c>
      <c r="AD63" s="418" t="s">
        <v>231</v>
      </c>
      <c r="AE63" s="418" t="s">
        <v>232</v>
      </c>
      <c r="AF63" s="418" t="s">
        <v>231</v>
      </c>
      <c r="AG63" s="418" t="s">
        <v>232</v>
      </c>
      <c r="AH63" s="418"/>
      <c r="AI63" s="418"/>
      <c r="AJ63" s="418"/>
      <c r="AK63" s="418" t="s">
        <v>464</v>
      </c>
      <c r="AL63" s="419">
        <v>1</v>
      </c>
      <c r="AM63" s="419">
        <v>0</v>
      </c>
      <c r="AN63" s="420">
        <v>45821</v>
      </c>
      <c r="AO63" s="420">
        <v>45821</v>
      </c>
      <c r="AP63" s="421">
        <v>26</v>
      </c>
      <c r="AQ63" s="420">
        <v>45820</v>
      </c>
      <c r="AR63" s="368"/>
      <c r="AS63" s="368"/>
      <c r="AT63" s="368"/>
      <c r="AU63" s="368"/>
      <c r="AV63" s="368"/>
      <c r="AW63" s="368"/>
      <c r="AX63" s="368"/>
      <c r="AY63" s="368"/>
      <c r="AZ63" s="368"/>
      <c r="BA63" s="368"/>
      <c r="BB63" s="368"/>
      <c r="BC63" s="368"/>
      <c r="BD63" s="368"/>
      <c r="BE63" s="368"/>
      <c r="BF63" s="368"/>
      <c r="BG63" s="368"/>
      <c r="BH63" s="368"/>
      <c r="BI63" s="368"/>
      <c r="BJ63" s="368"/>
      <c r="BK63" s="368"/>
      <c r="BL63" s="368"/>
      <c r="BM63" s="368"/>
      <c r="BN63" s="368"/>
      <c r="BO63" s="368"/>
      <c r="BP63" s="368"/>
      <c r="BQ63" s="368"/>
      <c r="BR63" s="368"/>
      <c r="BS63" s="368"/>
      <c r="BT63" s="368"/>
      <c r="BU63" s="368"/>
      <c r="BV63" s="368"/>
      <c r="BW63" s="368"/>
      <c r="BX63" s="368"/>
      <c r="BY63" s="368"/>
      <c r="BZ63" s="368"/>
      <c r="CA63" s="368"/>
      <c r="CB63" s="368"/>
      <c r="CC63" s="368"/>
      <c r="CD63" s="368"/>
      <c r="CE63" s="368"/>
      <c r="CF63" s="368"/>
      <c r="CG63" s="368"/>
      <c r="CH63" s="368"/>
      <c r="CI63" s="368"/>
      <c r="CJ63" s="368"/>
      <c r="CK63" s="368"/>
      <c r="CL63" s="368"/>
      <c r="CM63" s="368"/>
      <c r="CN63" s="368"/>
      <c r="CO63" s="368"/>
      <c r="CP63" s="368"/>
      <c r="CQ63" s="368"/>
      <c r="CR63" s="368"/>
      <c r="CS63" s="368"/>
      <c r="CT63" s="368"/>
      <c r="CU63" s="368"/>
      <c r="CV63" s="368"/>
      <c r="CW63" s="368"/>
      <c r="CX63" s="368"/>
      <c r="CY63" s="368"/>
      <c r="CZ63" s="368"/>
      <c r="DA63" s="368"/>
      <c r="DB63" s="368"/>
      <c r="DC63" s="368"/>
      <c r="DD63" s="368"/>
      <c r="DE63" s="368"/>
      <c r="DF63" s="368"/>
      <c r="DG63" s="368"/>
      <c r="DH63" s="368"/>
      <c r="DI63" s="368"/>
      <c r="DJ63" s="368"/>
      <c r="DK63" s="368"/>
      <c r="DL63" s="368"/>
      <c r="DM63" s="368"/>
      <c r="DN63" s="368"/>
      <c r="DO63" s="368"/>
      <c r="DP63" s="368"/>
      <c r="DQ63" s="368"/>
      <c r="DR63" s="368"/>
      <c r="DS63" s="368"/>
      <c r="DT63" s="368"/>
      <c r="DU63" s="368"/>
      <c r="DV63" s="368"/>
      <c r="DW63" s="368"/>
      <c r="DX63" s="368"/>
      <c r="DY63" s="368"/>
      <c r="DZ63" s="368"/>
      <c r="EA63" s="368"/>
      <c r="EB63" s="368"/>
      <c r="EC63" s="368"/>
      <c r="ED63" s="368"/>
      <c r="EE63" s="368"/>
      <c r="EF63" s="368"/>
      <c r="EG63" s="368"/>
      <c r="EH63" s="368"/>
      <c r="EI63" s="368"/>
      <c r="EJ63" s="368"/>
      <c r="EK63" s="368"/>
      <c r="EL63" s="368"/>
      <c r="EM63" s="368"/>
      <c r="EN63" s="368"/>
      <c r="EO63" s="368"/>
      <c r="EP63" s="368"/>
      <c r="EQ63" s="368"/>
      <c r="ER63" s="368"/>
      <c r="ES63" s="368"/>
      <c r="ET63" s="368"/>
      <c r="EU63" s="368"/>
      <c r="EV63" s="368"/>
      <c r="EW63" s="368"/>
      <c r="EX63" s="368"/>
      <c r="EY63" s="368"/>
      <c r="EZ63" s="368"/>
      <c r="FA63" s="368"/>
      <c r="FB63" s="368"/>
      <c r="FC63" s="368"/>
      <c r="FD63" s="368"/>
      <c r="FE63" s="368"/>
      <c r="FF63" s="368"/>
      <c r="FG63" s="368"/>
      <c r="FH63" s="368"/>
      <c r="FI63" s="368"/>
      <c r="FJ63" s="368"/>
      <c r="FK63" s="368"/>
      <c r="FL63" s="368"/>
      <c r="FM63" s="368"/>
      <c r="FN63" s="368"/>
      <c r="FO63" s="368"/>
      <c r="FP63" s="368"/>
      <c r="FQ63" s="368"/>
      <c r="FR63" s="368"/>
      <c r="FS63" s="368"/>
      <c r="FT63" s="368"/>
      <c r="FU63" s="368"/>
      <c r="FV63" s="368"/>
      <c r="FW63" s="368"/>
      <c r="FX63" s="368"/>
      <c r="FY63" s="368"/>
      <c r="FZ63" s="368"/>
      <c r="GA63" s="368"/>
      <c r="GB63" s="368"/>
      <c r="GC63" s="368"/>
      <c r="GD63" s="368"/>
      <c r="GE63" s="368"/>
      <c r="GF63" s="368"/>
      <c r="GG63" s="368"/>
      <c r="GH63" s="368"/>
      <c r="GI63" s="368"/>
      <c r="GJ63" s="368"/>
      <c r="GK63" s="368"/>
      <c r="GL63" s="368"/>
      <c r="GM63" s="368"/>
      <c r="GN63" s="368"/>
      <c r="GO63" s="368"/>
      <c r="GP63" s="368"/>
      <c r="GQ63" s="368"/>
      <c r="GR63" s="368"/>
      <c r="GS63" s="368"/>
      <c r="GT63" s="368"/>
      <c r="GU63" s="368"/>
      <c r="GV63" s="368"/>
      <c r="GW63" s="368"/>
      <c r="GX63" s="368"/>
      <c r="GY63" s="368"/>
      <c r="GZ63" s="368"/>
      <c r="HA63" s="368"/>
      <c r="HB63" s="368"/>
      <c r="HC63" s="368"/>
      <c r="HD63" s="368"/>
      <c r="HE63" s="368"/>
      <c r="HF63" s="368"/>
      <c r="HG63" s="368"/>
      <c r="HH63" s="368"/>
      <c r="HI63" s="368"/>
      <c r="HJ63" s="368"/>
      <c r="HK63" s="368"/>
      <c r="HL63" s="368"/>
      <c r="HM63" s="368"/>
      <c r="HN63" s="368"/>
      <c r="HO63" s="368"/>
      <c r="HP63" s="368"/>
      <c r="HQ63" s="368"/>
      <c r="HR63" s="368"/>
      <c r="HS63" s="368"/>
      <c r="HT63" s="368"/>
      <c r="HU63" s="368"/>
      <c r="HV63" s="368"/>
      <c r="HW63" s="368"/>
      <c r="HX63" s="368"/>
      <c r="HY63" s="368"/>
      <c r="HZ63" s="368"/>
      <c r="IA63" s="368"/>
      <c r="IB63" s="368"/>
      <c r="IC63" s="368"/>
      <c r="ID63" s="368"/>
      <c r="IE63" s="368"/>
      <c r="IF63" s="368"/>
      <c r="IG63" s="368"/>
      <c r="IH63" s="368"/>
      <c r="II63" s="368"/>
      <c r="IJ63" s="368"/>
      <c r="IK63" s="368"/>
      <c r="IL63" s="368"/>
      <c r="IM63" s="368"/>
      <c r="IN63" s="368"/>
      <c r="IO63" s="368"/>
      <c r="IP63" s="368"/>
      <c r="IQ63" s="368"/>
      <c r="IR63" s="368"/>
      <c r="IS63" s="368"/>
      <c r="IT63" s="368"/>
      <c r="IU63" s="368"/>
      <c r="IV63" s="368"/>
      <c r="IW63" s="368"/>
      <c r="IX63" s="368"/>
      <c r="IY63" s="368"/>
      <c r="IZ63" s="368"/>
      <c r="JA63" s="368"/>
      <c r="JB63" s="368"/>
      <c r="JC63" s="368"/>
      <c r="JD63" s="368"/>
      <c r="JE63" s="368"/>
      <c r="JF63" s="368"/>
      <c r="JG63" s="368"/>
      <c r="JH63" s="368"/>
      <c r="JI63" s="368"/>
      <c r="JJ63" s="368"/>
      <c r="JK63" s="368"/>
      <c r="JL63" s="368"/>
      <c r="JM63" s="368"/>
      <c r="JN63" s="368"/>
      <c r="JO63" s="368"/>
      <c r="JP63" s="368"/>
      <c r="JQ63" s="368"/>
      <c r="JR63" s="368"/>
      <c r="JS63" s="368"/>
      <c r="JT63" s="368"/>
      <c r="JU63" s="368"/>
      <c r="JV63" s="368"/>
      <c r="JW63" s="368"/>
      <c r="JX63" s="368"/>
      <c r="JY63" s="368"/>
      <c r="JZ63" s="368"/>
      <c r="KA63" s="368"/>
      <c r="KB63" s="368"/>
      <c r="KC63" s="368"/>
      <c r="KD63" s="368"/>
      <c r="KE63" s="368"/>
      <c r="KF63" s="368"/>
      <c r="KG63" s="368"/>
      <c r="KH63" s="368"/>
      <c r="KI63" s="368"/>
      <c r="KJ63" s="368"/>
      <c r="KK63" s="368"/>
      <c r="KL63" s="368"/>
      <c r="KM63" s="368"/>
      <c r="KN63" s="368"/>
      <c r="KO63" s="368"/>
      <c r="KP63" s="368"/>
      <c r="KQ63" s="368"/>
      <c r="KR63" s="368"/>
      <c r="KS63" s="368"/>
      <c r="KT63" s="368"/>
      <c r="KU63" s="368"/>
      <c r="KV63" s="368"/>
      <c r="KW63" s="368"/>
      <c r="KX63" s="368"/>
      <c r="KY63" s="368"/>
      <c r="KZ63" s="368"/>
      <c r="LA63" s="368"/>
      <c r="LB63" s="368"/>
      <c r="LC63" s="368"/>
      <c r="LD63" s="368"/>
      <c r="LE63" s="368"/>
      <c r="LF63" s="368"/>
      <c r="LG63" s="368"/>
      <c r="LH63" s="368"/>
      <c r="LI63" s="368"/>
      <c r="LJ63" s="368"/>
      <c r="LK63" s="368"/>
      <c r="LL63" s="368"/>
      <c r="LM63" s="368"/>
      <c r="LN63" s="368"/>
      <c r="LO63" s="368"/>
      <c r="LP63" s="368"/>
      <c r="LQ63" s="368"/>
      <c r="LR63" s="368"/>
      <c r="LS63" s="368"/>
      <c r="LT63" s="368"/>
      <c r="LU63" s="368"/>
      <c r="LV63" s="368"/>
      <c r="LW63" s="368"/>
      <c r="LX63" s="368"/>
      <c r="LY63" s="368"/>
      <c r="LZ63" s="368"/>
      <c r="MA63" s="368"/>
      <c r="MB63" s="368"/>
      <c r="MC63" s="368"/>
      <c r="MD63" s="368"/>
      <c r="ME63" s="368"/>
      <c r="MF63" s="368"/>
      <c r="MG63" s="368"/>
      <c r="MH63" s="368"/>
      <c r="MI63" s="368"/>
      <c r="MJ63" s="368"/>
      <c r="MK63" s="368"/>
      <c r="ML63" s="368"/>
      <c r="MM63" s="368"/>
      <c r="MN63" s="368"/>
      <c r="MO63" s="368"/>
      <c r="MP63" s="368"/>
      <c r="MQ63" s="368"/>
      <c r="MR63" s="368"/>
      <c r="MS63" s="368"/>
      <c r="MT63" s="368"/>
      <c r="MU63" s="368"/>
      <c r="MV63" s="368"/>
      <c r="MW63" s="368"/>
      <c r="MX63" s="368"/>
      <c r="MY63" s="368"/>
      <c r="MZ63" s="368"/>
      <c r="NA63" s="368"/>
      <c r="NB63" s="368"/>
      <c r="NC63" s="368"/>
      <c r="ND63" s="368"/>
      <c r="NE63" s="368"/>
      <c r="NF63" s="368"/>
      <c r="NG63" s="368"/>
      <c r="NH63" s="368"/>
      <c r="NI63" s="368"/>
      <c r="NJ63" s="368"/>
      <c r="NK63" s="368"/>
      <c r="NL63" s="368"/>
      <c r="NM63" s="368"/>
      <c r="NN63" s="368"/>
      <c r="NO63" s="368"/>
      <c r="NP63" s="368"/>
      <c r="NQ63" s="368"/>
      <c r="NR63" s="368"/>
      <c r="NS63" s="368"/>
      <c r="NT63" s="368"/>
      <c r="NU63" s="368"/>
      <c r="NV63" s="368"/>
      <c r="NW63" s="368"/>
      <c r="NX63" s="368"/>
      <c r="NY63" s="368"/>
      <c r="NZ63" s="368"/>
      <c r="OA63" s="368"/>
      <c r="OB63" s="368"/>
      <c r="OC63" s="368"/>
      <c r="OD63" s="368"/>
      <c r="OE63" s="368"/>
      <c r="OF63" s="368"/>
      <c r="OG63" s="368"/>
      <c r="OH63" s="368"/>
      <c r="OI63" s="368"/>
      <c r="OJ63" s="368"/>
      <c r="OK63" s="368"/>
      <c r="OL63" s="368"/>
      <c r="OM63" s="368"/>
      <c r="ON63" s="368"/>
      <c r="OO63" s="368"/>
      <c r="OP63" s="368"/>
      <c r="OQ63" s="368"/>
      <c r="OR63" s="368"/>
      <c r="OS63" s="368"/>
      <c r="OT63" s="368"/>
      <c r="OU63" s="368"/>
      <c r="OV63" s="368"/>
      <c r="OW63" s="368"/>
      <c r="OX63" s="368"/>
      <c r="OY63" s="368"/>
      <c r="OZ63" s="368"/>
      <c r="PA63" s="368"/>
      <c r="PB63" s="368"/>
      <c r="PC63" s="368"/>
      <c r="PD63" s="368"/>
      <c r="PE63" s="368"/>
      <c r="PF63" s="368"/>
      <c r="PG63" s="368"/>
      <c r="PH63" s="368"/>
      <c r="PI63" s="368"/>
      <c r="PJ63" s="368"/>
      <c r="PK63" s="368"/>
      <c r="PL63" s="368"/>
      <c r="PM63" s="368"/>
      <c r="PN63" s="368"/>
      <c r="PO63" s="368"/>
      <c r="PP63" s="368"/>
      <c r="PQ63" s="368"/>
      <c r="PR63" s="368"/>
      <c r="PS63" s="368"/>
      <c r="PT63" s="368"/>
      <c r="PU63" s="368"/>
      <c r="PV63" s="368"/>
      <c r="PW63" s="368"/>
      <c r="PX63" s="368"/>
      <c r="PY63" s="368"/>
      <c r="PZ63" s="368"/>
      <c r="QA63" s="368"/>
      <c r="QB63" s="368"/>
      <c r="QC63" s="368"/>
      <c r="QD63" s="368"/>
      <c r="QE63" s="368"/>
      <c r="QF63" s="368"/>
      <c r="QG63" s="368"/>
      <c r="QH63" s="368"/>
      <c r="QI63" s="368"/>
      <c r="QJ63" s="368"/>
      <c r="QK63" s="368"/>
      <c r="QL63" s="368"/>
      <c r="QM63" s="368"/>
      <c r="QN63" s="368"/>
      <c r="QO63" s="368"/>
      <c r="QP63" s="368"/>
      <c r="QQ63" s="368"/>
      <c r="QR63" s="368"/>
      <c r="QS63" s="368"/>
      <c r="QT63" s="368"/>
      <c r="QU63" s="368"/>
      <c r="QV63" s="368"/>
      <c r="QW63" s="368"/>
      <c r="QX63" s="368"/>
      <c r="QY63" s="368"/>
      <c r="QZ63" s="368"/>
      <c r="RA63" s="368"/>
      <c r="RB63" s="368"/>
      <c r="RC63" s="368"/>
      <c r="RD63" s="368"/>
      <c r="RE63" s="368"/>
      <c r="RF63" s="368"/>
      <c r="RG63" s="368"/>
      <c r="RH63" s="368"/>
      <c r="RI63" s="368"/>
      <c r="RJ63" s="368"/>
      <c r="RK63" s="368"/>
      <c r="RL63" s="368"/>
      <c r="RM63" s="368"/>
      <c r="RN63" s="368"/>
      <c r="RO63" s="368"/>
      <c r="RP63" s="368"/>
      <c r="RQ63" s="368"/>
      <c r="RR63" s="368"/>
      <c r="RS63" s="368"/>
      <c r="RT63" s="368"/>
      <c r="RU63" s="368"/>
      <c r="RV63" s="368"/>
      <c r="RW63" s="368"/>
      <c r="RX63" s="368"/>
      <c r="RY63" s="368"/>
      <c r="RZ63" s="368"/>
      <c r="SA63" s="368"/>
      <c r="SB63" s="368"/>
      <c r="SC63" s="368"/>
      <c r="SD63" s="368"/>
      <c r="SE63" s="368"/>
      <c r="SF63" s="368"/>
      <c r="SG63" s="368"/>
      <c r="SH63" s="368"/>
      <c r="SI63" s="368"/>
      <c r="SJ63" s="368"/>
      <c r="SK63" s="368"/>
      <c r="SL63" s="368"/>
      <c r="SM63" s="368"/>
      <c r="SN63" s="368"/>
      <c r="SO63" s="368"/>
      <c r="SP63" s="368"/>
      <c r="SQ63" s="368"/>
      <c r="SR63" s="368"/>
      <c r="SS63" s="368"/>
      <c r="ST63" s="368"/>
      <c r="SU63" s="368"/>
      <c r="SV63" s="368"/>
      <c r="SW63" s="368"/>
      <c r="SX63" s="368"/>
      <c r="SY63" s="368"/>
      <c r="SZ63" s="368"/>
      <c r="TA63" s="368"/>
      <c r="TB63" s="368"/>
      <c r="TC63" s="368"/>
      <c r="TD63" s="368"/>
      <c r="TE63" s="368"/>
      <c r="TF63" s="368"/>
      <c r="TG63" s="368"/>
      <c r="TH63" s="368"/>
      <c r="TI63" s="368"/>
      <c r="TJ63" s="368"/>
      <c r="TK63" s="368"/>
      <c r="TL63" s="368"/>
      <c r="TM63" s="368"/>
      <c r="TN63" s="368"/>
      <c r="TO63" s="368"/>
      <c r="TP63" s="368"/>
      <c r="TQ63" s="368"/>
      <c r="TR63" s="368"/>
      <c r="TS63" s="368"/>
      <c r="TT63" s="368"/>
      <c r="TU63" s="368"/>
      <c r="TV63" s="368"/>
      <c r="TW63" s="368"/>
      <c r="TX63" s="368"/>
      <c r="TY63" s="368"/>
      <c r="TZ63" s="368"/>
      <c r="UA63" s="368"/>
      <c r="UB63" s="368"/>
      <c r="UC63" s="368"/>
      <c r="UD63" s="368"/>
      <c r="UE63" s="368"/>
      <c r="UF63" s="368"/>
      <c r="UG63" s="368"/>
      <c r="UH63" s="368"/>
      <c r="UI63" s="368"/>
      <c r="UJ63" s="368"/>
      <c r="UK63" s="368"/>
      <c r="UL63" s="368"/>
      <c r="UM63" s="368"/>
      <c r="UN63" s="368"/>
      <c r="UO63" s="368"/>
      <c r="UP63" s="368"/>
      <c r="UQ63" s="368"/>
      <c r="UR63" s="368"/>
      <c r="US63" s="368"/>
      <c r="UT63" s="368"/>
      <c r="UU63" s="368"/>
      <c r="UV63" s="368"/>
      <c r="UW63" s="368"/>
      <c r="UX63" s="368"/>
      <c r="UY63" s="368"/>
      <c r="UZ63" s="368"/>
      <c r="VA63" s="368"/>
      <c r="VB63" s="368"/>
      <c r="VC63" s="368"/>
      <c r="VD63" s="368"/>
      <c r="VE63" s="368"/>
      <c r="VF63" s="368"/>
      <c r="VG63" s="368"/>
      <c r="VH63" s="368"/>
      <c r="VI63" s="368"/>
      <c r="VJ63" s="368"/>
      <c r="VK63" s="368"/>
      <c r="VL63" s="368"/>
      <c r="VM63" s="368"/>
      <c r="VN63" s="368"/>
      <c r="VO63" s="368"/>
      <c r="VP63" s="368"/>
      <c r="VQ63" s="368"/>
      <c r="VR63" s="368"/>
      <c r="VS63" s="368"/>
      <c r="VT63" s="368"/>
      <c r="VU63" s="368"/>
      <c r="VV63" s="368"/>
      <c r="VW63" s="368"/>
      <c r="VX63" s="368"/>
      <c r="VY63" s="368"/>
      <c r="VZ63" s="368"/>
      <c r="WA63" s="368"/>
      <c r="WB63" s="368"/>
      <c r="WC63" s="368"/>
      <c r="WD63" s="368"/>
      <c r="WE63" s="368"/>
      <c r="WF63" s="368"/>
      <c r="WG63" s="368"/>
      <c r="WH63" s="368"/>
      <c r="WI63" s="368"/>
      <c r="WJ63" s="368"/>
      <c r="WK63" s="368"/>
      <c r="WL63" s="368"/>
      <c r="WM63" s="368"/>
      <c r="WN63" s="368"/>
      <c r="WO63" s="368"/>
      <c r="WP63" s="368"/>
      <c r="WQ63" s="368"/>
      <c r="WR63" s="368"/>
      <c r="WS63" s="368"/>
      <c r="WT63" s="368"/>
      <c r="WU63" s="368"/>
      <c r="WV63" s="368"/>
      <c r="WW63" s="368"/>
      <c r="WX63" s="368"/>
      <c r="WY63" s="368"/>
      <c r="WZ63" s="368"/>
      <c r="XA63" s="368"/>
      <c r="XB63" s="368"/>
      <c r="XC63" s="368"/>
      <c r="XD63" s="368"/>
      <c r="XE63" s="368"/>
      <c r="XF63" s="368"/>
      <c r="XG63" s="368"/>
      <c r="XH63" s="368"/>
      <c r="XI63" s="368"/>
      <c r="XJ63" s="368"/>
      <c r="XK63" s="368"/>
      <c r="XL63" s="368"/>
      <c r="XM63" s="368"/>
      <c r="XN63" s="368"/>
      <c r="XO63" s="368"/>
      <c r="XP63" s="368"/>
      <c r="XQ63" s="368"/>
      <c r="XR63" s="368"/>
      <c r="XS63" s="368"/>
      <c r="XT63" s="368"/>
      <c r="XU63" s="368"/>
      <c r="XV63" s="368"/>
      <c r="XW63" s="368"/>
      <c r="XX63" s="368"/>
      <c r="XY63" s="368"/>
      <c r="XZ63" s="368"/>
      <c r="YA63" s="368"/>
      <c r="YB63" s="368"/>
      <c r="YC63" s="368"/>
      <c r="YD63" s="368"/>
      <c r="YE63" s="368"/>
      <c r="YF63" s="368"/>
      <c r="YG63" s="368"/>
      <c r="YH63" s="368"/>
      <c r="YI63" s="368"/>
      <c r="YJ63" s="368"/>
      <c r="YK63" s="368"/>
      <c r="YL63" s="368"/>
      <c r="YM63" s="368"/>
      <c r="YN63" s="368"/>
      <c r="YO63" s="368"/>
      <c r="YP63" s="368"/>
      <c r="YQ63" s="368"/>
      <c r="YR63" s="368"/>
      <c r="YS63" s="368"/>
      <c r="YT63" s="368"/>
      <c r="YU63" s="368"/>
      <c r="YV63" s="368"/>
      <c r="YW63" s="368"/>
      <c r="YX63" s="368"/>
      <c r="YY63" s="368"/>
      <c r="YZ63" s="368"/>
      <c r="ZA63" s="368"/>
      <c r="ZB63" s="368"/>
      <c r="ZC63" s="368"/>
      <c r="ZD63" s="368"/>
      <c r="ZE63" s="368"/>
      <c r="ZF63" s="368"/>
      <c r="ZG63" s="368"/>
      <c r="ZH63" s="368"/>
      <c r="ZI63" s="368"/>
      <c r="ZJ63" s="368"/>
      <c r="ZK63" s="368"/>
      <c r="ZL63" s="368"/>
      <c r="ZM63" s="368"/>
      <c r="ZN63" s="368"/>
      <c r="ZO63" s="368"/>
      <c r="ZP63" s="368"/>
      <c r="ZQ63" s="368"/>
      <c r="ZR63" s="368"/>
      <c r="ZS63" s="368"/>
      <c r="ZT63" s="368"/>
      <c r="ZU63" s="368"/>
      <c r="ZV63" s="368"/>
      <c r="ZW63" s="368"/>
      <c r="ZX63" s="368"/>
      <c r="ZY63" s="368"/>
      <c r="ZZ63" s="368"/>
      <c r="AAA63" s="368"/>
      <c r="AAB63" s="368"/>
      <c r="AAC63" s="368"/>
      <c r="AAD63" s="368"/>
      <c r="AAE63" s="368"/>
      <c r="AAF63" s="368"/>
      <c r="AAG63" s="368"/>
      <c r="AAH63" s="368"/>
      <c r="AAI63" s="368"/>
      <c r="AAJ63" s="368"/>
      <c r="AAK63" s="368"/>
      <c r="AAL63" s="368"/>
      <c r="AAM63" s="368"/>
      <c r="AAN63" s="368"/>
      <c r="AAO63" s="368"/>
      <c r="AAP63" s="368"/>
      <c r="AAQ63" s="368"/>
      <c r="AAR63" s="368"/>
      <c r="AAS63" s="368"/>
      <c r="AAT63" s="368"/>
      <c r="AAU63" s="368"/>
      <c r="AAV63" s="368"/>
      <c r="AAW63" s="368"/>
      <c r="AAX63" s="368"/>
      <c r="AAY63" s="368"/>
      <c r="AAZ63" s="368"/>
      <c r="ABA63" s="368"/>
      <c r="ABB63" s="368"/>
      <c r="ABC63" s="368"/>
      <c r="ABD63" s="368"/>
      <c r="ABE63" s="368"/>
      <c r="ABF63" s="368"/>
      <c r="ABG63" s="368"/>
      <c r="ABH63" s="368"/>
      <c r="ABI63" s="368"/>
      <c r="ABJ63" s="368"/>
      <c r="ABK63" s="368"/>
      <c r="ABL63" s="368"/>
      <c r="ABM63" s="368"/>
      <c r="ABN63" s="368"/>
      <c r="ABO63" s="368"/>
      <c r="ABP63" s="368"/>
      <c r="ABQ63" s="368"/>
      <c r="ABR63" s="368"/>
      <c r="ABS63" s="368"/>
      <c r="ABT63" s="368"/>
      <c r="ABU63" s="368"/>
      <c r="ABV63" s="368"/>
      <c r="ABW63" s="368"/>
      <c r="ABX63" s="368"/>
      <c r="ABY63" s="368"/>
      <c r="ABZ63" s="368"/>
      <c r="ACA63" s="368"/>
      <c r="ACB63" s="368"/>
      <c r="ACC63" s="368"/>
      <c r="ACD63" s="368"/>
      <c r="ACE63" s="368"/>
      <c r="ACF63" s="368"/>
      <c r="ACG63" s="368"/>
      <c r="ACH63" s="368"/>
      <c r="ACI63" s="368"/>
      <c r="ACJ63" s="368"/>
      <c r="ACK63" s="368"/>
      <c r="ACL63" s="368"/>
      <c r="ACM63" s="368"/>
      <c r="ACN63" s="368"/>
      <c r="ACO63" s="368"/>
      <c r="ACP63" s="368"/>
      <c r="ACQ63" s="368"/>
      <c r="ACR63" s="368"/>
      <c r="ACS63" s="368"/>
      <c r="ACT63" s="368"/>
      <c r="ACU63" s="368"/>
      <c r="ACV63" s="368"/>
      <c r="ACW63" s="368"/>
      <c r="ACX63" s="368"/>
      <c r="ACY63" s="368"/>
      <c r="ACZ63" s="368"/>
      <c r="ADA63" s="368"/>
      <c r="ADB63" s="368"/>
      <c r="ADC63" s="368"/>
      <c r="ADD63" s="368"/>
      <c r="ADE63" s="368"/>
      <c r="ADF63" s="368"/>
      <c r="ADG63" s="368"/>
      <c r="ADH63" s="368"/>
      <c r="ADI63" s="368"/>
      <c r="ADJ63" s="368"/>
      <c r="ADK63" s="368"/>
      <c r="ADL63" s="368"/>
      <c r="ADM63" s="368"/>
      <c r="ADN63" s="368"/>
      <c r="ADO63" s="368"/>
      <c r="ADP63" s="368"/>
      <c r="ADQ63" s="368"/>
      <c r="ADR63" s="368"/>
      <c r="ADS63" s="368"/>
      <c r="ADT63" s="368"/>
      <c r="ADU63" s="368"/>
      <c r="ADV63" s="368"/>
      <c r="ADW63" s="368"/>
      <c r="ADX63" s="368"/>
      <c r="ADY63" s="368"/>
      <c r="ADZ63" s="368"/>
      <c r="AEA63" s="368"/>
      <c r="AEB63" s="368"/>
      <c r="AEC63" s="368"/>
      <c r="AED63" s="368"/>
      <c r="AEE63" s="368"/>
      <c r="AEF63" s="368"/>
      <c r="AEG63" s="368"/>
      <c r="AEH63" s="368"/>
      <c r="AEI63" s="368"/>
      <c r="AEJ63" s="368"/>
      <c r="AEK63" s="368"/>
      <c r="AEL63" s="368"/>
      <c r="AEM63" s="368"/>
      <c r="AEN63" s="368"/>
      <c r="AEO63" s="368"/>
      <c r="AEP63" s="368"/>
      <c r="AEQ63" s="368"/>
      <c r="AER63" s="368"/>
      <c r="AES63" s="368"/>
      <c r="AET63" s="368"/>
      <c r="AEU63" s="368"/>
      <c r="AEV63" s="368"/>
      <c r="AEW63" s="368"/>
      <c r="AEX63" s="368"/>
      <c r="AEY63" s="368"/>
      <c r="AEZ63" s="368"/>
      <c r="AFA63" s="368"/>
      <c r="AFB63" s="368"/>
      <c r="AFC63" s="368"/>
      <c r="AFD63" s="368"/>
      <c r="AFE63" s="368"/>
      <c r="AFF63" s="368"/>
      <c r="AFG63" s="368"/>
      <c r="AFH63" s="368"/>
      <c r="AFI63" s="368"/>
      <c r="AFJ63" s="368"/>
      <c r="AFK63" s="368"/>
      <c r="AFL63" s="368"/>
      <c r="AFM63" s="368"/>
      <c r="AFN63" s="368"/>
      <c r="AFO63" s="368"/>
      <c r="AFP63" s="368"/>
      <c r="AFQ63" s="368"/>
      <c r="AFR63" s="368"/>
      <c r="AFS63" s="368"/>
      <c r="AFT63" s="368"/>
      <c r="AFU63" s="368"/>
      <c r="AFV63" s="368"/>
      <c r="AFW63" s="368"/>
      <c r="AFX63" s="368"/>
      <c r="AFY63" s="368"/>
      <c r="AFZ63" s="368"/>
      <c r="AGA63" s="368"/>
      <c r="AGB63" s="368"/>
      <c r="AGC63" s="368"/>
      <c r="AGD63" s="368"/>
      <c r="AGE63" s="368"/>
      <c r="AGF63" s="368"/>
      <c r="AGG63" s="368"/>
      <c r="AGH63" s="368"/>
      <c r="AGI63" s="368"/>
      <c r="AGJ63" s="368"/>
      <c r="AGK63" s="368"/>
      <c r="AGL63" s="368"/>
      <c r="AGM63" s="368"/>
      <c r="AGN63" s="368"/>
      <c r="AGO63" s="368"/>
      <c r="AGP63" s="368"/>
      <c r="AGQ63" s="368"/>
      <c r="AGR63" s="368"/>
      <c r="AGS63" s="368"/>
      <c r="AGT63" s="368"/>
      <c r="AGU63" s="368"/>
      <c r="AGV63" s="368"/>
      <c r="AGW63" s="368"/>
      <c r="AGX63" s="368"/>
      <c r="AGY63" s="368"/>
      <c r="AGZ63" s="368"/>
      <c r="AHA63" s="368"/>
      <c r="AHB63" s="368"/>
      <c r="AHC63" s="368"/>
      <c r="AHD63" s="368"/>
      <c r="AHE63" s="368"/>
      <c r="AHF63" s="368"/>
      <c r="AHG63" s="368"/>
      <c r="AHH63" s="368"/>
      <c r="AHI63" s="368"/>
      <c r="AHJ63" s="368"/>
      <c r="AHK63" s="368"/>
      <c r="AHL63" s="368"/>
      <c r="AHM63" s="368"/>
      <c r="AHN63" s="368"/>
      <c r="AHO63" s="368"/>
      <c r="AHP63" s="368"/>
      <c r="AHQ63" s="368"/>
      <c r="AHR63" s="368"/>
      <c r="AHS63" s="368"/>
      <c r="AHT63" s="368"/>
      <c r="AHU63" s="368"/>
      <c r="AHV63" s="368"/>
      <c r="AHW63" s="368"/>
      <c r="AHX63" s="368"/>
      <c r="AHY63" s="368"/>
      <c r="AHZ63" s="368"/>
      <c r="AIA63" s="368"/>
      <c r="AIB63" s="368"/>
      <c r="AIC63" s="368"/>
      <c r="AID63" s="368"/>
      <c r="AIE63" s="368"/>
      <c r="AIF63" s="368"/>
      <c r="AIG63" s="368"/>
      <c r="AIH63" s="368"/>
      <c r="AII63" s="368"/>
      <c r="AIJ63" s="368"/>
      <c r="AIK63" s="368"/>
      <c r="AIL63" s="368"/>
      <c r="AIM63" s="368"/>
      <c r="AIN63" s="368"/>
      <c r="AIO63" s="368"/>
      <c r="AIP63" s="368"/>
      <c r="AIQ63" s="368"/>
      <c r="AIR63" s="368"/>
      <c r="AIS63" s="368"/>
      <c r="AIT63" s="368"/>
      <c r="AIU63" s="368"/>
      <c r="AIV63" s="368"/>
      <c r="AIW63" s="368"/>
      <c r="AIX63" s="368"/>
      <c r="AIY63" s="368"/>
      <c r="AIZ63" s="368"/>
      <c r="AJA63" s="368"/>
      <c r="AJB63" s="368"/>
      <c r="AJC63" s="368"/>
      <c r="AJD63" s="368"/>
      <c r="AJE63" s="368"/>
      <c r="AJF63" s="368"/>
      <c r="AJG63" s="368"/>
      <c r="AJH63" s="368"/>
      <c r="AJI63" s="368"/>
      <c r="AJJ63" s="368"/>
      <c r="AJK63" s="368"/>
      <c r="AJL63" s="368"/>
      <c r="AJM63" s="368"/>
      <c r="AJN63" s="368"/>
      <c r="AJO63" s="368"/>
      <c r="AJP63" s="368"/>
      <c r="AJQ63" s="368"/>
      <c r="AJR63" s="368"/>
      <c r="AJS63" s="368"/>
      <c r="AJT63" s="368"/>
      <c r="AJU63" s="368"/>
      <c r="AJV63" s="368"/>
      <c r="AJW63" s="368"/>
      <c r="AJX63" s="368"/>
      <c r="AJY63" s="368"/>
      <c r="AJZ63" s="368"/>
      <c r="AKA63" s="368"/>
      <c r="AKB63" s="368"/>
      <c r="AKC63" s="368"/>
      <c r="AKD63" s="368"/>
      <c r="AKE63" s="368"/>
      <c r="AKF63" s="368"/>
      <c r="AKG63" s="368"/>
      <c r="AKH63" s="368"/>
      <c r="AKI63" s="368"/>
      <c r="AKJ63" s="368"/>
      <c r="AKK63" s="368"/>
      <c r="AKL63" s="368"/>
      <c r="AKM63" s="368"/>
      <c r="AKN63" s="368"/>
    </row>
    <row r="64" spans="1:976" s="357" customFormat="1" ht="22.5" customHeight="1" x14ac:dyDescent="0.2">
      <c r="A64" s="413" t="s">
        <v>262</v>
      </c>
      <c r="B64" s="413"/>
      <c r="C64" s="413" t="s">
        <v>221</v>
      </c>
      <c r="D64" s="413" t="s">
        <v>222</v>
      </c>
      <c r="E64" s="414">
        <v>409928</v>
      </c>
      <c r="F64" s="414">
        <v>1078</v>
      </c>
      <c r="G64" s="414">
        <v>160</v>
      </c>
      <c r="H64" s="414">
        <v>0</v>
      </c>
      <c r="I64" s="415">
        <v>45812</v>
      </c>
      <c r="J64" s="413" t="s">
        <v>395</v>
      </c>
      <c r="K64" s="413" t="s">
        <v>465</v>
      </c>
      <c r="L64" s="416">
        <v>24.64</v>
      </c>
      <c r="M64" s="416">
        <v>1.36</v>
      </c>
      <c r="N64" s="446">
        <v>26</v>
      </c>
      <c r="O64" s="413"/>
      <c r="P64" s="417">
        <v>45821</v>
      </c>
      <c r="Q64" s="416">
        <v>26</v>
      </c>
      <c r="R64" s="413" t="s">
        <v>466</v>
      </c>
      <c r="S64" s="416">
        <v>0</v>
      </c>
      <c r="T64" s="416">
        <v>0</v>
      </c>
      <c r="U64" s="416">
        <v>0</v>
      </c>
      <c r="V64" s="416">
        <v>0</v>
      </c>
      <c r="W64" s="413"/>
      <c r="X64" s="413" t="s">
        <v>266</v>
      </c>
      <c r="Y64" s="413" t="s">
        <v>267</v>
      </c>
      <c r="Z64" s="413" t="s">
        <v>42</v>
      </c>
      <c r="AA64" s="413" t="s">
        <v>228</v>
      </c>
      <c r="AB64" s="413" t="s">
        <v>34</v>
      </c>
      <c r="AC64" s="413" t="s">
        <v>50</v>
      </c>
      <c r="AD64" s="413" t="s">
        <v>231</v>
      </c>
      <c r="AE64" s="413" t="s">
        <v>232</v>
      </c>
      <c r="AF64" s="413" t="s">
        <v>231</v>
      </c>
      <c r="AG64" s="413" t="s">
        <v>232</v>
      </c>
      <c r="AH64" s="413"/>
      <c r="AI64" s="413"/>
      <c r="AJ64" s="413"/>
      <c r="AK64" s="413" t="s">
        <v>467</v>
      </c>
      <c r="AL64" s="414">
        <v>1</v>
      </c>
      <c r="AM64" s="414">
        <v>0</v>
      </c>
      <c r="AN64" s="415">
        <v>45821</v>
      </c>
      <c r="AO64" s="415">
        <v>45821</v>
      </c>
      <c r="AP64" s="416">
        <v>26</v>
      </c>
      <c r="AQ64" s="415">
        <v>45820</v>
      </c>
      <c r="AR64" s="368"/>
      <c r="AS64" s="368"/>
      <c r="AT64" s="368"/>
      <c r="AU64" s="368"/>
      <c r="AV64" s="368"/>
      <c r="AW64" s="368"/>
      <c r="AX64" s="368"/>
      <c r="AY64" s="368"/>
      <c r="AZ64" s="368"/>
      <c r="BA64" s="368"/>
      <c r="BB64" s="368"/>
      <c r="BC64" s="368"/>
      <c r="BD64" s="368"/>
      <c r="BE64" s="368"/>
      <c r="BF64" s="368"/>
      <c r="BG64" s="368"/>
      <c r="BH64" s="368"/>
      <c r="BI64" s="368"/>
      <c r="BJ64" s="368"/>
      <c r="BK64" s="368"/>
      <c r="BL64" s="368"/>
      <c r="BM64" s="368"/>
      <c r="BN64" s="368"/>
      <c r="BO64" s="368"/>
      <c r="BP64" s="368"/>
      <c r="BQ64" s="368"/>
      <c r="BR64" s="368"/>
      <c r="BS64" s="368"/>
      <c r="BT64" s="368"/>
      <c r="BU64" s="368"/>
      <c r="BV64" s="368"/>
      <c r="BW64" s="368"/>
      <c r="BX64" s="368"/>
      <c r="BY64" s="368"/>
      <c r="BZ64" s="368"/>
      <c r="CA64" s="368"/>
      <c r="CB64" s="368"/>
      <c r="CC64" s="368"/>
      <c r="CD64" s="368"/>
      <c r="CE64" s="368"/>
      <c r="CF64" s="368"/>
      <c r="CG64" s="368"/>
      <c r="CH64" s="368"/>
      <c r="CI64" s="368"/>
      <c r="CJ64" s="368"/>
      <c r="CK64" s="368"/>
      <c r="CL64" s="368"/>
      <c r="CM64" s="368"/>
      <c r="CN64" s="368"/>
      <c r="CO64" s="368"/>
      <c r="CP64" s="368"/>
      <c r="CQ64" s="368"/>
      <c r="CR64" s="368"/>
      <c r="CS64" s="368"/>
      <c r="CT64" s="368"/>
      <c r="CU64" s="368"/>
      <c r="CV64" s="368"/>
      <c r="CW64" s="368"/>
      <c r="CX64" s="368"/>
      <c r="CY64" s="368"/>
      <c r="CZ64" s="368"/>
      <c r="DA64" s="368"/>
      <c r="DB64" s="368"/>
      <c r="DC64" s="368"/>
      <c r="DD64" s="368"/>
      <c r="DE64" s="368"/>
      <c r="DF64" s="368"/>
      <c r="DG64" s="368"/>
      <c r="DH64" s="368"/>
      <c r="DI64" s="368"/>
      <c r="DJ64" s="368"/>
      <c r="DK64" s="368"/>
      <c r="DL64" s="368"/>
      <c r="DM64" s="368"/>
      <c r="DN64" s="368"/>
      <c r="DO64" s="368"/>
      <c r="DP64" s="368"/>
      <c r="DQ64" s="368"/>
      <c r="DR64" s="368"/>
      <c r="DS64" s="368"/>
      <c r="DT64" s="368"/>
      <c r="DU64" s="368"/>
      <c r="DV64" s="368"/>
      <c r="DW64" s="368"/>
      <c r="DX64" s="368"/>
      <c r="DY64" s="368"/>
      <c r="DZ64" s="368"/>
      <c r="EA64" s="368"/>
      <c r="EB64" s="368"/>
      <c r="EC64" s="368"/>
      <c r="ED64" s="368"/>
      <c r="EE64" s="368"/>
      <c r="EF64" s="368"/>
      <c r="EG64" s="368"/>
      <c r="EH64" s="368"/>
      <c r="EI64" s="368"/>
      <c r="EJ64" s="368"/>
      <c r="EK64" s="368"/>
      <c r="EL64" s="368"/>
      <c r="EM64" s="368"/>
      <c r="EN64" s="368"/>
      <c r="EO64" s="368"/>
      <c r="EP64" s="368"/>
      <c r="EQ64" s="368"/>
      <c r="ER64" s="368"/>
      <c r="ES64" s="368"/>
      <c r="ET64" s="368"/>
      <c r="EU64" s="368"/>
      <c r="EV64" s="368"/>
      <c r="EW64" s="368"/>
      <c r="EX64" s="368"/>
      <c r="EY64" s="368"/>
      <c r="EZ64" s="368"/>
      <c r="FA64" s="368"/>
      <c r="FB64" s="368"/>
      <c r="FC64" s="368"/>
      <c r="FD64" s="368"/>
      <c r="FE64" s="368"/>
      <c r="FF64" s="368"/>
      <c r="FG64" s="368"/>
      <c r="FH64" s="368"/>
      <c r="FI64" s="368"/>
      <c r="FJ64" s="368"/>
      <c r="FK64" s="368"/>
      <c r="FL64" s="368"/>
      <c r="FM64" s="368"/>
      <c r="FN64" s="368"/>
      <c r="FO64" s="368"/>
      <c r="FP64" s="368"/>
      <c r="FQ64" s="368"/>
      <c r="FR64" s="368"/>
      <c r="FS64" s="368"/>
      <c r="FT64" s="368"/>
      <c r="FU64" s="368"/>
      <c r="FV64" s="368"/>
      <c r="FW64" s="368"/>
      <c r="FX64" s="368"/>
      <c r="FY64" s="368"/>
      <c r="FZ64" s="368"/>
      <c r="GA64" s="368"/>
      <c r="GB64" s="368"/>
      <c r="GC64" s="368"/>
      <c r="GD64" s="368"/>
      <c r="GE64" s="368"/>
      <c r="GF64" s="368"/>
      <c r="GG64" s="368"/>
      <c r="GH64" s="368"/>
      <c r="GI64" s="368"/>
      <c r="GJ64" s="368"/>
      <c r="GK64" s="368"/>
      <c r="GL64" s="368"/>
      <c r="GM64" s="368"/>
      <c r="GN64" s="368"/>
      <c r="GO64" s="368"/>
      <c r="GP64" s="368"/>
      <c r="GQ64" s="368"/>
      <c r="GR64" s="368"/>
      <c r="GS64" s="368"/>
      <c r="GT64" s="368"/>
      <c r="GU64" s="368"/>
      <c r="GV64" s="368"/>
      <c r="GW64" s="368"/>
      <c r="GX64" s="368"/>
      <c r="GY64" s="368"/>
      <c r="GZ64" s="368"/>
      <c r="HA64" s="368"/>
      <c r="HB64" s="368"/>
      <c r="HC64" s="368"/>
      <c r="HD64" s="368"/>
      <c r="HE64" s="368"/>
      <c r="HF64" s="368"/>
      <c r="HG64" s="368"/>
      <c r="HH64" s="368"/>
      <c r="HI64" s="368"/>
      <c r="HJ64" s="368"/>
      <c r="HK64" s="368"/>
      <c r="HL64" s="368"/>
      <c r="HM64" s="368"/>
      <c r="HN64" s="368"/>
      <c r="HO64" s="368"/>
      <c r="HP64" s="368"/>
      <c r="HQ64" s="368"/>
      <c r="HR64" s="368"/>
      <c r="HS64" s="368"/>
      <c r="HT64" s="368"/>
      <c r="HU64" s="368"/>
      <c r="HV64" s="368"/>
      <c r="HW64" s="368"/>
      <c r="HX64" s="368"/>
      <c r="HY64" s="368"/>
      <c r="HZ64" s="368"/>
      <c r="IA64" s="368"/>
      <c r="IB64" s="368"/>
      <c r="IC64" s="368"/>
      <c r="ID64" s="368"/>
      <c r="IE64" s="368"/>
      <c r="IF64" s="368"/>
      <c r="IG64" s="368"/>
      <c r="IH64" s="368"/>
      <c r="II64" s="368"/>
      <c r="IJ64" s="368"/>
      <c r="IK64" s="368"/>
      <c r="IL64" s="368"/>
      <c r="IM64" s="368"/>
      <c r="IN64" s="368"/>
      <c r="IO64" s="368"/>
      <c r="IP64" s="368"/>
      <c r="IQ64" s="368"/>
      <c r="IR64" s="368"/>
      <c r="IS64" s="368"/>
      <c r="IT64" s="368"/>
      <c r="IU64" s="368"/>
      <c r="IV64" s="368"/>
      <c r="IW64" s="368"/>
      <c r="IX64" s="368"/>
      <c r="IY64" s="368"/>
      <c r="IZ64" s="368"/>
      <c r="JA64" s="368"/>
      <c r="JB64" s="368"/>
      <c r="JC64" s="368"/>
      <c r="JD64" s="368"/>
      <c r="JE64" s="368"/>
      <c r="JF64" s="368"/>
      <c r="JG64" s="368"/>
      <c r="JH64" s="368"/>
      <c r="JI64" s="368"/>
      <c r="JJ64" s="368"/>
      <c r="JK64" s="368"/>
      <c r="JL64" s="368"/>
      <c r="JM64" s="368"/>
      <c r="JN64" s="368"/>
      <c r="JO64" s="368"/>
      <c r="JP64" s="368"/>
      <c r="JQ64" s="368"/>
      <c r="JR64" s="368"/>
      <c r="JS64" s="368"/>
      <c r="JT64" s="368"/>
      <c r="JU64" s="368"/>
      <c r="JV64" s="368"/>
      <c r="JW64" s="368"/>
      <c r="JX64" s="368"/>
      <c r="JY64" s="368"/>
      <c r="JZ64" s="368"/>
      <c r="KA64" s="368"/>
      <c r="KB64" s="368"/>
      <c r="KC64" s="368"/>
      <c r="KD64" s="368"/>
      <c r="KE64" s="368"/>
      <c r="KF64" s="368"/>
      <c r="KG64" s="368"/>
      <c r="KH64" s="368"/>
      <c r="KI64" s="368"/>
      <c r="KJ64" s="368"/>
      <c r="KK64" s="368"/>
      <c r="KL64" s="368"/>
      <c r="KM64" s="368"/>
      <c r="KN64" s="368"/>
      <c r="KO64" s="368"/>
      <c r="KP64" s="368"/>
      <c r="KQ64" s="368"/>
      <c r="KR64" s="368"/>
      <c r="KS64" s="368"/>
      <c r="KT64" s="368"/>
      <c r="KU64" s="368"/>
      <c r="KV64" s="368"/>
      <c r="KW64" s="368"/>
      <c r="KX64" s="368"/>
      <c r="KY64" s="368"/>
      <c r="KZ64" s="368"/>
      <c r="LA64" s="368"/>
      <c r="LB64" s="368"/>
      <c r="LC64" s="368"/>
      <c r="LD64" s="368"/>
      <c r="LE64" s="368"/>
      <c r="LF64" s="368"/>
      <c r="LG64" s="368"/>
      <c r="LH64" s="368"/>
      <c r="LI64" s="368"/>
      <c r="LJ64" s="368"/>
      <c r="LK64" s="368"/>
      <c r="LL64" s="368"/>
      <c r="LM64" s="368"/>
      <c r="LN64" s="368"/>
      <c r="LO64" s="368"/>
      <c r="LP64" s="368"/>
      <c r="LQ64" s="368"/>
      <c r="LR64" s="368"/>
      <c r="LS64" s="368"/>
      <c r="LT64" s="368"/>
      <c r="LU64" s="368"/>
      <c r="LV64" s="368"/>
      <c r="LW64" s="368"/>
      <c r="LX64" s="368"/>
      <c r="LY64" s="368"/>
      <c r="LZ64" s="368"/>
      <c r="MA64" s="368"/>
      <c r="MB64" s="368"/>
      <c r="MC64" s="368"/>
      <c r="MD64" s="368"/>
      <c r="ME64" s="368"/>
      <c r="MF64" s="368"/>
      <c r="MG64" s="368"/>
      <c r="MH64" s="368"/>
      <c r="MI64" s="368"/>
      <c r="MJ64" s="368"/>
      <c r="MK64" s="368"/>
      <c r="ML64" s="368"/>
      <c r="MM64" s="368"/>
      <c r="MN64" s="368"/>
      <c r="MO64" s="368"/>
      <c r="MP64" s="368"/>
      <c r="MQ64" s="368"/>
      <c r="MR64" s="368"/>
      <c r="MS64" s="368"/>
      <c r="MT64" s="368"/>
      <c r="MU64" s="368"/>
      <c r="MV64" s="368"/>
      <c r="MW64" s="368"/>
      <c r="MX64" s="368"/>
      <c r="MY64" s="368"/>
      <c r="MZ64" s="368"/>
      <c r="NA64" s="368"/>
      <c r="NB64" s="368"/>
      <c r="NC64" s="368"/>
      <c r="ND64" s="368"/>
      <c r="NE64" s="368"/>
      <c r="NF64" s="368"/>
      <c r="NG64" s="368"/>
      <c r="NH64" s="368"/>
      <c r="NI64" s="368"/>
      <c r="NJ64" s="368"/>
      <c r="NK64" s="368"/>
      <c r="NL64" s="368"/>
      <c r="NM64" s="368"/>
      <c r="NN64" s="368"/>
      <c r="NO64" s="368"/>
      <c r="NP64" s="368"/>
      <c r="NQ64" s="368"/>
      <c r="NR64" s="368"/>
      <c r="NS64" s="368"/>
      <c r="NT64" s="368"/>
      <c r="NU64" s="368"/>
      <c r="NV64" s="368"/>
      <c r="NW64" s="368"/>
      <c r="NX64" s="368"/>
      <c r="NY64" s="368"/>
      <c r="NZ64" s="368"/>
      <c r="OA64" s="368"/>
      <c r="OB64" s="368"/>
      <c r="OC64" s="368"/>
      <c r="OD64" s="368"/>
      <c r="OE64" s="368"/>
      <c r="OF64" s="368"/>
      <c r="OG64" s="368"/>
      <c r="OH64" s="368"/>
      <c r="OI64" s="368"/>
      <c r="OJ64" s="368"/>
      <c r="OK64" s="368"/>
      <c r="OL64" s="368"/>
      <c r="OM64" s="368"/>
      <c r="ON64" s="368"/>
      <c r="OO64" s="368"/>
      <c r="OP64" s="368"/>
      <c r="OQ64" s="368"/>
      <c r="OR64" s="368"/>
      <c r="OS64" s="368"/>
      <c r="OT64" s="368"/>
      <c r="OU64" s="368"/>
      <c r="OV64" s="368"/>
      <c r="OW64" s="368"/>
      <c r="OX64" s="368"/>
      <c r="OY64" s="368"/>
      <c r="OZ64" s="368"/>
      <c r="PA64" s="368"/>
      <c r="PB64" s="368"/>
      <c r="PC64" s="368"/>
      <c r="PD64" s="368"/>
      <c r="PE64" s="368"/>
      <c r="PF64" s="368"/>
      <c r="PG64" s="368"/>
      <c r="PH64" s="368"/>
      <c r="PI64" s="368"/>
      <c r="PJ64" s="368"/>
      <c r="PK64" s="368"/>
      <c r="PL64" s="368"/>
      <c r="PM64" s="368"/>
      <c r="PN64" s="368"/>
      <c r="PO64" s="368"/>
      <c r="PP64" s="368"/>
      <c r="PQ64" s="368"/>
      <c r="PR64" s="368"/>
      <c r="PS64" s="368"/>
      <c r="PT64" s="368"/>
      <c r="PU64" s="368"/>
      <c r="PV64" s="368"/>
      <c r="PW64" s="368"/>
      <c r="PX64" s="368"/>
      <c r="PY64" s="368"/>
      <c r="PZ64" s="368"/>
      <c r="QA64" s="368"/>
      <c r="QB64" s="368"/>
      <c r="QC64" s="368"/>
      <c r="QD64" s="368"/>
      <c r="QE64" s="368"/>
      <c r="QF64" s="368"/>
      <c r="QG64" s="368"/>
      <c r="QH64" s="368"/>
      <c r="QI64" s="368"/>
      <c r="QJ64" s="368"/>
      <c r="QK64" s="368"/>
      <c r="QL64" s="368"/>
      <c r="QM64" s="368"/>
      <c r="QN64" s="368"/>
      <c r="QO64" s="368"/>
      <c r="QP64" s="368"/>
      <c r="QQ64" s="368"/>
      <c r="QR64" s="368"/>
      <c r="QS64" s="368"/>
      <c r="QT64" s="368"/>
      <c r="QU64" s="368"/>
      <c r="QV64" s="368"/>
      <c r="QW64" s="368"/>
      <c r="QX64" s="368"/>
      <c r="QY64" s="368"/>
      <c r="QZ64" s="368"/>
      <c r="RA64" s="368"/>
      <c r="RB64" s="368"/>
      <c r="RC64" s="368"/>
      <c r="RD64" s="368"/>
      <c r="RE64" s="368"/>
      <c r="RF64" s="368"/>
      <c r="RG64" s="368"/>
      <c r="RH64" s="368"/>
      <c r="RI64" s="368"/>
      <c r="RJ64" s="368"/>
      <c r="RK64" s="368"/>
      <c r="RL64" s="368"/>
      <c r="RM64" s="368"/>
      <c r="RN64" s="368"/>
      <c r="RO64" s="368"/>
      <c r="RP64" s="368"/>
      <c r="RQ64" s="368"/>
      <c r="RR64" s="368"/>
      <c r="RS64" s="368"/>
      <c r="RT64" s="368"/>
      <c r="RU64" s="368"/>
      <c r="RV64" s="368"/>
      <c r="RW64" s="368"/>
      <c r="RX64" s="368"/>
      <c r="RY64" s="368"/>
      <c r="RZ64" s="368"/>
      <c r="SA64" s="368"/>
      <c r="SB64" s="368"/>
      <c r="SC64" s="368"/>
      <c r="SD64" s="368"/>
      <c r="SE64" s="368"/>
      <c r="SF64" s="368"/>
      <c r="SG64" s="368"/>
      <c r="SH64" s="368"/>
      <c r="SI64" s="368"/>
      <c r="SJ64" s="368"/>
      <c r="SK64" s="368"/>
      <c r="SL64" s="368"/>
      <c r="SM64" s="368"/>
      <c r="SN64" s="368"/>
      <c r="SO64" s="368"/>
      <c r="SP64" s="368"/>
      <c r="SQ64" s="368"/>
      <c r="SR64" s="368"/>
      <c r="SS64" s="368"/>
      <c r="ST64" s="368"/>
      <c r="SU64" s="368"/>
      <c r="SV64" s="368"/>
      <c r="SW64" s="368"/>
      <c r="SX64" s="368"/>
      <c r="SY64" s="368"/>
      <c r="SZ64" s="368"/>
      <c r="TA64" s="368"/>
      <c r="TB64" s="368"/>
      <c r="TC64" s="368"/>
      <c r="TD64" s="368"/>
      <c r="TE64" s="368"/>
      <c r="TF64" s="368"/>
      <c r="TG64" s="368"/>
      <c r="TH64" s="368"/>
      <c r="TI64" s="368"/>
      <c r="TJ64" s="368"/>
      <c r="TK64" s="368"/>
      <c r="TL64" s="368"/>
      <c r="TM64" s="368"/>
      <c r="TN64" s="368"/>
      <c r="TO64" s="368"/>
      <c r="TP64" s="368"/>
      <c r="TQ64" s="368"/>
      <c r="TR64" s="368"/>
      <c r="TS64" s="368"/>
      <c r="TT64" s="368"/>
      <c r="TU64" s="368"/>
      <c r="TV64" s="368"/>
      <c r="TW64" s="368"/>
      <c r="TX64" s="368"/>
      <c r="TY64" s="368"/>
      <c r="TZ64" s="368"/>
      <c r="UA64" s="368"/>
      <c r="UB64" s="368"/>
      <c r="UC64" s="368"/>
      <c r="UD64" s="368"/>
      <c r="UE64" s="368"/>
      <c r="UF64" s="368"/>
      <c r="UG64" s="368"/>
      <c r="UH64" s="368"/>
      <c r="UI64" s="368"/>
      <c r="UJ64" s="368"/>
      <c r="UK64" s="368"/>
      <c r="UL64" s="368"/>
      <c r="UM64" s="368"/>
      <c r="UN64" s="368"/>
      <c r="UO64" s="368"/>
      <c r="UP64" s="368"/>
      <c r="UQ64" s="368"/>
      <c r="UR64" s="368"/>
      <c r="US64" s="368"/>
      <c r="UT64" s="368"/>
      <c r="UU64" s="368"/>
      <c r="UV64" s="368"/>
      <c r="UW64" s="368"/>
      <c r="UX64" s="368"/>
      <c r="UY64" s="368"/>
      <c r="UZ64" s="368"/>
      <c r="VA64" s="368"/>
      <c r="VB64" s="368"/>
      <c r="VC64" s="368"/>
      <c r="VD64" s="368"/>
      <c r="VE64" s="368"/>
      <c r="VF64" s="368"/>
      <c r="VG64" s="368"/>
      <c r="VH64" s="368"/>
      <c r="VI64" s="368"/>
      <c r="VJ64" s="368"/>
      <c r="VK64" s="368"/>
      <c r="VL64" s="368"/>
      <c r="VM64" s="368"/>
      <c r="VN64" s="368"/>
      <c r="VO64" s="368"/>
      <c r="VP64" s="368"/>
      <c r="VQ64" s="368"/>
      <c r="VR64" s="368"/>
      <c r="VS64" s="368"/>
      <c r="VT64" s="368"/>
      <c r="VU64" s="368"/>
      <c r="VV64" s="368"/>
      <c r="VW64" s="368"/>
      <c r="VX64" s="368"/>
      <c r="VY64" s="368"/>
      <c r="VZ64" s="368"/>
      <c r="WA64" s="368"/>
      <c r="WB64" s="368"/>
      <c r="WC64" s="368"/>
      <c r="WD64" s="368"/>
      <c r="WE64" s="368"/>
      <c r="WF64" s="368"/>
      <c r="WG64" s="368"/>
      <c r="WH64" s="368"/>
      <c r="WI64" s="368"/>
      <c r="WJ64" s="368"/>
      <c r="WK64" s="368"/>
      <c r="WL64" s="368"/>
      <c r="WM64" s="368"/>
      <c r="WN64" s="368"/>
      <c r="WO64" s="368"/>
      <c r="WP64" s="368"/>
      <c r="WQ64" s="368"/>
      <c r="WR64" s="368"/>
      <c r="WS64" s="368"/>
      <c r="WT64" s="368"/>
      <c r="WU64" s="368"/>
      <c r="WV64" s="368"/>
      <c r="WW64" s="368"/>
      <c r="WX64" s="368"/>
      <c r="WY64" s="368"/>
      <c r="WZ64" s="368"/>
      <c r="XA64" s="368"/>
      <c r="XB64" s="368"/>
      <c r="XC64" s="368"/>
      <c r="XD64" s="368"/>
      <c r="XE64" s="368"/>
      <c r="XF64" s="368"/>
      <c r="XG64" s="368"/>
      <c r="XH64" s="368"/>
      <c r="XI64" s="368"/>
      <c r="XJ64" s="368"/>
      <c r="XK64" s="368"/>
      <c r="XL64" s="368"/>
      <c r="XM64" s="368"/>
      <c r="XN64" s="368"/>
      <c r="XO64" s="368"/>
      <c r="XP64" s="368"/>
      <c r="XQ64" s="368"/>
      <c r="XR64" s="368"/>
      <c r="XS64" s="368"/>
      <c r="XT64" s="368"/>
      <c r="XU64" s="368"/>
      <c r="XV64" s="368"/>
      <c r="XW64" s="368"/>
      <c r="XX64" s="368"/>
      <c r="XY64" s="368"/>
      <c r="XZ64" s="368"/>
      <c r="YA64" s="368"/>
      <c r="YB64" s="368"/>
      <c r="YC64" s="368"/>
      <c r="YD64" s="368"/>
      <c r="YE64" s="368"/>
      <c r="YF64" s="368"/>
      <c r="YG64" s="368"/>
      <c r="YH64" s="368"/>
      <c r="YI64" s="368"/>
      <c r="YJ64" s="368"/>
      <c r="YK64" s="368"/>
      <c r="YL64" s="368"/>
      <c r="YM64" s="368"/>
      <c r="YN64" s="368"/>
      <c r="YO64" s="368"/>
      <c r="YP64" s="368"/>
      <c r="YQ64" s="368"/>
      <c r="YR64" s="368"/>
      <c r="YS64" s="368"/>
      <c r="YT64" s="368"/>
      <c r="YU64" s="368"/>
      <c r="YV64" s="368"/>
      <c r="YW64" s="368"/>
      <c r="YX64" s="368"/>
      <c r="YY64" s="368"/>
      <c r="YZ64" s="368"/>
      <c r="ZA64" s="368"/>
      <c r="ZB64" s="368"/>
      <c r="ZC64" s="368"/>
      <c r="ZD64" s="368"/>
      <c r="ZE64" s="368"/>
      <c r="ZF64" s="368"/>
      <c r="ZG64" s="368"/>
      <c r="ZH64" s="368"/>
      <c r="ZI64" s="368"/>
      <c r="ZJ64" s="368"/>
      <c r="ZK64" s="368"/>
      <c r="ZL64" s="368"/>
      <c r="ZM64" s="368"/>
      <c r="ZN64" s="368"/>
      <c r="ZO64" s="368"/>
      <c r="ZP64" s="368"/>
      <c r="ZQ64" s="368"/>
      <c r="ZR64" s="368"/>
      <c r="ZS64" s="368"/>
      <c r="ZT64" s="368"/>
      <c r="ZU64" s="368"/>
      <c r="ZV64" s="368"/>
      <c r="ZW64" s="368"/>
      <c r="ZX64" s="368"/>
      <c r="ZY64" s="368"/>
      <c r="ZZ64" s="368"/>
      <c r="AAA64" s="368"/>
      <c r="AAB64" s="368"/>
      <c r="AAC64" s="368"/>
      <c r="AAD64" s="368"/>
      <c r="AAE64" s="368"/>
      <c r="AAF64" s="368"/>
      <c r="AAG64" s="368"/>
      <c r="AAH64" s="368"/>
      <c r="AAI64" s="368"/>
      <c r="AAJ64" s="368"/>
      <c r="AAK64" s="368"/>
      <c r="AAL64" s="368"/>
      <c r="AAM64" s="368"/>
      <c r="AAN64" s="368"/>
      <c r="AAO64" s="368"/>
      <c r="AAP64" s="368"/>
      <c r="AAQ64" s="368"/>
      <c r="AAR64" s="368"/>
      <c r="AAS64" s="368"/>
      <c r="AAT64" s="368"/>
      <c r="AAU64" s="368"/>
      <c r="AAV64" s="368"/>
      <c r="AAW64" s="368"/>
      <c r="AAX64" s="368"/>
      <c r="AAY64" s="368"/>
      <c r="AAZ64" s="368"/>
      <c r="ABA64" s="368"/>
      <c r="ABB64" s="368"/>
      <c r="ABC64" s="368"/>
      <c r="ABD64" s="368"/>
      <c r="ABE64" s="368"/>
      <c r="ABF64" s="368"/>
      <c r="ABG64" s="368"/>
      <c r="ABH64" s="368"/>
      <c r="ABI64" s="368"/>
      <c r="ABJ64" s="368"/>
      <c r="ABK64" s="368"/>
      <c r="ABL64" s="368"/>
      <c r="ABM64" s="368"/>
      <c r="ABN64" s="368"/>
      <c r="ABO64" s="368"/>
      <c r="ABP64" s="368"/>
      <c r="ABQ64" s="368"/>
      <c r="ABR64" s="368"/>
      <c r="ABS64" s="368"/>
      <c r="ABT64" s="368"/>
      <c r="ABU64" s="368"/>
      <c r="ABV64" s="368"/>
      <c r="ABW64" s="368"/>
      <c r="ABX64" s="368"/>
      <c r="ABY64" s="368"/>
      <c r="ABZ64" s="368"/>
      <c r="ACA64" s="368"/>
      <c r="ACB64" s="368"/>
      <c r="ACC64" s="368"/>
      <c r="ACD64" s="368"/>
      <c r="ACE64" s="368"/>
      <c r="ACF64" s="368"/>
      <c r="ACG64" s="368"/>
      <c r="ACH64" s="368"/>
      <c r="ACI64" s="368"/>
      <c r="ACJ64" s="368"/>
      <c r="ACK64" s="368"/>
      <c r="ACL64" s="368"/>
      <c r="ACM64" s="368"/>
      <c r="ACN64" s="368"/>
      <c r="ACO64" s="368"/>
      <c r="ACP64" s="368"/>
      <c r="ACQ64" s="368"/>
      <c r="ACR64" s="368"/>
      <c r="ACS64" s="368"/>
      <c r="ACT64" s="368"/>
      <c r="ACU64" s="368"/>
      <c r="ACV64" s="368"/>
      <c r="ACW64" s="368"/>
      <c r="ACX64" s="368"/>
      <c r="ACY64" s="368"/>
      <c r="ACZ64" s="368"/>
      <c r="ADA64" s="368"/>
      <c r="ADB64" s="368"/>
      <c r="ADC64" s="368"/>
      <c r="ADD64" s="368"/>
      <c r="ADE64" s="368"/>
      <c r="ADF64" s="368"/>
      <c r="ADG64" s="368"/>
      <c r="ADH64" s="368"/>
      <c r="ADI64" s="368"/>
      <c r="ADJ64" s="368"/>
      <c r="ADK64" s="368"/>
      <c r="ADL64" s="368"/>
      <c r="ADM64" s="368"/>
      <c r="ADN64" s="368"/>
      <c r="ADO64" s="368"/>
      <c r="ADP64" s="368"/>
      <c r="ADQ64" s="368"/>
      <c r="ADR64" s="368"/>
      <c r="ADS64" s="368"/>
      <c r="ADT64" s="368"/>
      <c r="ADU64" s="368"/>
      <c r="ADV64" s="368"/>
      <c r="ADW64" s="368"/>
      <c r="ADX64" s="368"/>
      <c r="ADY64" s="368"/>
      <c r="ADZ64" s="368"/>
      <c r="AEA64" s="368"/>
      <c r="AEB64" s="368"/>
      <c r="AEC64" s="368"/>
      <c r="AED64" s="368"/>
      <c r="AEE64" s="368"/>
      <c r="AEF64" s="368"/>
      <c r="AEG64" s="368"/>
      <c r="AEH64" s="368"/>
      <c r="AEI64" s="368"/>
      <c r="AEJ64" s="368"/>
      <c r="AEK64" s="368"/>
      <c r="AEL64" s="368"/>
      <c r="AEM64" s="368"/>
      <c r="AEN64" s="368"/>
      <c r="AEO64" s="368"/>
      <c r="AEP64" s="368"/>
      <c r="AEQ64" s="368"/>
      <c r="AER64" s="368"/>
      <c r="AES64" s="368"/>
      <c r="AET64" s="368"/>
      <c r="AEU64" s="368"/>
      <c r="AEV64" s="368"/>
      <c r="AEW64" s="368"/>
      <c r="AEX64" s="368"/>
      <c r="AEY64" s="368"/>
      <c r="AEZ64" s="368"/>
      <c r="AFA64" s="368"/>
      <c r="AFB64" s="368"/>
      <c r="AFC64" s="368"/>
      <c r="AFD64" s="368"/>
      <c r="AFE64" s="368"/>
      <c r="AFF64" s="368"/>
      <c r="AFG64" s="368"/>
      <c r="AFH64" s="368"/>
      <c r="AFI64" s="368"/>
      <c r="AFJ64" s="368"/>
      <c r="AFK64" s="368"/>
      <c r="AFL64" s="368"/>
      <c r="AFM64" s="368"/>
      <c r="AFN64" s="368"/>
      <c r="AFO64" s="368"/>
      <c r="AFP64" s="368"/>
      <c r="AFQ64" s="368"/>
      <c r="AFR64" s="368"/>
      <c r="AFS64" s="368"/>
      <c r="AFT64" s="368"/>
      <c r="AFU64" s="368"/>
      <c r="AFV64" s="368"/>
      <c r="AFW64" s="368"/>
      <c r="AFX64" s="368"/>
      <c r="AFY64" s="368"/>
      <c r="AFZ64" s="368"/>
      <c r="AGA64" s="368"/>
      <c r="AGB64" s="368"/>
      <c r="AGC64" s="368"/>
      <c r="AGD64" s="368"/>
      <c r="AGE64" s="368"/>
      <c r="AGF64" s="368"/>
      <c r="AGG64" s="368"/>
      <c r="AGH64" s="368"/>
      <c r="AGI64" s="368"/>
      <c r="AGJ64" s="368"/>
      <c r="AGK64" s="368"/>
      <c r="AGL64" s="368"/>
      <c r="AGM64" s="368"/>
      <c r="AGN64" s="368"/>
      <c r="AGO64" s="368"/>
      <c r="AGP64" s="368"/>
      <c r="AGQ64" s="368"/>
      <c r="AGR64" s="368"/>
      <c r="AGS64" s="368"/>
      <c r="AGT64" s="368"/>
      <c r="AGU64" s="368"/>
      <c r="AGV64" s="368"/>
      <c r="AGW64" s="368"/>
      <c r="AGX64" s="368"/>
      <c r="AGY64" s="368"/>
      <c r="AGZ64" s="368"/>
      <c r="AHA64" s="368"/>
      <c r="AHB64" s="368"/>
      <c r="AHC64" s="368"/>
      <c r="AHD64" s="368"/>
      <c r="AHE64" s="368"/>
      <c r="AHF64" s="368"/>
      <c r="AHG64" s="368"/>
      <c r="AHH64" s="368"/>
      <c r="AHI64" s="368"/>
      <c r="AHJ64" s="368"/>
      <c r="AHK64" s="368"/>
      <c r="AHL64" s="368"/>
      <c r="AHM64" s="368"/>
      <c r="AHN64" s="368"/>
      <c r="AHO64" s="368"/>
      <c r="AHP64" s="368"/>
      <c r="AHQ64" s="368"/>
      <c r="AHR64" s="368"/>
      <c r="AHS64" s="368"/>
      <c r="AHT64" s="368"/>
      <c r="AHU64" s="368"/>
      <c r="AHV64" s="368"/>
      <c r="AHW64" s="368"/>
      <c r="AHX64" s="368"/>
      <c r="AHY64" s="368"/>
      <c r="AHZ64" s="368"/>
      <c r="AIA64" s="368"/>
      <c r="AIB64" s="368"/>
      <c r="AIC64" s="368"/>
      <c r="AID64" s="368"/>
      <c r="AIE64" s="368"/>
      <c r="AIF64" s="368"/>
      <c r="AIG64" s="368"/>
      <c r="AIH64" s="368"/>
      <c r="AII64" s="368"/>
      <c r="AIJ64" s="368"/>
      <c r="AIK64" s="368"/>
      <c r="AIL64" s="368"/>
      <c r="AIM64" s="368"/>
      <c r="AIN64" s="368"/>
      <c r="AIO64" s="368"/>
      <c r="AIP64" s="368"/>
      <c r="AIQ64" s="368"/>
      <c r="AIR64" s="368"/>
      <c r="AIS64" s="368"/>
      <c r="AIT64" s="368"/>
      <c r="AIU64" s="368"/>
      <c r="AIV64" s="368"/>
      <c r="AIW64" s="368"/>
      <c r="AIX64" s="368"/>
      <c r="AIY64" s="368"/>
      <c r="AIZ64" s="368"/>
      <c r="AJA64" s="368"/>
      <c r="AJB64" s="368"/>
      <c r="AJC64" s="368"/>
      <c r="AJD64" s="368"/>
      <c r="AJE64" s="368"/>
      <c r="AJF64" s="368"/>
      <c r="AJG64" s="368"/>
      <c r="AJH64" s="368"/>
      <c r="AJI64" s="368"/>
      <c r="AJJ64" s="368"/>
      <c r="AJK64" s="368"/>
      <c r="AJL64" s="368"/>
      <c r="AJM64" s="368"/>
      <c r="AJN64" s="368"/>
      <c r="AJO64" s="368"/>
      <c r="AJP64" s="368"/>
      <c r="AJQ64" s="368"/>
      <c r="AJR64" s="368"/>
      <c r="AJS64" s="368"/>
      <c r="AJT64" s="368"/>
      <c r="AJU64" s="368"/>
      <c r="AJV64" s="368"/>
      <c r="AJW64" s="368"/>
      <c r="AJX64" s="368"/>
      <c r="AJY64" s="368"/>
      <c r="AJZ64" s="368"/>
      <c r="AKA64" s="368"/>
      <c r="AKB64" s="368"/>
      <c r="AKC64" s="368"/>
      <c r="AKD64" s="368"/>
      <c r="AKE64" s="368"/>
      <c r="AKF64" s="368"/>
      <c r="AKG64" s="368"/>
      <c r="AKH64" s="368"/>
      <c r="AKI64" s="368"/>
      <c r="AKJ64" s="368"/>
      <c r="AKK64" s="368"/>
      <c r="AKL64" s="368"/>
      <c r="AKM64" s="368"/>
      <c r="AKN64" s="368"/>
    </row>
    <row r="65" spans="1:976" s="369" customFormat="1" ht="22.5" customHeight="1" x14ac:dyDescent="0.2">
      <c r="A65" s="352" t="s">
        <v>262</v>
      </c>
      <c r="B65" s="352"/>
      <c r="C65" s="352" t="s">
        <v>221</v>
      </c>
      <c r="D65" s="352" t="s">
        <v>222</v>
      </c>
      <c r="E65" s="353">
        <v>409929</v>
      </c>
      <c r="F65" s="353">
        <v>1079</v>
      </c>
      <c r="G65" s="353">
        <v>160</v>
      </c>
      <c r="H65" s="353">
        <v>0</v>
      </c>
      <c r="I65" s="354">
        <v>45812</v>
      </c>
      <c r="J65" s="352" t="s">
        <v>395</v>
      </c>
      <c r="K65" s="352" t="s">
        <v>468</v>
      </c>
      <c r="L65" s="355">
        <v>30.8</v>
      </c>
      <c r="M65" s="355">
        <v>1.69</v>
      </c>
      <c r="N65" s="449">
        <v>32.49</v>
      </c>
      <c r="O65" s="352"/>
      <c r="P65" s="356">
        <v>45821</v>
      </c>
      <c r="Q65" s="355">
        <v>32.49</v>
      </c>
      <c r="R65" s="352" t="s">
        <v>469</v>
      </c>
      <c r="S65" s="355">
        <v>0</v>
      </c>
      <c r="T65" s="355">
        <v>0</v>
      </c>
      <c r="U65" s="355">
        <v>0</v>
      </c>
      <c r="V65" s="355">
        <v>0</v>
      </c>
      <c r="W65" s="352"/>
      <c r="X65" s="352" t="s">
        <v>266</v>
      </c>
      <c r="Y65" s="352" t="s">
        <v>267</v>
      </c>
      <c r="Z65" s="352" t="s">
        <v>42</v>
      </c>
      <c r="AA65" s="352" t="s">
        <v>228</v>
      </c>
      <c r="AB65" s="352" t="s">
        <v>34</v>
      </c>
      <c r="AC65" s="352" t="s">
        <v>43</v>
      </c>
      <c r="AD65" s="352" t="s">
        <v>231</v>
      </c>
      <c r="AE65" s="352" t="s">
        <v>232</v>
      </c>
      <c r="AF65" s="352" t="s">
        <v>231</v>
      </c>
      <c r="AG65" s="352" t="s">
        <v>232</v>
      </c>
      <c r="AH65" s="352"/>
      <c r="AI65" s="352"/>
      <c r="AJ65" s="352"/>
      <c r="AK65" s="352" t="s">
        <v>470</v>
      </c>
      <c r="AL65" s="353">
        <v>1</v>
      </c>
      <c r="AM65" s="353">
        <v>0</v>
      </c>
      <c r="AN65" s="354">
        <v>45821</v>
      </c>
      <c r="AO65" s="354">
        <v>45821</v>
      </c>
      <c r="AP65" s="355">
        <v>32.49</v>
      </c>
      <c r="AQ65" s="354">
        <v>45820</v>
      </c>
      <c r="AR65" s="368"/>
      <c r="AS65" s="368"/>
      <c r="AT65" s="368"/>
      <c r="AU65" s="368"/>
      <c r="AV65" s="368"/>
      <c r="AW65" s="368"/>
      <c r="AX65" s="368"/>
      <c r="AY65" s="368"/>
      <c r="AZ65" s="368"/>
      <c r="BA65" s="368"/>
      <c r="BB65" s="368"/>
      <c r="BC65" s="368"/>
      <c r="BD65" s="368"/>
      <c r="BE65" s="368"/>
      <c r="BF65" s="368"/>
      <c r="BG65" s="368"/>
      <c r="BH65" s="368"/>
      <c r="BI65" s="368"/>
      <c r="BJ65" s="368"/>
      <c r="BK65" s="368"/>
      <c r="BL65" s="368"/>
      <c r="BM65" s="368"/>
      <c r="BN65" s="368"/>
      <c r="BO65" s="368"/>
      <c r="BP65" s="368"/>
      <c r="BQ65" s="368"/>
      <c r="BR65" s="368"/>
      <c r="BS65" s="368"/>
      <c r="BT65" s="368"/>
      <c r="BU65" s="368"/>
      <c r="BV65" s="368"/>
      <c r="BW65" s="368"/>
      <c r="BX65" s="368"/>
      <c r="BY65" s="368"/>
      <c r="BZ65" s="368"/>
      <c r="CA65" s="368"/>
      <c r="CB65" s="368"/>
      <c r="CC65" s="368"/>
      <c r="CD65" s="368"/>
      <c r="CE65" s="368"/>
      <c r="CF65" s="368"/>
      <c r="CG65" s="368"/>
      <c r="CH65" s="368"/>
      <c r="CI65" s="368"/>
      <c r="CJ65" s="368"/>
      <c r="CK65" s="368"/>
      <c r="CL65" s="368"/>
      <c r="CM65" s="368"/>
      <c r="CN65" s="368"/>
      <c r="CO65" s="368"/>
      <c r="CP65" s="368"/>
      <c r="CQ65" s="368"/>
      <c r="CR65" s="368"/>
      <c r="CS65" s="368"/>
      <c r="CT65" s="368"/>
      <c r="CU65" s="368"/>
      <c r="CV65" s="368"/>
      <c r="CW65" s="368"/>
      <c r="CX65" s="368"/>
      <c r="CY65" s="368"/>
      <c r="CZ65" s="368"/>
      <c r="DA65" s="368"/>
      <c r="DB65" s="368"/>
      <c r="DC65" s="368"/>
      <c r="DD65" s="368"/>
      <c r="DE65" s="368"/>
      <c r="DF65" s="368"/>
      <c r="DG65" s="368"/>
      <c r="DH65" s="368"/>
      <c r="DI65" s="368"/>
      <c r="DJ65" s="368"/>
      <c r="DK65" s="368"/>
      <c r="DL65" s="368"/>
      <c r="DM65" s="368"/>
      <c r="DN65" s="368"/>
      <c r="DO65" s="368"/>
      <c r="DP65" s="368"/>
      <c r="DQ65" s="368"/>
      <c r="DR65" s="368"/>
      <c r="DS65" s="368"/>
      <c r="DT65" s="368"/>
      <c r="DU65" s="368"/>
      <c r="DV65" s="368"/>
      <c r="DW65" s="368"/>
      <c r="DX65" s="368"/>
      <c r="DY65" s="368"/>
      <c r="DZ65" s="368"/>
      <c r="EA65" s="368"/>
      <c r="EB65" s="368"/>
      <c r="EC65" s="368"/>
      <c r="ED65" s="368"/>
      <c r="EE65" s="368"/>
      <c r="EF65" s="368"/>
      <c r="EG65" s="368"/>
      <c r="EH65" s="368"/>
      <c r="EI65" s="368"/>
      <c r="EJ65" s="368"/>
      <c r="EK65" s="368"/>
      <c r="EL65" s="368"/>
      <c r="EM65" s="368"/>
      <c r="EN65" s="368"/>
      <c r="EO65" s="368"/>
      <c r="EP65" s="368"/>
      <c r="EQ65" s="368"/>
      <c r="ER65" s="368"/>
      <c r="ES65" s="368"/>
      <c r="ET65" s="368"/>
      <c r="EU65" s="368"/>
      <c r="EV65" s="368"/>
      <c r="EW65" s="368"/>
      <c r="EX65" s="368"/>
      <c r="EY65" s="368"/>
      <c r="EZ65" s="368"/>
      <c r="FA65" s="368"/>
      <c r="FB65" s="368"/>
      <c r="FC65" s="368"/>
      <c r="FD65" s="368"/>
      <c r="FE65" s="368"/>
      <c r="FF65" s="368"/>
      <c r="FG65" s="368"/>
      <c r="FH65" s="368"/>
      <c r="FI65" s="368"/>
      <c r="FJ65" s="368"/>
      <c r="FK65" s="368"/>
      <c r="FL65" s="368"/>
      <c r="FM65" s="368"/>
      <c r="FN65" s="368"/>
      <c r="FO65" s="368"/>
      <c r="FP65" s="368"/>
      <c r="FQ65" s="368"/>
      <c r="FR65" s="368"/>
      <c r="FS65" s="368"/>
      <c r="FT65" s="368"/>
      <c r="FU65" s="368"/>
      <c r="FV65" s="368"/>
      <c r="FW65" s="368"/>
      <c r="FX65" s="368"/>
      <c r="FY65" s="368"/>
      <c r="FZ65" s="368"/>
      <c r="GA65" s="368"/>
      <c r="GB65" s="368"/>
      <c r="GC65" s="368"/>
      <c r="GD65" s="368"/>
      <c r="GE65" s="368"/>
      <c r="GF65" s="368"/>
      <c r="GG65" s="368"/>
      <c r="GH65" s="368"/>
      <c r="GI65" s="368"/>
      <c r="GJ65" s="368"/>
      <c r="GK65" s="368"/>
      <c r="GL65" s="368"/>
      <c r="GM65" s="368"/>
      <c r="GN65" s="368"/>
      <c r="GO65" s="368"/>
      <c r="GP65" s="368"/>
      <c r="GQ65" s="368"/>
      <c r="GR65" s="368"/>
      <c r="GS65" s="368"/>
      <c r="GT65" s="368"/>
      <c r="GU65" s="368"/>
      <c r="GV65" s="368"/>
      <c r="GW65" s="368"/>
      <c r="GX65" s="368"/>
      <c r="GY65" s="368"/>
      <c r="GZ65" s="368"/>
      <c r="HA65" s="368"/>
      <c r="HB65" s="368"/>
      <c r="HC65" s="368"/>
      <c r="HD65" s="368"/>
      <c r="HE65" s="368"/>
      <c r="HF65" s="368"/>
      <c r="HG65" s="368"/>
      <c r="HH65" s="368"/>
      <c r="HI65" s="368"/>
      <c r="HJ65" s="368"/>
      <c r="HK65" s="368"/>
      <c r="HL65" s="368"/>
      <c r="HM65" s="368"/>
      <c r="HN65" s="368"/>
      <c r="HO65" s="368"/>
      <c r="HP65" s="368"/>
      <c r="HQ65" s="368"/>
      <c r="HR65" s="368"/>
      <c r="HS65" s="368"/>
      <c r="HT65" s="368"/>
      <c r="HU65" s="368"/>
      <c r="HV65" s="368"/>
      <c r="HW65" s="368"/>
      <c r="HX65" s="368"/>
      <c r="HY65" s="368"/>
      <c r="HZ65" s="368"/>
      <c r="IA65" s="368"/>
      <c r="IB65" s="368"/>
      <c r="IC65" s="368"/>
      <c r="ID65" s="368"/>
      <c r="IE65" s="368"/>
      <c r="IF65" s="368"/>
      <c r="IG65" s="368"/>
      <c r="IH65" s="368"/>
      <c r="II65" s="368"/>
      <c r="IJ65" s="368"/>
      <c r="IK65" s="368"/>
      <c r="IL65" s="368"/>
      <c r="IM65" s="368"/>
      <c r="IN65" s="368"/>
      <c r="IO65" s="368"/>
      <c r="IP65" s="368"/>
      <c r="IQ65" s="368"/>
      <c r="IR65" s="368"/>
      <c r="IS65" s="368"/>
      <c r="IT65" s="368"/>
      <c r="IU65" s="368"/>
      <c r="IV65" s="368"/>
      <c r="IW65" s="368"/>
      <c r="IX65" s="368"/>
      <c r="IY65" s="368"/>
      <c r="IZ65" s="368"/>
      <c r="JA65" s="368"/>
      <c r="JB65" s="368"/>
      <c r="JC65" s="368"/>
      <c r="JD65" s="368"/>
      <c r="JE65" s="368"/>
      <c r="JF65" s="368"/>
      <c r="JG65" s="368"/>
      <c r="JH65" s="368"/>
      <c r="JI65" s="368"/>
      <c r="JJ65" s="368"/>
      <c r="JK65" s="368"/>
      <c r="JL65" s="368"/>
      <c r="JM65" s="368"/>
      <c r="JN65" s="368"/>
      <c r="JO65" s="368"/>
      <c r="JP65" s="368"/>
      <c r="JQ65" s="368"/>
      <c r="JR65" s="368"/>
      <c r="JS65" s="368"/>
      <c r="JT65" s="368"/>
      <c r="JU65" s="368"/>
      <c r="JV65" s="368"/>
      <c r="JW65" s="368"/>
      <c r="JX65" s="368"/>
      <c r="JY65" s="368"/>
      <c r="JZ65" s="368"/>
      <c r="KA65" s="368"/>
      <c r="KB65" s="368"/>
      <c r="KC65" s="368"/>
      <c r="KD65" s="368"/>
      <c r="KE65" s="368"/>
      <c r="KF65" s="368"/>
      <c r="KG65" s="368"/>
      <c r="KH65" s="368"/>
      <c r="KI65" s="368"/>
      <c r="KJ65" s="368"/>
      <c r="KK65" s="368"/>
      <c r="KL65" s="368"/>
      <c r="KM65" s="368"/>
      <c r="KN65" s="368"/>
      <c r="KO65" s="368"/>
      <c r="KP65" s="368"/>
      <c r="KQ65" s="368"/>
      <c r="KR65" s="368"/>
      <c r="KS65" s="368"/>
      <c r="KT65" s="368"/>
      <c r="KU65" s="368"/>
      <c r="KV65" s="368"/>
      <c r="KW65" s="368"/>
      <c r="KX65" s="368"/>
      <c r="KY65" s="368"/>
      <c r="KZ65" s="368"/>
      <c r="LA65" s="368"/>
      <c r="LB65" s="368"/>
      <c r="LC65" s="368"/>
      <c r="LD65" s="368"/>
      <c r="LE65" s="368"/>
      <c r="LF65" s="368"/>
      <c r="LG65" s="368"/>
      <c r="LH65" s="368"/>
      <c r="LI65" s="368"/>
      <c r="LJ65" s="368"/>
      <c r="LK65" s="368"/>
      <c r="LL65" s="368"/>
      <c r="LM65" s="368"/>
      <c r="LN65" s="368"/>
      <c r="LO65" s="368"/>
      <c r="LP65" s="368"/>
      <c r="LQ65" s="368"/>
      <c r="LR65" s="368"/>
      <c r="LS65" s="368"/>
      <c r="LT65" s="368"/>
      <c r="LU65" s="368"/>
      <c r="LV65" s="368"/>
      <c r="LW65" s="368"/>
      <c r="LX65" s="368"/>
      <c r="LY65" s="368"/>
      <c r="LZ65" s="368"/>
      <c r="MA65" s="368"/>
      <c r="MB65" s="368"/>
      <c r="MC65" s="368"/>
      <c r="MD65" s="368"/>
      <c r="ME65" s="368"/>
      <c r="MF65" s="368"/>
      <c r="MG65" s="368"/>
      <c r="MH65" s="368"/>
      <c r="MI65" s="368"/>
      <c r="MJ65" s="368"/>
      <c r="MK65" s="368"/>
      <c r="ML65" s="368"/>
      <c r="MM65" s="368"/>
      <c r="MN65" s="368"/>
      <c r="MO65" s="368"/>
      <c r="MP65" s="368"/>
      <c r="MQ65" s="368"/>
      <c r="MR65" s="368"/>
      <c r="MS65" s="368"/>
      <c r="MT65" s="368"/>
      <c r="MU65" s="368"/>
      <c r="MV65" s="368"/>
      <c r="MW65" s="368"/>
      <c r="MX65" s="368"/>
      <c r="MY65" s="368"/>
      <c r="MZ65" s="368"/>
      <c r="NA65" s="368"/>
      <c r="NB65" s="368"/>
      <c r="NC65" s="368"/>
      <c r="ND65" s="368"/>
      <c r="NE65" s="368"/>
      <c r="NF65" s="368"/>
      <c r="NG65" s="368"/>
      <c r="NH65" s="368"/>
      <c r="NI65" s="368"/>
      <c r="NJ65" s="368"/>
      <c r="NK65" s="368"/>
      <c r="NL65" s="368"/>
      <c r="NM65" s="368"/>
      <c r="NN65" s="368"/>
      <c r="NO65" s="368"/>
      <c r="NP65" s="368"/>
      <c r="NQ65" s="368"/>
      <c r="NR65" s="368"/>
      <c r="NS65" s="368"/>
      <c r="NT65" s="368"/>
      <c r="NU65" s="368"/>
      <c r="NV65" s="368"/>
      <c r="NW65" s="368"/>
      <c r="NX65" s="368"/>
      <c r="NY65" s="368"/>
      <c r="NZ65" s="368"/>
      <c r="OA65" s="368"/>
      <c r="OB65" s="368"/>
      <c r="OC65" s="368"/>
      <c r="OD65" s="368"/>
      <c r="OE65" s="368"/>
      <c r="OF65" s="368"/>
      <c r="OG65" s="368"/>
      <c r="OH65" s="368"/>
      <c r="OI65" s="368"/>
      <c r="OJ65" s="368"/>
      <c r="OK65" s="368"/>
      <c r="OL65" s="368"/>
      <c r="OM65" s="368"/>
      <c r="ON65" s="368"/>
      <c r="OO65" s="368"/>
      <c r="OP65" s="368"/>
      <c r="OQ65" s="368"/>
      <c r="OR65" s="368"/>
      <c r="OS65" s="368"/>
      <c r="OT65" s="368"/>
      <c r="OU65" s="368"/>
      <c r="OV65" s="368"/>
      <c r="OW65" s="368"/>
      <c r="OX65" s="368"/>
      <c r="OY65" s="368"/>
      <c r="OZ65" s="368"/>
      <c r="PA65" s="368"/>
      <c r="PB65" s="368"/>
      <c r="PC65" s="368"/>
      <c r="PD65" s="368"/>
      <c r="PE65" s="368"/>
      <c r="PF65" s="368"/>
      <c r="PG65" s="368"/>
      <c r="PH65" s="368"/>
      <c r="PI65" s="368"/>
      <c r="PJ65" s="368"/>
      <c r="PK65" s="368"/>
      <c r="PL65" s="368"/>
      <c r="PM65" s="368"/>
      <c r="PN65" s="368"/>
      <c r="PO65" s="368"/>
      <c r="PP65" s="368"/>
      <c r="PQ65" s="368"/>
      <c r="PR65" s="368"/>
      <c r="PS65" s="368"/>
      <c r="PT65" s="368"/>
      <c r="PU65" s="368"/>
      <c r="PV65" s="368"/>
      <c r="PW65" s="368"/>
      <c r="PX65" s="368"/>
      <c r="PY65" s="368"/>
      <c r="PZ65" s="368"/>
      <c r="QA65" s="368"/>
      <c r="QB65" s="368"/>
      <c r="QC65" s="368"/>
      <c r="QD65" s="368"/>
      <c r="QE65" s="368"/>
      <c r="QF65" s="368"/>
      <c r="QG65" s="368"/>
      <c r="QH65" s="368"/>
      <c r="QI65" s="368"/>
      <c r="QJ65" s="368"/>
      <c r="QK65" s="368"/>
      <c r="QL65" s="368"/>
      <c r="QM65" s="368"/>
      <c r="QN65" s="368"/>
      <c r="QO65" s="368"/>
      <c r="QP65" s="368"/>
      <c r="QQ65" s="368"/>
      <c r="QR65" s="368"/>
      <c r="QS65" s="368"/>
      <c r="QT65" s="368"/>
      <c r="QU65" s="368"/>
      <c r="QV65" s="368"/>
      <c r="QW65" s="368"/>
      <c r="QX65" s="368"/>
      <c r="QY65" s="368"/>
      <c r="QZ65" s="368"/>
      <c r="RA65" s="368"/>
      <c r="RB65" s="368"/>
      <c r="RC65" s="368"/>
      <c r="RD65" s="368"/>
      <c r="RE65" s="368"/>
      <c r="RF65" s="368"/>
      <c r="RG65" s="368"/>
      <c r="RH65" s="368"/>
      <c r="RI65" s="368"/>
      <c r="RJ65" s="368"/>
      <c r="RK65" s="368"/>
      <c r="RL65" s="368"/>
      <c r="RM65" s="368"/>
      <c r="RN65" s="368"/>
      <c r="RO65" s="368"/>
      <c r="RP65" s="368"/>
      <c r="RQ65" s="368"/>
      <c r="RR65" s="368"/>
      <c r="RS65" s="368"/>
      <c r="RT65" s="368"/>
      <c r="RU65" s="368"/>
      <c r="RV65" s="368"/>
      <c r="RW65" s="368"/>
      <c r="RX65" s="368"/>
      <c r="RY65" s="368"/>
      <c r="RZ65" s="368"/>
      <c r="SA65" s="368"/>
      <c r="SB65" s="368"/>
      <c r="SC65" s="368"/>
      <c r="SD65" s="368"/>
      <c r="SE65" s="368"/>
      <c r="SF65" s="368"/>
      <c r="SG65" s="368"/>
      <c r="SH65" s="368"/>
      <c r="SI65" s="368"/>
      <c r="SJ65" s="368"/>
      <c r="SK65" s="368"/>
      <c r="SL65" s="368"/>
      <c r="SM65" s="368"/>
      <c r="SN65" s="368"/>
      <c r="SO65" s="368"/>
      <c r="SP65" s="368"/>
      <c r="SQ65" s="368"/>
      <c r="SR65" s="368"/>
      <c r="SS65" s="368"/>
      <c r="ST65" s="368"/>
      <c r="SU65" s="368"/>
      <c r="SV65" s="368"/>
      <c r="SW65" s="368"/>
      <c r="SX65" s="368"/>
      <c r="SY65" s="368"/>
      <c r="SZ65" s="368"/>
      <c r="TA65" s="368"/>
      <c r="TB65" s="368"/>
      <c r="TC65" s="368"/>
      <c r="TD65" s="368"/>
      <c r="TE65" s="368"/>
      <c r="TF65" s="368"/>
      <c r="TG65" s="368"/>
      <c r="TH65" s="368"/>
      <c r="TI65" s="368"/>
      <c r="TJ65" s="368"/>
      <c r="TK65" s="368"/>
      <c r="TL65" s="368"/>
      <c r="TM65" s="368"/>
      <c r="TN65" s="368"/>
      <c r="TO65" s="368"/>
      <c r="TP65" s="368"/>
      <c r="TQ65" s="368"/>
      <c r="TR65" s="368"/>
      <c r="TS65" s="368"/>
      <c r="TT65" s="368"/>
      <c r="TU65" s="368"/>
      <c r="TV65" s="368"/>
      <c r="TW65" s="368"/>
      <c r="TX65" s="368"/>
      <c r="TY65" s="368"/>
      <c r="TZ65" s="368"/>
      <c r="UA65" s="368"/>
      <c r="UB65" s="368"/>
      <c r="UC65" s="368"/>
      <c r="UD65" s="368"/>
      <c r="UE65" s="368"/>
      <c r="UF65" s="368"/>
      <c r="UG65" s="368"/>
      <c r="UH65" s="368"/>
      <c r="UI65" s="368"/>
      <c r="UJ65" s="368"/>
      <c r="UK65" s="368"/>
      <c r="UL65" s="368"/>
      <c r="UM65" s="368"/>
      <c r="UN65" s="368"/>
      <c r="UO65" s="368"/>
      <c r="UP65" s="368"/>
      <c r="UQ65" s="368"/>
      <c r="UR65" s="368"/>
      <c r="US65" s="368"/>
      <c r="UT65" s="368"/>
      <c r="UU65" s="368"/>
      <c r="UV65" s="368"/>
      <c r="UW65" s="368"/>
      <c r="UX65" s="368"/>
      <c r="UY65" s="368"/>
      <c r="UZ65" s="368"/>
      <c r="VA65" s="368"/>
      <c r="VB65" s="368"/>
      <c r="VC65" s="368"/>
      <c r="VD65" s="368"/>
      <c r="VE65" s="368"/>
      <c r="VF65" s="368"/>
      <c r="VG65" s="368"/>
      <c r="VH65" s="368"/>
      <c r="VI65" s="368"/>
      <c r="VJ65" s="368"/>
      <c r="VK65" s="368"/>
      <c r="VL65" s="368"/>
      <c r="VM65" s="368"/>
      <c r="VN65" s="368"/>
      <c r="VO65" s="368"/>
      <c r="VP65" s="368"/>
      <c r="VQ65" s="368"/>
      <c r="VR65" s="368"/>
      <c r="VS65" s="368"/>
      <c r="VT65" s="368"/>
      <c r="VU65" s="368"/>
      <c r="VV65" s="368"/>
      <c r="VW65" s="368"/>
      <c r="VX65" s="368"/>
      <c r="VY65" s="368"/>
      <c r="VZ65" s="368"/>
      <c r="WA65" s="368"/>
      <c r="WB65" s="368"/>
      <c r="WC65" s="368"/>
      <c r="WD65" s="368"/>
      <c r="WE65" s="368"/>
      <c r="WF65" s="368"/>
      <c r="WG65" s="368"/>
      <c r="WH65" s="368"/>
      <c r="WI65" s="368"/>
      <c r="WJ65" s="368"/>
      <c r="WK65" s="368"/>
      <c r="WL65" s="368"/>
      <c r="WM65" s="368"/>
      <c r="WN65" s="368"/>
      <c r="WO65" s="368"/>
      <c r="WP65" s="368"/>
      <c r="WQ65" s="368"/>
      <c r="WR65" s="368"/>
      <c r="WS65" s="368"/>
      <c r="WT65" s="368"/>
      <c r="WU65" s="368"/>
      <c r="WV65" s="368"/>
      <c r="WW65" s="368"/>
      <c r="WX65" s="368"/>
      <c r="WY65" s="368"/>
      <c r="WZ65" s="368"/>
      <c r="XA65" s="368"/>
      <c r="XB65" s="368"/>
      <c r="XC65" s="368"/>
      <c r="XD65" s="368"/>
      <c r="XE65" s="368"/>
      <c r="XF65" s="368"/>
      <c r="XG65" s="368"/>
      <c r="XH65" s="368"/>
      <c r="XI65" s="368"/>
      <c r="XJ65" s="368"/>
      <c r="XK65" s="368"/>
      <c r="XL65" s="368"/>
      <c r="XM65" s="368"/>
      <c r="XN65" s="368"/>
      <c r="XO65" s="368"/>
      <c r="XP65" s="368"/>
      <c r="XQ65" s="368"/>
      <c r="XR65" s="368"/>
      <c r="XS65" s="368"/>
      <c r="XT65" s="368"/>
      <c r="XU65" s="368"/>
      <c r="XV65" s="368"/>
      <c r="XW65" s="368"/>
      <c r="XX65" s="368"/>
      <c r="XY65" s="368"/>
      <c r="XZ65" s="368"/>
      <c r="YA65" s="368"/>
      <c r="YB65" s="368"/>
      <c r="YC65" s="368"/>
      <c r="YD65" s="368"/>
      <c r="YE65" s="368"/>
      <c r="YF65" s="368"/>
      <c r="YG65" s="368"/>
      <c r="YH65" s="368"/>
      <c r="YI65" s="368"/>
      <c r="YJ65" s="368"/>
      <c r="YK65" s="368"/>
      <c r="YL65" s="368"/>
      <c r="YM65" s="368"/>
      <c r="YN65" s="368"/>
      <c r="YO65" s="368"/>
      <c r="YP65" s="368"/>
      <c r="YQ65" s="368"/>
      <c r="YR65" s="368"/>
      <c r="YS65" s="368"/>
      <c r="YT65" s="368"/>
      <c r="YU65" s="368"/>
      <c r="YV65" s="368"/>
      <c r="YW65" s="368"/>
      <c r="YX65" s="368"/>
      <c r="YY65" s="368"/>
      <c r="YZ65" s="368"/>
      <c r="ZA65" s="368"/>
      <c r="ZB65" s="368"/>
      <c r="ZC65" s="368"/>
      <c r="ZD65" s="368"/>
      <c r="ZE65" s="368"/>
      <c r="ZF65" s="368"/>
      <c r="ZG65" s="368"/>
      <c r="ZH65" s="368"/>
      <c r="ZI65" s="368"/>
      <c r="ZJ65" s="368"/>
      <c r="ZK65" s="368"/>
      <c r="ZL65" s="368"/>
      <c r="ZM65" s="368"/>
      <c r="ZN65" s="368"/>
      <c r="ZO65" s="368"/>
      <c r="ZP65" s="368"/>
      <c r="ZQ65" s="368"/>
      <c r="ZR65" s="368"/>
      <c r="ZS65" s="368"/>
      <c r="ZT65" s="368"/>
      <c r="ZU65" s="368"/>
      <c r="ZV65" s="368"/>
      <c r="ZW65" s="368"/>
      <c r="ZX65" s="368"/>
      <c r="ZY65" s="368"/>
      <c r="ZZ65" s="368"/>
      <c r="AAA65" s="368"/>
      <c r="AAB65" s="368"/>
      <c r="AAC65" s="368"/>
      <c r="AAD65" s="368"/>
      <c r="AAE65" s="368"/>
      <c r="AAF65" s="368"/>
      <c r="AAG65" s="368"/>
      <c r="AAH65" s="368"/>
      <c r="AAI65" s="368"/>
      <c r="AAJ65" s="368"/>
      <c r="AAK65" s="368"/>
      <c r="AAL65" s="368"/>
      <c r="AAM65" s="368"/>
      <c r="AAN65" s="368"/>
      <c r="AAO65" s="368"/>
      <c r="AAP65" s="368"/>
      <c r="AAQ65" s="368"/>
      <c r="AAR65" s="368"/>
      <c r="AAS65" s="368"/>
      <c r="AAT65" s="368"/>
      <c r="AAU65" s="368"/>
      <c r="AAV65" s="368"/>
      <c r="AAW65" s="368"/>
      <c r="AAX65" s="368"/>
      <c r="AAY65" s="368"/>
      <c r="AAZ65" s="368"/>
      <c r="ABA65" s="368"/>
      <c r="ABB65" s="368"/>
      <c r="ABC65" s="368"/>
      <c r="ABD65" s="368"/>
      <c r="ABE65" s="368"/>
      <c r="ABF65" s="368"/>
      <c r="ABG65" s="368"/>
      <c r="ABH65" s="368"/>
      <c r="ABI65" s="368"/>
      <c r="ABJ65" s="368"/>
      <c r="ABK65" s="368"/>
      <c r="ABL65" s="368"/>
      <c r="ABM65" s="368"/>
      <c r="ABN65" s="368"/>
      <c r="ABO65" s="368"/>
      <c r="ABP65" s="368"/>
      <c r="ABQ65" s="368"/>
      <c r="ABR65" s="368"/>
      <c r="ABS65" s="368"/>
      <c r="ABT65" s="368"/>
      <c r="ABU65" s="368"/>
      <c r="ABV65" s="368"/>
      <c r="ABW65" s="368"/>
      <c r="ABX65" s="368"/>
      <c r="ABY65" s="368"/>
      <c r="ABZ65" s="368"/>
      <c r="ACA65" s="368"/>
      <c r="ACB65" s="368"/>
      <c r="ACC65" s="368"/>
      <c r="ACD65" s="368"/>
      <c r="ACE65" s="368"/>
      <c r="ACF65" s="368"/>
      <c r="ACG65" s="368"/>
      <c r="ACH65" s="368"/>
      <c r="ACI65" s="368"/>
      <c r="ACJ65" s="368"/>
      <c r="ACK65" s="368"/>
      <c r="ACL65" s="368"/>
      <c r="ACM65" s="368"/>
      <c r="ACN65" s="368"/>
      <c r="ACO65" s="368"/>
      <c r="ACP65" s="368"/>
      <c r="ACQ65" s="368"/>
      <c r="ACR65" s="368"/>
      <c r="ACS65" s="368"/>
      <c r="ACT65" s="368"/>
      <c r="ACU65" s="368"/>
      <c r="ACV65" s="368"/>
      <c r="ACW65" s="368"/>
      <c r="ACX65" s="368"/>
      <c r="ACY65" s="368"/>
      <c r="ACZ65" s="368"/>
      <c r="ADA65" s="368"/>
      <c r="ADB65" s="368"/>
      <c r="ADC65" s="368"/>
      <c r="ADD65" s="368"/>
      <c r="ADE65" s="368"/>
      <c r="ADF65" s="368"/>
      <c r="ADG65" s="368"/>
      <c r="ADH65" s="368"/>
      <c r="ADI65" s="368"/>
      <c r="ADJ65" s="368"/>
      <c r="ADK65" s="368"/>
      <c r="ADL65" s="368"/>
      <c r="ADM65" s="368"/>
      <c r="ADN65" s="368"/>
      <c r="ADO65" s="368"/>
      <c r="ADP65" s="368"/>
      <c r="ADQ65" s="368"/>
      <c r="ADR65" s="368"/>
      <c r="ADS65" s="368"/>
      <c r="ADT65" s="368"/>
      <c r="ADU65" s="368"/>
      <c r="ADV65" s="368"/>
      <c r="ADW65" s="368"/>
      <c r="ADX65" s="368"/>
      <c r="ADY65" s="368"/>
      <c r="ADZ65" s="368"/>
      <c r="AEA65" s="368"/>
      <c r="AEB65" s="368"/>
      <c r="AEC65" s="368"/>
      <c r="AED65" s="368"/>
      <c r="AEE65" s="368"/>
      <c r="AEF65" s="368"/>
      <c r="AEG65" s="368"/>
      <c r="AEH65" s="368"/>
      <c r="AEI65" s="368"/>
      <c r="AEJ65" s="368"/>
      <c r="AEK65" s="368"/>
      <c r="AEL65" s="368"/>
      <c r="AEM65" s="368"/>
      <c r="AEN65" s="368"/>
      <c r="AEO65" s="368"/>
      <c r="AEP65" s="368"/>
      <c r="AEQ65" s="368"/>
      <c r="AER65" s="368"/>
      <c r="AES65" s="368"/>
      <c r="AET65" s="368"/>
      <c r="AEU65" s="368"/>
      <c r="AEV65" s="368"/>
      <c r="AEW65" s="368"/>
      <c r="AEX65" s="368"/>
      <c r="AEY65" s="368"/>
      <c r="AEZ65" s="368"/>
      <c r="AFA65" s="368"/>
      <c r="AFB65" s="368"/>
      <c r="AFC65" s="368"/>
      <c r="AFD65" s="368"/>
      <c r="AFE65" s="368"/>
      <c r="AFF65" s="368"/>
      <c r="AFG65" s="368"/>
      <c r="AFH65" s="368"/>
      <c r="AFI65" s="368"/>
      <c r="AFJ65" s="368"/>
      <c r="AFK65" s="368"/>
      <c r="AFL65" s="368"/>
      <c r="AFM65" s="368"/>
      <c r="AFN65" s="368"/>
      <c r="AFO65" s="368"/>
      <c r="AFP65" s="368"/>
      <c r="AFQ65" s="368"/>
      <c r="AFR65" s="368"/>
      <c r="AFS65" s="368"/>
      <c r="AFT65" s="368"/>
      <c r="AFU65" s="368"/>
      <c r="AFV65" s="368"/>
      <c r="AFW65" s="368"/>
      <c r="AFX65" s="368"/>
      <c r="AFY65" s="368"/>
      <c r="AFZ65" s="368"/>
      <c r="AGA65" s="368"/>
      <c r="AGB65" s="368"/>
      <c r="AGC65" s="368"/>
      <c r="AGD65" s="368"/>
      <c r="AGE65" s="368"/>
      <c r="AGF65" s="368"/>
      <c r="AGG65" s="368"/>
      <c r="AGH65" s="368"/>
      <c r="AGI65" s="368"/>
      <c r="AGJ65" s="368"/>
      <c r="AGK65" s="368"/>
      <c r="AGL65" s="368"/>
      <c r="AGM65" s="368"/>
      <c r="AGN65" s="368"/>
      <c r="AGO65" s="368"/>
      <c r="AGP65" s="368"/>
      <c r="AGQ65" s="368"/>
      <c r="AGR65" s="368"/>
      <c r="AGS65" s="368"/>
      <c r="AGT65" s="368"/>
      <c r="AGU65" s="368"/>
      <c r="AGV65" s="368"/>
      <c r="AGW65" s="368"/>
      <c r="AGX65" s="368"/>
      <c r="AGY65" s="368"/>
      <c r="AGZ65" s="368"/>
      <c r="AHA65" s="368"/>
      <c r="AHB65" s="368"/>
      <c r="AHC65" s="368"/>
      <c r="AHD65" s="368"/>
      <c r="AHE65" s="368"/>
      <c r="AHF65" s="368"/>
      <c r="AHG65" s="368"/>
      <c r="AHH65" s="368"/>
      <c r="AHI65" s="368"/>
      <c r="AHJ65" s="368"/>
      <c r="AHK65" s="368"/>
      <c r="AHL65" s="368"/>
      <c r="AHM65" s="368"/>
      <c r="AHN65" s="368"/>
      <c r="AHO65" s="368"/>
      <c r="AHP65" s="368"/>
      <c r="AHQ65" s="368"/>
      <c r="AHR65" s="368"/>
      <c r="AHS65" s="368"/>
      <c r="AHT65" s="368"/>
      <c r="AHU65" s="368"/>
      <c r="AHV65" s="368"/>
      <c r="AHW65" s="368"/>
      <c r="AHX65" s="368"/>
      <c r="AHY65" s="368"/>
      <c r="AHZ65" s="368"/>
      <c r="AIA65" s="368"/>
      <c r="AIB65" s="368"/>
      <c r="AIC65" s="368"/>
      <c r="AID65" s="368"/>
      <c r="AIE65" s="368"/>
      <c r="AIF65" s="368"/>
      <c r="AIG65" s="368"/>
      <c r="AIH65" s="368"/>
      <c r="AII65" s="368"/>
      <c r="AIJ65" s="368"/>
      <c r="AIK65" s="368"/>
      <c r="AIL65" s="368"/>
      <c r="AIM65" s="368"/>
      <c r="AIN65" s="368"/>
      <c r="AIO65" s="368"/>
      <c r="AIP65" s="368"/>
      <c r="AIQ65" s="368"/>
      <c r="AIR65" s="368"/>
      <c r="AIS65" s="368"/>
      <c r="AIT65" s="368"/>
      <c r="AIU65" s="368"/>
      <c r="AIV65" s="368"/>
      <c r="AIW65" s="368"/>
      <c r="AIX65" s="368"/>
      <c r="AIY65" s="368"/>
      <c r="AIZ65" s="368"/>
      <c r="AJA65" s="368"/>
      <c r="AJB65" s="368"/>
      <c r="AJC65" s="368"/>
      <c r="AJD65" s="368"/>
      <c r="AJE65" s="368"/>
      <c r="AJF65" s="368"/>
      <c r="AJG65" s="368"/>
      <c r="AJH65" s="368"/>
      <c r="AJI65" s="368"/>
      <c r="AJJ65" s="368"/>
      <c r="AJK65" s="368"/>
      <c r="AJL65" s="368"/>
      <c r="AJM65" s="368"/>
      <c r="AJN65" s="368"/>
      <c r="AJO65" s="368"/>
      <c r="AJP65" s="368"/>
      <c r="AJQ65" s="368"/>
      <c r="AJR65" s="368"/>
      <c r="AJS65" s="368"/>
      <c r="AJT65" s="368"/>
      <c r="AJU65" s="368"/>
      <c r="AJV65" s="368"/>
      <c r="AJW65" s="368"/>
      <c r="AJX65" s="368"/>
      <c r="AJY65" s="368"/>
      <c r="AJZ65" s="368"/>
      <c r="AKA65" s="368"/>
      <c r="AKB65" s="368"/>
      <c r="AKC65" s="368"/>
      <c r="AKD65" s="368"/>
      <c r="AKE65" s="368"/>
      <c r="AKF65" s="368"/>
      <c r="AKG65" s="368"/>
      <c r="AKH65" s="368"/>
      <c r="AKI65" s="368"/>
      <c r="AKJ65" s="368"/>
      <c r="AKK65" s="368"/>
      <c r="AKL65" s="368"/>
      <c r="AKM65" s="368"/>
      <c r="AKN65" s="368"/>
    </row>
    <row r="66" spans="1:976" s="364" customFormat="1" ht="22.5" customHeight="1" x14ac:dyDescent="0.2">
      <c r="A66" s="347" t="s">
        <v>262</v>
      </c>
      <c r="B66" s="347"/>
      <c r="C66" s="347" t="s">
        <v>221</v>
      </c>
      <c r="D66" s="347" t="s">
        <v>222</v>
      </c>
      <c r="E66" s="348">
        <v>409930</v>
      </c>
      <c r="F66" s="348">
        <v>1080</v>
      </c>
      <c r="G66" s="348">
        <v>160</v>
      </c>
      <c r="H66" s="348">
        <v>0</v>
      </c>
      <c r="I66" s="349">
        <v>45812</v>
      </c>
      <c r="J66" s="347" t="s">
        <v>395</v>
      </c>
      <c r="K66" s="347" t="s">
        <v>471</v>
      </c>
      <c r="L66" s="344">
        <v>23.76</v>
      </c>
      <c r="M66" s="344">
        <v>1.31</v>
      </c>
      <c r="N66" s="447">
        <v>25.07</v>
      </c>
      <c r="O66" s="347"/>
      <c r="P66" s="350">
        <v>45821</v>
      </c>
      <c r="Q66" s="344">
        <v>25.07</v>
      </c>
      <c r="R66" s="347" t="s">
        <v>472</v>
      </c>
      <c r="S66" s="344">
        <v>0</v>
      </c>
      <c r="T66" s="344">
        <v>0</v>
      </c>
      <c r="U66" s="344">
        <v>0</v>
      </c>
      <c r="V66" s="344">
        <v>0</v>
      </c>
      <c r="W66" s="347"/>
      <c r="X66" s="347" t="s">
        <v>266</v>
      </c>
      <c r="Y66" s="347" t="s">
        <v>267</v>
      </c>
      <c r="Z66" s="347" t="s">
        <v>46</v>
      </c>
      <c r="AA66" s="347" t="s">
        <v>228</v>
      </c>
      <c r="AB66" s="347" t="s">
        <v>34</v>
      </c>
      <c r="AC66" s="347" t="s">
        <v>47</v>
      </c>
      <c r="AD66" s="347" t="s">
        <v>231</v>
      </c>
      <c r="AE66" s="347" t="s">
        <v>232</v>
      </c>
      <c r="AF66" s="347" t="s">
        <v>231</v>
      </c>
      <c r="AG66" s="347" t="s">
        <v>232</v>
      </c>
      <c r="AH66" s="347"/>
      <c r="AI66" s="347"/>
      <c r="AJ66" s="347"/>
      <c r="AK66" s="347" t="s">
        <v>473</v>
      </c>
      <c r="AL66" s="348">
        <v>1</v>
      </c>
      <c r="AM66" s="348">
        <v>0</v>
      </c>
      <c r="AN66" s="349">
        <v>45821</v>
      </c>
      <c r="AO66" s="349">
        <v>45821</v>
      </c>
      <c r="AP66" s="344">
        <v>25.07</v>
      </c>
      <c r="AQ66" s="349">
        <v>45820</v>
      </c>
      <c r="AR66" s="368"/>
      <c r="AS66" s="368"/>
      <c r="AT66" s="368"/>
      <c r="AU66" s="368"/>
      <c r="AV66" s="368"/>
      <c r="AW66" s="368"/>
      <c r="AX66" s="368"/>
      <c r="AY66" s="368"/>
      <c r="AZ66" s="368"/>
      <c r="BA66" s="368"/>
      <c r="BB66" s="368"/>
      <c r="BC66" s="368"/>
      <c r="BD66" s="368"/>
      <c r="BE66" s="368"/>
      <c r="BF66" s="368"/>
      <c r="BG66" s="368"/>
      <c r="BH66" s="368"/>
      <c r="BI66" s="368"/>
      <c r="BJ66" s="368"/>
      <c r="BK66" s="368"/>
      <c r="BL66" s="368"/>
      <c r="BM66" s="368"/>
      <c r="BN66" s="368"/>
      <c r="BO66" s="368"/>
      <c r="BP66" s="368"/>
      <c r="BQ66" s="368"/>
      <c r="BR66" s="368"/>
      <c r="BS66" s="368"/>
      <c r="BT66" s="368"/>
      <c r="BU66" s="368"/>
      <c r="BV66" s="368"/>
      <c r="BW66" s="368"/>
      <c r="BX66" s="368"/>
      <c r="BY66" s="368"/>
      <c r="BZ66" s="368"/>
      <c r="CA66" s="368"/>
      <c r="CB66" s="368"/>
      <c r="CC66" s="368"/>
      <c r="CD66" s="368"/>
      <c r="CE66" s="368"/>
      <c r="CF66" s="368"/>
      <c r="CG66" s="368"/>
      <c r="CH66" s="368"/>
      <c r="CI66" s="368"/>
      <c r="CJ66" s="368"/>
      <c r="CK66" s="368"/>
      <c r="CL66" s="368"/>
      <c r="CM66" s="368"/>
      <c r="CN66" s="368"/>
      <c r="CO66" s="368"/>
      <c r="CP66" s="368"/>
      <c r="CQ66" s="368"/>
      <c r="CR66" s="368"/>
      <c r="CS66" s="368"/>
      <c r="CT66" s="368"/>
      <c r="CU66" s="368"/>
      <c r="CV66" s="368"/>
      <c r="CW66" s="368"/>
      <c r="CX66" s="368"/>
      <c r="CY66" s="368"/>
      <c r="CZ66" s="368"/>
      <c r="DA66" s="368"/>
      <c r="DB66" s="368"/>
      <c r="DC66" s="368"/>
      <c r="DD66" s="368"/>
      <c r="DE66" s="368"/>
      <c r="DF66" s="368"/>
      <c r="DG66" s="368"/>
      <c r="DH66" s="368"/>
      <c r="DI66" s="368"/>
      <c r="DJ66" s="368"/>
      <c r="DK66" s="368"/>
      <c r="DL66" s="368"/>
      <c r="DM66" s="368"/>
      <c r="DN66" s="368"/>
      <c r="DO66" s="368"/>
      <c r="DP66" s="368"/>
      <c r="DQ66" s="368"/>
      <c r="DR66" s="368"/>
      <c r="DS66" s="368"/>
      <c r="DT66" s="368"/>
      <c r="DU66" s="368"/>
      <c r="DV66" s="368"/>
      <c r="DW66" s="368"/>
      <c r="DX66" s="368"/>
      <c r="DY66" s="368"/>
      <c r="DZ66" s="368"/>
      <c r="EA66" s="368"/>
      <c r="EB66" s="368"/>
      <c r="EC66" s="368"/>
      <c r="ED66" s="368"/>
      <c r="EE66" s="368"/>
      <c r="EF66" s="368"/>
      <c r="EG66" s="368"/>
      <c r="EH66" s="368"/>
      <c r="EI66" s="368"/>
      <c r="EJ66" s="368"/>
      <c r="EK66" s="368"/>
      <c r="EL66" s="368"/>
      <c r="EM66" s="368"/>
      <c r="EN66" s="368"/>
      <c r="EO66" s="368"/>
      <c r="EP66" s="368"/>
      <c r="EQ66" s="368"/>
      <c r="ER66" s="368"/>
      <c r="ES66" s="368"/>
      <c r="ET66" s="368"/>
      <c r="EU66" s="368"/>
      <c r="EV66" s="368"/>
      <c r="EW66" s="368"/>
      <c r="EX66" s="368"/>
      <c r="EY66" s="368"/>
      <c r="EZ66" s="368"/>
      <c r="FA66" s="368"/>
      <c r="FB66" s="368"/>
      <c r="FC66" s="368"/>
      <c r="FD66" s="368"/>
      <c r="FE66" s="368"/>
      <c r="FF66" s="368"/>
      <c r="FG66" s="368"/>
      <c r="FH66" s="368"/>
      <c r="FI66" s="368"/>
      <c r="FJ66" s="368"/>
      <c r="FK66" s="368"/>
      <c r="FL66" s="368"/>
      <c r="FM66" s="368"/>
      <c r="FN66" s="368"/>
      <c r="FO66" s="368"/>
      <c r="FP66" s="368"/>
      <c r="FQ66" s="368"/>
      <c r="FR66" s="368"/>
      <c r="FS66" s="368"/>
      <c r="FT66" s="368"/>
      <c r="FU66" s="368"/>
      <c r="FV66" s="368"/>
      <c r="FW66" s="368"/>
      <c r="FX66" s="368"/>
      <c r="FY66" s="368"/>
      <c r="FZ66" s="368"/>
      <c r="GA66" s="368"/>
      <c r="GB66" s="368"/>
      <c r="GC66" s="368"/>
      <c r="GD66" s="368"/>
      <c r="GE66" s="368"/>
      <c r="GF66" s="368"/>
      <c r="GG66" s="368"/>
      <c r="GH66" s="368"/>
      <c r="GI66" s="368"/>
      <c r="GJ66" s="368"/>
      <c r="GK66" s="368"/>
      <c r="GL66" s="368"/>
      <c r="GM66" s="368"/>
      <c r="GN66" s="368"/>
      <c r="GO66" s="368"/>
      <c r="GP66" s="368"/>
      <c r="GQ66" s="368"/>
      <c r="GR66" s="368"/>
      <c r="GS66" s="368"/>
      <c r="GT66" s="368"/>
      <c r="GU66" s="368"/>
      <c r="GV66" s="368"/>
      <c r="GW66" s="368"/>
      <c r="GX66" s="368"/>
      <c r="GY66" s="368"/>
      <c r="GZ66" s="368"/>
      <c r="HA66" s="368"/>
      <c r="HB66" s="368"/>
      <c r="HC66" s="368"/>
      <c r="HD66" s="368"/>
      <c r="HE66" s="368"/>
      <c r="HF66" s="368"/>
      <c r="HG66" s="368"/>
      <c r="HH66" s="368"/>
      <c r="HI66" s="368"/>
      <c r="HJ66" s="368"/>
      <c r="HK66" s="368"/>
      <c r="HL66" s="368"/>
      <c r="HM66" s="368"/>
      <c r="HN66" s="368"/>
      <c r="HO66" s="368"/>
      <c r="HP66" s="368"/>
      <c r="HQ66" s="368"/>
      <c r="HR66" s="368"/>
      <c r="HS66" s="368"/>
      <c r="HT66" s="368"/>
      <c r="HU66" s="368"/>
      <c r="HV66" s="368"/>
      <c r="HW66" s="368"/>
      <c r="HX66" s="368"/>
      <c r="HY66" s="368"/>
      <c r="HZ66" s="368"/>
      <c r="IA66" s="368"/>
      <c r="IB66" s="368"/>
      <c r="IC66" s="368"/>
      <c r="ID66" s="368"/>
      <c r="IE66" s="368"/>
      <c r="IF66" s="368"/>
      <c r="IG66" s="368"/>
      <c r="IH66" s="368"/>
      <c r="II66" s="368"/>
      <c r="IJ66" s="368"/>
      <c r="IK66" s="368"/>
      <c r="IL66" s="368"/>
      <c r="IM66" s="368"/>
      <c r="IN66" s="368"/>
      <c r="IO66" s="368"/>
      <c r="IP66" s="368"/>
      <c r="IQ66" s="368"/>
      <c r="IR66" s="368"/>
      <c r="IS66" s="368"/>
      <c r="IT66" s="368"/>
      <c r="IU66" s="368"/>
      <c r="IV66" s="368"/>
      <c r="IW66" s="368"/>
      <c r="IX66" s="368"/>
      <c r="IY66" s="368"/>
      <c r="IZ66" s="368"/>
      <c r="JA66" s="368"/>
      <c r="JB66" s="368"/>
      <c r="JC66" s="368"/>
      <c r="JD66" s="368"/>
      <c r="JE66" s="368"/>
      <c r="JF66" s="368"/>
      <c r="JG66" s="368"/>
      <c r="JH66" s="368"/>
      <c r="JI66" s="368"/>
      <c r="JJ66" s="368"/>
      <c r="JK66" s="368"/>
      <c r="JL66" s="368"/>
      <c r="JM66" s="368"/>
      <c r="JN66" s="368"/>
      <c r="JO66" s="368"/>
      <c r="JP66" s="368"/>
      <c r="JQ66" s="368"/>
      <c r="JR66" s="368"/>
      <c r="JS66" s="368"/>
      <c r="JT66" s="368"/>
      <c r="JU66" s="368"/>
      <c r="JV66" s="368"/>
      <c r="JW66" s="368"/>
      <c r="JX66" s="368"/>
      <c r="JY66" s="368"/>
      <c r="JZ66" s="368"/>
      <c r="KA66" s="368"/>
      <c r="KB66" s="368"/>
      <c r="KC66" s="368"/>
      <c r="KD66" s="368"/>
      <c r="KE66" s="368"/>
      <c r="KF66" s="368"/>
      <c r="KG66" s="368"/>
      <c r="KH66" s="368"/>
      <c r="KI66" s="368"/>
      <c r="KJ66" s="368"/>
      <c r="KK66" s="368"/>
      <c r="KL66" s="368"/>
      <c r="KM66" s="368"/>
      <c r="KN66" s="368"/>
      <c r="KO66" s="368"/>
      <c r="KP66" s="368"/>
      <c r="KQ66" s="368"/>
      <c r="KR66" s="368"/>
      <c r="KS66" s="368"/>
      <c r="KT66" s="368"/>
      <c r="KU66" s="368"/>
      <c r="KV66" s="368"/>
      <c r="KW66" s="368"/>
      <c r="KX66" s="368"/>
      <c r="KY66" s="368"/>
      <c r="KZ66" s="368"/>
      <c r="LA66" s="368"/>
      <c r="LB66" s="368"/>
      <c r="LC66" s="368"/>
      <c r="LD66" s="368"/>
      <c r="LE66" s="368"/>
      <c r="LF66" s="368"/>
      <c r="LG66" s="368"/>
      <c r="LH66" s="368"/>
      <c r="LI66" s="368"/>
      <c r="LJ66" s="368"/>
      <c r="LK66" s="368"/>
      <c r="LL66" s="368"/>
      <c r="LM66" s="368"/>
      <c r="LN66" s="368"/>
      <c r="LO66" s="368"/>
      <c r="LP66" s="368"/>
      <c r="LQ66" s="368"/>
      <c r="LR66" s="368"/>
      <c r="LS66" s="368"/>
      <c r="LT66" s="368"/>
      <c r="LU66" s="368"/>
      <c r="LV66" s="368"/>
      <c r="LW66" s="368"/>
      <c r="LX66" s="368"/>
      <c r="LY66" s="368"/>
      <c r="LZ66" s="368"/>
      <c r="MA66" s="368"/>
      <c r="MB66" s="368"/>
      <c r="MC66" s="368"/>
      <c r="MD66" s="368"/>
      <c r="ME66" s="368"/>
      <c r="MF66" s="368"/>
      <c r="MG66" s="368"/>
      <c r="MH66" s="368"/>
      <c r="MI66" s="368"/>
      <c r="MJ66" s="368"/>
      <c r="MK66" s="368"/>
      <c r="ML66" s="368"/>
      <c r="MM66" s="368"/>
      <c r="MN66" s="368"/>
      <c r="MO66" s="368"/>
      <c r="MP66" s="368"/>
      <c r="MQ66" s="368"/>
      <c r="MR66" s="368"/>
      <c r="MS66" s="368"/>
      <c r="MT66" s="368"/>
      <c r="MU66" s="368"/>
      <c r="MV66" s="368"/>
      <c r="MW66" s="368"/>
      <c r="MX66" s="368"/>
      <c r="MY66" s="368"/>
      <c r="MZ66" s="368"/>
      <c r="NA66" s="368"/>
      <c r="NB66" s="368"/>
      <c r="NC66" s="368"/>
      <c r="ND66" s="368"/>
      <c r="NE66" s="368"/>
      <c r="NF66" s="368"/>
      <c r="NG66" s="368"/>
      <c r="NH66" s="368"/>
      <c r="NI66" s="368"/>
      <c r="NJ66" s="368"/>
      <c r="NK66" s="368"/>
      <c r="NL66" s="368"/>
      <c r="NM66" s="368"/>
      <c r="NN66" s="368"/>
      <c r="NO66" s="368"/>
      <c r="NP66" s="368"/>
      <c r="NQ66" s="368"/>
      <c r="NR66" s="368"/>
      <c r="NS66" s="368"/>
      <c r="NT66" s="368"/>
      <c r="NU66" s="368"/>
      <c r="NV66" s="368"/>
      <c r="NW66" s="368"/>
      <c r="NX66" s="368"/>
      <c r="NY66" s="368"/>
      <c r="NZ66" s="368"/>
      <c r="OA66" s="368"/>
      <c r="OB66" s="368"/>
      <c r="OC66" s="368"/>
      <c r="OD66" s="368"/>
      <c r="OE66" s="368"/>
      <c r="OF66" s="368"/>
      <c r="OG66" s="368"/>
      <c r="OH66" s="368"/>
      <c r="OI66" s="368"/>
      <c r="OJ66" s="368"/>
      <c r="OK66" s="368"/>
      <c r="OL66" s="368"/>
      <c r="OM66" s="368"/>
      <c r="ON66" s="368"/>
      <c r="OO66" s="368"/>
      <c r="OP66" s="368"/>
      <c r="OQ66" s="368"/>
      <c r="OR66" s="368"/>
      <c r="OS66" s="368"/>
      <c r="OT66" s="368"/>
      <c r="OU66" s="368"/>
      <c r="OV66" s="368"/>
      <c r="OW66" s="368"/>
      <c r="OX66" s="368"/>
      <c r="OY66" s="368"/>
      <c r="OZ66" s="368"/>
      <c r="PA66" s="368"/>
      <c r="PB66" s="368"/>
      <c r="PC66" s="368"/>
      <c r="PD66" s="368"/>
      <c r="PE66" s="368"/>
      <c r="PF66" s="368"/>
      <c r="PG66" s="368"/>
      <c r="PH66" s="368"/>
      <c r="PI66" s="368"/>
      <c r="PJ66" s="368"/>
      <c r="PK66" s="368"/>
      <c r="PL66" s="368"/>
      <c r="PM66" s="368"/>
      <c r="PN66" s="368"/>
      <c r="PO66" s="368"/>
      <c r="PP66" s="368"/>
      <c r="PQ66" s="368"/>
      <c r="PR66" s="368"/>
      <c r="PS66" s="368"/>
      <c r="PT66" s="368"/>
      <c r="PU66" s="368"/>
      <c r="PV66" s="368"/>
      <c r="PW66" s="368"/>
      <c r="PX66" s="368"/>
      <c r="PY66" s="368"/>
      <c r="PZ66" s="368"/>
      <c r="QA66" s="368"/>
      <c r="QB66" s="368"/>
      <c r="QC66" s="368"/>
      <c r="QD66" s="368"/>
      <c r="QE66" s="368"/>
      <c r="QF66" s="368"/>
      <c r="QG66" s="368"/>
      <c r="QH66" s="368"/>
      <c r="QI66" s="368"/>
      <c r="QJ66" s="368"/>
      <c r="QK66" s="368"/>
      <c r="QL66" s="368"/>
      <c r="QM66" s="368"/>
      <c r="QN66" s="368"/>
      <c r="QO66" s="368"/>
      <c r="QP66" s="368"/>
      <c r="QQ66" s="368"/>
      <c r="QR66" s="368"/>
      <c r="QS66" s="368"/>
      <c r="QT66" s="368"/>
      <c r="QU66" s="368"/>
      <c r="QV66" s="368"/>
      <c r="QW66" s="368"/>
      <c r="QX66" s="368"/>
      <c r="QY66" s="368"/>
      <c r="QZ66" s="368"/>
      <c r="RA66" s="368"/>
      <c r="RB66" s="368"/>
      <c r="RC66" s="368"/>
      <c r="RD66" s="368"/>
      <c r="RE66" s="368"/>
      <c r="RF66" s="368"/>
      <c r="RG66" s="368"/>
      <c r="RH66" s="368"/>
      <c r="RI66" s="368"/>
      <c r="RJ66" s="368"/>
      <c r="RK66" s="368"/>
      <c r="RL66" s="368"/>
      <c r="RM66" s="368"/>
      <c r="RN66" s="368"/>
      <c r="RO66" s="368"/>
      <c r="RP66" s="368"/>
      <c r="RQ66" s="368"/>
      <c r="RR66" s="368"/>
      <c r="RS66" s="368"/>
      <c r="RT66" s="368"/>
      <c r="RU66" s="368"/>
      <c r="RV66" s="368"/>
      <c r="RW66" s="368"/>
      <c r="RX66" s="368"/>
      <c r="RY66" s="368"/>
      <c r="RZ66" s="368"/>
      <c r="SA66" s="368"/>
      <c r="SB66" s="368"/>
      <c r="SC66" s="368"/>
      <c r="SD66" s="368"/>
      <c r="SE66" s="368"/>
      <c r="SF66" s="368"/>
      <c r="SG66" s="368"/>
      <c r="SH66" s="368"/>
      <c r="SI66" s="368"/>
      <c r="SJ66" s="368"/>
      <c r="SK66" s="368"/>
      <c r="SL66" s="368"/>
      <c r="SM66" s="368"/>
      <c r="SN66" s="368"/>
      <c r="SO66" s="368"/>
      <c r="SP66" s="368"/>
      <c r="SQ66" s="368"/>
      <c r="SR66" s="368"/>
      <c r="SS66" s="368"/>
      <c r="ST66" s="368"/>
      <c r="SU66" s="368"/>
      <c r="SV66" s="368"/>
      <c r="SW66" s="368"/>
      <c r="SX66" s="368"/>
      <c r="SY66" s="368"/>
      <c r="SZ66" s="368"/>
      <c r="TA66" s="368"/>
      <c r="TB66" s="368"/>
      <c r="TC66" s="368"/>
      <c r="TD66" s="368"/>
      <c r="TE66" s="368"/>
      <c r="TF66" s="368"/>
      <c r="TG66" s="368"/>
      <c r="TH66" s="368"/>
      <c r="TI66" s="368"/>
      <c r="TJ66" s="368"/>
      <c r="TK66" s="368"/>
      <c r="TL66" s="368"/>
      <c r="TM66" s="368"/>
      <c r="TN66" s="368"/>
      <c r="TO66" s="368"/>
      <c r="TP66" s="368"/>
      <c r="TQ66" s="368"/>
      <c r="TR66" s="368"/>
      <c r="TS66" s="368"/>
      <c r="TT66" s="368"/>
      <c r="TU66" s="368"/>
      <c r="TV66" s="368"/>
      <c r="TW66" s="368"/>
      <c r="TX66" s="368"/>
      <c r="TY66" s="368"/>
      <c r="TZ66" s="368"/>
      <c r="UA66" s="368"/>
      <c r="UB66" s="368"/>
      <c r="UC66" s="368"/>
      <c r="UD66" s="368"/>
      <c r="UE66" s="368"/>
      <c r="UF66" s="368"/>
      <c r="UG66" s="368"/>
      <c r="UH66" s="368"/>
      <c r="UI66" s="368"/>
      <c r="UJ66" s="368"/>
      <c r="UK66" s="368"/>
      <c r="UL66" s="368"/>
      <c r="UM66" s="368"/>
      <c r="UN66" s="368"/>
      <c r="UO66" s="368"/>
      <c r="UP66" s="368"/>
      <c r="UQ66" s="368"/>
      <c r="UR66" s="368"/>
      <c r="US66" s="368"/>
      <c r="UT66" s="368"/>
      <c r="UU66" s="368"/>
      <c r="UV66" s="368"/>
      <c r="UW66" s="368"/>
      <c r="UX66" s="368"/>
      <c r="UY66" s="368"/>
      <c r="UZ66" s="368"/>
      <c r="VA66" s="368"/>
      <c r="VB66" s="368"/>
      <c r="VC66" s="368"/>
      <c r="VD66" s="368"/>
      <c r="VE66" s="368"/>
      <c r="VF66" s="368"/>
      <c r="VG66" s="368"/>
      <c r="VH66" s="368"/>
      <c r="VI66" s="368"/>
      <c r="VJ66" s="368"/>
      <c r="VK66" s="368"/>
      <c r="VL66" s="368"/>
      <c r="VM66" s="368"/>
      <c r="VN66" s="368"/>
      <c r="VO66" s="368"/>
      <c r="VP66" s="368"/>
      <c r="VQ66" s="368"/>
      <c r="VR66" s="368"/>
      <c r="VS66" s="368"/>
      <c r="VT66" s="368"/>
      <c r="VU66" s="368"/>
      <c r="VV66" s="368"/>
      <c r="VW66" s="368"/>
      <c r="VX66" s="368"/>
      <c r="VY66" s="368"/>
      <c r="VZ66" s="368"/>
      <c r="WA66" s="368"/>
      <c r="WB66" s="368"/>
      <c r="WC66" s="368"/>
      <c r="WD66" s="368"/>
      <c r="WE66" s="368"/>
      <c r="WF66" s="368"/>
      <c r="WG66" s="368"/>
      <c r="WH66" s="368"/>
      <c r="WI66" s="368"/>
      <c r="WJ66" s="368"/>
      <c r="WK66" s="368"/>
      <c r="WL66" s="368"/>
      <c r="WM66" s="368"/>
      <c r="WN66" s="368"/>
      <c r="WO66" s="368"/>
      <c r="WP66" s="368"/>
      <c r="WQ66" s="368"/>
      <c r="WR66" s="368"/>
      <c r="WS66" s="368"/>
      <c r="WT66" s="368"/>
      <c r="WU66" s="368"/>
      <c r="WV66" s="368"/>
      <c r="WW66" s="368"/>
      <c r="WX66" s="368"/>
      <c r="WY66" s="368"/>
      <c r="WZ66" s="368"/>
      <c r="XA66" s="368"/>
      <c r="XB66" s="368"/>
      <c r="XC66" s="368"/>
      <c r="XD66" s="368"/>
      <c r="XE66" s="368"/>
      <c r="XF66" s="368"/>
      <c r="XG66" s="368"/>
      <c r="XH66" s="368"/>
      <c r="XI66" s="368"/>
      <c r="XJ66" s="368"/>
      <c r="XK66" s="368"/>
      <c r="XL66" s="368"/>
      <c r="XM66" s="368"/>
      <c r="XN66" s="368"/>
      <c r="XO66" s="368"/>
      <c r="XP66" s="368"/>
      <c r="XQ66" s="368"/>
      <c r="XR66" s="368"/>
      <c r="XS66" s="368"/>
      <c r="XT66" s="368"/>
      <c r="XU66" s="368"/>
      <c r="XV66" s="368"/>
      <c r="XW66" s="368"/>
      <c r="XX66" s="368"/>
      <c r="XY66" s="368"/>
      <c r="XZ66" s="368"/>
      <c r="YA66" s="368"/>
      <c r="YB66" s="368"/>
      <c r="YC66" s="368"/>
      <c r="YD66" s="368"/>
      <c r="YE66" s="368"/>
      <c r="YF66" s="368"/>
      <c r="YG66" s="368"/>
      <c r="YH66" s="368"/>
      <c r="YI66" s="368"/>
      <c r="YJ66" s="368"/>
      <c r="YK66" s="368"/>
      <c r="YL66" s="368"/>
      <c r="YM66" s="368"/>
      <c r="YN66" s="368"/>
      <c r="YO66" s="368"/>
      <c r="YP66" s="368"/>
      <c r="YQ66" s="368"/>
      <c r="YR66" s="368"/>
      <c r="YS66" s="368"/>
      <c r="YT66" s="368"/>
      <c r="YU66" s="368"/>
      <c r="YV66" s="368"/>
      <c r="YW66" s="368"/>
      <c r="YX66" s="368"/>
      <c r="YY66" s="368"/>
      <c r="YZ66" s="368"/>
      <c r="ZA66" s="368"/>
      <c r="ZB66" s="368"/>
      <c r="ZC66" s="368"/>
      <c r="ZD66" s="368"/>
      <c r="ZE66" s="368"/>
      <c r="ZF66" s="368"/>
      <c r="ZG66" s="368"/>
      <c r="ZH66" s="368"/>
      <c r="ZI66" s="368"/>
      <c r="ZJ66" s="368"/>
      <c r="ZK66" s="368"/>
      <c r="ZL66" s="368"/>
      <c r="ZM66" s="368"/>
      <c r="ZN66" s="368"/>
      <c r="ZO66" s="368"/>
      <c r="ZP66" s="368"/>
      <c r="ZQ66" s="368"/>
      <c r="ZR66" s="368"/>
      <c r="ZS66" s="368"/>
      <c r="ZT66" s="368"/>
      <c r="ZU66" s="368"/>
      <c r="ZV66" s="368"/>
      <c r="ZW66" s="368"/>
      <c r="ZX66" s="368"/>
      <c r="ZY66" s="368"/>
      <c r="ZZ66" s="368"/>
      <c r="AAA66" s="368"/>
      <c r="AAB66" s="368"/>
      <c r="AAC66" s="368"/>
      <c r="AAD66" s="368"/>
      <c r="AAE66" s="368"/>
      <c r="AAF66" s="368"/>
      <c r="AAG66" s="368"/>
      <c r="AAH66" s="368"/>
      <c r="AAI66" s="368"/>
      <c r="AAJ66" s="368"/>
      <c r="AAK66" s="368"/>
      <c r="AAL66" s="368"/>
      <c r="AAM66" s="368"/>
      <c r="AAN66" s="368"/>
      <c r="AAO66" s="368"/>
      <c r="AAP66" s="368"/>
      <c r="AAQ66" s="368"/>
      <c r="AAR66" s="368"/>
      <c r="AAS66" s="368"/>
      <c r="AAT66" s="368"/>
      <c r="AAU66" s="368"/>
      <c r="AAV66" s="368"/>
      <c r="AAW66" s="368"/>
      <c r="AAX66" s="368"/>
      <c r="AAY66" s="368"/>
      <c r="AAZ66" s="368"/>
      <c r="ABA66" s="368"/>
      <c r="ABB66" s="368"/>
      <c r="ABC66" s="368"/>
      <c r="ABD66" s="368"/>
      <c r="ABE66" s="368"/>
      <c r="ABF66" s="368"/>
      <c r="ABG66" s="368"/>
      <c r="ABH66" s="368"/>
      <c r="ABI66" s="368"/>
      <c r="ABJ66" s="368"/>
      <c r="ABK66" s="368"/>
      <c r="ABL66" s="368"/>
      <c r="ABM66" s="368"/>
      <c r="ABN66" s="368"/>
      <c r="ABO66" s="368"/>
      <c r="ABP66" s="368"/>
      <c r="ABQ66" s="368"/>
      <c r="ABR66" s="368"/>
      <c r="ABS66" s="368"/>
      <c r="ABT66" s="368"/>
      <c r="ABU66" s="368"/>
      <c r="ABV66" s="368"/>
      <c r="ABW66" s="368"/>
      <c r="ABX66" s="368"/>
      <c r="ABY66" s="368"/>
      <c r="ABZ66" s="368"/>
      <c r="ACA66" s="368"/>
      <c r="ACB66" s="368"/>
      <c r="ACC66" s="368"/>
      <c r="ACD66" s="368"/>
      <c r="ACE66" s="368"/>
      <c r="ACF66" s="368"/>
      <c r="ACG66" s="368"/>
      <c r="ACH66" s="368"/>
      <c r="ACI66" s="368"/>
      <c r="ACJ66" s="368"/>
      <c r="ACK66" s="368"/>
      <c r="ACL66" s="368"/>
      <c r="ACM66" s="368"/>
      <c r="ACN66" s="368"/>
      <c r="ACO66" s="368"/>
      <c r="ACP66" s="368"/>
      <c r="ACQ66" s="368"/>
      <c r="ACR66" s="368"/>
      <c r="ACS66" s="368"/>
      <c r="ACT66" s="368"/>
      <c r="ACU66" s="368"/>
      <c r="ACV66" s="368"/>
      <c r="ACW66" s="368"/>
      <c r="ACX66" s="368"/>
      <c r="ACY66" s="368"/>
      <c r="ACZ66" s="368"/>
      <c r="ADA66" s="368"/>
      <c r="ADB66" s="368"/>
      <c r="ADC66" s="368"/>
      <c r="ADD66" s="368"/>
      <c r="ADE66" s="368"/>
      <c r="ADF66" s="368"/>
      <c r="ADG66" s="368"/>
      <c r="ADH66" s="368"/>
      <c r="ADI66" s="368"/>
      <c r="ADJ66" s="368"/>
      <c r="ADK66" s="368"/>
      <c r="ADL66" s="368"/>
      <c r="ADM66" s="368"/>
      <c r="ADN66" s="368"/>
      <c r="ADO66" s="368"/>
      <c r="ADP66" s="368"/>
      <c r="ADQ66" s="368"/>
      <c r="ADR66" s="368"/>
      <c r="ADS66" s="368"/>
      <c r="ADT66" s="368"/>
      <c r="ADU66" s="368"/>
      <c r="ADV66" s="368"/>
      <c r="ADW66" s="368"/>
      <c r="ADX66" s="368"/>
      <c r="ADY66" s="368"/>
      <c r="ADZ66" s="368"/>
      <c r="AEA66" s="368"/>
      <c r="AEB66" s="368"/>
      <c r="AEC66" s="368"/>
      <c r="AED66" s="368"/>
      <c r="AEE66" s="368"/>
      <c r="AEF66" s="368"/>
      <c r="AEG66" s="368"/>
      <c r="AEH66" s="368"/>
      <c r="AEI66" s="368"/>
      <c r="AEJ66" s="368"/>
      <c r="AEK66" s="368"/>
      <c r="AEL66" s="368"/>
      <c r="AEM66" s="368"/>
      <c r="AEN66" s="368"/>
      <c r="AEO66" s="368"/>
      <c r="AEP66" s="368"/>
      <c r="AEQ66" s="368"/>
      <c r="AER66" s="368"/>
      <c r="AES66" s="368"/>
      <c r="AET66" s="368"/>
      <c r="AEU66" s="368"/>
      <c r="AEV66" s="368"/>
      <c r="AEW66" s="368"/>
      <c r="AEX66" s="368"/>
      <c r="AEY66" s="368"/>
      <c r="AEZ66" s="368"/>
      <c r="AFA66" s="368"/>
      <c r="AFB66" s="368"/>
      <c r="AFC66" s="368"/>
      <c r="AFD66" s="368"/>
      <c r="AFE66" s="368"/>
      <c r="AFF66" s="368"/>
      <c r="AFG66" s="368"/>
      <c r="AFH66" s="368"/>
      <c r="AFI66" s="368"/>
      <c r="AFJ66" s="368"/>
      <c r="AFK66" s="368"/>
      <c r="AFL66" s="368"/>
      <c r="AFM66" s="368"/>
      <c r="AFN66" s="368"/>
      <c r="AFO66" s="368"/>
      <c r="AFP66" s="368"/>
      <c r="AFQ66" s="368"/>
      <c r="AFR66" s="368"/>
      <c r="AFS66" s="368"/>
      <c r="AFT66" s="368"/>
      <c r="AFU66" s="368"/>
      <c r="AFV66" s="368"/>
      <c r="AFW66" s="368"/>
      <c r="AFX66" s="368"/>
      <c r="AFY66" s="368"/>
      <c r="AFZ66" s="368"/>
      <c r="AGA66" s="368"/>
      <c r="AGB66" s="368"/>
      <c r="AGC66" s="368"/>
      <c r="AGD66" s="368"/>
      <c r="AGE66" s="368"/>
      <c r="AGF66" s="368"/>
      <c r="AGG66" s="368"/>
      <c r="AGH66" s="368"/>
      <c r="AGI66" s="368"/>
      <c r="AGJ66" s="368"/>
      <c r="AGK66" s="368"/>
      <c r="AGL66" s="368"/>
      <c r="AGM66" s="368"/>
      <c r="AGN66" s="368"/>
      <c r="AGO66" s="368"/>
      <c r="AGP66" s="368"/>
      <c r="AGQ66" s="368"/>
      <c r="AGR66" s="368"/>
      <c r="AGS66" s="368"/>
      <c r="AGT66" s="368"/>
      <c r="AGU66" s="368"/>
      <c r="AGV66" s="368"/>
      <c r="AGW66" s="368"/>
      <c r="AGX66" s="368"/>
      <c r="AGY66" s="368"/>
      <c r="AGZ66" s="368"/>
      <c r="AHA66" s="368"/>
      <c r="AHB66" s="368"/>
      <c r="AHC66" s="368"/>
      <c r="AHD66" s="368"/>
      <c r="AHE66" s="368"/>
      <c r="AHF66" s="368"/>
      <c r="AHG66" s="368"/>
      <c r="AHH66" s="368"/>
      <c r="AHI66" s="368"/>
      <c r="AHJ66" s="368"/>
      <c r="AHK66" s="368"/>
      <c r="AHL66" s="368"/>
      <c r="AHM66" s="368"/>
      <c r="AHN66" s="368"/>
      <c r="AHO66" s="368"/>
      <c r="AHP66" s="368"/>
      <c r="AHQ66" s="368"/>
      <c r="AHR66" s="368"/>
      <c r="AHS66" s="368"/>
      <c r="AHT66" s="368"/>
      <c r="AHU66" s="368"/>
      <c r="AHV66" s="368"/>
      <c r="AHW66" s="368"/>
      <c r="AHX66" s="368"/>
      <c r="AHY66" s="368"/>
      <c r="AHZ66" s="368"/>
      <c r="AIA66" s="368"/>
      <c r="AIB66" s="368"/>
      <c r="AIC66" s="368"/>
      <c r="AID66" s="368"/>
      <c r="AIE66" s="368"/>
      <c r="AIF66" s="368"/>
      <c r="AIG66" s="368"/>
      <c r="AIH66" s="368"/>
      <c r="AII66" s="368"/>
      <c r="AIJ66" s="368"/>
      <c r="AIK66" s="368"/>
      <c r="AIL66" s="368"/>
      <c r="AIM66" s="368"/>
      <c r="AIN66" s="368"/>
      <c r="AIO66" s="368"/>
      <c r="AIP66" s="368"/>
      <c r="AIQ66" s="368"/>
      <c r="AIR66" s="368"/>
      <c r="AIS66" s="368"/>
      <c r="AIT66" s="368"/>
      <c r="AIU66" s="368"/>
      <c r="AIV66" s="368"/>
      <c r="AIW66" s="368"/>
      <c r="AIX66" s="368"/>
      <c r="AIY66" s="368"/>
      <c r="AIZ66" s="368"/>
      <c r="AJA66" s="368"/>
      <c r="AJB66" s="368"/>
      <c r="AJC66" s="368"/>
      <c r="AJD66" s="368"/>
      <c r="AJE66" s="368"/>
      <c r="AJF66" s="368"/>
      <c r="AJG66" s="368"/>
      <c r="AJH66" s="368"/>
      <c r="AJI66" s="368"/>
      <c r="AJJ66" s="368"/>
      <c r="AJK66" s="368"/>
      <c r="AJL66" s="368"/>
      <c r="AJM66" s="368"/>
      <c r="AJN66" s="368"/>
      <c r="AJO66" s="368"/>
      <c r="AJP66" s="368"/>
      <c r="AJQ66" s="368"/>
      <c r="AJR66" s="368"/>
      <c r="AJS66" s="368"/>
      <c r="AJT66" s="368"/>
      <c r="AJU66" s="368"/>
      <c r="AJV66" s="368"/>
      <c r="AJW66" s="368"/>
      <c r="AJX66" s="368"/>
      <c r="AJY66" s="368"/>
      <c r="AJZ66" s="368"/>
      <c r="AKA66" s="368"/>
      <c r="AKB66" s="368"/>
      <c r="AKC66" s="368"/>
      <c r="AKD66" s="368"/>
      <c r="AKE66" s="368"/>
      <c r="AKF66" s="368"/>
      <c r="AKG66" s="368"/>
      <c r="AKH66" s="368"/>
      <c r="AKI66" s="368"/>
      <c r="AKJ66" s="368"/>
      <c r="AKK66" s="368"/>
      <c r="AKL66" s="368"/>
      <c r="AKM66" s="368"/>
      <c r="AKN66" s="368"/>
    </row>
    <row r="67" spans="1:976" s="363" customFormat="1" ht="22.5" customHeight="1" x14ac:dyDescent="0.2">
      <c r="A67" s="358" t="s">
        <v>262</v>
      </c>
      <c r="B67" s="358"/>
      <c r="C67" s="358" t="s">
        <v>221</v>
      </c>
      <c r="D67" s="358" t="s">
        <v>222</v>
      </c>
      <c r="E67" s="359">
        <v>409940</v>
      </c>
      <c r="F67" s="359">
        <v>1087</v>
      </c>
      <c r="G67" s="359">
        <v>160</v>
      </c>
      <c r="H67" s="359">
        <v>0</v>
      </c>
      <c r="I67" s="360">
        <v>45812</v>
      </c>
      <c r="J67" s="358" t="s">
        <v>395</v>
      </c>
      <c r="K67" s="358" t="s">
        <v>474</v>
      </c>
      <c r="L67" s="361">
        <v>101.2</v>
      </c>
      <c r="M67" s="361">
        <v>5.57</v>
      </c>
      <c r="N67" s="448">
        <v>106.77</v>
      </c>
      <c r="O67" s="358"/>
      <c r="P67" s="362">
        <v>45821</v>
      </c>
      <c r="Q67" s="361">
        <v>106.77</v>
      </c>
      <c r="R67" s="358" t="s">
        <v>460</v>
      </c>
      <c r="S67" s="361">
        <v>0</v>
      </c>
      <c r="T67" s="361">
        <v>0</v>
      </c>
      <c r="U67" s="361">
        <v>0</v>
      </c>
      <c r="V67" s="361">
        <v>0</v>
      </c>
      <c r="W67" s="358"/>
      <c r="X67" s="358" t="s">
        <v>266</v>
      </c>
      <c r="Y67" s="358" t="s">
        <v>267</v>
      </c>
      <c r="Z67" s="358" t="s">
        <v>32</v>
      </c>
      <c r="AA67" s="358" t="s">
        <v>228</v>
      </c>
      <c r="AB67" s="358" t="s">
        <v>34</v>
      </c>
      <c r="AC67" s="358" t="s">
        <v>31</v>
      </c>
      <c r="AD67" s="358" t="s">
        <v>231</v>
      </c>
      <c r="AE67" s="358" t="s">
        <v>232</v>
      </c>
      <c r="AF67" s="358" t="s">
        <v>231</v>
      </c>
      <c r="AG67" s="358" t="s">
        <v>232</v>
      </c>
      <c r="AH67" s="358"/>
      <c r="AI67" s="358"/>
      <c r="AJ67" s="358"/>
      <c r="AK67" s="358" t="s">
        <v>475</v>
      </c>
      <c r="AL67" s="359">
        <v>1</v>
      </c>
      <c r="AM67" s="359">
        <v>0</v>
      </c>
      <c r="AN67" s="360">
        <v>45821</v>
      </c>
      <c r="AO67" s="360">
        <v>45821</v>
      </c>
      <c r="AP67" s="361">
        <v>106.77</v>
      </c>
      <c r="AQ67" s="360">
        <v>45820</v>
      </c>
      <c r="AR67" s="368"/>
      <c r="AS67" s="368"/>
      <c r="AT67" s="368"/>
      <c r="AU67" s="368"/>
      <c r="AV67" s="368"/>
      <c r="AW67" s="368"/>
      <c r="AX67" s="368"/>
      <c r="AY67" s="368"/>
      <c r="AZ67" s="368"/>
      <c r="BA67" s="368"/>
      <c r="BB67" s="368"/>
      <c r="BC67" s="368"/>
      <c r="BD67" s="368"/>
      <c r="BE67" s="368"/>
      <c r="BF67" s="368"/>
      <c r="BG67" s="368"/>
      <c r="BH67" s="368"/>
      <c r="BI67" s="368"/>
      <c r="BJ67" s="368"/>
      <c r="BK67" s="368"/>
      <c r="BL67" s="368"/>
      <c r="BM67" s="368"/>
      <c r="BN67" s="368"/>
      <c r="BO67" s="368"/>
      <c r="BP67" s="368"/>
      <c r="BQ67" s="368"/>
      <c r="BR67" s="368"/>
      <c r="BS67" s="368"/>
      <c r="BT67" s="368"/>
      <c r="BU67" s="368"/>
      <c r="BV67" s="368"/>
      <c r="BW67" s="368"/>
      <c r="BX67" s="368"/>
      <c r="BY67" s="368"/>
      <c r="BZ67" s="368"/>
      <c r="CA67" s="368"/>
      <c r="CB67" s="368"/>
      <c r="CC67" s="368"/>
      <c r="CD67" s="368"/>
      <c r="CE67" s="368"/>
      <c r="CF67" s="368"/>
      <c r="CG67" s="368"/>
      <c r="CH67" s="368"/>
      <c r="CI67" s="368"/>
      <c r="CJ67" s="368"/>
      <c r="CK67" s="368"/>
      <c r="CL67" s="368"/>
      <c r="CM67" s="368"/>
      <c r="CN67" s="368"/>
      <c r="CO67" s="368"/>
      <c r="CP67" s="368"/>
      <c r="CQ67" s="368"/>
      <c r="CR67" s="368"/>
      <c r="CS67" s="368"/>
      <c r="CT67" s="368"/>
      <c r="CU67" s="368"/>
      <c r="CV67" s="368"/>
      <c r="CW67" s="368"/>
      <c r="CX67" s="368"/>
      <c r="CY67" s="368"/>
      <c r="CZ67" s="368"/>
      <c r="DA67" s="368"/>
      <c r="DB67" s="368"/>
      <c r="DC67" s="368"/>
      <c r="DD67" s="368"/>
      <c r="DE67" s="368"/>
      <c r="DF67" s="368"/>
      <c r="DG67" s="368"/>
      <c r="DH67" s="368"/>
      <c r="DI67" s="368"/>
      <c r="DJ67" s="368"/>
      <c r="DK67" s="368"/>
      <c r="DL67" s="368"/>
      <c r="DM67" s="368"/>
      <c r="DN67" s="368"/>
      <c r="DO67" s="368"/>
      <c r="DP67" s="368"/>
      <c r="DQ67" s="368"/>
      <c r="DR67" s="368"/>
      <c r="DS67" s="368"/>
      <c r="DT67" s="368"/>
      <c r="DU67" s="368"/>
      <c r="DV67" s="368"/>
      <c r="DW67" s="368"/>
      <c r="DX67" s="368"/>
      <c r="DY67" s="368"/>
      <c r="DZ67" s="368"/>
      <c r="EA67" s="368"/>
      <c r="EB67" s="368"/>
      <c r="EC67" s="368"/>
      <c r="ED67" s="368"/>
      <c r="EE67" s="368"/>
      <c r="EF67" s="368"/>
      <c r="EG67" s="368"/>
      <c r="EH67" s="368"/>
      <c r="EI67" s="368"/>
      <c r="EJ67" s="368"/>
      <c r="EK67" s="368"/>
      <c r="EL67" s="368"/>
      <c r="EM67" s="368"/>
      <c r="EN67" s="368"/>
      <c r="EO67" s="368"/>
      <c r="EP67" s="368"/>
      <c r="EQ67" s="368"/>
      <c r="ER67" s="368"/>
      <c r="ES67" s="368"/>
      <c r="ET67" s="368"/>
      <c r="EU67" s="368"/>
      <c r="EV67" s="368"/>
      <c r="EW67" s="368"/>
      <c r="EX67" s="368"/>
      <c r="EY67" s="368"/>
      <c r="EZ67" s="368"/>
      <c r="FA67" s="368"/>
      <c r="FB67" s="368"/>
      <c r="FC67" s="368"/>
      <c r="FD67" s="368"/>
      <c r="FE67" s="368"/>
      <c r="FF67" s="368"/>
      <c r="FG67" s="368"/>
      <c r="FH67" s="368"/>
      <c r="FI67" s="368"/>
      <c r="FJ67" s="368"/>
      <c r="FK67" s="368"/>
      <c r="FL67" s="368"/>
      <c r="FM67" s="368"/>
      <c r="FN67" s="368"/>
      <c r="FO67" s="368"/>
      <c r="FP67" s="368"/>
      <c r="FQ67" s="368"/>
      <c r="FR67" s="368"/>
      <c r="FS67" s="368"/>
      <c r="FT67" s="368"/>
      <c r="FU67" s="368"/>
      <c r="FV67" s="368"/>
      <c r="FW67" s="368"/>
      <c r="FX67" s="368"/>
      <c r="FY67" s="368"/>
      <c r="FZ67" s="368"/>
      <c r="GA67" s="368"/>
      <c r="GB67" s="368"/>
      <c r="GC67" s="368"/>
      <c r="GD67" s="368"/>
      <c r="GE67" s="368"/>
      <c r="GF67" s="368"/>
      <c r="GG67" s="368"/>
      <c r="GH67" s="368"/>
      <c r="GI67" s="368"/>
      <c r="GJ67" s="368"/>
      <c r="GK67" s="368"/>
      <c r="GL67" s="368"/>
      <c r="GM67" s="368"/>
      <c r="GN67" s="368"/>
      <c r="GO67" s="368"/>
      <c r="GP67" s="368"/>
      <c r="GQ67" s="368"/>
      <c r="GR67" s="368"/>
      <c r="GS67" s="368"/>
      <c r="GT67" s="368"/>
      <c r="GU67" s="368"/>
      <c r="GV67" s="368"/>
      <c r="GW67" s="368"/>
      <c r="GX67" s="368"/>
      <c r="GY67" s="368"/>
      <c r="GZ67" s="368"/>
      <c r="HA67" s="368"/>
      <c r="HB67" s="368"/>
      <c r="HC67" s="368"/>
      <c r="HD67" s="368"/>
      <c r="HE67" s="368"/>
      <c r="HF67" s="368"/>
      <c r="HG67" s="368"/>
      <c r="HH67" s="368"/>
      <c r="HI67" s="368"/>
      <c r="HJ67" s="368"/>
      <c r="HK67" s="368"/>
      <c r="HL67" s="368"/>
      <c r="HM67" s="368"/>
      <c r="HN67" s="368"/>
      <c r="HO67" s="368"/>
      <c r="HP67" s="368"/>
      <c r="HQ67" s="368"/>
      <c r="HR67" s="368"/>
      <c r="HS67" s="368"/>
      <c r="HT67" s="368"/>
      <c r="HU67" s="368"/>
      <c r="HV67" s="368"/>
      <c r="HW67" s="368"/>
      <c r="HX67" s="368"/>
      <c r="HY67" s="368"/>
      <c r="HZ67" s="368"/>
      <c r="IA67" s="368"/>
      <c r="IB67" s="368"/>
      <c r="IC67" s="368"/>
      <c r="ID67" s="368"/>
      <c r="IE67" s="368"/>
      <c r="IF67" s="368"/>
      <c r="IG67" s="368"/>
      <c r="IH67" s="368"/>
      <c r="II67" s="368"/>
      <c r="IJ67" s="368"/>
      <c r="IK67" s="368"/>
      <c r="IL67" s="368"/>
      <c r="IM67" s="368"/>
      <c r="IN67" s="368"/>
      <c r="IO67" s="368"/>
      <c r="IP67" s="368"/>
      <c r="IQ67" s="368"/>
      <c r="IR67" s="368"/>
      <c r="IS67" s="368"/>
      <c r="IT67" s="368"/>
      <c r="IU67" s="368"/>
      <c r="IV67" s="368"/>
      <c r="IW67" s="368"/>
      <c r="IX67" s="368"/>
      <c r="IY67" s="368"/>
      <c r="IZ67" s="368"/>
      <c r="JA67" s="368"/>
      <c r="JB67" s="368"/>
      <c r="JC67" s="368"/>
      <c r="JD67" s="368"/>
      <c r="JE67" s="368"/>
      <c r="JF67" s="368"/>
      <c r="JG67" s="368"/>
      <c r="JH67" s="368"/>
      <c r="JI67" s="368"/>
      <c r="JJ67" s="368"/>
      <c r="JK67" s="368"/>
      <c r="JL67" s="368"/>
      <c r="JM67" s="368"/>
      <c r="JN67" s="368"/>
      <c r="JO67" s="368"/>
      <c r="JP67" s="368"/>
      <c r="JQ67" s="368"/>
      <c r="JR67" s="368"/>
      <c r="JS67" s="368"/>
      <c r="JT67" s="368"/>
      <c r="JU67" s="368"/>
      <c r="JV67" s="368"/>
      <c r="JW67" s="368"/>
      <c r="JX67" s="368"/>
      <c r="JY67" s="368"/>
      <c r="JZ67" s="368"/>
      <c r="KA67" s="368"/>
      <c r="KB67" s="368"/>
      <c r="KC67" s="368"/>
      <c r="KD67" s="368"/>
      <c r="KE67" s="368"/>
      <c r="KF67" s="368"/>
      <c r="KG67" s="368"/>
      <c r="KH67" s="368"/>
      <c r="KI67" s="368"/>
      <c r="KJ67" s="368"/>
      <c r="KK67" s="368"/>
      <c r="KL67" s="368"/>
      <c r="KM67" s="368"/>
      <c r="KN67" s="368"/>
      <c r="KO67" s="368"/>
      <c r="KP67" s="368"/>
      <c r="KQ67" s="368"/>
      <c r="KR67" s="368"/>
      <c r="KS67" s="368"/>
      <c r="KT67" s="368"/>
      <c r="KU67" s="368"/>
      <c r="KV67" s="368"/>
      <c r="KW67" s="368"/>
      <c r="KX67" s="368"/>
      <c r="KY67" s="368"/>
      <c r="KZ67" s="368"/>
      <c r="LA67" s="368"/>
      <c r="LB67" s="368"/>
      <c r="LC67" s="368"/>
      <c r="LD67" s="368"/>
      <c r="LE67" s="368"/>
      <c r="LF67" s="368"/>
      <c r="LG67" s="368"/>
      <c r="LH67" s="368"/>
      <c r="LI67" s="368"/>
      <c r="LJ67" s="368"/>
      <c r="LK67" s="368"/>
      <c r="LL67" s="368"/>
      <c r="LM67" s="368"/>
      <c r="LN67" s="368"/>
      <c r="LO67" s="368"/>
      <c r="LP67" s="368"/>
      <c r="LQ67" s="368"/>
      <c r="LR67" s="368"/>
      <c r="LS67" s="368"/>
      <c r="LT67" s="368"/>
      <c r="LU67" s="368"/>
      <c r="LV67" s="368"/>
      <c r="LW67" s="368"/>
      <c r="LX67" s="368"/>
      <c r="LY67" s="368"/>
      <c r="LZ67" s="368"/>
      <c r="MA67" s="368"/>
      <c r="MB67" s="368"/>
      <c r="MC67" s="368"/>
      <c r="MD67" s="368"/>
      <c r="ME67" s="368"/>
      <c r="MF67" s="368"/>
      <c r="MG67" s="368"/>
      <c r="MH67" s="368"/>
      <c r="MI67" s="368"/>
      <c r="MJ67" s="368"/>
      <c r="MK67" s="368"/>
      <c r="ML67" s="368"/>
      <c r="MM67" s="368"/>
      <c r="MN67" s="368"/>
      <c r="MO67" s="368"/>
      <c r="MP67" s="368"/>
      <c r="MQ67" s="368"/>
      <c r="MR67" s="368"/>
      <c r="MS67" s="368"/>
      <c r="MT67" s="368"/>
      <c r="MU67" s="368"/>
      <c r="MV67" s="368"/>
      <c r="MW67" s="368"/>
      <c r="MX67" s="368"/>
      <c r="MY67" s="368"/>
      <c r="MZ67" s="368"/>
      <c r="NA67" s="368"/>
      <c r="NB67" s="368"/>
      <c r="NC67" s="368"/>
      <c r="ND67" s="368"/>
      <c r="NE67" s="368"/>
      <c r="NF67" s="368"/>
      <c r="NG67" s="368"/>
      <c r="NH67" s="368"/>
      <c r="NI67" s="368"/>
      <c r="NJ67" s="368"/>
      <c r="NK67" s="368"/>
      <c r="NL67" s="368"/>
      <c r="NM67" s="368"/>
      <c r="NN67" s="368"/>
      <c r="NO67" s="368"/>
      <c r="NP67" s="368"/>
      <c r="NQ67" s="368"/>
      <c r="NR67" s="368"/>
      <c r="NS67" s="368"/>
      <c r="NT67" s="368"/>
      <c r="NU67" s="368"/>
      <c r="NV67" s="368"/>
      <c r="NW67" s="368"/>
      <c r="NX67" s="368"/>
      <c r="NY67" s="368"/>
      <c r="NZ67" s="368"/>
      <c r="OA67" s="368"/>
      <c r="OB67" s="368"/>
      <c r="OC67" s="368"/>
      <c r="OD67" s="368"/>
      <c r="OE67" s="368"/>
      <c r="OF67" s="368"/>
      <c r="OG67" s="368"/>
      <c r="OH67" s="368"/>
      <c r="OI67" s="368"/>
      <c r="OJ67" s="368"/>
      <c r="OK67" s="368"/>
      <c r="OL67" s="368"/>
      <c r="OM67" s="368"/>
      <c r="ON67" s="368"/>
      <c r="OO67" s="368"/>
      <c r="OP67" s="368"/>
      <c r="OQ67" s="368"/>
      <c r="OR67" s="368"/>
      <c r="OS67" s="368"/>
      <c r="OT67" s="368"/>
      <c r="OU67" s="368"/>
      <c r="OV67" s="368"/>
      <c r="OW67" s="368"/>
      <c r="OX67" s="368"/>
      <c r="OY67" s="368"/>
      <c r="OZ67" s="368"/>
      <c r="PA67" s="368"/>
      <c r="PB67" s="368"/>
      <c r="PC67" s="368"/>
      <c r="PD67" s="368"/>
      <c r="PE67" s="368"/>
      <c r="PF67" s="368"/>
      <c r="PG67" s="368"/>
      <c r="PH67" s="368"/>
      <c r="PI67" s="368"/>
      <c r="PJ67" s="368"/>
      <c r="PK67" s="368"/>
      <c r="PL67" s="368"/>
      <c r="PM67" s="368"/>
      <c r="PN67" s="368"/>
      <c r="PO67" s="368"/>
      <c r="PP67" s="368"/>
      <c r="PQ67" s="368"/>
      <c r="PR67" s="368"/>
      <c r="PS67" s="368"/>
      <c r="PT67" s="368"/>
      <c r="PU67" s="368"/>
      <c r="PV67" s="368"/>
      <c r="PW67" s="368"/>
      <c r="PX67" s="368"/>
      <c r="PY67" s="368"/>
      <c r="PZ67" s="368"/>
      <c r="QA67" s="368"/>
      <c r="QB67" s="368"/>
      <c r="QC67" s="368"/>
      <c r="QD67" s="368"/>
      <c r="QE67" s="368"/>
      <c r="QF67" s="368"/>
      <c r="QG67" s="368"/>
      <c r="QH67" s="368"/>
      <c r="QI67" s="368"/>
      <c r="QJ67" s="368"/>
      <c r="QK67" s="368"/>
      <c r="QL67" s="368"/>
      <c r="QM67" s="368"/>
      <c r="QN67" s="368"/>
      <c r="QO67" s="368"/>
      <c r="QP67" s="368"/>
      <c r="QQ67" s="368"/>
      <c r="QR67" s="368"/>
      <c r="QS67" s="368"/>
      <c r="QT67" s="368"/>
      <c r="QU67" s="368"/>
      <c r="QV67" s="368"/>
      <c r="QW67" s="368"/>
      <c r="QX67" s="368"/>
      <c r="QY67" s="368"/>
      <c r="QZ67" s="368"/>
      <c r="RA67" s="368"/>
      <c r="RB67" s="368"/>
      <c r="RC67" s="368"/>
      <c r="RD67" s="368"/>
      <c r="RE67" s="368"/>
      <c r="RF67" s="368"/>
      <c r="RG67" s="368"/>
      <c r="RH67" s="368"/>
      <c r="RI67" s="368"/>
      <c r="RJ67" s="368"/>
      <c r="RK67" s="368"/>
      <c r="RL67" s="368"/>
      <c r="RM67" s="368"/>
      <c r="RN67" s="368"/>
      <c r="RO67" s="368"/>
      <c r="RP67" s="368"/>
      <c r="RQ67" s="368"/>
      <c r="RR67" s="368"/>
      <c r="RS67" s="368"/>
      <c r="RT67" s="368"/>
      <c r="RU67" s="368"/>
      <c r="RV67" s="368"/>
      <c r="RW67" s="368"/>
      <c r="RX67" s="368"/>
      <c r="RY67" s="368"/>
      <c r="RZ67" s="368"/>
      <c r="SA67" s="368"/>
      <c r="SB67" s="368"/>
      <c r="SC67" s="368"/>
      <c r="SD67" s="368"/>
      <c r="SE67" s="368"/>
      <c r="SF67" s="368"/>
      <c r="SG67" s="368"/>
      <c r="SH67" s="368"/>
      <c r="SI67" s="368"/>
      <c r="SJ67" s="368"/>
      <c r="SK67" s="368"/>
      <c r="SL67" s="368"/>
      <c r="SM67" s="368"/>
      <c r="SN67" s="368"/>
      <c r="SO67" s="368"/>
      <c r="SP67" s="368"/>
      <c r="SQ67" s="368"/>
      <c r="SR67" s="368"/>
      <c r="SS67" s="368"/>
      <c r="ST67" s="368"/>
      <c r="SU67" s="368"/>
      <c r="SV67" s="368"/>
      <c r="SW67" s="368"/>
      <c r="SX67" s="368"/>
      <c r="SY67" s="368"/>
      <c r="SZ67" s="368"/>
      <c r="TA67" s="368"/>
      <c r="TB67" s="368"/>
      <c r="TC67" s="368"/>
      <c r="TD67" s="368"/>
      <c r="TE67" s="368"/>
      <c r="TF67" s="368"/>
      <c r="TG67" s="368"/>
      <c r="TH67" s="368"/>
      <c r="TI67" s="368"/>
      <c r="TJ67" s="368"/>
      <c r="TK67" s="368"/>
      <c r="TL67" s="368"/>
      <c r="TM67" s="368"/>
      <c r="TN67" s="368"/>
      <c r="TO67" s="368"/>
      <c r="TP67" s="368"/>
      <c r="TQ67" s="368"/>
      <c r="TR67" s="368"/>
      <c r="TS67" s="368"/>
      <c r="TT67" s="368"/>
      <c r="TU67" s="368"/>
      <c r="TV67" s="368"/>
      <c r="TW67" s="368"/>
      <c r="TX67" s="368"/>
      <c r="TY67" s="368"/>
      <c r="TZ67" s="368"/>
      <c r="UA67" s="368"/>
      <c r="UB67" s="368"/>
      <c r="UC67" s="368"/>
      <c r="UD67" s="368"/>
      <c r="UE67" s="368"/>
      <c r="UF67" s="368"/>
      <c r="UG67" s="368"/>
      <c r="UH67" s="368"/>
      <c r="UI67" s="368"/>
      <c r="UJ67" s="368"/>
      <c r="UK67" s="368"/>
      <c r="UL67" s="368"/>
      <c r="UM67" s="368"/>
      <c r="UN67" s="368"/>
      <c r="UO67" s="368"/>
      <c r="UP67" s="368"/>
      <c r="UQ67" s="368"/>
      <c r="UR67" s="368"/>
      <c r="US67" s="368"/>
      <c r="UT67" s="368"/>
      <c r="UU67" s="368"/>
      <c r="UV67" s="368"/>
      <c r="UW67" s="368"/>
      <c r="UX67" s="368"/>
      <c r="UY67" s="368"/>
      <c r="UZ67" s="368"/>
      <c r="VA67" s="368"/>
      <c r="VB67" s="368"/>
      <c r="VC67" s="368"/>
      <c r="VD67" s="368"/>
      <c r="VE67" s="368"/>
      <c r="VF67" s="368"/>
      <c r="VG67" s="368"/>
      <c r="VH67" s="368"/>
      <c r="VI67" s="368"/>
      <c r="VJ67" s="368"/>
      <c r="VK67" s="368"/>
      <c r="VL67" s="368"/>
      <c r="VM67" s="368"/>
      <c r="VN67" s="368"/>
      <c r="VO67" s="368"/>
      <c r="VP67" s="368"/>
      <c r="VQ67" s="368"/>
      <c r="VR67" s="368"/>
      <c r="VS67" s="368"/>
      <c r="VT67" s="368"/>
      <c r="VU67" s="368"/>
      <c r="VV67" s="368"/>
      <c r="VW67" s="368"/>
      <c r="VX67" s="368"/>
      <c r="VY67" s="368"/>
      <c r="VZ67" s="368"/>
      <c r="WA67" s="368"/>
      <c r="WB67" s="368"/>
      <c r="WC67" s="368"/>
      <c r="WD67" s="368"/>
      <c r="WE67" s="368"/>
      <c r="WF67" s="368"/>
      <c r="WG67" s="368"/>
      <c r="WH67" s="368"/>
      <c r="WI67" s="368"/>
      <c r="WJ67" s="368"/>
      <c r="WK67" s="368"/>
      <c r="WL67" s="368"/>
      <c r="WM67" s="368"/>
      <c r="WN67" s="368"/>
      <c r="WO67" s="368"/>
      <c r="WP67" s="368"/>
      <c r="WQ67" s="368"/>
      <c r="WR67" s="368"/>
      <c r="WS67" s="368"/>
      <c r="WT67" s="368"/>
      <c r="WU67" s="368"/>
      <c r="WV67" s="368"/>
      <c r="WW67" s="368"/>
      <c r="WX67" s="368"/>
      <c r="WY67" s="368"/>
      <c r="WZ67" s="368"/>
      <c r="XA67" s="368"/>
      <c r="XB67" s="368"/>
      <c r="XC67" s="368"/>
      <c r="XD67" s="368"/>
      <c r="XE67" s="368"/>
      <c r="XF67" s="368"/>
      <c r="XG67" s="368"/>
      <c r="XH67" s="368"/>
      <c r="XI67" s="368"/>
      <c r="XJ67" s="368"/>
      <c r="XK67" s="368"/>
      <c r="XL67" s="368"/>
      <c r="XM67" s="368"/>
      <c r="XN67" s="368"/>
      <c r="XO67" s="368"/>
      <c r="XP67" s="368"/>
      <c r="XQ67" s="368"/>
      <c r="XR67" s="368"/>
      <c r="XS67" s="368"/>
      <c r="XT67" s="368"/>
      <c r="XU67" s="368"/>
      <c r="XV67" s="368"/>
      <c r="XW67" s="368"/>
      <c r="XX67" s="368"/>
      <c r="XY67" s="368"/>
      <c r="XZ67" s="368"/>
      <c r="YA67" s="368"/>
      <c r="YB67" s="368"/>
      <c r="YC67" s="368"/>
      <c r="YD67" s="368"/>
      <c r="YE67" s="368"/>
      <c r="YF67" s="368"/>
      <c r="YG67" s="368"/>
      <c r="YH67" s="368"/>
      <c r="YI67" s="368"/>
      <c r="YJ67" s="368"/>
      <c r="YK67" s="368"/>
      <c r="YL67" s="368"/>
      <c r="YM67" s="368"/>
      <c r="YN67" s="368"/>
      <c r="YO67" s="368"/>
      <c r="YP67" s="368"/>
      <c r="YQ67" s="368"/>
      <c r="YR67" s="368"/>
      <c r="YS67" s="368"/>
      <c r="YT67" s="368"/>
      <c r="YU67" s="368"/>
      <c r="YV67" s="368"/>
      <c r="YW67" s="368"/>
      <c r="YX67" s="368"/>
      <c r="YY67" s="368"/>
      <c r="YZ67" s="368"/>
      <c r="ZA67" s="368"/>
      <c r="ZB67" s="368"/>
      <c r="ZC67" s="368"/>
      <c r="ZD67" s="368"/>
      <c r="ZE67" s="368"/>
      <c r="ZF67" s="368"/>
      <c r="ZG67" s="368"/>
      <c r="ZH67" s="368"/>
      <c r="ZI67" s="368"/>
      <c r="ZJ67" s="368"/>
      <c r="ZK67" s="368"/>
      <c r="ZL67" s="368"/>
      <c r="ZM67" s="368"/>
      <c r="ZN67" s="368"/>
      <c r="ZO67" s="368"/>
      <c r="ZP67" s="368"/>
      <c r="ZQ67" s="368"/>
      <c r="ZR67" s="368"/>
      <c r="ZS67" s="368"/>
      <c r="ZT67" s="368"/>
      <c r="ZU67" s="368"/>
      <c r="ZV67" s="368"/>
      <c r="ZW67" s="368"/>
      <c r="ZX67" s="368"/>
      <c r="ZY67" s="368"/>
      <c r="ZZ67" s="368"/>
      <c r="AAA67" s="368"/>
      <c r="AAB67" s="368"/>
      <c r="AAC67" s="368"/>
      <c r="AAD67" s="368"/>
      <c r="AAE67" s="368"/>
      <c r="AAF67" s="368"/>
      <c r="AAG67" s="368"/>
      <c r="AAH67" s="368"/>
      <c r="AAI67" s="368"/>
      <c r="AAJ67" s="368"/>
      <c r="AAK67" s="368"/>
      <c r="AAL67" s="368"/>
      <c r="AAM67" s="368"/>
      <c r="AAN67" s="368"/>
      <c r="AAO67" s="368"/>
      <c r="AAP67" s="368"/>
      <c r="AAQ67" s="368"/>
      <c r="AAR67" s="368"/>
      <c r="AAS67" s="368"/>
      <c r="AAT67" s="368"/>
      <c r="AAU67" s="368"/>
      <c r="AAV67" s="368"/>
      <c r="AAW67" s="368"/>
      <c r="AAX67" s="368"/>
      <c r="AAY67" s="368"/>
      <c r="AAZ67" s="368"/>
      <c r="ABA67" s="368"/>
      <c r="ABB67" s="368"/>
      <c r="ABC67" s="368"/>
      <c r="ABD67" s="368"/>
      <c r="ABE67" s="368"/>
      <c r="ABF67" s="368"/>
      <c r="ABG67" s="368"/>
      <c r="ABH67" s="368"/>
      <c r="ABI67" s="368"/>
      <c r="ABJ67" s="368"/>
      <c r="ABK67" s="368"/>
      <c r="ABL67" s="368"/>
      <c r="ABM67" s="368"/>
      <c r="ABN67" s="368"/>
      <c r="ABO67" s="368"/>
      <c r="ABP67" s="368"/>
      <c r="ABQ67" s="368"/>
      <c r="ABR67" s="368"/>
      <c r="ABS67" s="368"/>
      <c r="ABT67" s="368"/>
      <c r="ABU67" s="368"/>
      <c r="ABV67" s="368"/>
      <c r="ABW67" s="368"/>
      <c r="ABX67" s="368"/>
      <c r="ABY67" s="368"/>
      <c r="ABZ67" s="368"/>
      <c r="ACA67" s="368"/>
      <c r="ACB67" s="368"/>
      <c r="ACC67" s="368"/>
      <c r="ACD67" s="368"/>
      <c r="ACE67" s="368"/>
      <c r="ACF67" s="368"/>
      <c r="ACG67" s="368"/>
      <c r="ACH67" s="368"/>
      <c r="ACI67" s="368"/>
      <c r="ACJ67" s="368"/>
      <c r="ACK67" s="368"/>
      <c r="ACL67" s="368"/>
      <c r="ACM67" s="368"/>
      <c r="ACN67" s="368"/>
      <c r="ACO67" s="368"/>
      <c r="ACP67" s="368"/>
      <c r="ACQ67" s="368"/>
      <c r="ACR67" s="368"/>
      <c r="ACS67" s="368"/>
      <c r="ACT67" s="368"/>
      <c r="ACU67" s="368"/>
      <c r="ACV67" s="368"/>
      <c r="ACW67" s="368"/>
      <c r="ACX67" s="368"/>
      <c r="ACY67" s="368"/>
      <c r="ACZ67" s="368"/>
      <c r="ADA67" s="368"/>
      <c r="ADB67" s="368"/>
      <c r="ADC67" s="368"/>
      <c r="ADD67" s="368"/>
      <c r="ADE67" s="368"/>
      <c r="ADF67" s="368"/>
      <c r="ADG67" s="368"/>
      <c r="ADH67" s="368"/>
      <c r="ADI67" s="368"/>
      <c r="ADJ67" s="368"/>
      <c r="ADK67" s="368"/>
      <c r="ADL67" s="368"/>
      <c r="ADM67" s="368"/>
      <c r="ADN67" s="368"/>
      <c r="ADO67" s="368"/>
      <c r="ADP67" s="368"/>
      <c r="ADQ67" s="368"/>
      <c r="ADR67" s="368"/>
      <c r="ADS67" s="368"/>
      <c r="ADT67" s="368"/>
      <c r="ADU67" s="368"/>
      <c r="ADV67" s="368"/>
      <c r="ADW67" s="368"/>
      <c r="ADX67" s="368"/>
      <c r="ADY67" s="368"/>
      <c r="ADZ67" s="368"/>
      <c r="AEA67" s="368"/>
      <c r="AEB67" s="368"/>
      <c r="AEC67" s="368"/>
      <c r="AED67" s="368"/>
      <c r="AEE67" s="368"/>
      <c r="AEF67" s="368"/>
      <c r="AEG67" s="368"/>
      <c r="AEH67" s="368"/>
      <c r="AEI67" s="368"/>
      <c r="AEJ67" s="368"/>
      <c r="AEK67" s="368"/>
      <c r="AEL67" s="368"/>
      <c r="AEM67" s="368"/>
      <c r="AEN67" s="368"/>
      <c r="AEO67" s="368"/>
      <c r="AEP67" s="368"/>
      <c r="AEQ67" s="368"/>
      <c r="AER67" s="368"/>
      <c r="AES67" s="368"/>
      <c r="AET67" s="368"/>
      <c r="AEU67" s="368"/>
      <c r="AEV67" s="368"/>
      <c r="AEW67" s="368"/>
      <c r="AEX67" s="368"/>
      <c r="AEY67" s="368"/>
      <c r="AEZ67" s="368"/>
      <c r="AFA67" s="368"/>
      <c r="AFB67" s="368"/>
      <c r="AFC67" s="368"/>
      <c r="AFD67" s="368"/>
      <c r="AFE67" s="368"/>
      <c r="AFF67" s="368"/>
      <c r="AFG67" s="368"/>
      <c r="AFH67" s="368"/>
      <c r="AFI67" s="368"/>
      <c r="AFJ67" s="368"/>
      <c r="AFK67" s="368"/>
      <c r="AFL67" s="368"/>
      <c r="AFM67" s="368"/>
      <c r="AFN67" s="368"/>
      <c r="AFO67" s="368"/>
      <c r="AFP67" s="368"/>
      <c r="AFQ67" s="368"/>
      <c r="AFR67" s="368"/>
      <c r="AFS67" s="368"/>
      <c r="AFT67" s="368"/>
      <c r="AFU67" s="368"/>
      <c r="AFV67" s="368"/>
      <c r="AFW67" s="368"/>
      <c r="AFX67" s="368"/>
      <c r="AFY67" s="368"/>
      <c r="AFZ67" s="368"/>
      <c r="AGA67" s="368"/>
      <c r="AGB67" s="368"/>
      <c r="AGC67" s="368"/>
      <c r="AGD67" s="368"/>
      <c r="AGE67" s="368"/>
      <c r="AGF67" s="368"/>
      <c r="AGG67" s="368"/>
      <c r="AGH67" s="368"/>
      <c r="AGI67" s="368"/>
      <c r="AGJ67" s="368"/>
      <c r="AGK67" s="368"/>
      <c r="AGL67" s="368"/>
      <c r="AGM67" s="368"/>
      <c r="AGN67" s="368"/>
      <c r="AGO67" s="368"/>
      <c r="AGP67" s="368"/>
      <c r="AGQ67" s="368"/>
      <c r="AGR67" s="368"/>
      <c r="AGS67" s="368"/>
      <c r="AGT67" s="368"/>
      <c r="AGU67" s="368"/>
      <c r="AGV67" s="368"/>
      <c r="AGW67" s="368"/>
      <c r="AGX67" s="368"/>
      <c r="AGY67" s="368"/>
      <c r="AGZ67" s="368"/>
      <c r="AHA67" s="368"/>
      <c r="AHB67" s="368"/>
      <c r="AHC67" s="368"/>
      <c r="AHD67" s="368"/>
      <c r="AHE67" s="368"/>
      <c r="AHF67" s="368"/>
      <c r="AHG67" s="368"/>
      <c r="AHH67" s="368"/>
      <c r="AHI67" s="368"/>
      <c r="AHJ67" s="368"/>
      <c r="AHK67" s="368"/>
      <c r="AHL67" s="368"/>
      <c r="AHM67" s="368"/>
      <c r="AHN67" s="368"/>
      <c r="AHO67" s="368"/>
      <c r="AHP67" s="368"/>
      <c r="AHQ67" s="368"/>
      <c r="AHR67" s="368"/>
      <c r="AHS67" s="368"/>
      <c r="AHT67" s="368"/>
      <c r="AHU67" s="368"/>
      <c r="AHV67" s="368"/>
      <c r="AHW67" s="368"/>
      <c r="AHX67" s="368"/>
      <c r="AHY67" s="368"/>
      <c r="AHZ67" s="368"/>
      <c r="AIA67" s="368"/>
      <c r="AIB67" s="368"/>
      <c r="AIC67" s="368"/>
      <c r="AID67" s="368"/>
      <c r="AIE67" s="368"/>
      <c r="AIF67" s="368"/>
      <c r="AIG67" s="368"/>
      <c r="AIH67" s="368"/>
      <c r="AII67" s="368"/>
      <c r="AIJ67" s="368"/>
      <c r="AIK67" s="368"/>
      <c r="AIL67" s="368"/>
      <c r="AIM67" s="368"/>
      <c r="AIN67" s="368"/>
      <c r="AIO67" s="368"/>
      <c r="AIP67" s="368"/>
      <c r="AIQ67" s="368"/>
      <c r="AIR67" s="368"/>
      <c r="AIS67" s="368"/>
      <c r="AIT67" s="368"/>
      <c r="AIU67" s="368"/>
      <c r="AIV67" s="368"/>
      <c r="AIW67" s="368"/>
      <c r="AIX67" s="368"/>
      <c r="AIY67" s="368"/>
      <c r="AIZ67" s="368"/>
      <c r="AJA67" s="368"/>
      <c r="AJB67" s="368"/>
      <c r="AJC67" s="368"/>
      <c r="AJD67" s="368"/>
      <c r="AJE67" s="368"/>
      <c r="AJF67" s="368"/>
      <c r="AJG67" s="368"/>
      <c r="AJH67" s="368"/>
      <c r="AJI67" s="368"/>
      <c r="AJJ67" s="368"/>
      <c r="AJK67" s="368"/>
      <c r="AJL67" s="368"/>
      <c r="AJM67" s="368"/>
      <c r="AJN67" s="368"/>
      <c r="AJO67" s="368"/>
      <c r="AJP67" s="368"/>
      <c r="AJQ67" s="368"/>
      <c r="AJR67" s="368"/>
      <c r="AJS67" s="368"/>
      <c r="AJT67" s="368"/>
      <c r="AJU67" s="368"/>
      <c r="AJV67" s="368"/>
      <c r="AJW67" s="368"/>
      <c r="AJX67" s="368"/>
      <c r="AJY67" s="368"/>
      <c r="AJZ67" s="368"/>
      <c r="AKA67" s="368"/>
      <c r="AKB67" s="368"/>
      <c r="AKC67" s="368"/>
      <c r="AKD67" s="368"/>
      <c r="AKE67" s="368"/>
      <c r="AKF67" s="368"/>
      <c r="AKG67" s="368"/>
      <c r="AKH67" s="368"/>
      <c r="AKI67" s="368"/>
      <c r="AKJ67" s="368"/>
      <c r="AKK67" s="368"/>
      <c r="AKL67" s="368"/>
      <c r="AKM67" s="368"/>
      <c r="AKN67" s="368"/>
    </row>
    <row r="68" spans="1:976" s="369" customFormat="1" ht="22.5" customHeight="1" x14ac:dyDescent="0.2">
      <c r="A68" s="352" t="s">
        <v>262</v>
      </c>
      <c r="B68" s="352"/>
      <c r="C68" s="352" t="s">
        <v>221</v>
      </c>
      <c r="D68" s="352" t="s">
        <v>222</v>
      </c>
      <c r="E68" s="353">
        <v>409968</v>
      </c>
      <c r="F68" s="353">
        <v>1109</v>
      </c>
      <c r="G68" s="353">
        <v>164</v>
      </c>
      <c r="H68" s="353">
        <v>0</v>
      </c>
      <c r="I68" s="354">
        <v>45813</v>
      </c>
      <c r="J68" s="352" t="s">
        <v>395</v>
      </c>
      <c r="K68" s="352" t="s">
        <v>476</v>
      </c>
      <c r="L68" s="355">
        <v>72.09</v>
      </c>
      <c r="M68" s="355">
        <v>3.96</v>
      </c>
      <c r="N68" s="449">
        <v>76.05</v>
      </c>
      <c r="O68" s="352"/>
      <c r="P68" s="356">
        <v>45821</v>
      </c>
      <c r="Q68" s="355">
        <v>76.05</v>
      </c>
      <c r="R68" s="352" t="s">
        <v>312</v>
      </c>
      <c r="S68" s="355">
        <v>0</v>
      </c>
      <c r="T68" s="355">
        <v>0</v>
      </c>
      <c r="U68" s="355">
        <v>0</v>
      </c>
      <c r="V68" s="355">
        <v>0</v>
      </c>
      <c r="W68" s="352"/>
      <c r="X68" s="352" t="s">
        <v>308</v>
      </c>
      <c r="Y68" s="352" t="s">
        <v>309</v>
      </c>
      <c r="Z68" s="352" t="s">
        <v>42</v>
      </c>
      <c r="AA68" s="352" t="s">
        <v>228</v>
      </c>
      <c r="AB68" s="352" t="s">
        <v>34</v>
      </c>
      <c r="AC68" s="352" t="s">
        <v>43</v>
      </c>
      <c r="AD68" s="352" t="s">
        <v>231</v>
      </c>
      <c r="AE68" s="352" t="s">
        <v>232</v>
      </c>
      <c r="AF68" s="352" t="s">
        <v>231</v>
      </c>
      <c r="AG68" s="352" t="s">
        <v>232</v>
      </c>
      <c r="AH68" s="352"/>
      <c r="AI68" s="352"/>
      <c r="AJ68" s="352"/>
      <c r="AK68" s="352" t="s">
        <v>477</v>
      </c>
      <c r="AL68" s="353">
        <v>1</v>
      </c>
      <c r="AM68" s="353">
        <v>0</v>
      </c>
      <c r="AN68" s="354">
        <v>45821</v>
      </c>
      <c r="AO68" s="354">
        <v>45821</v>
      </c>
      <c r="AP68" s="355">
        <v>76.05</v>
      </c>
      <c r="AQ68" s="354">
        <v>45820</v>
      </c>
      <c r="AR68" s="368"/>
      <c r="AS68" s="368"/>
      <c r="AT68" s="368"/>
      <c r="AU68" s="368"/>
      <c r="AV68" s="368"/>
      <c r="AW68" s="368"/>
      <c r="AX68" s="368"/>
      <c r="AY68" s="368"/>
      <c r="AZ68" s="368"/>
      <c r="BA68" s="368"/>
      <c r="BB68" s="368"/>
      <c r="BC68" s="368"/>
      <c r="BD68" s="368"/>
      <c r="BE68" s="368"/>
      <c r="BF68" s="368"/>
      <c r="BG68" s="368"/>
      <c r="BH68" s="368"/>
      <c r="BI68" s="368"/>
      <c r="BJ68" s="368"/>
      <c r="BK68" s="368"/>
      <c r="BL68" s="368"/>
      <c r="BM68" s="368"/>
      <c r="BN68" s="368"/>
      <c r="BO68" s="368"/>
      <c r="BP68" s="368"/>
      <c r="BQ68" s="368"/>
      <c r="BR68" s="368"/>
      <c r="BS68" s="368"/>
      <c r="BT68" s="368"/>
      <c r="BU68" s="368"/>
      <c r="BV68" s="368"/>
      <c r="BW68" s="368"/>
      <c r="BX68" s="368"/>
      <c r="BY68" s="368"/>
      <c r="BZ68" s="368"/>
      <c r="CA68" s="368"/>
      <c r="CB68" s="368"/>
      <c r="CC68" s="368"/>
      <c r="CD68" s="368"/>
      <c r="CE68" s="368"/>
      <c r="CF68" s="368"/>
      <c r="CG68" s="368"/>
      <c r="CH68" s="368"/>
      <c r="CI68" s="368"/>
      <c r="CJ68" s="368"/>
      <c r="CK68" s="368"/>
      <c r="CL68" s="368"/>
      <c r="CM68" s="368"/>
      <c r="CN68" s="368"/>
      <c r="CO68" s="368"/>
      <c r="CP68" s="368"/>
      <c r="CQ68" s="368"/>
      <c r="CR68" s="368"/>
      <c r="CS68" s="368"/>
      <c r="CT68" s="368"/>
      <c r="CU68" s="368"/>
      <c r="CV68" s="368"/>
      <c r="CW68" s="368"/>
      <c r="CX68" s="368"/>
      <c r="CY68" s="368"/>
      <c r="CZ68" s="368"/>
      <c r="DA68" s="368"/>
      <c r="DB68" s="368"/>
      <c r="DC68" s="368"/>
      <c r="DD68" s="368"/>
      <c r="DE68" s="368"/>
      <c r="DF68" s="368"/>
      <c r="DG68" s="368"/>
      <c r="DH68" s="368"/>
      <c r="DI68" s="368"/>
      <c r="DJ68" s="368"/>
      <c r="DK68" s="368"/>
      <c r="DL68" s="368"/>
      <c r="DM68" s="368"/>
      <c r="DN68" s="368"/>
      <c r="DO68" s="368"/>
      <c r="DP68" s="368"/>
      <c r="DQ68" s="368"/>
      <c r="DR68" s="368"/>
      <c r="DS68" s="368"/>
      <c r="DT68" s="368"/>
      <c r="DU68" s="368"/>
      <c r="DV68" s="368"/>
      <c r="DW68" s="368"/>
      <c r="DX68" s="368"/>
      <c r="DY68" s="368"/>
      <c r="DZ68" s="368"/>
      <c r="EA68" s="368"/>
      <c r="EB68" s="368"/>
      <c r="EC68" s="368"/>
      <c r="ED68" s="368"/>
      <c r="EE68" s="368"/>
      <c r="EF68" s="368"/>
      <c r="EG68" s="368"/>
      <c r="EH68" s="368"/>
      <c r="EI68" s="368"/>
      <c r="EJ68" s="368"/>
      <c r="EK68" s="368"/>
      <c r="EL68" s="368"/>
      <c r="EM68" s="368"/>
      <c r="EN68" s="368"/>
      <c r="EO68" s="368"/>
      <c r="EP68" s="368"/>
      <c r="EQ68" s="368"/>
      <c r="ER68" s="368"/>
      <c r="ES68" s="368"/>
      <c r="ET68" s="368"/>
      <c r="EU68" s="368"/>
      <c r="EV68" s="368"/>
      <c r="EW68" s="368"/>
      <c r="EX68" s="368"/>
      <c r="EY68" s="368"/>
      <c r="EZ68" s="368"/>
      <c r="FA68" s="368"/>
      <c r="FB68" s="368"/>
      <c r="FC68" s="368"/>
      <c r="FD68" s="368"/>
      <c r="FE68" s="368"/>
      <c r="FF68" s="368"/>
      <c r="FG68" s="368"/>
      <c r="FH68" s="368"/>
      <c r="FI68" s="368"/>
      <c r="FJ68" s="368"/>
      <c r="FK68" s="368"/>
      <c r="FL68" s="368"/>
      <c r="FM68" s="368"/>
      <c r="FN68" s="368"/>
      <c r="FO68" s="368"/>
      <c r="FP68" s="368"/>
      <c r="FQ68" s="368"/>
      <c r="FR68" s="368"/>
      <c r="FS68" s="368"/>
      <c r="FT68" s="368"/>
      <c r="FU68" s="368"/>
      <c r="FV68" s="368"/>
      <c r="FW68" s="368"/>
      <c r="FX68" s="368"/>
      <c r="FY68" s="368"/>
      <c r="FZ68" s="368"/>
      <c r="GA68" s="368"/>
      <c r="GB68" s="368"/>
      <c r="GC68" s="368"/>
      <c r="GD68" s="368"/>
      <c r="GE68" s="368"/>
      <c r="GF68" s="368"/>
      <c r="GG68" s="368"/>
      <c r="GH68" s="368"/>
      <c r="GI68" s="368"/>
      <c r="GJ68" s="368"/>
      <c r="GK68" s="368"/>
      <c r="GL68" s="368"/>
      <c r="GM68" s="368"/>
      <c r="GN68" s="368"/>
      <c r="GO68" s="368"/>
      <c r="GP68" s="368"/>
      <c r="GQ68" s="368"/>
      <c r="GR68" s="368"/>
      <c r="GS68" s="368"/>
      <c r="GT68" s="368"/>
      <c r="GU68" s="368"/>
      <c r="GV68" s="368"/>
      <c r="GW68" s="368"/>
      <c r="GX68" s="368"/>
      <c r="GY68" s="368"/>
      <c r="GZ68" s="368"/>
      <c r="HA68" s="368"/>
      <c r="HB68" s="368"/>
      <c r="HC68" s="368"/>
      <c r="HD68" s="368"/>
      <c r="HE68" s="368"/>
      <c r="HF68" s="368"/>
      <c r="HG68" s="368"/>
      <c r="HH68" s="368"/>
      <c r="HI68" s="368"/>
      <c r="HJ68" s="368"/>
      <c r="HK68" s="368"/>
      <c r="HL68" s="368"/>
      <c r="HM68" s="368"/>
      <c r="HN68" s="368"/>
      <c r="HO68" s="368"/>
      <c r="HP68" s="368"/>
      <c r="HQ68" s="368"/>
      <c r="HR68" s="368"/>
      <c r="HS68" s="368"/>
      <c r="HT68" s="368"/>
      <c r="HU68" s="368"/>
      <c r="HV68" s="368"/>
      <c r="HW68" s="368"/>
      <c r="HX68" s="368"/>
      <c r="HY68" s="368"/>
      <c r="HZ68" s="368"/>
      <c r="IA68" s="368"/>
      <c r="IB68" s="368"/>
      <c r="IC68" s="368"/>
      <c r="ID68" s="368"/>
      <c r="IE68" s="368"/>
      <c r="IF68" s="368"/>
      <c r="IG68" s="368"/>
      <c r="IH68" s="368"/>
      <c r="II68" s="368"/>
      <c r="IJ68" s="368"/>
      <c r="IK68" s="368"/>
      <c r="IL68" s="368"/>
      <c r="IM68" s="368"/>
      <c r="IN68" s="368"/>
      <c r="IO68" s="368"/>
      <c r="IP68" s="368"/>
      <c r="IQ68" s="368"/>
      <c r="IR68" s="368"/>
      <c r="IS68" s="368"/>
      <c r="IT68" s="368"/>
      <c r="IU68" s="368"/>
      <c r="IV68" s="368"/>
      <c r="IW68" s="368"/>
      <c r="IX68" s="368"/>
      <c r="IY68" s="368"/>
      <c r="IZ68" s="368"/>
      <c r="JA68" s="368"/>
      <c r="JB68" s="368"/>
      <c r="JC68" s="368"/>
      <c r="JD68" s="368"/>
      <c r="JE68" s="368"/>
      <c r="JF68" s="368"/>
      <c r="JG68" s="368"/>
      <c r="JH68" s="368"/>
      <c r="JI68" s="368"/>
      <c r="JJ68" s="368"/>
      <c r="JK68" s="368"/>
      <c r="JL68" s="368"/>
      <c r="JM68" s="368"/>
      <c r="JN68" s="368"/>
      <c r="JO68" s="368"/>
      <c r="JP68" s="368"/>
      <c r="JQ68" s="368"/>
      <c r="JR68" s="368"/>
      <c r="JS68" s="368"/>
      <c r="JT68" s="368"/>
      <c r="JU68" s="368"/>
      <c r="JV68" s="368"/>
      <c r="JW68" s="368"/>
      <c r="JX68" s="368"/>
      <c r="JY68" s="368"/>
      <c r="JZ68" s="368"/>
      <c r="KA68" s="368"/>
      <c r="KB68" s="368"/>
      <c r="KC68" s="368"/>
      <c r="KD68" s="368"/>
      <c r="KE68" s="368"/>
      <c r="KF68" s="368"/>
      <c r="KG68" s="368"/>
      <c r="KH68" s="368"/>
      <c r="KI68" s="368"/>
      <c r="KJ68" s="368"/>
      <c r="KK68" s="368"/>
      <c r="KL68" s="368"/>
      <c r="KM68" s="368"/>
      <c r="KN68" s="368"/>
      <c r="KO68" s="368"/>
      <c r="KP68" s="368"/>
      <c r="KQ68" s="368"/>
      <c r="KR68" s="368"/>
      <c r="KS68" s="368"/>
      <c r="KT68" s="368"/>
      <c r="KU68" s="368"/>
      <c r="KV68" s="368"/>
      <c r="KW68" s="368"/>
      <c r="KX68" s="368"/>
      <c r="KY68" s="368"/>
      <c r="KZ68" s="368"/>
      <c r="LA68" s="368"/>
      <c r="LB68" s="368"/>
      <c r="LC68" s="368"/>
      <c r="LD68" s="368"/>
      <c r="LE68" s="368"/>
      <c r="LF68" s="368"/>
      <c r="LG68" s="368"/>
      <c r="LH68" s="368"/>
      <c r="LI68" s="368"/>
      <c r="LJ68" s="368"/>
      <c r="LK68" s="368"/>
      <c r="LL68" s="368"/>
      <c r="LM68" s="368"/>
      <c r="LN68" s="368"/>
      <c r="LO68" s="368"/>
      <c r="LP68" s="368"/>
      <c r="LQ68" s="368"/>
      <c r="LR68" s="368"/>
      <c r="LS68" s="368"/>
      <c r="LT68" s="368"/>
      <c r="LU68" s="368"/>
      <c r="LV68" s="368"/>
      <c r="LW68" s="368"/>
      <c r="LX68" s="368"/>
      <c r="LY68" s="368"/>
      <c r="LZ68" s="368"/>
      <c r="MA68" s="368"/>
      <c r="MB68" s="368"/>
      <c r="MC68" s="368"/>
      <c r="MD68" s="368"/>
      <c r="ME68" s="368"/>
      <c r="MF68" s="368"/>
      <c r="MG68" s="368"/>
      <c r="MH68" s="368"/>
      <c r="MI68" s="368"/>
      <c r="MJ68" s="368"/>
      <c r="MK68" s="368"/>
      <c r="ML68" s="368"/>
      <c r="MM68" s="368"/>
      <c r="MN68" s="368"/>
      <c r="MO68" s="368"/>
      <c r="MP68" s="368"/>
      <c r="MQ68" s="368"/>
      <c r="MR68" s="368"/>
      <c r="MS68" s="368"/>
      <c r="MT68" s="368"/>
      <c r="MU68" s="368"/>
      <c r="MV68" s="368"/>
      <c r="MW68" s="368"/>
      <c r="MX68" s="368"/>
      <c r="MY68" s="368"/>
      <c r="MZ68" s="368"/>
      <c r="NA68" s="368"/>
      <c r="NB68" s="368"/>
      <c r="NC68" s="368"/>
      <c r="ND68" s="368"/>
      <c r="NE68" s="368"/>
      <c r="NF68" s="368"/>
      <c r="NG68" s="368"/>
      <c r="NH68" s="368"/>
      <c r="NI68" s="368"/>
      <c r="NJ68" s="368"/>
      <c r="NK68" s="368"/>
      <c r="NL68" s="368"/>
      <c r="NM68" s="368"/>
      <c r="NN68" s="368"/>
      <c r="NO68" s="368"/>
      <c r="NP68" s="368"/>
      <c r="NQ68" s="368"/>
      <c r="NR68" s="368"/>
      <c r="NS68" s="368"/>
      <c r="NT68" s="368"/>
      <c r="NU68" s="368"/>
      <c r="NV68" s="368"/>
      <c r="NW68" s="368"/>
      <c r="NX68" s="368"/>
      <c r="NY68" s="368"/>
      <c r="NZ68" s="368"/>
      <c r="OA68" s="368"/>
      <c r="OB68" s="368"/>
      <c r="OC68" s="368"/>
      <c r="OD68" s="368"/>
      <c r="OE68" s="368"/>
      <c r="OF68" s="368"/>
      <c r="OG68" s="368"/>
      <c r="OH68" s="368"/>
      <c r="OI68" s="368"/>
      <c r="OJ68" s="368"/>
      <c r="OK68" s="368"/>
      <c r="OL68" s="368"/>
      <c r="OM68" s="368"/>
      <c r="ON68" s="368"/>
      <c r="OO68" s="368"/>
      <c r="OP68" s="368"/>
      <c r="OQ68" s="368"/>
      <c r="OR68" s="368"/>
      <c r="OS68" s="368"/>
      <c r="OT68" s="368"/>
      <c r="OU68" s="368"/>
      <c r="OV68" s="368"/>
      <c r="OW68" s="368"/>
      <c r="OX68" s="368"/>
      <c r="OY68" s="368"/>
      <c r="OZ68" s="368"/>
      <c r="PA68" s="368"/>
      <c r="PB68" s="368"/>
      <c r="PC68" s="368"/>
      <c r="PD68" s="368"/>
      <c r="PE68" s="368"/>
      <c r="PF68" s="368"/>
      <c r="PG68" s="368"/>
      <c r="PH68" s="368"/>
      <c r="PI68" s="368"/>
      <c r="PJ68" s="368"/>
      <c r="PK68" s="368"/>
      <c r="PL68" s="368"/>
      <c r="PM68" s="368"/>
      <c r="PN68" s="368"/>
      <c r="PO68" s="368"/>
      <c r="PP68" s="368"/>
      <c r="PQ68" s="368"/>
      <c r="PR68" s="368"/>
      <c r="PS68" s="368"/>
      <c r="PT68" s="368"/>
      <c r="PU68" s="368"/>
      <c r="PV68" s="368"/>
      <c r="PW68" s="368"/>
      <c r="PX68" s="368"/>
      <c r="PY68" s="368"/>
      <c r="PZ68" s="368"/>
      <c r="QA68" s="368"/>
      <c r="QB68" s="368"/>
      <c r="QC68" s="368"/>
      <c r="QD68" s="368"/>
      <c r="QE68" s="368"/>
      <c r="QF68" s="368"/>
      <c r="QG68" s="368"/>
      <c r="QH68" s="368"/>
      <c r="QI68" s="368"/>
      <c r="QJ68" s="368"/>
      <c r="QK68" s="368"/>
      <c r="QL68" s="368"/>
      <c r="QM68" s="368"/>
      <c r="QN68" s="368"/>
      <c r="QO68" s="368"/>
      <c r="QP68" s="368"/>
      <c r="QQ68" s="368"/>
      <c r="QR68" s="368"/>
      <c r="QS68" s="368"/>
      <c r="QT68" s="368"/>
      <c r="QU68" s="368"/>
      <c r="QV68" s="368"/>
      <c r="QW68" s="368"/>
      <c r="QX68" s="368"/>
      <c r="QY68" s="368"/>
      <c r="QZ68" s="368"/>
      <c r="RA68" s="368"/>
      <c r="RB68" s="368"/>
      <c r="RC68" s="368"/>
      <c r="RD68" s="368"/>
      <c r="RE68" s="368"/>
      <c r="RF68" s="368"/>
      <c r="RG68" s="368"/>
      <c r="RH68" s="368"/>
      <c r="RI68" s="368"/>
      <c r="RJ68" s="368"/>
      <c r="RK68" s="368"/>
      <c r="RL68" s="368"/>
      <c r="RM68" s="368"/>
      <c r="RN68" s="368"/>
      <c r="RO68" s="368"/>
      <c r="RP68" s="368"/>
      <c r="RQ68" s="368"/>
      <c r="RR68" s="368"/>
      <c r="RS68" s="368"/>
      <c r="RT68" s="368"/>
      <c r="RU68" s="368"/>
      <c r="RV68" s="368"/>
      <c r="RW68" s="368"/>
      <c r="RX68" s="368"/>
      <c r="RY68" s="368"/>
      <c r="RZ68" s="368"/>
      <c r="SA68" s="368"/>
      <c r="SB68" s="368"/>
      <c r="SC68" s="368"/>
      <c r="SD68" s="368"/>
      <c r="SE68" s="368"/>
      <c r="SF68" s="368"/>
      <c r="SG68" s="368"/>
      <c r="SH68" s="368"/>
      <c r="SI68" s="368"/>
      <c r="SJ68" s="368"/>
      <c r="SK68" s="368"/>
      <c r="SL68" s="368"/>
      <c r="SM68" s="368"/>
      <c r="SN68" s="368"/>
      <c r="SO68" s="368"/>
      <c r="SP68" s="368"/>
      <c r="SQ68" s="368"/>
      <c r="SR68" s="368"/>
      <c r="SS68" s="368"/>
      <c r="ST68" s="368"/>
      <c r="SU68" s="368"/>
      <c r="SV68" s="368"/>
      <c r="SW68" s="368"/>
      <c r="SX68" s="368"/>
      <c r="SY68" s="368"/>
      <c r="SZ68" s="368"/>
      <c r="TA68" s="368"/>
      <c r="TB68" s="368"/>
      <c r="TC68" s="368"/>
      <c r="TD68" s="368"/>
      <c r="TE68" s="368"/>
      <c r="TF68" s="368"/>
      <c r="TG68" s="368"/>
      <c r="TH68" s="368"/>
      <c r="TI68" s="368"/>
      <c r="TJ68" s="368"/>
      <c r="TK68" s="368"/>
      <c r="TL68" s="368"/>
      <c r="TM68" s="368"/>
      <c r="TN68" s="368"/>
      <c r="TO68" s="368"/>
      <c r="TP68" s="368"/>
      <c r="TQ68" s="368"/>
      <c r="TR68" s="368"/>
      <c r="TS68" s="368"/>
      <c r="TT68" s="368"/>
      <c r="TU68" s="368"/>
      <c r="TV68" s="368"/>
      <c r="TW68" s="368"/>
      <c r="TX68" s="368"/>
      <c r="TY68" s="368"/>
      <c r="TZ68" s="368"/>
      <c r="UA68" s="368"/>
      <c r="UB68" s="368"/>
      <c r="UC68" s="368"/>
      <c r="UD68" s="368"/>
      <c r="UE68" s="368"/>
      <c r="UF68" s="368"/>
      <c r="UG68" s="368"/>
      <c r="UH68" s="368"/>
      <c r="UI68" s="368"/>
      <c r="UJ68" s="368"/>
      <c r="UK68" s="368"/>
      <c r="UL68" s="368"/>
      <c r="UM68" s="368"/>
      <c r="UN68" s="368"/>
      <c r="UO68" s="368"/>
      <c r="UP68" s="368"/>
      <c r="UQ68" s="368"/>
      <c r="UR68" s="368"/>
      <c r="US68" s="368"/>
      <c r="UT68" s="368"/>
      <c r="UU68" s="368"/>
      <c r="UV68" s="368"/>
      <c r="UW68" s="368"/>
      <c r="UX68" s="368"/>
      <c r="UY68" s="368"/>
      <c r="UZ68" s="368"/>
      <c r="VA68" s="368"/>
      <c r="VB68" s="368"/>
      <c r="VC68" s="368"/>
      <c r="VD68" s="368"/>
      <c r="VE68" s="368"/>
      <c r="VF68" s="368"/>
      <c r="VG68" s="368"/>
      <c r="VH68" s="368"/>
      <c r="VI68" s="368"/>
      <c r="VJ68" s="368"/>
      <c r="VK68" s="368"/>
      <c r="VL68" s="368"/>
      <c r="VM68" s="368"/>
      <c r="VN68" s="368"/>
      <c r="VO68" s="368"/>
      <c r="VP68" s="368"/>
      <c r="VQ68" s="368"/>
      <c r="VR68" s="368"/>
      <c r="VS68" s="368"/>
      <c r="VT68" s="368"/>
      <c r="VU68" s="368"/>
      <c r="VV68" s="368"/>
      <c r="VW68" s="368"/>
      <c r="VX68" s="368"/>
      <c r="VY68" s="368"/>
      <c r="VZ68" s="368"/>
      <c r="WA68" s="368"/>
      <c r="WB68" s="368"/>
      <c r="WC68" s="368"/>
      <c r="WD68" s="368"/>
      <c r="WE68" s="368"/>
      <c r="WF68" s="368"/>
      <c r="WG68" s="368"/>
      <c r="WH68" s="368"/>
      <c r="WI68" s="368"/>
      <c r="WJ68" s="368"/>
      <c r="WK68" s="368"/>
      <c r="WL68" s="368"/>
      <c r="WM68" s="368"/>
      <c r="WN68" s="368"/>
      <c r="WO68" s="368"/>
      <c r="WP68" s="368"/>
      <c r="WQ68" s="368"/>
      <c r="WR68" s="368"/>
      <c r="WS68" s="368"/>
      <c r="WT68" s="368"/>
      <c r="WU68" s="368"/>
      <c r="WV68" s="368"/>
      <c r="WW68" s="368"/>
      <c r="WX68" s="368"/>
      <c r="WY68" s="368"/>
      <c r="WZ68" s="368"/>
      <c r="XA68" s="368"/>
      <c r="XB68" s="368"/>
      <c r="XC68" s="368"/>
      <c r="XD68" s="368"/>
      <c r="XE68" s="368"/>
      <c r="XF68" s="368"/>
      <c r="XG68" s="368"/>
      <c r="XH68" s="368"/>
      <c r="XI68" s="368"/>
      <c r="XJ68" s="368"/>
      <c r="XK68" s="368"/>
      <c r="XL68" s="368"/>
      <c r="XM68" s="368"/>
      <c r="XN68" s="368"/>
      <c r="XO68" s="368"/>
      <c r="XP68" s="368"/>
      <c r="XQ68" s="368"/>
      <c r="XR68" s="368"/>
      <c r="XS68" s="368"/>
      <c r="XT68" s="368"/>
      <c r="XU68" s="368"/>
      <c r="XV68" s="368"/>
      <c r="XW68" s="368"/>
      <c r="XX68" s="368"/>
      <c r="XY68" s="368"/>
      <c r="XZ68" s="368"/>
      <c r="YA68" s="368"/>
      <c r="YB68" s="368"/>
      <c r="YC68" s="368"/>
      <c r="YD68" s="368"/>
      <c r="YE68" s="368"/>
      <c r="YF68" s="368"/>
      <c r="YG68" s="368"/>
      <c r="YH68" s="368"/>
      <c r="YI68" s="368"/>
      <c r="YJ68" s="368"/>
      <c r="YK68" s="368"/>
      <c r="YL68" s="368"/>
      <c r="YM68" s="368"/>
      <c r="YN68" s="368"/>
      <c r="YO68" s="368"/>
      <c r="YP68" s="368"/>
      <c r="YQ68" s="368"/>
      <c r="YR68" s="368"/>
      <c r="YS68" s="368"/>
      <c r="YT68" s="368"/>
      <c r="YU68" s="368"/>
      <c r="YV68" s="368"/>
      <c r="YW68" s="368"/>
      <c r="YX68" s="368"/>
      <c r="YY68" s="368"/>
      <c r="YZ68" s="368"/>
      <c r="ZA68" s="368"/>
      <c r="ZB68" s="368"/>
      <c r="ZC68" s="368"/>
      <c r="ZD68" s="368"/>
      <c r="ZE68" s="368"/>
      <c r="ZF68" s="368"/>
      <c r="ZG68" s="368"/>
      <c r="ZH68" s="368"/>
      <c r="ZI68" s="368"/>
      <c r="ZJ68" s="368"/>
      <c r="ZK68" s="368"/>
      <c r="ZL68" s="368"/>
      <c r="ZM68" s="368"/>
      <c r="ZN68" s="368"/>
      <c r="ZO68" s="368"/>
      <c r="ZP68" s="368"/>
      <c r="ZQ68" s="368"/>
      <c r="ZR68" s="368"/>
      <c r="ZS68" s="368"/>
      <c r="ZT68" s="368"/>
      <c r="ZU68" s="368"/>
      <c r="ZV68" s="368"/>
      <c r="ZW68" s="368"/>
      <c r="ZX68" s="368"/>
      <c r="ZY68" s="368"/>
      <c r="ZZ68" s="368"/>
      <c r="AAA68" s="368"/>
      <c r="AAB68" s="368"/>
      <c r="AAC68" s="368"/>
      <c r="AAD68" s="368"/>
      <c r="AAE68" s="368"/>
      <c r="AAF68" s="368"/>
      <c r="AAG68" s="368"/>
      <c r="AAH68" s="368"/>
      <c r="AAI68" s="368"/>
      <c r="AAJ68" s="368"/>
      <c r="AAK68" s="368"/>
      <c r="AAL68" s="368"/>
      <c r="AAM68" s="368"/>
      <c r="AAN68" s="368"/>
      <c r="AAO68" s="368"/>
      <c r="AAP68" s="368"/>
      <c r="AAQ68" s="368"/>
      <c r="AAR68" s="368"/>
      <c r="AAS68" s="368"/>
      <c r="AAT68" s="368"/>
      <c r="AAU68" s="368"/>
      <c r="AAV68" s="368"/>
      <c r="AAW68" s="368"/>
      <c r="AAX68" s="368"/>
      <c r="AAY68" s="368"/>
      <c r="AAZ68" s="368"/>
      <c r="ABA68" s="368"/>
      <c r="ABB68" s="368"/>
      <c r="ABC68" s="368"/>
      <c r="ABD68" s="368"/>
      <c r="ABE68" s="368"/>
      <c r="ABF68" s="368"/>
      <c r="ABG68" s="368"/>
      <c r="ABH68" s="368"/>
      <c r="ABI68" s="368"/>
      <c r="ABJ68" s="368"/>
      <c r="ABK68" s="368"/>
      <c r="ABL68" s="368"/>
      <c r="ABM68" s="368"/>
      <c r="ABN68" s="368"/>
      <c r="ABO68" s="368"/>
      <c r="ABP68" s="368"/>
      <c r="ABQ68" s="368"/>
      <c r="ABR68" s="368"/>
      <c r="ABS68" s="368"/>
      <c r="ABT68" s="368"/>
      <c r="ABU68" s="368"/>
      <c r="ABV68" s="368"/>
      <c r="ABW68" s="368"/>
      <c r="ABX68" s="368"/>
      <c r="ABY68" s="368"/>
      <c r="ABZ68" s="368"/>
      <c r="ACA68" s="368"/>
      <c r="ACB68" s="368"/>
      <c r="ACC68" s="368"/>
      <c r="ACD68" s="368"/>
      <c r="ACE68" s="368"/>
      <c r="ACF68" s="368"/>
      <c r="ACG68" s="368"/>
      <c r="ACH68" s="368"/>
      <c r="ACI68" s="368"/>
      <c r="ACJ68" s="368"/>
      <c r="ACK68" s="368"/>
      <c r="ACL68" s="368"/>
      <c r="ACM68" s="368"/>
      <c r="ACN68" s="368"/>
      <c r="ACO68" s="368"/>
      <c r="ACP68" s="368"/>
      <c r="ACQ68" s="368"/>
      <c r="ACR68" s="368"/>
      <c r="ACS68" s="368"/>
      <c r="ACT68" s="368"/>
      <c r="ACU68" s="368"/>
      <c r="ACV68" s="368"/>
      <c r="ACW68" s="368"/>
      <c r="ACX68" s="368"/>
      <c r="ACY68" s="368"/>
      <c r="ACZ68" s="368"/>
      <c r="ADA68" s="368"/>
      <c r="ADB68" s="368"/>
      <c r="ADC68" s="368"/>
      <c r="ADD68" s="368"/>
      <c r="ADE68" s="368"/>
      <c r="ADF68" s="368"/>
      <c r="ADG68" s="368"/>
      <c r="ADH68" s="368"/>
      <c r="ADI68" s="368"/>
      <c r="ADJ68" s="368"/>
      <c r="ADK68" s="368"/>
      <c r="ADL68" s="368"/>
      <c r="ADM68" s="368"/>
      <c r="ADN68" s="368"/>
      <c r="ADO68" s="368"/>
      <c r="ADP68" s="368"/>
      <c r="ADQ68" s="368"/>
      <c r="ADR68" s="368"/>
      <c r="ADS68" s="368"/>
      <c r="ADT68" s="368"/>
      <c r="ADU68" s="368"/>
      <c r="ADV68" s="368"/>
      <c r="ADW68" s="368"/>
      <c r="ADX68" s="368"/>
      <c r="ADY68" s="368"/>
      <c r="ADZ68" s="368"/>
      <c r="AEA68" s="368"/>
      <c r="AEB68" s="368"/>
      <c r="AEC68" s="368"/>
      <c r="AED68" s="368"/>
      <c r="AEE68" s="368"/>
      <c r="AEF68" s="368"/>
      <c r="AEG68" s="368"/>
      <c r="AEH68" s="368"/>
      <c r="AEI68" s="368"/>
      <c r="AEJ68" s="368"/>
      <c r="AEK68" s="368"/>
      <c r="AEL68" s="368"/>
      <c r="AEM68" s="368"/>
      <c r="AEN68" s="368"/>
      <c r="AEO68" s="368"/>
      <c r="AEP68" s="368"/>
      <c r="AEQ68" s="368"/>
      <c r="AER68" s="368"/>
      <c r="AES68" s="368"/>
      <c r="AET68" s="368"/>
      <c r="AEU68" s="368"/>
      <c r="AEV68" s="368"/>
      <c r="AEW68" s="368"/>
      <c r="AEX68" s="368"/>
      <c r="AEY68" s="368"/>
      <c r="AEZ68" s="368"/>
      <c r="AFA68" s="368"/>
      <c r="AFB68" s="368"/>
      <c r="AFC68" s="368"/>
      <c r="AFD68" s="368"/>
      <c r="AFE68" s="368"/>
      <c r="AFF68" s="368"/>
      <c r="AFG68" s="368"/>
      <c r="AFH68" s="368"/>
      <c r="AFI68" s="368"/>
      <c r="AFJ68" s="368"/>
      <c r="AFK68" s="368"/>
      <c r="AFL68" s="368"/>
      <c r="AFM68" s="368"/>
      <c r="AFN68" s="368"/>
      <c r="AFO68" s="368"/>
      <c r="AFP68" s="368"/>
      <c r="AFQ68" s="368"/>
      <c r="AFR68" s="368"/>
      <c r="AFS68" s="368"/>
      <c r="AFT68" s="368"/>
      <c r="AFU68" s="368"/>
      <c r="AFV68" s="368"/>
      <c r="AFW68" s="368"/>
      <c r="AFX68" s="368"/>
      <c r="AFY68" s="368"/>
      <c r="AFZ68" s="368"/>
      <c r="AGA68" s="368"/>
      <c r="AGB68" s="368"/>
      <c r="AGC68" s="368"/>
      <c r="AGD68" s="368"/>
      <c r="AGE68" s="368"/>
      <c r="AGF68" s="368"/>
      <c r="AGG68" s="368"/>
      <c r="AGH68" s="368"/>
      <c r="AGI68" s="368"/>
      <c r="AGJ68" s="368"/>
      <c r="AGK68" s="368"/>
      <c r="AGL68" s="368"/>
      <c r="AGM68" s="368"/>
      <c r="AGN68" s="368"/>
      <c r="AGO68" s="368"/>
      <c r="AGP68" s="368"/>
      <c r="AGQ68" s="368"/>
      <c r="AGR68" s="368"/>
      <c r="AGS68" s="368"/>
      <c r="AGT68" s="368"/>
      <c r="AGU68" s="368"/>
      <c r="AGV68" s="368"/>
      <c r="AGW68" s="368"/>
      <c r="AGX68" s="368"/>
      <c r="AGY68" s="368"/>
      <c r="AGZ68" s="368"/>
      <c r="AHA68" s="368"/>
      <c r="AHB68" s="368"/>
      <c r="AHC68" s="368"/>
      <c r="AHD68" s="368"/>
      <c r="AHE68" s="368"/>
      <c r="AHF68" s="368"/>
      <c r="AHG68" s="368"/>
      <c r="AHH68" s="368"/>
      <c r="AHI68" s="368"/>
      <c r="AHJ68" s="368"/>
      <c r="AHK68" s="368"/>
      <c r="AHL68" s="368"/>
      <c r="AHM68" s="368"/>
      <c r="AHN68" s="368"/>
      <c r="AHO68" s="368"/>
      <c r="AHP68" s="368"/>
      <c r="AHQ68" s="368"/>
      <c r="AHR68" s="368"/>
      <c r="AHS68" s="368"/>
      <c r="AHT68" s="368"/>
      <c r="AHU68" s="368"/>
      <c r="AHV68" s="368"/>
      <c r="AHW68" s="368"/>
      <c r="AHX68" s="368"/>
      <c r="AHY68" s="368"/>
      <c r="AHZ68" s="368"/>
      <c r="AIA68" s="368"/>
      <c r="AIB68" s="368"/>
      <c r="AIC68" s="368"/>
      <c r="AID68" s="368"/>
      <c r="AIE68" s="368"/>
      <c r="AIF68" s="368"/>
      <c r="AIG68" s="368"/>
      <c r="AIH68" s="368"/>
      <c r="AII68" s="368"/>
      <c r="AIJ68" s="368"/>
      <c r="AIK68" s="368"/>
      <c r="AIL68" s="368"/>
      <c r="AIM68" s="368"/>
      <c r="AIN68" s="368"/>
      <c r="AIO68" s="368"/>
      <c r="AIP68" s="368"/>
      <c r="AIQ68" s="368"/>
      <c r="AIR68" s="368"/>
      <c r="AIS68" s="368"/>
      <c r="AIT68" s="368"/>
      <c r="AIU68" s="368"/>
      <c r="AIV68" s="368"/>
      <c r="AIW68" s="368"/>
      <c r="AIX68" s="368"/>
      <c r="AIY68" s="368"/>
      <c r="AIZ68" s="368"/>
      <c r="AJA68" s="368"/>
      <c r="AJB68" s="368"/>
      <c r="AJC68" s="368"/>
      <c r="AJD68" s="368"/>
      <c r="AJE68" s="368"/>
      <c r="AJF68" s="368"/>
      <c r="AJG68" s="368"/>
      <c r="AJH68" s="368"/>
      <c r="AJI68" s="368"/>
      <c r="AJJ68" s="368"/>
      <c r="AJK68" s="368"/>
      <c r="AJL68" s="368"/>
      <c r="AJM68" s="368"/>
      <c r="AJN68" s="368"/>
      <c r="AJO68" s="368"/>
      <c r="AJP68" s="368"/>
      <c r="AJQ68" s="368"/>
      <c r="AJR68" s="368"/>
      <c r="AJS68" s="368"/>
      <c r="AJT68" s="368"/>
      <c r="AJU68" s="368"/>
      <c r="AJV68" s="368"/>
      <c r="AJW68" s="368"/>
      <c r="AJX68" s="368"/>
      <c r="AJY68" s="368"/>
      <c r="AJZ68" s="368"/>
      <c r="AKA68" s="368"/>
      <c r="AKB68" s="368"/>
      <c r="AKC68" s="368"/>
      <c r="AKD68" s="368"/>
      <c r="AKE68" s="368"/>
      <c r="AKF68" s="368"/>
      <c r="AKG68" s="368"/>
      <c r="AKH68" s="368"/>
      <c r="AKI68" s="368"/>
      <c r="AKJ68" s="368"/>
      <c r="AKK68" s="368"/>
      <c r="AKL68" s="368"/>
      <c r="AKM68" s="368"/>
      <c r="AKN68" s="368"/>
    </row>
    <row r="69" spans="1:976" s="364" customFormat="1" ht="22.5" customHeight="1" x14ac:dyDescent="0.2">
      <c r="A69" s="347" t="s">
        <v>262</v>
      </c>
      <c r="B69" s="347"/>
      <c r="C69" s="347" t="s">
        <v>221</v>
      </c>
      <c r="D69" s="347" t="s">
        <v>222</v>
      </c>
      <c r="E69" s="348">
        <v>409969</v>
      </c>
      <c r="F69" s="348">
        <v>1110</v>
      </c>
      <c r="G69" s="348">
        <v>164</v>
      </c>
      <c r="H69" s="348">
        <v>0</v>
      </c>
      <c r="I69" s="349">
        <v>45813</v>
      </c>
      <c r="J69" s="347" t="s">
        <v>395</v>
      </c>
      <c r="K69" s="347" t="s">
        <v>478</v>
      </c>
      <c r="L69" s="344">
        <v>32.159999999999997</v>
      </c>
      <c r="M69" s="344">
        <v>1.77</v>
      </c>
      <c r="N69" s="447">
        <v>33.93</v>
      </c>
      <c r="O69" s="347"/>
      <c r="P69" s="350">
        <v>45821</v>
      </c>
      <c r="Q69" s="344">
        <v>33.93</v>
      </c>
      <c r="R69" s="347" t="s">
        <v>307</v>
      </c>
      <c r="S69" s="344">
        <v>0</v>
      </c>
      <c r="T69" s="344">
        <v>0</v>
      </c>
      <c r="U69" s="344">
        <v>0</v>
      </c>
      <c r="V69" s="344">
        <v>0</v>
      </c>
      <c r="W69" s="347"/>
      <c r="X69" s="347" t="s">
        <v>308</v>
      </c>
      <c r="Y69" s="347" t="s">
        <v>309</v>
      </c>
      <c r="Z69" s="347" t="s">
        <v>46</v>
      </c>
      <c r="AA69" s="347" t="s">
        <v>228</v>
      </c>
      <c r="AB69" s="347" t="s">
        <v>34</v>
      </c>
      <c r="AC69" s="347" t="s">
        <v>47</v>
      </c>
      <c r="AD69" s="347" t="s">
        <v>231</v>
      </c>
      <c r="AE69" s="347" t="s">
        <v>232</v>
      </c>
      <c r="AF69" s="347" t="s">
        <v>231</v>
      </c>
      <c r="AG69" s="347" t="s">
        <v>232</v>
      </c>
      <c r="AH69" s="347"/>
      <c r="AI69" s="347"/>
      <c r="AJ69" s="347"/>
      <c r="AK69" s="347" t="s">
        <v>479</v>
      </c>
      <c r="AL69" s="348">
        <v>1</v>
      </c>
      <c r="AM69" s="348">
        <v>0</v>
      </c>
      <c r="AN69" s="349">
        <v>45821</v>
      </c>
      <c r="AO69" s="349">
        <v>45821</v>
      </c>
      <c r="AP69" s="344">
        <v>33.93</v>
      </c>
      <c r="AQ69" s="349">
        <v>45820</v>
      </c>
      <c r="AR69" s="368"/>
      <c r="AS69" s="368"/>
      <c r="AT69" s="368"/>
      <c r="AU69" s="368"/>
      <c r="AV69" s="368"/>
      <c r="AW69" s="368"/>
      <c r="AX69" s="368"/>
      <c r="AY69" s="368"/>
      <c r="AZ69" s="368"/>
      <c r="BA69" s="368"/>
      <c r="BB69" s="368"/>
      <c r="BC69" s="368"/>
      <c r="BD69" s="368"/>
      <c r="BE69" s="368"/>
      <c r="BF69" s="368"/>
      <c r="BG69" s="368"/>
      <c r="BH69" s="368"/>
      <c r="BI69" s="368"/>
      <c r="BJ69" s="368"/>
      <c r="BK69" s="368"/>
      <c r="BL69" s="368"/>
      <c r="BM69" s="368"/>
      <c r="BN69" s="368"/>
      <c r="BO69" s="368"/>
      <c r="BP69" s="368"/>
      <c r="BQ69" s="368"/>
      <c r="BR69" s="368"/>
      <c r="BS69" s="368"/>
      <c r="BT69" s="368"/>
      <c r="BU69" s="368"/>
      <c r="BV69" s="368"/>
      <c r="BW69" s="368"/>
      <c r="BX69" s="368"/>
      <c r="BY69" s="368"/>
      <c r="BZ69" s="368"/>
      <c r="CA69" s="368"/>
      <c r="CB69" s="368"/>
      <c r="CC69" s="368"/>
      <c r="CD69" s="368"/>
      <c r="CE69" s="368"/>
      <c r="CF69" s="368"/>
      <c r="CG69" s="368"/>
      <c r="CH69" s="368"/>
      <c r="CI69" s="368"/>
      <c r="CJ69" s="368"/>
      <c r="CK69" s="368"/>
      <c r="CL69" s="368"/>
      <c r="CM69" s="368"/>
      <c r="CN69" s="368"/>
      <c r="CO69" s="368"/>
      <c r="CP69" s="368"/>
      <c r="CQ69" s="368"/>
      <c r="CR69" s="368"/>
      <c r="CS69" s="368"/>
      <c r="CT69" s="368"/>
      <c r="CU69" s="368"/>
      <c r="CV69" s="368"/>
      <c r="CW69" s="368"/>
      <c r="CX69" s="368"/>
      <c r="CY69" s="368"/>
      <c r="CZ69" s="368"/>
      <c r="DA69" s="368"/>
      <c r="DB69" s="368"/>
      <c r="DC69" s="368"/>
      <c r="DD69" s="368"/>
      <c r="DE69" s="368"/>
      <c r="DF69" s="368"/>
      <c r="DG69" s="368"/>
      <c r="DH69" s="368"/>
      <c r="DI69" s="368"/>
      <c r="DJ69" s="368"/>
      <c r="DK69" s="368"/>
      <c r="DL69" s="368"/>
      <c r="DM69" s="368"/>
      <c r="DN69" s="368"/>
      <c r="DO69" s="368"/>
      <c r="DP69" s="368"/>
      <c r="DQ69" s="368"/>
      <c r="DR69" s="368"/>
      <c r="DS69" s="368"/>
      <c r="DT69" s="368"/>
      <c r="DU69" s="368"/>
      <c r="DV69" s="368"/>
      <c r="DW69" s="368"/>
      <c r="DX69" s="368"/>
      <c r="DY69" s="368"/>
      <c r="DZ69" s="368"/>
      <c r="EA69" s="368"/>
      <c r="EB69" s="368"/>
      <c r="EC69" s="368"/>
      <c r="ED69" s="368"/>
      <c r="EE69" s="368"/>
      <c r="EF69" s="368"/>
      <c r="EG69" s="368"/>
      <c r="EH69" s="368"/>
      <c r="EI69" s="368"/>
      <c r="EJ69" s="368"/>
      <c r="EK69" s="368"/>
      <c r="EL69" s="368"/>
      <c r="EM69" s="368"/>
      <c r="EN69" s="368"/>
      <c r="EO69" s="368"/>
      <c r="EP69" s="368"/>
      <c r="EQ69" s="368"/>
      <c r="ER69" s="368"/>
      <c r="ES69" s="368"/>
      <c r="ET69" s="368"/>
      <c r="EU69" s="368"/>
      <c r="EV69" s="368"/>
      <c r="EW69" s="368"/>
      <c r="EX69" s="368"/>
      <c r="EY69" s="368"/>
      <c r="EZ69" s="368"/>
      <c r="FA69" s="368"/>
      <c r="FB69" s="368"/>
      <c r="FC69" s="368"/>
      <c r="FD69" s="368"/>
      <c r="FE69" s="368"/>
      <c r="FF69" s="368"/>
      <c r="FG69" s="368"/>
      <c r="FH69" s="368"/>
      <c r="FI69" s="368"/>
      <c r="FJ69" s="368"/>
      <c r="FK69" s="368"/>
      <c r="FL69" s="368"/>
      <c r="FM69" s="368"/>
      <c r="FN69" s="368"/>
      <c r="FO69" s="368"/>
      <c r="FP69" s="368"/>
      <c r="FQ69" s="368"/>
      <c r="FR69" s="368"/>
      <c r="FS69" s="368"/>
      <c r="FT69" s="368"/>
      <c r="FU69" s="368"/>
      <c r="FV69" s="368"/>
      <c r="FW69" s="368"/>
      <c r="FX69" s="368"/>
      <c r="FY69" s="368"/>
      <c r="FZ69" s="368"/>
      <c r="GA69" s="368"/>
      <c r="GB69" s="368"/>
      <c r="GC69" s="368"/>
      <c r="GD69" s="368"/>
      <c r="GE69" s="368"/>
      <c r="GF69" s="368"/>
      <c r="GG69" s="368"/>
      <c r="GH69" s="368"/>
      <c r="GI69" s="368"/>
      <c r="GJ69" s="368"/>
      <c r="GK69" s="368"/>
      <c r="GL69" s="368"/>
      <c r="GM69" s="368"/>
      <c r="GN69" s="368"/>
      <c r="GO69" s="368"/>
      <c r="GP69" s="368"/>
      <c r="GQ69" s="368"/>
      <c r="GR69" s="368"/>
      <c r="GS69" s="368"/>
      <c r="GT69" s="368"/>
      <c r="GU69" s="368"/>
      <c r="GV69" s="368"/>
      <c r="GW69" s="368"/>
      <c r="GX69" s="368"/>
      <c r="GY69" s="368"/>
      <c r="GZ69" s="368"/>
      <c r="HA69" s="368"/>
      <c r="HB69" s="368"/>
      <c r="HC69" s="368"/>
      <c r="HD69" s="368"/>
      <c r="HE69" s="368"/>
      <c r="HF69" s="368"/>
      <c r="HG69" s="368"/>
      <c r="HH69" s="368"/>
      <c r="HI69" s="368"/>
      <c r="HJ69" s="368"/>
      <c r="HK69" s="368"/>
      <c r="HL69" s="368"/>
      <c r="HM69" s="368"/>
      <c r="HN69" s="368"/>
      <c r="HO69" s="368"/>
      <c r="HP69" s="368"/>
      <c r="HQ69" s="368"/>
      <c r="HR69" s="368"/>
      <c r="HS69" s="368"/>
      <c r="HT69" s="368"/>
      <c r="HU69" s="368"/>
      <c r="HV69" s="368"/>
      <c r="HW69" s="368"/>
      <c r="HX69" s="368"/>
      <c r="HY69" s="368"/>
      <c r="HZ69" s="368"/>
      <c r="IA69" s="368"/>
      <c r="IB69" s="368"/>
      <c r="IC69" s="368"/>
      <c r="ID69" s="368"/>
      <c r="IE69" s="368"/>
      <c r="IF69" s="368"/>
      <c r="IG69" s="368"/>
      <c r="IH69" s="368"/>
      <c r="II69" s="368"/>
      <c r="IJ69" s="368"/>
      <c r="IK69" s="368"/>
      <c r="IL69" s="368"/>
      <c r="IM69" s="368"/>
      <c r="IN69" s="368"/>
      <c r="IO69" s="368"/>
      <c r="IP69" s="368"/>
      <c r="IQ69" s="368"/>
      <c r="IR69" s="368"/>
      <c r="IS69" s="368"/>
      <c r="IT69" s="368"/>
      <c r="IU69" s="368"/>
      <c r="IV69" s="368"/>
      <c r="IW69" s="368"/>
      <c r="IX69" s="368"/>
      <c r="IY69" s="368"/>
      <c r="IZ69" s="368"/>
      <c r="JA69" s="368"/>
      <c r="JB69" s="368"/>
      <c r="JC69" s="368"/>
      <c r="JD69" s="368"/>
      <c r="JE69" s="368"/>
      <c r="JF69" s="368"/>
      <c r="JG69" s="368"/>
      <c r="JH69" s="368"/>
      <c r="JI69" s="368"/>
      <c r="JJ69" s="368"/>
      <c r="JK69" s="368"/>
      <c r="JL69" s="368"/>
      <c r="JM69" s="368"/>
      <c r="JN69" s="368"/>
      <c r="JO69" s="368"/>
      <c r="JP69" s="368"/>
      <c r="JQ69" s="368"/>
      <c r="JR69" s="368"/>
      <c r="JS69" s="368"/>
      <c r="JT69" s="368"/>
      <c r="JU69" s="368"/>
      <c r="JV69" s="368"/>
      <c r="JW69" s="368"/>
      <c r="JX69" s="368"/>
      <c r="JY69" s="368"/>
      <c r="JZ69" s="368"/>
      <c r="KA69" s="368"/>
      <c r="KB69" s="368"/>
      <c r="KC69" s="368"/>
      <c r="KD69" s="368"/>
      <c r="KE69" s="368"/>
      <c r="KF69" s="368"/>
      <c r="KG69" s="368"/>
      <c r="KH69" s="368"/>
      <c r="KI69" s="368"/>
      <c r="KJ69" s="368"/>
      <c r="KK69" s="368"/>
      <c r="KL69" s="368"/>
      <c r="KM69" s="368"/>
      <c r="KN69" s="368"/>
      <c r="KO69" s="368"/>
      <c r="KP69" s="368"/>
      <c r="KQ69" s="368"/>
      <c r="KR69" s="368"/>
      <c r="KS69" s="368"/>
      <c r="KT69" s="368"/>
      <c r="KU69" s="368"/>
      <c r="KV69" s="368"/>
      <c r="KW69" s="368"/>
      <c r="KX69" s="368"/>
      <c r="KY69" s="368"/>
      <c r="KZ69" s="368"/>
      <c r="LA69" s="368"/>
      <c r="LB69" s="368"/>
      <c r="LC69" s="368"/>
      <c r="LD69" s="368"/>
      <c r="LE69" s="368"/>
      <c r="LF69" s="368"/>
      <c r="LG69" s="368"/>
      <c r="LH69" s="368"/>
      <c r="LI69" s="368"/>
      <c r="LJ69" s="368"/>
      <c r="LK69" s="368"/>
      <c r="LL69" s="368"/>
      <c r="LM69" s="368"/>
      <c r="LN69" s="368"/>
      <c r="LO69" s="368"/>
      <c r="LP69" s="368"/>
      <c r="LQ69" s="368"/>
      <c r="LR69" s="368"/>
      <c r="LS69" s="368"/>
      <c r="LT69" s="368"/>
      <c r="LU69" s="368"/>
      <c r="LV69" s="368"/>
      <c r="LW69" s="368"/>
      <c r="LX69" s="368"/>
      <c r="LY69" s="368"/>
      <c r="LZ69" s="368"/>
      <c r="MA69" s="368"/>
      <c r="MB69" s="368"/>
      <c r="MC69" s="368"/>
      <c r="MD69" s="368"/>
      <c r="ME69" s="368"/>
      <c r="MF69" s="368"/>
      <c r="MG69" s="368"/>
      <c r="MH69" s="368"/>
      <c r="MI69" s="368"/>
      <c r="MJ69" s="368"/>
      <c r="MK69" s="368"/>
      <c r="ML69" s="368"/>
      <c r="MM69" s="368"/>
      <c r="MN69" s="368"/>
      <c r="MO69" s="368"/>
      <c r="MP69" s="368"/>
      <c r="MQ69" s="368"/>
      <c r="MR69" s="368"/>
      <c r="MS69" s="368"/>
      <c r="MT69" s="368"/>
      <c r="MU69" s="368"/>
      <c r="MV69" s="368"/>
      <c r="MW69" s="368"/>
      <c r="MX69" s="368"/>
      <c r="MY69" s="368"/>
      <c r="MZ69" s="368"/>
      <c r="NA69" s="368"/>
      <c r="NB69" s="368"/>
      <c r="NC69" s="368"/>
      <c r="ND69" s="368"/>
      <c r="NE69" s="368"/>
      <c r="NF69" s="368"/>
      <c r="NG69" s="368"/>
      <c r="NH69" s="368"/>
      <c r="NI69" s="368"/>
      <c r="NJ69" s="368"/>
      <c r="NK69" s="368"/>
      <c r="NL69" s="368"/>
      <c r="NM69" s="368"/>
      <c r="NN69" s="368"/>
      <c r="NO69" s="368"/>
      <c r="NP69" s="368"/>
      <c r="NQ69" s="368"/>
      <c r="NR69" s="368"/>
      <c r="NS69" s="368"/>
      <c r="NT69" s="368"/>
      <c r="NU69" s="368"/>
      <c r="NV69" s="368"/>
      <c r="NW69" s="368"/>
      <c r="NX69" s="368"/>
      <c r="NY69" s="368"/>
      <c r="NZ69" s="368"/>
      <c r="OA69" s="368"/>
      <c r="OB69" s="368"/>
      <c r="OC69" s="368"/>
      <c r="OD69" s="368"/>
      <c r="OE69" s="368"/>
      <c r="OF69" s="368"/>
      <c r="OG69" s="368"/>
      <c r="OH69" s="368"/>
      <c r="OI69" s="368"/>
      <c r="OJ69" s="368"/>
      <c r="OK69" s="368"/>
      <c r="OL69" s="368"/>
      <c r="OM69" s="368"/>
      <c r="ON69" s="368"/>
      <c r="OO69" s="368"/>
      <c r="OP69" s="368"/>
      <c r="OQ69" s="368"/>
      <c r="OR69" s="368"/>
      <c r="OS69" s="368"/>
      <c r="OT69" s="368"/>
      <c r="OU69" s="368"/>
      <c r="OV69" s="368"/>
      <c r="OW69" s="368"/>
      <c r="OX69" s="368"/>
      <c r="OY69" s="368"/>
      <c r="OZ69" s="368"/>
      <c r="PA69" s="368"/>
      <c r="PB69" s="368"/>
      <c r="PC69" s="368"/>
      <c r="PD69" s="368"/>
      <c r="PE69" s="368"/>
      <c r="PF69" s="368"/>
      <c r="PG69" s="368"/>
      <c r="PH69" s="368"/>
      <c r="PI69" s="368"/>
      <c r="PJ69" s="368"/>
      <c r="PK69" s="368"/>
      <c r="PL69" s="368"/>
      <c r="PM69" s="368"/>
      <c r="PN69" s="368"/>
      <c r="PO69" s="368"/>
      <c r="PP69" s="368"/>
      <c r="PQ69" s="368"/>
      <c r="PR69" s="368"/>
      <c r="PS69" s="368"/>
      <c r="PT69" s="368"/>
      <c r="PU69" s="368"/>
      <c r="PV69" s="368"/>
      <c r="PW69" s="368"/>
      <c r="PX69" s="368"/>
      <c r="PY69" s="368"/>
      <c r="PZ69" s="368"/>
      <c r="QA69" s="368"/>
      <c r="QB69" s="368"/>
      <c r="QC69" s="368"/>
      <c r="QD69" s="368"/>
      <c r="QE69" s="368"/>
      <c r="QF69" s="368"/>
      <c r="QG69" s="368"/>
      <c r="QH69" s="368"/>
      <c r="QI69" s="368"/>
      <c r="QJ69" s="368"/>
      <c r="QK69" s="368"/>
      <c r="QL69" s="368"/>
      <c r="QM69" s="368"/>
      <c r="QN69" s="368"/>
      <c r="QO69" s="368"/>
      <c r="QP69" s="368"/>
      <c r="QQ69" s="368"/>
      <c r="QR69" s="368"/>
      <c r="QS69" s="368"/>
      <c r="QT69" s="368"/>
      <c r="QU69" s="368"/>
      <c r="QV69" s="368"/>
      <c r="QW69" s="368"/>
      <c r="QX69" s="368"/>
      <c r="QY69" s="368"/>
      <c r="QZ69" s="368"/>
      <c r="RA69" s="368"/>
      <c r="RB69" s="368"/>
      <c r="RC69" s="368"/>
      <c r="RD69" s="368"/>
      <c r="RE69" s="368"/>
      <c r="RF69" s="368"/>
      <c r="RG69" s="368"/>
      <c r="RH69" s="368"/>
      <c r="RI69" s="368"/>
      <c r="RJ69" s="368"/>
      <c r="RK69" s="368"/>
      <c r="RL69" s="368"/>
      <c r="RM69" s="368"/>
      <c r="RN69" s="368"/>
      <c r="RO69" s="368"/>
      <c r="RP69" s="368"/>
      <c r="RQ69" s="368"/>
      <c r="RR69" s="368"/>
      <c r="RS69" s="368"/>
      <c r="RT69" s="368"/>
      <c r="RU69" s="368"/>
      <c r="RV69" s="368"/>
      <c r="RW69" s="368"/>
      <c r="RX69" s="368"/>
      <c r="RY69" s="368"/>
      <c r="RZ69" s="368"/>
      <c r="SA69" s="368"/>
      <c r="SB69" s="368"/>
      <c r="SC69" s="368"/>
      <c r="SD69" s="368"/>
      <c r="SE69" s="368"/>
      <c r="SF69" s="368"/>
      <c r="SG69" s="368"/>
      <c r="SH69" s="368"/>
      <c r="SI69" s="368"/>
      <c r="SJ69" s="368"/>
      <c r="SK69" s="368"/>
      <c r="SL69" s="368"/>
      <c r="SM69" s="368"/>
      <c r="SN69" s="368"/>
      <c r="SO69" s="368"/>
      <c r="SP69" s="368"/>
      <c r="SQ69" s="368"/>
      <c r="SR69" s="368"/>
      <c r="SS69" s="368"/>
      <c r="ST69" s="368"/>
      <c r="SU69" s="368"/>
      <c r="SV69" s="368"/>
      <c r="SW69" s="368"/>
      <c r="SX69" s="368"/>
      <c r="SY69" s="368"/>
      <c r="SZ69" s="368"/>
      <c r="TA69" s="368"/>
      <c r="TB69" s="368"/>
      <c r="TC69" s="368"/>
      <c r="TD69" s="368"/>
      <c r="TE69" s="368"/>
      <c r="TF69" s="368"/>
      <c r="TG69" s="368"/>
      <c r="TH69" s="368"/>
      <c r="TI69" s="368"/>
      <c r="TJ69" s="368"/>
      <c r="TK69" s="368"/>
      <c r="TL69" s="368"/>
      <c r="TM69" s="368"/>
      <c r="TN69" s="368"/>
      <c r="TO69" s="368"/>
      <c r="TP69" s="368"/>
      <c r="TQ69" s="368"/>
      <c r="TR69" s="368"/>
      <c r="TS69" s="368"/>
      <c r="TT69" s="368"/>
      <c r="TU69" s="368"/>
      <c r="TV69" s="368"/>
      <c r="TW69" s="368"/>
      <c r="TX69" s="368"/>
      <c r="TY69" s="368"/>
      <c r="TZ69" s="368"/>
      <c r="UA69" s="368"/>
      <c r="UB69" s="368"/>
      <c r="UC69" s="368"/>
      <c r="UD69" s="368"/>
      <c r="UE69" s="368"/>
      <c r="UF69" s="368"/>
      <c r="UG69" s="368"/>
      <c r="UH69" s="368"/>
      <c r="UI69" s="368"/>
      <c r="UJ69" s="368"/>
      <c r="UK69" s="368"/>
      <c r="UL69" s="368"/>
      <c r="UM69" s="368"/>
      <c r="UN69" s="368"/>
      <c r="UO69" s="368"/>
      <c r="UP69" s="368"/>
      <c r="UQ69" s="368"/>
      <c r="UR69" s="368"/>
      <c r="US69" s="368"/>
      <c r="UT69" s="368"/>
      <c r="UU69" s="368"/>
      <c r="UV69" s="368"/>
      <c r="UW69" s="368"/>
      <c r="UX69" s="368"/>
      <c r="UY69" s="368"/>
      <c r="UZ69" s="368"/>
      <c r="VA69" s="368"/>
      <c r="VB69" s="368"/>
      <c r="VC69" s="368"/>
      <c r="VD69" s="368"/>
      <c r="VE69" s="368"/>
      <c r="VF69" s="368"/>
      <c r="VG69" s="368"/>
      <c r="VH69" s="368"/>
      <c r="VI69" s="368"/>
      <c r="VJ69" s="368"/>
      <c r="VK69" s="368"/>
      <c r="VL69" s="368"/>
      <c r="VM69" s="368"/>
      <c r="VN69" s="368"/>
      <c r="VO69" s="368"/>
      <c r="VP69" s="368"/>
      <c r="VQ69" s="368"/>
      <c r="VR69" s="368"/>
      <c r="VS69" s="368"/>
      <c r="VT69" s="368"/>
      <c r="VU69" s="368"/>
      <c r="VV69" s="368"/>
      <c r="VW69" s="368"/>
      <c r="VX69" s="368"/>
      <c r="VY69" s="368"/>
      <c r="VZ69" s="368"/>
      <c r="WA69" s="368"/>
      <c r="WB69" s="368"/>
      <c r="WC69" s="368"/>
      <c r="WD69" s="368"/>
      <c r="WE69" s="368"/>
      <c r="WF69" s="368"/>
      <c r="WG69" s="368"/>
      <c r="WH69" s="368"/>
      <c r="WI69" s="368"/>
      <c r="WJ69" s="368"/>
      <c r="WK69" s="368"/>
      <c r="WL69" s="368"/>
      <c r="WM69" s="368"/>
      <c r="WN69" s="368"/>
      <c r="WO69" s="368"/>
      <c r="WP69" s="368"/>
      <c r="WQ69" s="368"/>
      <c r="WR69" s="368"/>
      <c r="WS69" s="368"/>
      <c r="WT69" s="368"/>
      <c r="WU69" s="368"/>
      <c r="WV69" s="368"/>
      <c r="WW69" s="368"/>
      <c r="WX69" s="368"/>
      <c r="WY69" s="368"/>
      <c r="WZ69" s="368"/>
      <c r="XA69" s="368"/>
      <c r="XB69" s="368"/>
      <c r="XC69" s="368"/>
      <c r="XD69" s="368"/>
      <c r="XE69" s="368"/>
      <c r="XF69" s="368"/>
      <c r="XG69" s="368"/>
      <c r="XH69" s="368"/>
      <c r="XI69" s="368"/>
      <c r="XJ69" s="368"/>
      <c r="XK69" s="368"/>
      <c r="XL69" s="368"/>
      <c r="XM69" s="368"/>
      <c r="XN69" s="368"/>
      <c r="XO69" s="368"/>
      <c r="XP69" s="368"/>
      <c r="XQ69" s="368"/>
      <c r="XR69" s="368"/>
      <c r="XS69" s="368"/>
      <c r="XT69" s="368"/>
      <c r="XU69" s="368"/>
      <c r="XV69" s="368"/>
      <c r="XW69" s="368"/>
      <c r="XX69" s="368"/>
      <c r="XY69" s="368"/>
      <c r="XZ69" s="368"/>
      <c r="YA69" s="368"/>
      <c r="YB69" s="368"/>
      <c r="YC69" s="368"/>
      <c r="YD69" s="368"/>
      <c r="YE69" s="368"/>
      <c r="YF69" s="368"/>
      <c r="YG69" s="368"/>
      <c r="YH69" s="368"/>
      <c r="YI69" s="368"/>
      <c r="YJ69" s="368"/>
      <c r="YK69" s="368"/>
      <c r="YL69" s="368"/>
      <c r="YM69" s="368"/>
      <c r="YN69" s="368"/>
      <c r="YO69" s="368"/>
      <c r="YP69" s="368"/>
      <c r="YQ69" s="368"/>
      <c r="YR69" s="368"/>
      <c r="YS69" s="368"/>
      <c r="YT69" s="368"/>
      <c r="YU69" s="368"/>
      <c r="YV69" s="368"/>
      <c r="YW69" s="368"/>
      <c r="YX69" s="368"/>
      <c r="YY69" s="368"/>
      <c r="YZ69" s="368"/>
      <c r="ZA69" s="368"/>
      <c r="ZB69" s="368"/>
      <c r="ZC69" s="368"/>
      <c r="ZD69" s="368"/>
      <c r="ZE69" s="368"/>
      <c r="ZF69" s="368"/>
      <c r="ZG69" s="368"/>
      <c r="ZH69" s="368"/>
      <c r="ZI69" s="368"/>
      <c r="ZJ69" s="368"/>
      <c r="ZK69" s="368"/>
      <c r="ZL69" s="368"/>
      <c r="ZM69" s="368"/>
      <c r="ZN69" s="368"/>
      <c r="ZO69" s="368"/>
      <c r="ZP69" s="368"/>
      <c r="ZQ69" s="368"/>
      <c r="ZR69" s="368"/>
      <c r="ZS69" s="368"/>
      <c r="ZT69" s="368"/>
      <c r="ZU69" s="368"/>
      <c r="ZV69" s="368"/>
      <c r="ZW69" s="368"/>
      <c r="ZX69" s="368"/>
      <c r="ZY69" s="368"/>
      <c r="ZZ69" s="368"/>
      <c r="AAA69" s="368"/>
      <c r="AAB69" s="368"/>
      <c r="AAC69" s="368"/>
      <c r="AAD69" s="368"/>
      <c r="AAE69" s="368"/>
      <c r="AAF69" s="368"/>
      <c r="AAG69" s="368"/>
      <c r="AAH69" s="368"/>
      <c r="AAI69" s="368"/>
      <c r="AAJ69" s="368"/>
      <c r="AAK69" s="368"/>
      <c r="AAL69" s="368"/>
      <c r="AAM69" s="368"/>
      <c r="AAN69" s="368"/>
      <c r="AAO69" s="368"/>
      <c r="AAP69" s="368"/>
      <c r="AAQ69" s="368"/>
      <c r="AAR69" s="368"/>
      <c r="AAS69" s="368"/>
      <c r="AAT69" s="368"/>
      <c r="AAU69" s="368"/>
      <c r="AAV69" s="368"/>
      <c r="AAW69" s="368"/>
      <c r="AAX69" s="368"/>
      <c r="AAY69" s="368"/>
      <c r="AAZ69" s="368"/>
      <c r="ABA69" s="368"/>
      <c r="ABB69" s="368"/>
      <c r="ABC69" s="368"/>
      <c r="ABD69" s="368"/>
      <c r="ABE69" s="368"/>
      <c r="ABF69" s="368"/>
      <c r="ABG69" s="368"/>
      <c r="ABH69" s="368"/>
      <c r="ABI69" s="368"/>
      <c r="ABJ69" s="368"/>
      <c r="ABK69" s="368"/>
      <c r="ABL69" s="368"/>
      <c r="ABM69" s="368"/>
      <c r="ABN69" s="368"/>
      <c r="ABO69" s="368"/>
      <c r="ABP69" s="368"/>
      <c r="ABQ69" s="368"/>
      <c r="ABR69" s="368"/>
      <c r="ABS69" s="368"/>
      <c r="ABT69" s="368"/>
      <c r="ABU69" s="368"/>
      <c r="ABV69" s="368"/>
      <c r="ABW69" s="368"/>
      <c r="ABX69" s="368"/>
      <c r="ABY69" s="368"/>
      <c r="ABZ69" s="368"/>
      <c r="ACA69" s="368"/>
      <c r="ACB69" s="368"/>
      <c r="ACC69" s="368"/>
      <c r="ACD69" s="368"/>
      <c r="ACE69" s="368"/>
      <c r="ACF69" s="368"/>
      <c r="ACG69" s="368"/>
      <c r="ACH69" s="368"/>
      <c r="ACI69" s="368"/>
      <c r="ACJ69" s="368"/>
      <c r="ACK69" s="368"/>
      <c r="ACL69" s="368"/>
      <c r="ACM69" s="368"/>
      <c r="ACN69" s="368"/>
      <c r="ACO69" s="368"/>
      <c r="ACP69" s="368"/>
      <c r="ACQ69" s="368"/>
      <c r="ACR69" s="368"/>
      <c r="ACS69" s="368"/>
      <c r="ACT69" s="368"/>
      <c r="ACU69" s="368"/>
      <c r="ACV69" s="368"/>
      <c r="ACW69" s="368"/>
      <c r="ACX69" s="368"/>
      <c r="ACY69" s="368"/>
      <c r="ACZ69" s="368"/>
      <c r="ADA69" s="368"/>
      <c r="ADB69" s="368"/>
      <c r="ADC69" s="368"/>
      <c r="ADD69" s="368"/>
      <c r="ADE69" s="368"/>
      <c r="ADF69" s="368"/>
      <c r="ADG69" s="368"/>
      <c r="ADH69" s="368"/>
      <c r="ADI69" s="368"/>
      <c r="ADJ69" s="368"/>
      <c r="ADK69" s="368"/>
      <c r="ADL69" s="368"/>
      <c r="ADM69" s="368"/>
      <c r="ADN69" s="368"/>
      <c r="ADO69" s="368"/>
      <c r="ADP69" s="368"/>
      <c r="ADQ69" s="368"/>
      <c r="ADR69" s="368"/>
      <c r="ADS69" s="368"/>
      <c r="ADT69" s="368"/>
      <c r="ADU69" s="368"/>
      <c r="ADV69" s="368"/>
      <c r="ADW69" s="368"/>
      <c r="ADX69" s="368"/>
      <c r="ADY69" s="368"/>
      <c r="ADZ69" s="368"/>
      <c r="AEA69" s="368"/>
      <c r="AEB69" s="368"/>
      <c r="AEC69" s="368"/>
      <c r="AED69" s="368"/>
      <c r="AEE69" s="368"/>
      <c r="AEF69" s="368"/>
      <c r="AEG69" s="368"/>
      <c r="AEH69" s="368"/>
      <c r="AEI69" s="368"/>
      <c r="AEJ69" s="368"/>
      <c r="AEK69" s="368"/>
      <c r="AEL69" s="368"/>
      <c r="AEM69" s="368"/>
      <c r="AEN69" s="368"/>
      <c r="AEO69" s="368"/>
      <c r="AEP69" s="368"/>
      <c r="AEQ69" s="368"/>
      <c r="AER69" s="368"/>
      <c r="AES69" s="368"/>
      <c r="AET69" s="368"/>
      <c r="AEU69" s="368"/>
      <c r="AEV69" s="368"/>
      <c r="AEW69" s="368"/>
      <c r="AEX69" s="368"/>
      <c r="AEY69" s="368"/>
      <c r="AEZ69" s="368"/>
      <c r="AFA69" s="368"/>
      <c r="AFB69" s="368"/>
      <c r="AFC69" s="368"/>
      <c r="AFD69" s="368"/>
      <c r="AFE69" s="368"/>
      <c r="AFF69" s="368"/>
      <c r="AFG69" s="368"/>
      <c r="AFH69" s="368"/>
      <c r="AFI69" s="368"/>
      <c r="AFJ69" s="368"/>
      <c r="AFK69" s="368"/>
      <c r="AFL69" s="368"/>
      <c r="AFM69" s="368"/>
      <c r="AFN69" s="368"/>
      <c r="AFO69" s="368"/>
      <c r="AFP69" s="368"/>
      <c r="AFQ69" s="368"/>
      <c r="AFR69" s="368"/>
      <c r="AFS69" s="368"/>
      <c r="AFT69" s="368"/>
      <c r="AFU69" s="368"/>
      <c r="AFV69" s="368"/>
      <c r="AFW69" s="368"/>
      <c r="AFX69" s="368"/>
      <c r="AFY69" s="368"/>
      <c r="AFZ69" s="368"/>
      <c r="AGA69" s="368"/>
      <c r="AGB69" s="368"/>
      <c r="AGC69" s="368"/>
      <c r="AGD69" s="368"/>
      <c r="AGE69" s="368"/>
      <c r="AGF69" s="368"/>
      <c r="AGG69" s="368"/>
      <c r="AGH69" s="368"/>
      <c r="AGI69" s="368"/>
      <c r="AGJ69" s="368"/>
      <c r="AGK69" s="368"/>
      <c r="AGL69" s="368"/>
      <c r="AGM69" s="368"/>
      <c r="AGN69" s="368"/>
      <c r="AGO69" s="368"/>
      <c r="AGP69" s="368"/>
      <c r="AGQ69" s="368"/>
      <c r="AGR69" s="368"/>
      <c r="AGS69" s="368"/>
      <c r="AGT69" s="368"/>
      <c r="AGU69" s="368"/>
      <c r="AGV69" s="368"/>
      <c r="AGW69" s="368"/>
      <c r="AGX69" s="368"/>
      <c r="AGY69" s="368"/>
      <c r="AGZ69" s="368"/>
      <c r="AHA69" s="368"/>
      <c r="AHB69" s="368"/>
      <c r="AHC69" s="368"/>
      <c r="AHD69" s="368"/>
      <c r="AHE69" s="368"/>
      <c r="AHF69" s="368"/>
      <c r="AHG69" s="368"/>
      <c r="AHH69" s="368"/>
      <c r="AHI69" s="368"/>
      <c r="AHJ69" s="368"/>
      <c r="AHK69" s="368"/>
      <c r="AHL69" s="368"/>
      <c r="AHM69" s="368"/>
      <c r="AHN69" s="368"/>
      <c r="AHO69" s="368"/>
      <c r="AHP69" s="368"/>
      <c r="AHQ69" s="368"/>
      <c r="AHR69" s="368"/>
      <c r="AHS69" s="368"/>
      <c r="AHT69" s="368"/>
      <c r="AHU69" s="368"/>
      <c r="AHV69" s="368"/>
      <c r="AHW69" s="368"/>
      <c r="AHX69" s="368"/>
      <c r="AHY69" s="368"/>
      <c r="AHZ69" s="368"/>
      <c r="AIA69" s="368"/>
      <c r="AIB69" s="368"/>
      <c r="AIC69" s="368"/>
      <c r="AID69" s="368"/>
      <c r="AIE69" s="368"/>
      <c r="AIF69" s="368"/>
      <c r="AIG69" s="368"/>
      <c r="AIH69" s="368"/>
      <c r="AII69" s="368"/>
      <c r="AIJ69" s="368"/>
      <c r="AIK69" s="368"/>
      <c r="AIL69" s="368"/>
      <c r="AIM69" s="368"/>
      <c r="AIN69" s="368"/>
      <c r="AIO69" s="368"/>
      <c r="AIP69" s="368"/>
      <c r="AIQ69" s="368"/>
      <c r="AIR69" s="368"/>
      <c r="AIS69" s="368"/>
      <c r="AIT69" s="368"/>
      <c r="AIU69" s="368"/>
      <c r="AIV69" s="368"/>
      <c r="AIW69" s="368"/>
      <c r="AIX69" s="368"/>
      <c r="AIY69" s="368"/>
      <c r="AIZ69" s="368"/>
      <c r="AJA69" s="368"/>
      <c r="AJB69" s="368"/>
      <c r="AJC69" s="368"/>
      <c r="AJD69" s="368"/>
      <c r="AJE69" s="368"/>
      <c r="AJF69" s="368"/>
      <c r="AJG69" s="368"/>
      <c r="AJH69" s="368"/>
      <c r="AJI69" s="368"/>
      <c r="AJJ69" s="368"/>
      <c r="AJK69" s="368"/>
      <c r="AJL69" s="368"/>
      <c r="AJM69" s="368"/>
      <c r="AJN69" s="368"/>
      <c r="AJO69" s="368"/>
      <c r="AJP69" s="368"/>
      <c r="AJQ69" s="368"/>
      <c r="AJR69" s="368"/>
      <c r="AJS69" s="368"/>
      <c r="AJT69" s="368"/>
      <c r="AJU69" s="368"/>
      <c r="AJV69" s="368"/>
      <c r="AJW69" s="368"/>
      <c r="AJX69" s="368"/>
      <c r="AJY69" s="368"/>
      <c r="AJZ69" s="368"/>
      <c r="AKA69" s="368"/>
      <c r="AKB69" s="368"/>
      <c r="AKC69" s="368"/>
      <c r="AKD69" s="368"/>
      <c r="AKE69" s="368"/>
      <c r="AKF69" s="368"/>
      <c r="AKG69" s="368"/>
      <c r="AKH69" s="368"/>
      <c r="AKI69" s="368"/>
      <c r="AKJ69" s="368"/>
      <c r="AKK69" s="368"/>
      <c r="AKL69" s="368"/>
      <c r="AKM69" s="368"/>
      <c r="AKN69" s="368"/>
    </row>
    <row r="70" spans="1:976" s="363" customFormat="1" ht="22.5" customHeight="1" x14ac:dyDescent="0.2">
      <c r="A70" s="358" t="s">
        <v>262</v>
      </c>
      <c r="B70" s="358"/>
      <c r="C70" s="358" t="s">
        <v>221</v>
      </c>
      <c r="D70" s="358" t="s">
        <v>222</v>
      </c>
      <c r="E70" s="359">
        <v>409970</v>
      </c>
      <c r="F70" s="359">
        <v>1111</v>
      </c>
      <c r="G70" s="359">
        <v>164</v>
      </c>
      <c r="H70" s="359">
        <v>0</v>
      </c>
      <c r="I70" s="360">
        <v>45813</v>
      </c>
      <c r="J70" s="358" t="s">
        <v>395</v>
      </c>
      <c r="K70" s="358" t="s">
        <v>480</v>
      </c>
      <c r="L70" s="361">
        <v>1357.42</v>
      </c>
      <c r="M70" s="361">
        <v>74.66</v>
      </c>
      <c r="N70" s="448">
        <v>1432.08</v>
      </c>
      <c r="O70" s="358"/>
      <c r="P70" s="362">
        <v>45821</v>
      </c>
      <c r="Q70" s="361">
        <v>1432.08</v>
      </c>
      <c r="R70" s="358" t="s">
        <v>321</v>
      </c>
      <c r="S70" s="361">
        <v>0</v>
      </c>
      <c r="T70" s="361">
        <v>0</v>
      </c>
      <c r="U70" s="361">
        <v>0</v>
      </c>
      <c r="V70" s="361">
        <v>0</v>
      </c>
      <c r="W70" s="358"/>
      <c r="X70" s="358" t="s">
        <v>308</v>
      </c>
      <c r="Y70" s="358" t="s">
        <v>309</v>
      </c>
      <c r="Z70" s="358" t="s">
        <v>32</v>
      </c>
      <c r="AA70" s="358" t="s">
        <v>228</v>
      </c>
      <c r="AB70" s="358" t="s">
        <v>34</v>
      </c>
      <c r="AC70" s="358" t="s">
        <v>31</v>
      </c>
      <c r="AD70" s="358" t="s">
        <v>231</v>
      </c>
      <c r="AE70" s="358" t="s">
        <v>232</v>
      </c>
      <c r="AF70" s="358" t="s">
        <v>231</v>
      </c>
      <c r="AG70" s="358" t="s">
        <v>232</v>
      </c>
      <c r="AH70" s="358"/>
      <c r="AI70" s="358"/>
      <c r="AJ70" s="358"/>
      <c r="AK70" s="358" t="s">
        <v>481</v>
      </c>
      <c r="AL70" s="359">
        <v>1</v>
      </c>
      <c r="AM70" s="359">
        <v>0</v>
      </c>
      <c r="AN70" s="360">
        <v>45821</v>
      </c>
      <c r="AO70" s="360">
        <v>45821</v>
      </c>
      <c r="AP70" s="361">
        <v>1432.08</v>
      </c>
      <c r="AQ70" s="360">
        <v>45820</v>
      </c>
      <c r="AR70" s="368"/>
      <c r="AS70" s="368"/>
      <c r="AT70" s="368"/>
      <c r="AU70" s="368"/>
      <c r="AV70" s="368"/>
      <c r="AW70" s="368"/>
      <c r="AX70" s="368"/>
      <c r="AY70" s="368"/>
      <c r="AZ70" s="368"/>
      <c r="BA70" s="368"/>
      <c r="BB70" s="368"/>
      <c r="BC70" s="368"/>
      <c r="BD70" s="368"/>
      <c r="BE70" s="368"/>
      <c r="BF70" s="368"/>
      <c r="BG70" s="368"/>
      <c r="BH70" s="368"/>
      <c r="BI70" s="368"/>
      <c r="BJ70" s="368"/>
      <c r="BK70" s="368"/>
      <c r="BL70" s="368"/>
      <c r="BM70" s="368"/>
      <c r="BN70" s="368"/>
      <c r="BO70" s="368"/>
      <c r="BP70" s="368"/>
      <c r="BQ70" s="368"/>
      <c r="BR70" s="368"/>
      <c r="BS70" s="368"/>
      <c r="BT70" s="368"/>
      <c r="BU70" s="368"/>
      <c r="BV70" s="368"/>
      <c r="BW70" s="368"/>
      <c r="BX70" s="368"/>
      <c r="BY70" s="368"/>
      <c r="BZ70" s="368"/>
      <c r="CA70" s="368"/>
      <c r="CB70" s="368"/>
      <c r="CC70" s="368"/>
      <c r="CD70" s="368"/>
      <c r="CE70" s="368"/>
      <c r="CF70" s="368"/>
      <c r="CG70" s="368"/>
      <c r="CH70" s="368"/>
      <c r="CI70" s="368"/>
      <c r="CJ70" s="368"/>
      <c r="CK70" s="368"/>
      <c r="CL70" s="368"/>
      <c r="CM70" s="368"/>
      <c r="CN70" s="368"/>
      <c r="CO70" s="368"/>
      <c r="CP70" s="368"/>
      <c r="CQ70" s="368"/>
      <c r="CR70" s="368"/>
      <c r="CS70" s="368"/>
      <c r="CT70" s="368"/>
      <c r="CU70" s="368"/>
      <c r="CV70" s="368"/>
      <c r="CW70" s="368"/>
      <c r="CX70" s="368"/>
      <c r="CY70" s="368"/>
      <c r="CZ70" s="368"/>
      <c r="DA70" s="368"/>
      <c r="DB70" s="368"/>
      <c r="DC70" s="368"/>
      <c r="DD70" s="368"/>
      <c r="DE70" s="368"/>
      <c r="DF70" s="368"/>
      <c r="DG70" s="368"/>
      <c r="DH70" s="368"/>
      <c r="DI70" s="368"/>
      <c r="DJ70" s="368"/>
      <c r="DK70" s="368"/>
      <c r="DL70" s="368"/>
      <c r="DM70" s="368"/>
      <c r="DN70" s="368"/>
      <c r="DO70" s="368"/>
      <c r="DP70" s="368"/>
      <c r="DQ70" s="368"/>
      <c r="DR70" s="368"/>
      <c r="DS70" s="368"/>
      <c r="DT70" s="368"/>
      <c r="DU70" s="368"/>
      <c r="DV70" s="368"/>
      <c r="DW70" s="368"/>
      <c r="DX70" s="368"/>
      <c r="DY70" s="368"/>
      <c r="DZ70" s="368"/>
      <c r="EA70" s="368"/>
      <c r="EB70" s="368"/>
      <c r="EC70" s="368"/>
      <c r="ED70" s="368"/>
      <c r="EE70" s="368"/>
      <c r="EF70" s="368"/>
      <c r="EG70" s="368"/>
      <c r="EH70" s="368"/>
      <c r="EI70" s="368"/>
      <c r="EJ70" s="368"/>
      <c r="EK70" s="368"/>
      <c r="EL70" s="368"/>
      <c r="EM70" s="368"/>
      <c r="EN70" s="368"/>
      <c r="EO70" s="368"/>
      <c r="EP70" s="368"/>
      <c r="EQ70" s="368"/>
      <c r="ER70" s="368"/>
      <c r="ES70" s="368"/>
      <c r="ET70" s="368"/>
      <c r="EU70" s="368"/>
      <c r="EV70" s="368"/>
      <c r="EW70" s="368"/>
      <c r="EX70" s="368"/>
      <c r="EY70" s="368"/>
      <c r="EZ70" s="368"/>
      <c r="FA70" s="368"/>
      <c r="FB70" s="368"/>
      <c r="FC70" s="368"/>
      <c r="FD70" s="368"/>
      <c r="FE70" s="368"/>
      <c r="FF70" s="368"/>
      <c r="FG70" s="368"/>
      <c r="FH70" s="368"/>
      <c r="FI70" s="368"/>
      <c r="FJ70" s="368"/>
      <c r="FK70" s="368"/>
      <c r="FL70" s="368"/>
      <c r="FM70" s="368"/>
      <c r="FN70" s="368"/>
      <c r="FO70" s="368"/>
      <c r="FP70" s="368"/>
      <c r="FQ70" s="368"/>
      <c r="FR70" s="368"/>
      <c r="FS70" s="368"/>
      <c r="FT70" s="368"/>
      <c r="FU70" s="368"/>
      <c r="FV70" s="368"/>
      <c r="FW70" s="368"/>
      <c r="FX70" s="368"/>
      <c r="FY70" s="368"/>
      <c r="FZ70" s="368"/>
      <c r="GA70" s="368"/>
      <c r="GB70" s="368"/>
      <c r="GC70" s="368"/>
      <c r="GD70" s="368"/>
      <c r="GE70" s="368"/>
      <c r="GF70" s="368"/>
      <c r="GG70" s="368"/>
      <c r="GH70" s="368"/>
      <c r="GI70" s="368"/>
      <c r="GJ70" s="368"/>
      <c r="GK70" s="368"/>
      <c r="GL70" s="368"/>
      <c r="GM70" s="368"/>
      <c r="GN70" s="368"/>
      <c r="GO70" s="368"/>
      <c r="GP70" s="368"/>
      <c r="GQ70" s="368"/>
      <c r="GR70" s="368"/>
      <c r="GS70" s="368"/>
      <c r="GT70" s="368"/>
      <c r="GU70" s="368"/>
      <c r="GV70" s="368"/>
      <c r="GW70" s="368"/>
      <c r="GX70" s="368"/>
      <c r="GY70" s="368"/>
      <c r="GZ70" s="368"/>
      <c r="HA70" s="368"/>
      <c r="HB70" s="368"/>
      <c r="HC70" s="368"/>
      <c r="HD70" s="368"/>
      <c r="HE70" s="368"/>
      <c r="HF70" s="368"/>
      <c r="HG70" s="368"/>
      <c r="HH70" s="368"/>
      <c r="HI70" s="368"/>
      <c r="HJ70" s="368"/>
      <c r="HK70" s="368"/>
      <c r="HL70" s="368"/>
      <c r="HM70" s="368"/>
      <c r="HN70" s="368"/>
      <c r="HO70" s="368"/>
      <c r="HP70" s="368"/>
      <c r="HQ70" s="368"/>
      <c r="HR70" s="368"/>
      <c r="HS70" s="368"/>
      <c r="HT70" s="368"/>
      <c r="HU70" s="368"/>
      <c r="HV70" s="368"/>
      <c r="HW70" s="368"/>
      <c r="HX70" s="368"/>
      <c r="HY70" s="368"/>
      <c r="HZ70" s="368"/>
      <c r="IA70" s="368"/>
      <c r="IB70" s="368"/>
      <c r="IC70" s="368"/>
      <c r="ID70" s="368"/>
      <c r="IE70" s="368"/>
      <c r="IF70" s="368"/>
      <c r="IG70" s="368"/>
      <c r="IH70" s="368"/>
      <c r="II70" s="368"/>
      <c r="IJ70" s="368"/>
      <c r="IK70" s="368"/>
      <c r="IL70" s="368"/>
      <c r="IM70" s="368"/>
      <c r="IN70" s="368"/>
      <c r="IO70" s="368"/>
      <c r="IP70" s="368"/>
      <c r="IQ70" s="368"/>
      <c r="IR70" s="368"/>
      <c r="IS70" s="368"/>
      <c r="IT70" s="368"/>
      <c r="IU70" s="368"/>
      <c r="IV70" s="368"/>
      <c r="IW70" s="368"/>
      <c r="IX70" s="368"/>
      <c r="IY70" s="368"/>
      <c r="IZ70" s="368"/>
      <c r="JA70" s="368"/>
      <c r="JB70" s="368"/>
      <c r="JC70" s="368"/>
      <c r="JD70" s="368"/>
      <c r="JE70" s="368"/>
      <c r="JF70" s="368"/>
      <c r="JG70" s="368"/>
      <c r="JH70" s="368"/>
      <c r="JI70" s="368"/>
      <c r="JJ70" s="368"/>
      <c r="JK70" s="368"/>
      <c r="JL70" s="368"/>
      <c r="JM70" s="368"/>
      <c r="JN70" s="368"/>
      <c r="JO70" s="368"/>
      <c r="JP70" s="368"/>
      <c r="JQ70" s="368"/>
      <c r="JR70" s="368"/>
      <c r="JS70" s="368"/>
      <c r="JT70" s="368"/>
      <c r="JU70" s="368"/>
      <c r="JV70" s="368"/>
      <c r="JW70" s="368"/>
      <c r="JX70" s="368"/>
      <c r="JY70" s="368"/>
      <c r="JZ70" s="368"/>
      <c r="KA70" s="368"/>
      <c r="KB70" s="368"/>
      <c r="KC70" s="368"/>
      <c r="KD70" s="368"/>
      <c r="KE70" s="368"/>
      <c r="KF70" s="368"/>
      <c r="KG70" s="368"/>
      <c r="KH70" s="368"/>
      <c r="KI70" s="368"/>
      <c r="KJ70" s="368"/>
      <c r="KK70" s="368"/>
      <c r="KL70" s="368"/>
      <c r="KM70" s="368"/>
      <c r="KN70" s="368"/>
      <c r="KO70" s="368"/>
      <c r="KP70" s="368"/>
      <c r="KQ70" s="368"/>
      <c r="KR70" s="368"/>
      <c r="KS70" s="368"/>
      <c r="KT70" s="368"/>
      <c r="KU70" s="368"/>
      <c r="KV70" s="368"/>
      <c r="KW70" s="368"/>
      <c r="KX70" s="368"/>
      <c r="KY70" s="368"/>
      <c r="KZ70" s="368"/>
      <c r="LA70" s="368"/>
      <c r="LB70" s="368"/>
      <c r="LC70" s="368"/>
      <c r="LD70" s="368"/>
      <c r="LE70" s="368"/>
      <c r="LF70" s="368"/>
      <c r="LG70" s="368"/>
      <c r="LH70" s="368"/>
      <c r="LI70" s="368"/>
      <c r="LJ70" s="368"/>
      <c r="LK70" s="368"/>
      <c r="LL70" s="368"/>
      <c r="LM70" s="368"/>
      <c r="LN70" s="368"/>
      <c r="LO70" s="368"/>
      <c r="LP70" s="368"/>
      <c r="LQ70" s="368"/>
      <c r="LR70" s="368"/>
      <c r="LS70" s="368"/>
      <c r="LT70" s="368"/>
      <c r="LU70" s="368"/>
      <c r="LV70" s="368"/>
      <c r="LW70" s="368"/>
      <c r="LX70" s="368"/>
      <c r="LY70" s="368"/>
      <c r="LZ70" s="368"/>
      <c r="MA70" s="368"/>
      <c r="MB70" s="368"/>
      <c r="MC70" s="368"/>
      <c r="MD70" s="368"/>
      <c r="ME70" s="368"/>
      <c r="MF70" s="368"/>
      <c r="MG70" s="368"/>
      <c r="MH70" s="368"/>
      <c r="MI70" s="368"/>
      <c r="MJ70" s="368"/>
      <c r="MK70" s="368"/>
      <c r="ML70" s="368"/>
      <c r="MM70" s="368"/>
      <c r="MN70" s="368"/>
      <c r="MO70" s="368"/>
      <c r="MP70" s="368"/>
      <c r="MQ70" s="368"/>
      <c r="MR70" s="368"/>
      <c r="MS70" s="368"/>
      <c r="MT70" s="368"/>
      <c r="MU70" s="368"/>
      <c r="MV70" s="368"/>
      <c r="MW70" s="368"/>
      <c r="MX70" s="368"/>
      <c r="MY70" s="368"/>
      <c r="MZ70" s="368"/>
      <c r="NA70" s="368"/>
      <c r="NB70" s="368"/>
      <c r="NC70" s="368"/>
      <c r="ND70" s="368"/>
      <c r="NE70" s="368"/>
      <c r="NF70" s="368"/>
      <c r="NG70" s="368"/>
      <c r="NH70" s="368"/>
      <c r="NI70" s="368"/>
      <c r="NJ70" s="368"/>
      <c r="NK70" s="368"/>
      <c r="NL70" s="368"/>
      <c r="NM70" s="368"/>
      <c r="NN70" s="368"/>
      <c r="NO70" s="368"/>
      <c r="NP70" s="368"/>
      <c r="NQ70" s="368"/>
      <c r="NR70" s="368"/>
      <c r="NS70" s="368"/>
      <c r="NT70" s="368"/>
      <c r="NU70" s="368"/>
      <c r="NV70" s="368"/>
      <c r="NW70" s="368"/>
      <c r="NX70" s="368"/>
      <c r="NY70" s="368"/>
      <c r="NZ70" s="368"/>
      <c r="OA70" s="368"/>
      <c r="OB70" s="368"/>
      <c r="OC70" s="368"/>
      <c r="OD70" s="368"/>
      <c r="OE70" s="368"/>
      <c r="OF70" s="368"/>
      <c r="OG70" s="368"/>
      <c r="OH70" s="368"/>
      <c r="OI70" s="368"/>
      <c r="OJ70" s="368"/>
      <c r="OK70" s="368"/>
      <c r="OL70" s="368"/>
      <c r="OM70" s="368"/>
      <c r="ON70" s="368"/>
      <c r="OO70" s="368"/>
      <c r="OP70" s="368"/>
      <c r="OQ70" s="368"/>
      <c r="OR70" s="368"/>
      <c r="OS70" s="368"/>
      <c r="OT70" s="368"/>
      <c r="OU70" s="368"/>
      <c r="OV70" s="368"/>
      <c r="OW70" s="368"/>
      <c r="OX70" s="368"/>
      <c r="OY70" s="368"/>
      <c r="OZ70" s="368"/>
      <c r="PA70" s="368"/>
      <c r="PB70" s="368"/>
      <c r="PC70" s="368"/>
      <c r="PD70" s="368"/>
      <c r="PE70" s="368"/>
      <c r="PF70" s="368"/>
      <c r="PG70" s="368"/>
      <c r="PH70" s="368"/>
      <c r="PI70" s="368"/>
      <c r="PJ70" s="368"/>
      <c r="PK70" s="368"/>
      <c r="PL70" s="368"/>
      <c r="PM70" s="368"/>
      <c r="PN70" s="368"/>
      <c r="PO70" s="368"/>
      <c r="PP70" s="368"/>
      <c r="PQ70" s="368"/>
      <c r="PR70" s="368"/>
      <c r="PS70" s="368"/>
      <c r="PT70" s="368"/>
      <c r="PU70" s="368"/>
      <c r="PV70" s="368"/>
      <c r="PW70" s="368"/>
      <c r="PX70" s="368"/>
      <c r="PY70" s="368"/>
      <c r="PZ70" s="368"/>
      <c r="QA70" s="368"/>
      <c r="QB70" s="368"/>
      <c r="QC70" s="368"/>
      <c r="QD70" s="368"/>
      <c r="QE70" s="368"/>
      <c r="QF70" s="368"/>
      <c r="QG70" s="368"/>
      <c r="QH70" s="368"/>
      <c r="QI70" s="368"/>
      <c r="QJ70" s="368"/>
      <c r="QK70" s="368"/>
      <c r="QL70" s="368"/>
      <c r="QM70" s="368"/>
      <c r="QN70" s="368"/>
      <c r="QO70" s="368"/>
      <c r="QP70" s="368"/>
      <c r="QQ70" s="368"/>
      <c r="QR70" s="368"/>
      <c r="QS70" s="368"/>
      <c r="QT70" s="368"/>
      <c r="QU70" s="368"/>
      <c r="QV70" s="368"/>
      <c r="QW70" s="368"/>
      <c r="QX70" s="368"/>
      <c r="QY70" s="368"/>
      <c r="QZ70" s="368"/>
      <c r="RA70" s="368"/>
      <c r="RB70" s="368"/>
      <c r="RC70" s="368"/>
      <c r="RD70" s="368"/>
      <c r="RE70" s="368"/>
      <c r="RF70" s="368"/>
      <c r="RG70" s="368"/>
      <c r="RH70" s="368"/>
      <c r="RI70" s="368"/>
      <c r="RJ70" s="368"/>
      <c r="RK70" s="368"/>
      <c r="RL70" s="368"/>
      <c r="RM70" s="368"/>
      <c r="RN70" s="368"/>
      <c r="RO70" s="368"/>
      <c r="RP70" s="368"/>
      <c r="RQ70" s="368"/>
      <c r="RR70" s="368"/>
      <c r="RS70" s="368"/>
      <c r="RT70" s="368"/>
      <c r="RU70" s="368"/>
      <c r="RV70" s="368"/>
      <c r="RW70" s="368"/>
      <c r="RX70" s="368"/>
      <c r="RY70" s="368"/>
      <c r="RZ70" s="368"/>
      <c r="SA70" s="368"/>
      <c r="SB70" s="368"/>
      <c r="SC70" s="368"/>
      <c r="SD70" s="368"/>
      <c r="SE70" s="368"/>
      <c r="SF70" s="368"/>
      <c r="SG70" s="368"/>
      <c r="SH70" s="368"/>
      <c r="SI70" s="368"/>
      <c r="SJ70" s="368"/>
      <c r="SK70" s="368"/>
      <c r="SL70" s="368"/>
      <c r="SM70" s="368"/>
      <c r="SN70" s="368"/>
      <c r="SO70" s="368"/>
      <c r="SP70" s="368"/>
      <c r="SQ70" s="368"/>
      <c r="SR70" s="368"/>
      <c r="SS70" s="368"/>
      <c r="ST70" s="368"/>
      <c r="SU70" s="368"/>
      <c r="SV70" s="368"/>
      <c r="SW70" s="368"/>
      <c r="SX70" s="368"/>
      <c r="SY70" s="368"/>
      <c r="SZ70" s="368"/>
      <c r="TA70" s="368"/>
      <c r="TB70" s="368"/>
      <c r="TC70" s="368"/>
      <c r="TD70" s="368"/>
      <c r="TE70" s="368"/>
      <c r="TF70" s="368"/>
      <c r="TG70" s="368"/>
      <c r="TH70" s="368"/>
      <c r="TI70" s="368"/>
      <c r="TJ70" s="368"/>
      <c r="TK70" s="368"/>
      <c r="TL70" s="368"/>
      <c r="TM70" s="368"/>
      <c r="TN70" s="368"/>
      <c r="TO70" s="368"/>
      <c r="TP70" s="368"/>
      <c r="TQ70" s="368"/>
      <c r="TR70" s="368"/>
      <c r="TS70" s="368"/>
      <c r="TT70" s="368"/>
      <c r="TU70" s="368"/>
      <c r="TV70" s="368"/>
      <c r="TW70" s="368"/>
      <c r="TX70" s="368"/>
      <c r="TY70" s="368"/>
      <c r="TZ70" s="368"/>
      <c r="UA70" s="368"/>
      <c r="UB70" s="368"/>
      <c r="UC70" s="368"/>
      <c r="UD70" s="368"/>
      <c r="UE70" s="368"/>
      <c r="UF70" s="368"/>
      <c r="UG70" s="368"/>
      <c r="UH70" s="368"/>
      <c r="UI70" s="368"/>
      <c r="UJ70" s="368"/>
      <c r="UK70" s="368"/>
      <c r="UL70" s="368"/>
      <c r="UM70" s="368"/>
      <c r="UN70" s="368"/>
      <c r="UO70" s="368"/>
      <c r="UP70" s="368"/>
      <c r="UQ70" s="368"/>
      <c r="UR70" s="368"/>
      <c r="US70" s="368"/>
      <c r="UT70" s="368"/>
      <c r="UU70" s="368"/>
      <c r="UV70" s="368"/>
      <c r="UW70" s="368"/>
      <c r="UX70" s="368"/>
      <c r="UY70" s="368"/>
      <c r="UZ70" s="368"/>
      <c r="VA70" s="368"/>
      <c r="VB70" s="368"/>
      <c r="VC70" s="368"/>
      <c r="VD70" s="368"/>
      <c r="VE70" s="368"/>
      <c r="VF70" s="368"/>
      <c r="VG70" s="368"/>
      <c r="VH70" s="368"/>
      <c r="VI70" s="368"/>
      <c r="VJ70" s="368"/>
      <c r="VK70" s="368"/>
      <c r="VL70" s="368"/>
      <c r="VM70" s="368"/>
      <c r="VN70" s="368"/>
      <c r="VO70" s="368"/>
      <c r="VP70" s="368"/>
      <c r="VQ70" s="368"/>
      <c r="VR70" s="368"/>
      <c r="VS70" s="368"/>
      <c r="VT70" s="368"/>
      <c r="VU70" s="368"/>
      <c r="VV70" s="368"/>
      <c r="VW70" s="368"/>
      <c r="VX70" s="368"/>
      <c r="VY70" s="368"/>
      <c r="VZ70" s="368"/>
      <c r="WA70" s="368"/>
      <c r="WB70" s="368"/>
      <c r="WC70" s="368"/>
      <c r="WD70" s="368"/>
      <c r="WE70" s="368"/>
      <c r="WF70" s="368"/>
      <c r="WG70" s="368"/>
      <c r="WH70" s="368"/>
      <c r="WI70" s="368"/>
      <c r="WJ70" s="368"/>
      <c r="WK70" s="368"/>
      <c r="WL70" s="368"/>
      <c r="WM70" s="368"/>
      <c r="WN70" s="368"/>
      <c r="WO70" s="368"/>
      <c r="WP70" s="368"/>
      <c r="WQ70" s="368"/>
      <c r="WR70" s="368"/>
      <c r="WS70" s="368"/>
      <c r="WT70" s="368"/>
      <c r="WU70" s="368"/>
      <c r="WV70" s="368"/>
      <c r="WW70" s="368"/>
      <c r="WX70" s="368"/>
      <c r="WY70" s="368"/>
      <c r="WZ70" s="368"/>
      <c r="XA70" s="368"/>
      <c r="XB70" s="368"/>
      <c r="XC70" s="368"/>
      <c r="XD70" s="368"/>
      <c r="XE70" s="368"/>
      <c r="XF70" s="368"/>
      <c r="XG70" s="368"/>
      <c r="XH70" s="368"/>
      <c r="XI70" s="368"/>
      <c r="XJ70" s="368"/>
      <c r="XK70" s="368"/>
      <c r="XL70" s="368"/>
      <c r="XM70" s="368"/>
      <c r="XN70" s="368"/>
      <c r="XO70" s="368"/>
      <c r="XP70" s="368"/>
      <c r="XQ70" s="368"/>
      <c r="XR70" s="368"/>
      <c r="XS70" s="368"/>
      <c r="XT70" s="368"/>
      <c r="XU70" s="368"/>
      <c r="XV70" s="368"/>
      <c r="XW70" s="368"/>
      <c r="XX70" s="368"/>
      <c r="XY70" s="368"/>
      <c r="XZ70" s="368"/>
      <c r="YA70" s="368"/>
      <c r="YB70" s="368"/>
      <c r="YC70" s="368"/>
      <c r="YD70" s="368"/>
      <c r="YE70" s="368"/>
      <c r="YF70" s="368"/>
      <c r="YG70" s="368"/>
      <c r="YH70" s="368"/>
      <c r="YI70" s="368"/>
      <c r="YJ70" s="368"/>
      <c r="YK70" s="368"/>
      <c r="YL70" s="368"/>
      <c r="YM70" s="368"/>
      <c r="YN70" s="368"/>
      <c r="YO70" s="368"/>
      <c r="YP70" s="368"/>
      <c r="YQ70" s="368"/>
      <c r="YR70" s="368"/>
      <c r="YS70" s="368"/>
      <c r="YT70" s="368"/>
      <c r="YU70" s="368"/>
      <c r="YV70" s="368"/>
      <c r="YW70" s="368"/>
      <c r="YX70" s="368"/>
      <c r="YY70" s="368"/>
      <c r="YZ70" s="368"/>
      <c r="ZA70" s="368"/>
      <c r="ZB70" s="368"/>
      <c r="ZC70" s="368"/>
      <c r="ZD70" s="368"/>
      <c r="ZE70" s="368"/>
      <c r="ZF70" s="368"/>
      <c r="ZG70" s="368"/>
      <c r="ZH70" s="368"/>
      <c r="ZI70" s="368"/>
      <c r="ZJ70" s="368"/>
      <c r="ZK70" s="368"/>
      <c r="ZL70" s="368"/>
      <c r="ZM70" s="368"/>
      <c r="ZN70" s="368"/>
      <c r="ZO70" s="368"/>
      <c r="ZP70" s="368"/>
      <c r="ZQ70" s="368"/>
      <c r="ZR70" s="368"/>
      <c r="ZS70" s="368"/>
      <c r="ZT70" s="368"/>
      <c r="ZU70" s="368"/>
      <c r="ZV70" s="368"/>
      <c r="ZW70" s="368"/>
      <c r="ZX70" s="368"/>
      <c r="ZY70" s="368"/>
      <c r="ZZ70" s="368"/>
      <c r="AAA70" s="368"/>
      <c r="AAB70" s="368"/>
      <c r="AAC70" s="368"/>
      <c r="AAD70" s="368"/>
      <c r="AAE70" s="368"/>
      <c r="AAF70" s="368"/>
      <c r="AAG70" s="368"/>
      <c r="AAH70" s="368"/>
      <c r="AAI70" s="368"/>
      <c r="AAJ70" s="368"/>
      <c r="AAK70" s="368"/>
      <c r="AAL70" s="368"/>
      <c r="AAM70" s="368"/>
      <c r="AAN70" s="368"/>
      <c r="AAO70" s="368"/>
      <c r="AAP70" s="368"/>
      <c r="AAQ70" s="368"/>
      <c r="AAR70" s="368"/>
      <c r="AAS70" s="368"/>
      <c r="AAT70" s="368"/>
      <c r="AAU70" s="368"/>
      <c r="AAV70" s="368"/>
      <c r="AAW70" s="368"/>
      <c r="AAX70" s="368"/>
      <c r="AAY70" s="368"/>
      <c r="AAZ70" s="368"/>
      <c r="ABA70" s="368"/>
      <c r="ABB70" s="368"/>
      <c r="ABC70" s="368"/>
      <c r="ABD70" s="368"/>
      <c r="ABE70" s="368"/>
      <c r="ABF70" s="368"/>
      <c r="ABG70" s="368"/>
      <c r="ABH70" s="368"/>
      <c r="ABI70" s="368"/>
      <c r="ABJ70" s="368"/>
      <c r="ABK70" s="368"/>
      <c r="ABL70" s="368"/>
      <c r="ABM70" s="368"/>
      <c r="ABN70" s="368"/>
      <c r="ABO70" s="368"/>
      <c r="ABP70" s="368"/>
      <c r="ABQ70" s="368"/>
      <c r="ABR70" s="368"/>
      <c r="ABS70" s="368"/>
      <c r="ABT70" s="368"/>
      <c r="ABU70" s="368"/>
      <c r="ABV70" s="368"/>
      <c r="ABW70" s="368"/>
      <c r="ABX70" s="368"/>
      <c r="ABY70" s="368"/>
      <c r="ABZ70" s="368"/>
      <c r="ACA70" s="368"/>
      <c r="ACB70" s="368"/>
      <c r="ACC70" s="368"/>
      <c r="ACD70" s="368"/>
      <c r="ACE70" s="368"/>
      <c r="ACF70" s="368"/>
      <c r="ACG70" s="368"/>
      <c r="ACH70" s="368"/>
      <c r="ACI70" s="368"/>
      <c r="ACJ70" s="368"/>
      <c r="ACK70" s="368"/>
      <c r="ACL70" s="368"/>
      <c r="ACM70" s="368"/>
      <c r="ACN70" s="368"/>
      <c r="ACO70" s="368"/>
      <c r="ACP70" s="368"/>
      <c r="ACQ70" s="368"/>
      <c r="ACR70" s="368"/>
      <c r="ACS70" s="368"/>
      <c r="ACT70" s="368"/>
      <c r="ACU70" s="368"/>
      <c r="ACV70" s="368"/>
      <c r="ACW70" s="368"/>
      <c r="ACX70" s="368"/>
      <c r="ACY70" s="368"/>
      <c r="ACZ70" s="368"/>
      <c r="ADA70" s="368"/>
      <c r="ADB70" s="368"/>
      <c r="ADC70" s="368"/>
      <c r="ADD70" s="368"/>
      <c r="ADE70" s="368"/>
      <c r="ADF70" s="368"/>
      <c r="ADG70" s="368"/>
      <c r="ADH70" s="368"/>
      <c r="ADI70" s="368"/>
      <c r="ADJ70" s="368"/>
      <c r="ADK70" s="368"/>
      <c r="ADL70" s="368"/>
      <c r="ADM70" s="368"/>
      <c r="ADN70" s="368"/>
      <c r="ADO70" s="368"/>
      <c r="ADP70" s="368"/>
      <c r="ADQ70" s="368"/>
      <c r="ADR70" s="368"/>
      <c r="ADS70" s="368"/>
      <c r="ADT70" s="368"/>
      <c r="ADU70" s="368"/>
      <c r="ADV70" s="368"/>
      <c r="ADW70" s="368"/>
      <c r="ADX70" s="368"/>
      <c r="ADY70" s="368"/>
      <c r="ADZ70" s="368"/>
      <c r="AEA70" s="368"/>
      <c r="AEB70" s="368"/>
      <c r="AEC70" s="368"/>
      <c r="AED70" s="368"/>
      <c r="AEE70" s="368"/>
      <c r="AEF70" s="368"/>
      <c r="AEG70" s="368"/>
      <c r="AEH70" s="368"/>
      <c r="AEI70" s="368"/>
      <c r="AEJ70" s="368"/>
      <c r="AEK70" s="368"/>
      <c r="AEL70" s="368"/>
      <c r="AEM70" s="368"/>
      <c r="AEN70" s="368"/>
      <c r="AEO70" s="368"/>
      <c r="AEP70" s="368"/>
      <c r="AEQ70" s="368"/>
      <c r="AER70" s="368"/>
      <c r="AES70" s="368"/>
      <c r="AET70" s="368"/>
      <c r="AEU70" s="368"/>
      <c r="AEV70" s="368"/>
      <c r="AEW70" s="368"/>
      <c r="AEX70" s="368"/>
      <c r="AEY70" s="368"/>
      <c r="AEZ70" s="368"/>
      <c r="AFA70" s="368"/>
      <c r="AFB70" s="368"/>
      <c r="AFC70" s="368"/>
      <c r="AFD70" s="368"/>
      <c r="AFE70" s="368"/>
      <c r="AFF70" s="368"/>
      <c r="AFG70" s="368"/>
      <c r="AFH70" s="368"/>
      <c r="AFI70" s="368"/>
      <c r="AFJ70" s="368"/>
      <c r="AFK70" s="368"/>
      <c r="AFL70" s="368"/>
      <c r="AFM70" s="368"/>
      <c r="AFN70" s="368"/>
      <c r="AFO70" s="368"/>
      <c r="AFP70" s="368"/>
      <c r="AFQ70" s="368"/>
      <c r="AFR70" s="368"/>
      <c r="AFS70" s="368"/>
      <c r="AFT70" s="368"/>
      <c r="AFU70" s="368"/>
      <c r="AFV70" s="368"/>
      <c r="AFW70" s="368"/>
      <c r="AFX70" s="368"/>
      <c r="AFY70" s="368"/>
      <c r="AFZ70" s="368"/>
      <c r="AGA70" s="368"/>
      <c r="AGB70" s="368"/>
      <c r="AGC70" s="368"/>
      <c r="AGD70" s="368"/>
      <c r="AGE70" s="368"/>
      <c r="AGF70" s="368"/>
      <c r="AGG70" s="368"/>
      <c r="AGH70" s="368"/>
      <c r="AGI70" s="368"/>
      <c r="AGJ70" s="368"/>
      <c r="AGK70" s="368"/>
      <c r="AGL70" s="368"/>
      <c r="AGM70" s="368"/>
      <c r="AGN70" s="368"/>
      <c r="AGO70" s="368"/>
      <c r="AGP70" s="368"/>
      <c r="AGQ70" s="368"/>
      <c r="AGR70" s="368"/>
      <c r="AGS70" s="368"/>
      <c r="AGT70" s="368"/>
      <c r="AGU70" s="368"/>
      <c r="AGV70" s="368"/>
      <c r="AGW70" s="368"/>
      <c r="AGX70" s="368"/>
      <c r="AGY70" s="368"/>
      <c r="AGZ70" s="368"/>
      <c r="AHA70" s="368"/>
      <c r="AHB70" s="368"/>
      <c r="AHC70" s="368"/>
      <c r="AHD70" s="368"/>
      <c r="AHE70" s="368"/>
      <c r="AHF70" s="368"/>
      <c r="AHG70" s="368"/>
      <c r="AHH70" s="368"/>
      <c r="AHI70" s="368"/>
      <c r="AHJ70" s="368"/>
      <c r="AHK70" s="368"/>
      <c r="AHL70" s="368"/>
      <c r="AHM70" s="368"/>
      <c r="AHN70" s="368"/>
      <c r="AHO70" s="368"/>
      <c r="AHP70" s="368"/>
      <c r="AHQ70" s="368"/>
      <c r="AHR70" s="368"/>
      <c r="AHS70" s="368"/>
      <c r="AHT70" s="368"/>
      <c r="AHU70" s="368"/>
      <c r="AHV70" s="368"/>
      <c r="AHW70" s="368"/>
      <c r="AHX70" s="368"/>
      <c r="AHY70" s="368"/>
      <c r="AHZ70" s="368"/>
      <c r="AIA70" s="368"/>
      <c r="AIB70" s="368"/>
      <c r="AIC70" s="368"/>
      <c r="AID70" s="368"/>
      <c r="AIE70" s="368"/>
      <c r="AIF70" s="368"/>
      <c r="AIG70" s="368"/>
      <c r="AIH70" s="368"/>
      <c r="AII70" s="368"/>
      <c r="AIJ70" s="368"/>
      <c r="AIK70" s="368"/>
      <c r="AIL70" s="368"/>
      <c r="AIM70" s="368"/>
      <c r="AIN70" s="368"/>
      <c r="AIO70" s="368"/>
      <c r="AIP70" s="368"/>
      <c r="AIQ70" s="368"/>
      <c r="AIR70" s="368"/>
      <c r="AIS70" s="368"/>
      <c r="AIT70" s="368"/>
      <c r="AIU70" s="368"/>
      <c r="AIV70" s="368"/>
      <c r="AIW70" s="368"/>
      <c r="AIX70" s="368"/>
      <c r="AIY70" s="368"/>
      <c r="AIZ70" s="368"/>
      <c r="AJA70" s="368"/>
      <c r="AJB70" s="368"/>
      <c r="AJC70" s="368"/>
      <c r="AJD70" s="368"/>
      <c r="AJE70" s="368"/>
      <c r="AJF70" s="368"/>
      <c r="AJG70" s="368"/>
      <c r="AJH70" s="368"/>
      <c r="AJI70" s="368"/>
      <c r="AJJ70" s="368"/>
      <c r="AJK70" s="368"/>
      <c r="AJL70" s="368"/>
      <c r="AJM70" s="368"/>
      <c r="AJN70" s="368"/>
      <c r="AJO70" s="368"/>
      <c r="AJP70" s="368"/>
      <c r="AJQ70" s="368"/>
      <c r="AJR70" s="368"/>
      <c r="AJS70" s="368"/>
      <c r="AJT70" s="368"/>
      <c r="AJU70" s="368"/>
      <c r="AJV70" s="368"/>
      <c r="AJW70" s="368"/>
      <c r="AJX70" s="368"/>
      <c r="AJY70" s="368"/>
      <c r="AJZ70" s="368"/>
      <c r="AKA70" s="368"/>
      <c r="AKB70" s="368"/>
      <c r="AKC70" s="368"/>
      <c r="AKD70" s="368"/>
      <c r="AKE70" s="368"/>
      <c r="AKF70" s="368"/>
      <c r="AKG70" s="368"/>
      <c r="AKH70" s="368"/>
      <c r="AKI70" s="368"/>
      <c r="AKJ70" s="368"/>
      <c r="AKK70" s="368"/>
      <c r="AKL70" s="368"/>
      <c r="AKM70" s="368"/>
      <c r="AKN70" s="368"/>
    </row>
    <row r="71" spans="1:976" s="363" customFormat="1" ht="22.5" customHeight="1" x14ac:dyDescent="0.2">
      <c r="A71" s="358" t="s">
        <v>408</v>
      </c>
      <c r="B71" s="358"/>
      <c r="C71" s="358" t="s">
        <v>221</v>
      </c>
      <c r="D71" s="358" t="s">
        <v>222</v>
      </c>
      <c r="E71" s="359">
        <v>410817</v>
      </c>
      <c r="F71" s="359">
        <v>1166</v>
      </c>
      <c r="G71" s="359">
        <v>174</v>
      </c>
      <c r="H71" s="359">
        <v>0</v>
      </c>
      <c r="I71" s="360">
        <v>45824</v>
      </c>
      <c r="J71" s="358" t="s">
        <v>281</v>
      </c>
      <c r="K71" s="358" t="s">
        <v>482</v>
      </c>
      <c r="L71" s="361">
        <v>218.33</v>
      </c>
      <c r="M71" s="361">
        <v>43.67</v>
      </c>
      <c r="N71" s="448">
        <v>262</v>
      </c>
      <c r="O71" s="358"/>
      <c r="P71" s="362">
        <v>45826</v>
      </c>
      <c r="Q71" s="361">
        <v>262</v>
      </c>
      <c r="R71" s="358"/>
      <c r="S71" s="361">
        <v>0</v>
      </c>
      <c r="T71" s="361">
        <v>0</v>
      </c>
      <c r="U71" s="361">
        <v>0</v>
      </c>
      <c r="V71" s="361">
        <v>0</v>
      </c>
      <c r="W71" s="358"/>
      <c r="X71" s="358" t="s">
        <v>283</v>
      </c>
      <c r="Y71" s="358" t="s">
        <v>284</v>
      </c>
      <c r="Z71" s="358" t="s">
        <v>288</v>
      </c>
      <c r="AA71" s="358" t="s">
        <v>228</v>
      </c>
      <c r="AB71" s="358" t="s">
        <v>289</v>
      </c>
      <c r="AC71" s="358" t="s">
        <v>31</v>
      </c>
      <c r="AD71" s="358" t="s">
        <v>231</v>
      </c>
      <c r="AE71" s="358" t="s">
        <v>232</v>
      </c>
      <c r="AF71" s="358" t="s">
        <v>231</v>
      </c>
      <c r="AG71" s="358" t="s">
        <v>232</v>
      </c>
      <c r="AH71" s="358"/>
      <c r="AI71" s="358"/>
      <c r="AJ71" s="358"/>
      <c r="AK71" s="358"/>
      <c r="AL71" s="359">
        <v>1</v>
      </c>
      <c r="AM71" s="359">
        <v>0</v>
      </c>
      <c r="AN71" s="360">
        <v>45826</v>
      </c>
      <c r="AO71" s="360">
        <v>45825</v>
      </c>
      <c r="AP71" s="361">
        <v>262</v>
      </c>
      <c r="AQ71" s="360">
        <v>45824</v>
      </c>
      <c r="AR71" s="368"/>
      <c r="AS71" s="368"/>
      <c r="AT71" s="368"/>
      <c r="AU71" s="368"/>
      <c r="AV71" s="368"/>
      <c r="AW71" s="368"/>
      <c r="AX71" s="368"/>
      <c r="AY71" s="368"/>
      <c r="AZ71" s="368"/>
      <c r="BA71" s="368"/>
      <c r="BB71" s="368"/>
      <c r="BC71" s="368"/>
      <c r="BD71" s="368"/>
      <c r="BE71" s="368"/>
      <c r="BF71" s="368"/>
      <c r="BG71" s="368"/>
      <c r="BH71" s="368"/>
      <c r="BI71" s="368"/>
      <c r="BJ71" s="368"/>
      <c r="BK71" s="368"/>
      <c r="BL71" s="368"/>
      <c r="BM71" s="368"/>
      <c r="BN71" s="368"/>
      <c r="BO71" s="368"/>
      <c r="BP71" s="368"/>
      <c r="BQ71" s="368"/>
      <c r="BR71" s="368"/>
      <c r="BS71" s="368"/>
      <c r="BT71" s="368"/>
      <c r="BU71" s="368"/>
      <c r="BV71" s="368"/>
      <c r="BW71" s="368"/>
      <c r="BX71" s="368"/>
      <c r="BY71" s="368"/>
      <c r="BZ71" s="368"/>
      <c r="CA71" s="368"/>
      <c r="CB71" s="368"/>
      <c r="CC71" s="368"/>
      <c r="CD71" s="368"/>
      <c r="CE71" s="368"/>
      <c r="CF71" s="368"/>
      <c r="CG71" s="368"/>
      <c r="CH71" s="368"/>
      <c r="CI71" s="368"/>
      <c r="CJ71" s="368"/>
      <c r="CK71" s="368"/>
      <c r="CL71" s="368"/>
      <c r="CM71" s="368"/>
      <c r="CN71" s="368"/>
      <c r="CO71" s="368"/>
      <c r="CP71" s="368"/>
      <c r="CQ71" s="368"/>
      <c r="CR71" s="368"/>
      <c r="CS71" s="368"/>
      <c r="CT71" s="368"/>
      <c r="CU71" s="368"/>
      <c r="CV71" s="368"/>
      <c r="CW71" s="368"/>
      <c r="CX71" s="368"/>
      <c r="CY71" s="368"/>
      <c r="CZ71" s="368"/>
      <c r="DA71" s="368"/>
      <c r="DB71" s="368"/>
      <c r="DC71" s="368"/>
      <c r="DD71" s="368"/>
      <c r="DE71" s="368"/>
      <c r="DF71" s="368"/>
      <c r="DG71" s="368"/>
      <c r="DH71" s="368"/>
      <c r="DI71" s="368"/>
      <c r="DJ71" s="368"/>
      <c r="DK71" s="368"/>
      <c r="DL71" s="368"/>
      <c r="DM71" s="368"/>
      <c r="DN71" s="368"/>
      <c r="DO71" s="368"/>
      <c r="DP71" s="368"/>
      <c r="DQ71" s="368"/>
      <c r="DR71" s="368"/>
      <c r="DS71" s="368"/>
      <c r="DT71" s="368"/>
      <c r="DU71" s="368"/>
      <c r="DV71" s="368"/>
      <c r="DW71" s="368"/>
      <c r="DX71" s="368"/>
      <c r="DY71" s="368"/>
      <c r="DZ71" s="368"/>
      <c r="EA71" s="368"/>
      <c r="EB71" s="368"/>
      <c r="EC71" s="368"/>
      <c r="ED71" s="368"/>
      <c r="EE71" s="368"/>
      <c r="EF71" s="368"/>
      <c r="EG71" s="368"/>
      <c r="EH71" s="368"/>
      <c r="EI71" s="368"/>
      <c r="EJ71" s="368"/>
      <c r="EK71" s="368"/>
      <c r="EL71" s="368"/>
      <c r="EM71" s="368"/>
      <c r="EN71" s="368"/>
      <c r="EO71" s="368"/>
      <c r="EP71" s="368"/>
      <c r="EQ71" s="368"/>
      <c r="ER71" s="368"/>
      <c r="ES71" s="368"/>
      <c r="ET71" s="368"/>
      <c r="EU71" s="368"/>
      <c r="EV71" s="368"/>
      <c r="EW71" s="368"/>
      <c r="EX71" s="368"/>
      <c r="EY71" s="368"/>
      <c r="EZ71" s="368"/>
      <c r="FA71" s="368"/>
      <c r="FB71" s="368"/>
      <c r="FC71" s="368"/>
      <c r="FD71" s="368"/>
      <c r="FE71" s="368"/>
      <c r="FF71" s="368"/>
      <c r="FG71" s="368"/>
      <c r="FH71" s="368"/>
      <c r="FI71" s="368"/>
      <c r="FJ71" s="368"/>
      <c r="FK71" s="368"/>
      <c r="FL71" s="368"/>
      <c r="FM71" s="368"/>
      <c r="FN71" s="368"/>
      <c r="FO71" s="368"/>
      <c r="FP71" s="368"/>
      <c r="FQ71" s="368"/>
      <c r="FR71" s="368"/>
      <c r="FS71" s="368"/>
      <c r="FT71" s="368"/>
      <c r="FU71" s="368"/>
      <c r="FV71" s="368"/>
      <c r="FW71" s="368"/>
      <c r="FX71" s="368"/>
      <c r="FY71" s="368"/>
      <c r="FZ71" s="368"/>
      <c r="GA71" s="368"/>
      <c r="GB71" s="368"/>
      <c r="GC71" s="368"/>
      <c r="GD71" s="368"/>
      <c r="GE71" s="368"/>
      <c r="GF71" s="368"/>
      <c r="GG71" s="368"/>
      <c r="GH71" s="368"/>
      <c r="GI71" s="368"/>
      <c r="GJ71" s="368"/>
      <c r="GK71" s="368"/>
      <c r="GL71" s="368"/>
      <c r="GM71" s="368"/>
      <c r="GN71" s="368"/>
      <c r="GO71" s="368"/>
      <c r="GP71" s="368"/>
      <c r="GQ71" s="368"/>
      <c r="GR71" s="368"/>
      <c r="GS71" s="368"/>
      <c r="GT71" s="368"/>
      <c r="GU71" s="368"/>
      <c r="GV71" s="368"/>
      <c r="GW71" s="368"/>
      <c r="GX71" s="368"/>
      <c r="GY71" s="368"/>
      <c r="GZ71" s="368"/>
      <c r="HA71" s="368"/>
      <c r="HB71" s="368"/>
      <c r="HC71" s="368"/>
      <c r="HD71" s="368"/>
      <c r="HE71" s="368"/>
      <c r="HF71" s="368"/>
      <c r="HG71" s="368"/>
      <c r="HH71" s="368"/>
      <c r="HI71" s="368"/>
      <c r="HJ71" s="368"/>
      <c r="HK71" s="368"/>
      <c r="HL71" s="368"/>
      <c r="HM71" s="368"/>
      <c r="HN71" s="368"/>
      <c r="HO71" s="368"/>
      <c r="HP71" s="368"/>
      <c r="HQ71" s="368"/>
      <c r="HR71" s="368"/>
      <c r="HS71" s="368"/>
      <c r="HT71" s="368"/>
      <c r="HU71" s="368"/>
      <c r="HV71" s="368"/>
      <c r="HW71" s="368"/>
      <c r="HX71" s="368"/>
      <c r="HY71" s="368"/>
      <c r="HZ71" s="368"/>
      <c r="IA71" s="368"/>
      <c r="IB71" s="368"/>
      <c r="IC71" s="368"/>
      <c r="ID71" s="368"/>
      <c r="IE71" s="368"/>
      <c r="IF71" s="368"/>
      <c r="IG71" s="368"/>
      <c r="IH71" s="368"/>
      <c r="II71" s="368"/>
      <c r="IJ71" s="368"/>
      <c r="IK71" s="368"/>
      <c r="IL71" s="368"/>
      <c r="IM71" s="368"/>
      <c r="IN71" s="368"/>
      <c r="IO71" s="368"/>
      <c r="IP71" s="368"/>
      <c r="IQ71" s="368"/>
      <c r="IR71" s="368"/>
      <c r="IS71" s="368"/>
      <c r="IT71" s="368"/>
      <c r="IU71" s="368"/>
      <c r="IV71" s="368"/>
      <c r="IW71" s="368"/>
      <c r="IX71" s="368"/>
      <c r="IY71" s="368"/>
      <c r="IZ71" s="368"/>
      <c r="JA71" s="368"/>
      <c r="JB71" s="368"/>
      <c r="JC71" s="368"/>
      <c r="JD71" s="368"/>
      <c r="JE71" s="368"/>
      <c r="JF71" s="368"/>
      <c r="JG71" s="368"/>
      <c r="JH71" s="368"/>
      <c r="JI71" s="368"/>
      <c r="JJ71" s="368"/>
      <c r="JK71" s="368"/>
      <c r="JL71" s="368"/>
      <c r="JM71" s="368"/>
      <c r="JN71" s="368"/>
      <c r="JO71" s="368"/>
      <c r="JP71" s="368"/>
      <c r="JQ71" s="368"/>
      <c r="JR71" s="368"/>
      <c r="JS71" s="368"/>
      <c r="JT71" s="368"/>
      <c r="JU71" s="368"/>
      <c r="JV71" s="368"/>
      <c r="JW71" s="368"/>
      <c r="JX71" s="368"/>
      <c r="JY71" s="368"/>
      <c r="JZ71" s="368"/>
      <c r="KA71" s="368"/>
      <c r="KB71" s="368"/>
      <c r="KC71" s="368"/>
      <c r="KD71" s="368"/>
      <c r="KE71" s="368"/>
      <c r="KF71" s="368"/>
      <c r="KG71" s="368"/>
      <c r="KH71" s="368"/>
      <c r="KI71" s="368"/>
      <c r="KJ71" s="368"/>
      <c r="KK71" s="368"/>
      <c r="KL71" s="368"/>
      <c r="KM71" s="368"/>
      <c r="KN71" s="368"/>
      <c r="KO71" s="368"/>
      <c r="KP71" s="368"/>
      <c r="KQ71" s="368"/>
      <c r="KR71" s="368"/>
      <c r="KS71" s="368"/>
      <c r="KT71" s="368"/>
      <c r="KU71" s="368"/>
      <c r="KV71" s="368"/>
      <c r="KW71" s="368"/>
      <c r="KX71" s="368"/>
      <c r="KY71" s="368"/>
      <c r="KZ71" s="368"/>
      <c r="LA71" s="368"/>
      <c r="LB71" s="368"/>
      <c r="LC71" s="368"/>
      <c r="LD71" s="368"/>
      <c r="LE71" s="368"/>
      <c r="LF71" s="368"/>
      <c r="LG71" s="368"/>
      <c r="LH71" s="368"/>
      <c r="LI71" s="368"/>
      <c r="LJ71" s="368"/>
      <c r="LK71" s="368"/>
      <c r="LL71" s="368"/>
      <c r="LM71" s="368"/>
      <c r="LN71" s="368"/>
      <c r="LO71" s="368"/>
      <c r="LP71" s="368"/>
      <c r="LQ71" s="368"/>
      <c r="LR71" s="368"/>
      <c r="LS71" s="368"/>
      <c r="LT71" s="368"/>
      <c r="LU71" s="368"/>
      <c r="LV71" s="368"/>
      <c r="LW71" s="368"/>
      <c r="LX71" s="368"/>
      <c r="LY71" s="368"/>
      <c r="LZ71" s="368"/>
      <c r="MA71" s="368"/>
      <c r="MB71" s="368"/>
      <c r="MC71" s="368"/>
      <c r="MD71" s="368"/>
      <c r="ME71" s="368"/>
      <c r="MF71" s="368"/>
      <c r="MG71" s="368"/>
      <c r="MH71" s="368"/>
      <c r="MI71" s="368"/>
      <c r="MJ71" s="368"/>
      <c r="MK71" s="368"/>
      <c r="ML71" s="368"/>
      <c r="MM71" s="368"/>
      <c r="MN71" s="368"/>
      <c r="MO71" s="368"/>
      <c r="MP71" s="368"/>
      <c r="MQ71" s="368"/>
      <c r="MR71" s="368"/>
      <c r="MS71" s="368"/>
      <c r="MT71" s="368"/>
      <c r="MU71" s="368"/>
      <c r="MV71" s="368"/>
      <c r="MW71" s="368"/>
      <c r="MX71" s="368"/>
      <c r="MY71" s="368"/>
      <c r="MZ71" s="368"/>
      <c r="NA71" s="368"/>
      <c r="NB71" s="368"/>
      <c r="NC71" s="368"/>
      <c r="ND71" s="368"/>
      <c r="NE71" s="368"/>
      <c r="NF71" s="368"/>
      <c r="NG71" s="368"/>
      <c r="NH71" s="368"/>
      <c r="NI71" s="368"/>
      <c r="NJ71" s="368"/>
      <c r="NK71" s="368"/>
      <c r="NL71" s="368"/>
      <c r="NM71" s="368"/>
      <c r="NN71" s="368"/>
      <c r="NO71" s="368"/>
      <c r="NP71" s="368"/>
      <c r="NQ71" s="368"/>
      <c r="NR71" s="368"/>
      <c r="NS71" s="368"/>
      <c r="NT71" s="368"/>
      <c r="NU71" s="368"/>
      <c r="NV71" s="368"/>
      <c r="NW71" s="368"/>
      <c r="NX71" s="368"/>
      <c r="NY71" s="368"/>
      <c r="NZ71" s="368"/>
      <c r="OA71" s="368"/>
      <c r="OB71" s="368"/>
      <c r="OC71" s="368"/>
      <c r="OD71" s="368"/>
      <c r="OE71" s="368"/>
      <c r="OF71" s="368"/>
      <c r="OG71" s="368"/>
      <c r="OH71" s="368"/>
      <c r="OI71" s="368"/>
      <c r="OJ71" s="368"/>
      <c r="OK71" s="368"/>
      <c r="OL71" s="368"/>
      <c r="OM71" s="368"/>
      <c r="ON71" s="368"/>
      <c r="OO71" s="368"/>
      <c r="OP71" s="368"/>
      <c r="OQ71" s="368"/>
      <c r="OR71" s="368"/>
      <c r="OS71" s="368"/>
      <c r="OT71" s="368"/>
      <c r="OU71" s="368"/>
      <c r="OV71" s="368"/>
      <c r="OW71" s="368"/>
      <c r="OX71" s="368"/>
      <c r="OY71" s="368"/>
      <c r="OZ71" s="368"/>
      <c r="PA71" s="368"/>
      <c r="PB71" s="368"/>
      <c r="PC71" s="368"/>
      <c r="PD71" s="368"/>
      <c r="PE71" s="368"/>
      <c r="PF71" s="368"/>
      <c r="PG71" s="368"/>
      <c r="PH71" s="368"/>
      <c r="PI71" s="368"/>
      <c r="PJ71" s="368"/>
      <c r="PK71" s="368"/>
      <c r="PL71" s="368"/>
      <c r="PM71" s="368"/>
      <c r="PN71" s="368"/>
      <c r="PO71" s="368"/>
      <c r="PP71" s="368"/>
      <c r="PQ71" s="368"/>
      <c r="PR71" s="368"/>
      <c r="PS71" s="368"/>
      <c r="PT71" s="368"/>
      <c r="PU71" s="368"/>
      <c r="PV71" s="368"/>
      <c r="PW71" s="368"/>
      <c r="PX71" s="368"/>
      <c r="PY71" s="368"/>
      <c r="PZ71" s="368"/>
      <c r="QA71" s="368"/>
      <c r="QB71" s="368"/>
      <c r="QC71" s="368"/>
      <c r="QD71" s="368"/>
      <c r="QE71" s="368"/>
      <c r="QF71" s="368"/>
      <c r="QG71" s="368"/>
      <c r="QH71" s="368"/>
      <c r="QI71" s="368"/>
      <c r="QJ71" s="368"/>
      <c r="QK71" s="368"/>
      <c r="QL71" s="368"/>
      <c r="QM71" s="368"/>
      <c r="QN71" s="368"/>
      <c r="QO71" s="368"/>
      <c r="QP71" s="368"/>
      <c r="QQ71" s="368"/>
      <c r="QR71" s="368"/>
      <c r="QS71" s="368"/>
      <c r="QT71" s="368"/>
      <c r="QU71" s="368"/>
      <c r="QV71" s="368"/>
      <c r="QW71" s="368"/>
      <c r="QX71" s="368"/>
      <c r="QY71" s="368"/>
      <c r="QZ71" s="368"/>
      <c r="RA71" s="368"/>
      <c r="RB71" s="368"/>
      <c r="RC71" s="368"/>
      <c r="RD71" s="368"/>
      <c r="RE71" s="368"/>
      <c r="RF71" s="368"/>
      <c r="RG71" s="368"/>
      <c r="RH71" s="368"/>
      <c r="RI71" s="368"/>
      <c r="RJ71" s="368"/>
      <c r="RK71" s="368"/>
      <c r="RL71" s="368"/>
      <c r="RM71" s="368"/>
      <c r="RN71" s="368"/>
      <c r="RO71" s="368"/>
      <c r="RP71" s="368"/>
      <c r="RQ71" s="368"/>
      <c r="RR71" s="368"/>
      <c r="RS71" s="368"/>
      <c r="RT71" s="368"/>
      <c r="RU71" s="368"/>
      <c r="RV71" s="368"/>
      <c r="RW71" s="368"/>
      <c r="RX71" s="368"/>
      <c r="RY71" s="368"/>
      <c r="RZ71" s="368"/>
      <c r="SA71" s="368"/>
      <c r="SB71" s="368"/>
      <c r="SC71" s="368"/>
      <c r="SD71" s="368"/>
      <c r="SE71" s="368"/>
      <c r="SF71" s="368"/>
      <c r="SG71" s="368"/>
      <c r="SH71" s="368"/>
      <c r="SI71" s="368"/>
      <c r="SJ71" s="368"/>
      <c r="SK71" s="368"/>
      <c r="SL71" s="368"/>
      <c r="SM71" s="368"/>
      <c r="SN71" s="368"/>
      <c r="SO71" s="368"/>
      <c r="SP71" s="368"/>
      <c r="SQ71" s="368"/>
      <c r="SR71" s="368"/>
      <c r="SS71" s="368"/>
      <c r="ST71" s="368"/>
      <c r="SU71" s="368"/>
      <c r="SV71" s="368"/>
      <c r="SW71" s="368"/>
      <c r="SX71" s="368"/>
      <c r="SY71" s="368"/>
      <c r="SZ71" s="368"/>
      <c r="TA71" s="368"/>
      <c r="TB71" s="368"/>
      <c r="TC71" s="368"/>
      <c r="TD71" s="368"/>
      <c r="TE71" s="368"/>
      <c r="TF71" s="368"/>
      <c r="TG71" s="368"/>
      <c r="TH71" s="368"/>
      <c r="TI71" s="368"/>
      <c r="TJ71" s="368"/>
      <c r="TK71" s="368"/>
      <c r="TL71" s="368"/>
      <c r="TM71" s="368"/>
      <c r="TN71" s="368"/>
      <c r="TO71" s="368"/>
      <c r="TP71" s="368"/>
      <c r="TQ71" s="368"/>
      <c r="TR71" s="368"/>
      <c r="TS71" s="368"/>
      <c r="TT71" s="368"/>
      <c r="TU71" s="368"/>
      <c r="TV71" s="368"/>
      <c r="TW71" s="368"/>
      <c r="TX71" s="368"/>
      <c r="TY71" s="368"/>
      <c r="TZ71" s="368"/>
      <c r="UA71" s="368"/>
      <c r="UB71" s="368"/>
      <c r="UC71" s="368"/>
      <c r="UD71" s="368"/>
      <c r="UE71" s="368"/>
      <c r="UF71" s="368"/>
      <c r="UG71" s="368"/>
      <c r="UH71" s="368"/>
      <c r="UI71" s="368"/>
      <c r="UJ71" s="368"/>
      <c r="UK71" s="368"/>
      <c r="UL71" s="368"/>
      <c r="UM71" s="368"/>
      <c r="UN71" s="368"/>
      <c r="UO71" s="368"/>
      <c r="UP71" s="368"/>
      <c r="UQ71" s="368"/>
      <c r="UR71" s="368"/>
      <c r="US71" s="368"/>
      <c r="UT71" s="368"/>
      <c r="UU71" s="368"/>
      <c r="UV71" s="368"/>
      <c r="UW71" s="368"/>
      <c r="UX71" s="368"/>
      <c r="UY71" s="368"/>
      <c r="UZ71" s="368"/>
      <c r="VA71" s="368"/>
      <c r="VB71" s="368"/>
      <c r="VC71" s="368"/>
      <c r="VD71" s="368"/>
      <c r="VE71" s="368"/>
      <c r="VF71" s="368"/>
      <c r="VG71" s="368"/>
      <c r="VH71" s="368"/>
      <c r="VI71" s="368"/>
      <c r="VJ71" s="368"/>
      <c r="VK71" s="368"/>
      <c r="VL71" s="368"/>
      <c r="VM71" s="368"/>
      <c r="VN71" s="368"/>
      <c r="VO71" s="368"/>
      <c r="VP71" s="368"/>
      <c r="VQ71" s="368"/>
      <c r="VR71" s="368"/>
      <c r="VS71" s="368"/>
      <c r="VT71" s="368"/>
      <c r="VU71" s="368"/>
      <c r="VV71" s="368"/>
      <c r="VW71" s="368"/>
      <c r="VX71" s="368"/>
      <c r="VY71" s="368"/>
      <c r="VZ71" s="368"/>
      <c r="WA71" s="368"/>
      <c r="WB71" s="368"/>
      <c r="WC71" s="368"/>
      <c r="WD71" s="368"/>
      <c r="WE71" s="368"/>
      <c r="WF71" s="368"/>
      <c r="WG71" s="368"/>
      <c r="WH71" s="368"/>
      <c r="WI71" s="368"/>
      <c r="WJ71" s="368"/>
      <c r="WK71" s="368"/>
      <c r="WL71" s="368"/>
      <c r="WM71" s="368"/>
      <c r="WN71" s="368"/>
      <c r="WO71" s="368"/>
      <c r="WP71" s="368"/>
      <c r="WQ71" s="368"/>
      <c r="WR71" s="368"/>
      <c r="WS71" s="368"/>
      <c r="WT71" s="368"/>
      <c r="WU71" s="368"/>
      <c r="WV71" s="368"/>
      <c r="WW71" s="368"/>
      <c r="WX71" s="368"/>
      <c r="WY71" s="368"/>
      <c r="WZ71" s="368"/>
      <c r="XA71" s="368"/>
      <c r="XB71" s="368"/>
      <c r="XC71" s="368"/>
      <c r="XD71" s="368"/>
      <c r="XE71" s="368"/>
      <c r="XF71" s="368"/>
      <c r="XG71" s="368"/>
      <c r="XH71" s="368"/>
      <c r="XI71" s="368"/>
      <c r="XJ71" s="368"/>
      <c r="XK71" s="368"/>
      <c r="XL71" s="368"/>
      <c r="XM71" s="368"/>
      <c r="XN71" s="368"/>
      <c r="XO71" s="368"/>
      <c r="XP71" s="368"/>
      <c r="XQ71" s="368"/>
      <c r="XR71" s="368"/>
      <c r="XS71" s="368"/>
      <c r="XT71" s="368"/>
      <c r="XU71" s="368"/>
      <c r="XV71" s="368"/>
      <c r="XW71" s="368"/>
      <c r="XX71" s="368"/>
      <c r="XY71" s="368"/>
      <c r="XZ71" s="368"/>
      <c r="YA71" s="368"/>
      <c r="YB71" s="368"/>
      <c r="YC71" s="368"/>
      <c r="YD71" s="368"/>
      <c r="YE71" s="368"/>
      <c r="YF71" s="368"/>
      <c r="YG71" s="368"/>
      <c r="YH71" s="368"/>
      <c r="YI71" s="368"/>
      <c r="YJ71" s="368"/>
      <c r="YK71" s="368"/>
      <c r="YL71" s="368"/>
      <c r="YM71" s="368"/>
      <c r="YN71" s="368"/>
      <c r="YO71" s="368"/>
      <c r="YP71" s="368"/>
      <c r="YQ71" s="368"/>
      <c r="YR71" s="368"/>
      <c r="YS71" s="368"/>
      <c r="YT71" s="368"/>
      <c r="YU71" s="368"/>
      <c r="YV71" s="368"/>
      <c r="YW71" s="368"/>
      <c r="YX71" s="368"/>
      <c r="YY71" s="368"/>
      <c r="YZ71" s="368"/>
      <c r="ZA71" s="368"/>
      <c r="ZB71" s="368"/>
      <c r="ZC71" s="368"/>
      <c r="ZD71" s="368"/>
      <c r="ZE71" s="368"/>
      <c r="ZF71" s="368"/>
      <c r="ZG71" s="368"/>
      <c r="ZH71" s="368"/>
      <c r="ZI71" s="368"/>
      <c r="ZJ71" s="368"/>
      <c r="ZK71" s="368"/>
      <c r="ZL71" s="368"/>
      <c r="ZM71" s="368"/>
      <c r="ZN71" s="368"/>
      <c r="ZO71" s="368"/>
      <c r="ZP71" s="368"/>
      <c r="ZQ71" s="368"/>
      <c r="ZR71" s="368"/>
      <c r="ZS71" s="368"/>
      <c r="ZT71" s="368"/>
      <c r="ZU71" s="368"/>
      <c r="ZV71" s="368"/>
      <c r="ZW71" s="368"/>
      <c r="ZX71" s="368"/>
      <c r="ZY71" s="368"/>
      <c r="ZZ71" s="368"/>
      <c r="AAA71" s="368"/>
      <c r="AAB71" s="368"/>
      <c r="AAC71" s="368"/>
      <c r="AAD71" s="368"/>
      <c r="AAE71" s="368"/>
      <c r="AAF71" s="368"/>
      <c r="AAG71" s="368"/>
      <c r="AAH71" s="368"/>
      <c r="AAI71" s="368"/>
      <c r="AAJ71" s="368"/>
      <c r="AAK71" s="368"/>
      <c r="AAL71" s="368"/>
      <c r="AAM71" s="368"/>
      <c r="AAN71" s="368"/>
      <c r="AAO71" s="368"/>
      <c r="AAP71" s="368"/>
      <c r="AAQ71" s="368"/>
      <c r="AAR71" s="368"/>
      <c r="AAS71" s="368"/>
      <c r="AAT71" s="368"/>
      <c r="AAU71" s="368"/>
      <c r="AAV71" s="368"/>
      <c r="AAW71" s="368"/>
      <c r="AAX71" s="368"/>
      <c r="AAY71" s="368"/>
      <c r="AAZ71" s="368"/>
      <c r="ABA71" s="368"/>
      <c r="ABB71" s="368"/>
      <c r="ABC71" s="368"/>
      <c r="ABD71" s="368"/>
      <c r="ABE71" s="368"/>
      <c r="ABF71" s="368"/>
      <c r="ABG71" s="368"/>
      <c r="ABH71" s="368"/>
      <c r="ABI71" s="368"/>
      <c r="ABJ71" s="368"/>
      <c r="ABK71" s="368"/>
      <c r="ABL71" s="368"/>
      <c r="ABM71" s="368"/>
      <c r="ABN71" s="368"/>
      <c r="ABO71" s="368"/>
      <c r="ABP71" s="368"/>
      <c r="ABQ71" s="368"/>
      <c r="ABR71" s="368"/>
      <c r="ABS71" s="368"/>
      <c r="ABT71" s="368"/>
      <c r="ABU71" s="368"/>
      <c r="ABV71" s="368"/>
      <c r="ABW71" s="368"/>
      <c r="ABX71" s="368"/>
      <c r="ABY71" s="368"/>
      <c r="ABZ71" s="368"/>
      <c r="ACA71" s="368"/>
      <c r="ACB71" s="368"/>
      <c r="ACC71" s="368"/>
      <c r="ACD71" s="368"/>
      <c r="ACE71" s="368"/>
      <c r="ACF71" s="368"/>
      <c r="ACG71" s="368"/>
      <c r="ACH71" s="368"/>
      <c r="ACI71" s="368"/>
      <c r="ACJ71" s="368"/>
      <c r="ACK71" s="368"/>
      <c r="ACL71" s="368"/>
      <c r="ACM71" s="368"/>
      <c r="ACN71" s="368"/>
      <c r="ACO71" s="368"/>
      <c r="ACP71" s="368"/>
      <c r="ACQ71" s="368"/>
      <c r="ACR71" s="368"/>
      <c r="ACS71" s="368"/>
      <c r="ACT71" s="368"/>
      <c r="ACU71" s="368"/>
      <c r="ACV71" s="368"/>
      <c r="ACW71" s="368"/>
      <c r="ACX71" s="368"/>
      <c r="ACY71" s="368"/>
      <c r="ACZ71" s="368"/>
      <c r="ADA71" s="368"/>
      <c r="ADB71" s="368"/>
      <c r="ADC71" s="368"/>
      <c r="ADD71" s="368"/>
      <c r="ADE71" s="368"/>
      <c r="ADF71" s="368"/>
      <c r="ADG71" s="368"/>
      <c r="ADH71" s="368"/>
      <c r="ADI71" s="368"/>
      <c r="ADJ71" s="368"/>
      <c r="ADK71" s="368"/>
      <c r="ADL71" s="368"/>
      <c r="ADM71" s="368"/>
      <c r="ADN71" s="368"/>
      <c r="ADO71" s="368"/>
      <c r="ADP71" s="368"/>
      <c r="ADQ71" s="368"/>
      <c r="ADR71" s="368"/>
      <c r="ADS71" s="368"/>
      <c r="ADT71" s="368"/>
      <c r="ADU71" s="368"/>
      <c r="ADV71" s="368"/>
      <c r="ADW71" s="368"/>
      <c r="ADX71" s="368"/>
      <c r="ADY71" s="368"/>
      <c r="ADZ71" s="368"/>
      <c r="AEA71" s="368"/>
      <c r="AEB71" s="368"/>
      <c r="AEC71" s="368"/>
      <c r="AED71" s="368"/>
      <c r="AEE71" s="368"/>
      <c r="AEF71" s="368"/>
      <c r="AEG71" s="368"/>
      <c r="AEH71" s="368"/>
      <c r="AEI71" s="368"/>
      <c r="AEJ71" s="368"/>
      <c r="AEK71" s="368"/>
      <c r="AEL71" s="368"/>
      <c r="AEM71" s="368"/>
      <c r="AEN71" s="368"/>
      <c r="AEO71" s="368"/>
      <c r="AEP71" s="368"/>
      <c r="AEQ71" s="368"/>
      <c r="AER71" s="368"/>
      <c r="AES71" s="368"/>
      <c r="AET71" s="368"/>
      <c r="AEU71" s="368"/>
      <c r="AEV71" s="368"/>
      <c r="AEW71" s="368"/>
      <c r="AEX71" s="368"/>
      <c r="AEY71" s="368"/>
      <c r="AEZ71" s="368"/>
      <c r="AFA71" s="368"/>
      <c r="AFB71" s="368"/>
      <c r="AFC71" s="368"/>
      <c r="AFD71" s="368"/>
      <c r="AFE71" s="368"/>
      <c r="AFF71" s="368"/>
      <c r="AFG71" s="368"/>
      <c r="AFH71" s="368"/>
      <c r="AFI71" s="368"/>
      <c r="AFJ71" s="368"/>
      <c r="AFK71" s="368"/>
      <c r="AFL71" s="368"/>
      <c r="AFM71" s="368"/>
      <c r="AFN71" s="368"/>
      <c r="AFO71" s="368"/>
      <c r="AFP71" s="368"/>
      <c r="AFQ71" s="368"/>
      <c r="AFR71" s="368"/>
      <c r="AFS71" s="368"/>
      <c r="AFT71" s="368"/>
      <c r="AFU71" s="368"/>
      <c r="AFV71" s="368"/>
      <c r="AFW71" s="368"/>
      <c r="AFX71" s="368"/>
      <c r="AFY71" s="368"/>
      <c r="AFZ71" s="368"/>
      <c r="AGA71" s="368"/>
      <c r="AGB71" s="368"/>
      <c r="AGC71" s="368"/>
      <c r="AGD71" s="368"/>
      <c r="AGE71" s="368"/>
      <c r="AGF71" s="368"/>
      <c r="AGG71" s="368"/>
      <c r="AGH71" s="368"/>
      <c r="AGI71" s="368"/>
      <c r="AGJ71" s="368"/>
      <c r="AGK71" s="368"/>
      <c r="AGL71" s="368"/>
      <c r="AGM71" s="368"/>
      <c r="AGN71" s="368"/>
      <c r="AGO71" s="368"/>
      <c r="AGP71" s="368"/>
      <c r="AGQ71" s="368"/>
      <c r="AGR71" s="368"/>
      <c r="AGS71" s="368"/>
      <c r="AGT71" s="368"/>
      <c r="AGU71" s="368"/>
      <c r="AGV71" s="368"/>
      <c r="AGW71" s="368"/>
      <c r="AGX71" s="368"/>
      <c r="AGY71" s="368"/>
      <c r="AGZ71" s="368"/>
      <c r="AHA71" s="368"/>
      <c r="AHB71" s="368"/>
      <c r="AHC71" s="368"/>
      <c r="AHD71" s="368"/>
      <c r="AHE71" s="368"/>
      <c r="AHF71" s="368"/>
      <c r="AHG71" s="368"/>
      <c r="AHH71" s="368"/>
      <c r="AHI71" s="368"/>
      <c r="AHJ71" s="368"/>
      <c r="AHK71" s="368"/>
      <c r="AHL71" s="368"/>
      <c r="AHM71" s="368"/>
      <c r="AHN71" s="368"/>
      <c r="AHO71" s="368"/>
      <c r="AHP71" s="368"/>
      <c r="AHQ71" s="368"/>
      <c r="AHR71" s="368"/>
      <c r="AHS71" s="368"/>
      <c r="AHT71" s="368"/>
      <c r="AHU71" s="368"/>
      <c r="AHV71" s="368"/>
      <c r="AHW71" s="368"/>
      <c r="AHX71" s="368"/>
      <c r="AHY71" s="368"/>
      <c r="AHZ71" s="368"/>
      <c r="AIA71" s="368"/>
      <c r="AIB71" s="368"/>
      <c r="AIC71" s="368"/>
      <c r="AID71" s="368"/>
      <c r="AIE71" s="368"/>
      <c r="AIF71" s="368"/>
      <c r="AIG71" s="368"/>
      <c r="AIH71" s="368"/>
      <c r="AII71" s="368"/>
      <c r="AIJ71" s="368"/>
      <c r="AIK71" s="368"/>
      <c r="AIL71" s="368"/>
      <c r="AIM71" s="368"/>
      <c r="AIN71" s="368"/>
      <c r="AIO71" s="368"/>
      <c r="AIP71" s="368"/>
      <c r="AIQ71" s="368"/>
      <c r="AIR71" s="368"/>
      <c r="AIS71" s="368"/>
      <c r="AIT71" s="368"/>
      <c r="AIU71" s="368"/>
      <c r="AIV71" s="368"/>
      <c r="AIW71" s="368"/>
      <c r="AIX71" s="368"/>
      <c r="AIY71" s="368"/>
      <c r="AIZ71" s="368"/>
      <c r="AJA71" s="368"/>
      <c r="AJB71" s="368"/>
      <c r="AJC71" s="368"/>
      <c r="AJD71" s="368"/>
      <c r="AJE71" s="368"/>
      <c r="AJF71" s="368"/>
      <c r="AJG71" s="368"/>
      <c r="AJH71" s="368"/>
      <c r="AJI71" s="368"/>
      <c r="AJJ71" s="368"/>
      <c r="AJK71" s="368"/>
      <c r="AJL71" s="368"/>
      <c r="AJM71" s="368"/>
      <c r="AJN71" s="368"/>
      <c r="AJO71" s="368"/>
      <c r="AJP71" s="368"/>
      <c r="AJQ71" s="368"/>
      <c r="AJR71" s="368"/>
      <c r="AJS71" s="368"/>
      <c r="AJT71" s="368"/>
      <c r="AJU71" s="368"/>
      <c r="AJV71" s="368"/>
      <c r="AJW71" s="368"/>
      <c r="AJX71" s="368"/>
      <c r="AJY71" s="368"/>
      <c r="AJZ71" s="368"/>
      <c r="AKA71" s="368"/>
      <c r="AKB71" s="368"/>
      <c r="AKC71" s="368"/>
      <c r="AKD71" s="368"/>
      <c r="AKE71" s="368"/>
      <c r="AKF71" s="368"/>
      <c r="AKG71" s="368"/>
      <c r="AKH71" s="368"/>
      <c r="AKI71" s="368"/>
      <c r="AKJ71" s="368"/>
      <c r="AKK71" s="368"/>
      <c r="AKL71" s="368"/>
      <c r="AKM71" s="368"/>
      <c r="AKN71" s="368"/>
    </row>
    <row r="72" spans="1:976" s="14" customFormat="1" ht="22.5" customHeight="1" x14ac:dyDescent="0.2">
      <c r="A72" s="408" t="s">
        <v>408</v>
      </c>
      <c r="B72" s="408" t="s">
        <v>483</v>
      </c>
      <c r="C72" s="408" t="s">
        <v>221</v>
      </c>
      <c r="D72" s="408" t="s">
        <v>222</v>
      </c>
      <c r="E72" s="409">
        <v>410824</v>
      </c>
      <c r="F72" s="409">
        <v>1173</v>
      </c>
      <c r="G72" s="409">
        <v>175</v>
      </c>
      <c r="H72" s="409">
        <v>0</v>
      </c>
      <c r="I72" s="410">
        <v>45824</v>
      </c>
      <c r="J72" s="408" t="s">
        <v>281</v>
      </c>
      <c r="K72" s="408" t="s">
        <v>484</v>
      </c>
      <c r="L72" s="411">
        <v>15.88</v>
      </c>
      <c r="M72" s="411">
        <v>3.17</v>
      </c>
      <c r="N72" s="450">
        <v>19.05</v>
      </c>
      <c r="O72" s="408"/>
      <c r="P72" s="412"/>
      <c r="Q72" s="411">
        <v>19.05</v>
      </c>
      <c r="R72" s="408"/>
      <c r="S72" s="411">
        <v>0</v>
      </c>
      <c r="T72" s="411">
        <v>0</v>
      </c>
      <c r="U72" s="411">
        <v>0</v>
      </c>
      <c r="V72" s="411">
        <v>0</v>
      </c>
      <c r="W72" s="408"/>
      <c r="X72" s="408" t="s">
        <v>283</v>
      </c>
      <c r="Y72" s="408" t="s">
        <v>284</v>
      </c>
      <c r="Z72" s="408" t="s">
        <v>46</v>
      </c>
      <c r="AA72" s="408" t="s">
        <v>228</v>
      </c>
      <c r="AB72" s="408" t="s">
        <v>285</v>
      </c>
      <c r="AC72" s="408" t="s">
        <v>286</v>
      </c>
      <c r="AD72" s="408" t="s">
        <v>231</v>
      </c>
      <c r="AE72" s="408" t="s">
        <v>232</v>
      </c>
      <c r="AF72" s="408" t="s">
        <v>231</v>
      </c>
      <c r="AG72" s="408" t="s">
        <v>232</v>
      </c>
      <c r="AH72" s="408"/>
      <c r="AI72" s="408"/>
      <c r="AJ72" s="408"/>
      <c r="AK72" s="408"/>
      <c r="AL72" s="409">
        <v>1</v>
      </c>
      <c r="AM72" s="409">
        <v>0</v>
      </c>
      <c r="AN72" s="410"/>
      <c r="AO72" s="410">
        <v>45825</v>
      </c>
      <c r="AP72" s="411">
        <v>0</v>
      </c>
      <c r="AQ72" s="410">
        <v>45824</v>
      </c>
    </row>
    <row r="73" spans="1:976" s="363" customFormat="1" ht="22.5" customHeight="1" x14ac:dyDescent="0.2">
      <c r="A73" s="358" t="s">
        <v>408</v>
      </c>
      <c r="B73" s="358" t="s">
        <v>483</v>
      </c>
      <c r="C73" s="358" t="s">
        <v>221</v>
      </c>
      <c r="D73" s="358" t="s">
        <v>222</v>
      </c>
      <c r="E73" s="359">
        <v>410825</v>
      </c>
      <c r="F73" s="359">
        <v>1174</v>
      </c>
      <c r="G73" s="359">
        <v>175</v>
      </c>
      <c r="H73" s="359">
        <v>0</v>
      </c>
      <c r="I73" s="360">
        <v>45824</v>
      </c>
      <c r="J73" s="358" t="s">
        <v>281</v>
      </c>
      <c r="K73" s="358" t="s">
        <v>485</v>
      </c>
      <c r="L73" s="361">
        <v>37.42</v>
      </c>
      <c r="M73" s="361">
        <v>7.48</v>
      </c>
      <c r="N73" s="448">
        <v>44.9</v>
      </c>
      <c r="O73" s="358"/>
      <c r="P73" s="362"/>
      <c r="Q73" s="361">
        <v>44.9</v>
      </c>
      <c r="R73" s="358"/>
      <c r="S73" s="361">
        <v>0</v>
      </c>
      <c r="T73" s="361">
        <v>0</v>
      </c>
      <c r="U73" s="361">
        <v>0</v>
      </c>
      <c r="V73" s="361">
        <v>0</v>
      </c>
      <c r="W73" s="358"/>
      <c r="X73" s="358" t="s">
        <v>283</v>
      </c>
      <c r="Y73" s="358" t="s">
        <v>284</v>
      </c>
      <c r="Z73" s="358" t="s">
        <v>46</v>
      </c>
      <c r="AA73" s="358" t="s">
        <v>228</v>
      </c>
      <c r="AB73" s="358" t="s">
        <v>289</v>
      </c>
      <c r="AC73" s="358" t="s">
        <v>31</v>
      </c>
      <c r="AD73" s="358" t="s">
        <v>231</v>
      </c>
      <c r="AE73" s="358" t="s">
        <v>232</v>
      </c>
      <c r="AF73" s="358" t="s">
        <v>231</v>
      </c>
      <c r="AG73" s="358" t="s">
        <v>232</v>
      </c>
      <c r="AH73" s="358"/>
      <c r="AI73" s="358"/>
      <c r="AJ73" s="358"/>
      <c r="AK73" s="358"/>
      <c r="AL73" s="359">
        <v>1</v>
      </c>
      <c r="AM73" s="359">
        <v>0</v>
      </c>
      <c r="AN73" s="360"/>
      <c r="AO73" s="360">
        <v>45825</v>
      </c>
      <c r="AP73" s="361">
        <v>0</v>
      </c>
      <c r="AQ73" s="360">
        <v>45824</v>
      </c>
      <c r="AR73" s="368"/>
      <c r="AS73" s="368"/>
      <c r="AT73" s="368"/>
      <c r="AU73" s="368"/>
      <c r="AV73" s="368"/>
      <c r="AW73" s="368"/>
      <c r="AX73" s="368"/>
      <c r="AY73" s="368"/>
      <c r="AZ73" s="368"/>
      <c r="BA73" s="368"/>
      <c r="BB73" s="368"/>
      <c r="BC73" s="368"/>
      <c r="BD73" s="368"/>
      <c r="BE73" s="368"/>
      <c r="BF73" s="368"/>
      <c r="BG73" s="368"/>
      <c r="BH73" s="368"/>
      <c r="BI73" s="368"/>
      <c r="BJ73" s="368"/>
      <c r="BK73" s="368"/>
      <c r="BL73" s="368"/>
      <c r="BM73" s="368"/>
      <c r="BN73" s="368"/>
      <c r="BO73" s="368"/>
      <c r="BP73" s="368"/>
      <c r="BQ73" s="368"/>
      <c r="BR73" s="368"/>
      <c r="BS73" s="368"/>
      <c r="BT73" s="368"/>
      <c r="BU73" s="368"/>
      <c r="BV73" s="368"/>
      <c r="BW73" s="368"/>
      <c r="BX73" s="368"/>
      <c r="BY73" s="368"/>
      <c r="BZ73" s="368"/>
      <c r="CA73" s="368"/>
      <c r="CB73" s="368"/>
      <c r="CC73" s="368"/>
      <c r="CD73" s="368"/>
      <c r="CE73" s="368"/>
      <c r="CF73" s="368"/>
      <c r="CG73" s="368"/>
      <c r="CH73" s="368"/>
      <c r="CI73" s="368"/>
      <c r="CJ73" s="368"/>
      <c r="CK73" s="368"/>
      <c r="CL73" s="368"/>
      <c r="CM73" s="368"/>
      <c r="CN73" s="368"/>
      <c r="CO73" s="368"/>
      <c r="CP73" s="368"/>
      <c r="CQ73" s="368"/>
      <c r="CR73" s="368"/>
      <c r="CS73" s="368"/>
      <c r="CT73" s="368"/>
      <c r="CU73" s="368"/>
      <c r="CV73" s="368"/>
      <c r="CW73" s="368"/>
      <c r="CX73" s="368"/>
      <c r="CY73" s="368"/>
      <c r="CZ73" s="368"/>
      <c r="DA73" s="368"/>
      <c r="DB73" s="368"/>
      <c r="DC73" s="368"/>
      <c r="DD73" s="368"/>
      <c r="DE73" s="368"/>
      <c r="DF73" s="368"/>
      <c r="DG73" s="368"/>
      <c r="DH73" s="368"/>
      <c r="DI73" s="368"/>
      <c r="DJ73" s="368"/>
      <c r="DK73" s="368"/>
      <c r="DL73" s="368"/>
      <c r="DM73" s="368"/>
      <c r="DN73" s="368"/>
      <c r="DO73" s="368"/>
      <c r="DP73" s="368"/>
      <c r="DQ73" s="368"/>
      <c r="DR73" s="368"/>
      <c r="DS73" s="368"/>
      <c r="DT73" s="368"/>
      <c r="DU73" s="368"/>
      <c r="DV73" s="368"/>
      <c r="DW73" s="368"/>
      <c r="DX73" s="368"/>
      <c r="DY73" s="368"/>
      <c r="DZ73" s="368"/>
      <c r="EA73" s="368"/>
      <c r="EB73" s="368"/>
      <c r="EC73" s="368"/>
      <c r="ED73" s="368"/>
      <c r="EE73" s="368"/>
      <c r="EF73" s="368"/>
      <c r="EG73" s="368"/>
      <c r="EH73" s="368"/>
      <c r="EI73" s="368"/>
      <c r="EJ73" s="368"/>
      <c r="EK73" s="368"/>
      <c r="EL73" s="368"/>
      <c r="EM73" s="368"/>
      <c r="EN73" s="368"/>
      <c r="EO73" s="368"/>
      <c r="EP73" s="368"/>
      <c r="EQ73" s="368"/>
      <c r="ER73" s="368"/>
      <c r="ES73" s="368"/>
      <c r="ET73" s="368"/>
      <c r="EU73" s="368"/>
      <c r="EV73" s="368"/>
      <c r="EW73" s="368"/>
      <c r="EX73" s="368"/>
      <c r="EY73" s="368"/>
      <c r="EZ73" s="368"/>
      <c r="FA73" s="368"/>
      <c r="FB73" s="368"/>
      <c r="FC73" s="368"/>
      <c r="FD73" s="368"/>
      <c r="FE73" s="368"/>
      <c r="FF73" s="368"/>
      <c r="FG73" s="368"/>
      <c r="FH73" s="368"/>
      <c r="FI73" s="368"/>
      <c r="FJ73" s="368"/>
      <c r="FK73" s="368"/>
      <c r="FL73" s="368"/>
      <c r="FM73" s="368"/>
      <c r="FN73" s="368"/>
      <c r="FO73" s="368"/>
      <c r="FP73" s="368"/>
      <c r="FQ73" s="368"/>
      <c r="FR73" s="368"/>
      <c r="FS73" s="368"/>
      <c r="FT73" s="368"/>
      <c r="FU73" s="368"/>
      <c r="FV73" s="368"/>
      <c r="FW73" s="368"/>
      <c r="FX73" s="368"/>
      <c r="FY73" s="368"/>
      <c r="FZ73" s="368"/>
      <c r="GA73" s="368"/>
      <c r="GB73" s="368"/>
      <c r="GC73" s="368"/>
      <c r="GD73" s="368"/>
      <c r="GE73" s="368"/>
      <c r="GF73" s="368"/>
      <c r="GG73" s="368"/>
      <c r="GH73" s="368"/>
      <c r="GI73" s="368"/>
      <c r="GJ73" s="368"/>
      <c r="GK73" s="368"/>
      <c r="GL73" s="368"/>
      <c r="GM73" s="368"/>
      <c r="GN73" s="368"/>
      <c r="GO73" s="368"/>
      <c r="GP73" s="368"/>
      <c r="GQ73" s="368"/>
      <c r="GR73" s="368"/>
      <c r="GS73" s="368"/>
      <c r="GT73" s="368"/>
      <c r="GU73" s="368"/>
      <c r="GV73" s="368"/>
      <c r="GW73" s="368"/>
      <c r="GX73" s="368"/>
      <c r="GY73" s="368"/>
      <c r="GZ73" s="368"/>
      <c r="HA73" s="368"/>
      <c r="HB73" s="368"/>
      <c r="HC73" s="368"/>
      <c r="HD73" s="368"/>
      <c r="HE73" s="368"/>
      <c r="HF73" s="368"/>
      <c r="HG73" s="368"/>
      <c r="HH73" s="368"/>
      <c r="HI73" s="368"/>
      <c r="HJ73" s="368"/>
      <c r="HK73" s="368"/>
      <c r="HL73" s="368"/>
      <c r="HM73" s="368"/>
      <c r="HN73" s="368"/>
      <c r="HO73" s="368"/>
      <c r="HP73" s="368"/>
      <c r="HQ73" s="368"/>
      <c r="HR73" s="368"/>
      <c r="HS73" s="368"/>
      <c r="HT73" s="368"/>
      <c r="HU73" s="368"/>
      <c r="HV73" s="368"/>
      <c r="HW73" s="368"/>
      <c r="HX73" s="368"/>
      <c r="HY73" s="368"/>
      <c r="HZ73" s="368"/>
      <c r="IA73" s="368"/>
      <c r="IB73" s="368"/>
      <c r="IC73" s="368"/>
      <c r="ID73" s="368"/>
      <c r="IE73" s="368"/>
      <c r="IF73" s="368"/>
      <c r="IG73" s="368"/>
      <c r="IH73" s="368"/>
      <c r="II73" s="368"/>
      <c r="IJ73" s="368"/>
      <c r="IK73" s="368"/>
      <c r="IL73" s="368"/>
      <c r="IM73" s="368"/>
      <c r="IN73" s="368"/>
      <c r="IO73" s="368"/>
      <c r="IP73" s="368"/>
      <c r="IQ73" s="368"/>
      <c r="IR73" s="368"/>
      <c r="IS73" s="368"/>
      <c r="IT73" s="368"/>
      <c r="IU73" s="368"/>
      <c r="IV73" s="368"/>
      <c r="IW73" s="368"/>
      <c r="IX73" s="368"/>
      <c r="IY73" s="368"/>
      <c r="IZ73" s="368"/>
      <c r="JA73" s="368"/>
      <c r="JB73" s="368"/>
      <c r="JC73" s="368"/>
      <c r="JD73" s="368"/>
      <c r="JE73" s="368"/>
      <c r="JF73" s="368"/>
      <c r="JG73" s="368"/>
      <c r="JH73" s="368"/>
      <c r="JI73" s="368"/>
      <c r="JJ73" s="368"/>
      <c r="JK73" s="368"/>
      <c r="JL73" s="368"/>
      <c r="JM73" s="368"/>
      <c r="JN73" s="368"/>
      <c r="JO73" s="368"/>
      <c r="JP73" s="368"/>
      <c r="JQ73" s="368"/>
      <c r="JR73" s="368"/>
      <c r="JS73" s="368"/>
      <c r="JT73" s="368"/>
      <c r="JU73" s="368"/>
      <c r="JV73" s="368"/>
      <c r="JW73" s="368"/>
      <c r="JX73" s="368"/>
      <c r="JY73" s="368"/>
      <c r="JZ73" s="368"/>
      <c r="KA73" s="368"/>
      <c r="KB73" s="368"/>
      <c r="KC73" s="368"/>
      <c r="KD73" s="368"/>
      <c r="KE73" s="368"/>
      <c r="KF73" s="368"/>
      <c r="KG73" s="368"/>
      <c r="KH73" s="368"/>
      <c r="KI73" s="368"/>
      <c r="KJ73" s="368"/>
      <c r="KK73" s="368"/>
      <c r="KL73" s="368"/>
      <c r="KM73" s="368"/>
      <c r="KN73" s="368"/>
      <c r="KO73" s="368"/>
      <c r="KP73" s="368"/>
      <c r="KQ73" s="368"/>
      <c r="KR73" s="368"/>
      <c r="KS73" s="368"/>
      <c r="KT73" s="368"/>
      <c r="KU73" s="368"/>
      <c r="KV73" s="368"/>
      <c r="KW73" s="368"/>
      <c r="KX73" s="368"/>
      <c r="KY73" s="368"/>
      <c r="KZ73" s="368"/>
      <c r="LA73" s="368"/>
      <c r="LB73" s="368"/>
      <c r="LC73" s="368"/>
      <c r="LD73" s="368"/>
      <c r="LE73" s="368"/>
      <c r="LF73" s="368"/>
      <c r="LG73" s="368"/>
      <c r="LH73" s="368"/>
      <c r="LI73" s="368"/>
      <c r="LJ73" s="368"/>
      <c r="LK73" s="368"/>
      <c r="LL73" s="368"/>
      <c r="LM73" s="368"/>
      <c r="LN73" s="368"/>
      <c r="LO73" s="368"/>
      <c r="LP73" s="368"/>
      <c r="LQ73" s="368"/>
      <c r="LR73" s="368"/>
      <c r="LS73" s="368"/>
      <c r="LT73" s="368"/>
      <c r="LU73" s="368"/>
      <c r="LV73" s="368"/>
      <c r="LW73" s="368"/>
      <c r="LX73" s="368"/>
      <c r="LY73" s="368"/>
      <c r="LZ73" s="368"/>
      <c r="MA73" s="368"/>
      <c r="MB73" s="368"/>
      <c r="MC73" s="368"/>
      <c r="MD73" s="368"/>
      <c r="ME73" s="368"/>
      <c r="MF73" s="368"/>
      <c r="MG73" s="368"/>
      <c r="MH73" s="368"/>
      <c r="MI73" s="368"/>
      <c r="MJ73" s="368"/>
      <c r="MK73" s="368"/>
      <c r="ML73" s="368"/>
      <c r="MM73" s="368"/>
      <c r="MN73" s="368"/>
      <c r="MO73" s="368"/>
      <c r="MP73" s="368"/>
      <c r="MQ73" s="368"/>
      <c r="MR73" s="368"/>
      <c r="MS73" s="368"/>
      <c r="MT73" s="368"/>
      <c r="MU73" s="368"/>
      <c r="MV73" s="368"/>
      <c r="MW73" s="368"/>
      <c r="MX73" s="368"/>
      <c r="MY73" s="368"/>
      <c r="MZ73" s="368"/>
      <c r="NA73" s="368"/>
      <c r="NB73" s="368"/>
      <c r="NC73" s="368"/>
      <c r="ND73" s="368"/>
      <c r="NE73" s="368"/>
      <c r="NF73" s="368"/>
      <c r="NG73" s="368"/>
      <c r="NH73" s="368"/>
      <c r="NI73" s="368"/>
      <c r="NJ73" s="368"/>
      <c r="NK73" s="368"/>
      <c r="NL73" s="368"/>
      <c r="NM73" s="368"/>
      <c r="NN73" s="368"/>
      <c r="NO73" s="368"/>
      <c r="NP73" s="368"/>
      <c r="NQ73" s="368"/>
      <c r="NR73" s="368"/>
      <c r="NS73" s="368"/>
      <c r="NT73" s="368"/>
      <c r="NU73" s="368"/>
      <c r="NV73" s="368"/>
      <c r="NW73" s="368"/>
      <c r="NX73" s="368"/>
      <c r="NY73" s="368"/>
      <c r="NZ73" s="368"/>
      <c r="OA73" s="368"/>
      <c r="OB73" s="368"/>
      <c r="OC73" s="368"/>
      <c r="OD73" s="368"/>
      <c r="OE73" s="368"/>
      <c r="OF73" s="368"/>
      <c r="OG73" s="368"/>
      <c r="OH73" s="368"/>
      <c r="OI73" s="368"/>
      <c r="OJ73" s="368"/>
      <c r="OK73" s="368"/>
      <c r="OL73" s="368"/>
      <c r="OM73" s="368"/>
      <c r="ON73" s="368"/>
      <c r="OO73" s="368"/>
      <c r="OP73" s="368"/>
      <c r="OQ73" s="368"/>
      <c r="OR73" s="368"/>
      <c r="OS73" s="368"/>
      <c r="OT73" s="368"/>
      <c r="OU73" s="368"/>
      <c r="OV73" s="368"/>
      <c r="OW73" s="368"/>
      <c r="OX73" s="368"/>
      <c r="OY73" s="368"/>
      <c r="OZ73" s="368"/>
      <c r="PA73" s="368"/>
      <c r="PB73" s="368"/>
      <c r="PC73" s="368"/>
      <c r="PD73" s="368"/>
      <c r="PE73" s="368"/>
      <c r="PF73" s="368"/>
      <c r="PG73" s="368"/>
      <c r="PH73" s="368"/>
      <c r="PI73" s="368"/>
      <c r="PJ73" s="368"/>
      <c r="PK73" s="368"/>
      <c r="PL73" s="368"/>
      <c r="PM73" s="368"/>
      <c r="PN73" s="368"/>
      <c r="PO73" s="368"/>
      <c r="PP73" s="368"/>
      <c r="PQ73" s="368"/>
      <c r="PR73" s="368"/>
      <c r="PS73" s="368"/>
      <c r="PT73" s="368"/>
      <c r="PU73" s="368"/>
      <c r="PV73" s="368"/>
      <c r="PW73" s="368"/>
      <c r="PX73" s="368"/>
      <c r="PY73" s="368"/>
      <c r="PZ73" s="368"/>
      <c r="QA73" s="368"/>
      <c r="QB73" s="368"/>
      <c r="QC73" s="368"/>
      <c r="QD73" s="368"/>
      <c r="QE73" s="368"/>
      <c r="QF73" s="368"/>
      <c r="QG73" s="368"/>
      <c r="QH73" s="368"/>
      <c r="QI73" s="368"/>
      <c r="QJ73" s="368"/>
      <c r="QK73" s="368"/>
      <c r="QL73" s="368"/>
      <c r="QM73" s="368"/>
      <c r="QN73" s="368"/>
      <c r="QO73" s="368"/>
      <c r="QP73" s="368"/>
      <c r="QQ73" s="368"/>
      <c r="QR73" s="368"/>
      <c r="QS73" s="368"/>
      <c r="QT73" s="368"/>
      <c r="QU73" s="368"/>
      <c r="QV73" s="368"/>
      <c r="QW73" s="368"/>
      <c r="QX73" s="368"/>
      <c r="QY73" s="368"/>
      <c r="QZ73" s="368"/>
      <c r="RA73" s="368"/>
      <c r="RB73" s="368"/>
      <c r="RC73" s="368"/>
      <c r="RD73" s="368"/>
      <c r="RE73" s="368"/>
      <c r="RF73" s="368"/>
      <c r="RG73" s="368"/>
      <c r="RH73" s="368"/>
      <c r="RI73" s="368"/>
      <c r="RJ73" s="368"/>
      <c r="RK73" s="368"/>
      <c r="RL73" s="368"/>
      <c r="RM73" s="368"/>
      <c r="RN73" s="368"/>
      <c r="RO73" s="368"/>
      <c r="RP73" s="368"/>
      <c r="RQ73" s="368"/>
      <c r="RR73" s="368"/>
      <c r="RS73" s="368"/>
      <c r="RT73" s="368"/>
      <c r="RU73" s="368"/>
      <c r="RV73" s="368"/>
      <c r="RW73" s="368"/>
      <c r="RX73" s="368"/>
      <c r="RY73" s="368"/>
      <c r="RZ73" s="368"/>
      <c r="SA73" s="368"/>
      <c r="SB73" s="368"/>
      <c r="SC73" s="368"/>
      <c r="SD73" s="368"/>
      <c r="SE73" s="368"/>
      <c r="SF73" s="368"/>
      <c r="SG73" s="368"/>
      <c r="SH73" s="368"/>
      <c r="SI73" s="368"/>
      <c r="SJ73" s="368"/>
      <c r="SK73" s="368"/>
      <c r="SL73" s="368"/>
      <c r="SM73" s="368"/>
      <c r="SN73" s="368"/>
      <c r="SO73" s="368"/>
      <c r="SP73" s="368"/>
      <c r="SQ73" s="368"/>
      <c r="SR73" s="368"/>
      <c r="SS73" s="368"/>
      <c r="ST73" s="368"/>
      <c r="SU73" s="368"/>
      <c r="SV73" s="368"/>
      <c r="SW73" s="368"/>
      <c r="SX73" s="368"/>
      <c r="SY73" s="368"/>
      <c r="SZ73" s="368"/>
      <c r="TA73" s="368"/>
      <c r="TB73" s="368"/>
      <c r="TC73" s="368"/>
      <c r="TD73" s="368"/>
      <c r="TE73" s="368"/>
      <c r="TF73" s="368"/>
      <c r="TG73" s="368"/>
      <c r="TH73" s="368"/>
      <c r="TI73" s="368"/>
      <c r="TJ73" s="368"/>
      <c r="TK73" s="368"/>
      <c r="TL73" s="368"/>
      <c r="TM73" s="368"/>
      <c r="TN73" s="368"/>
      <c r="TO73" s="368"/>
      <c r="TP73" s="368"/>
      <c r="TQ73" s="368"/>
      <c r="TR73" s="368"/>
      <c r="TS73" s="368"/>
      <c r="TT73" s="368"/>
      <c r="TU73" s="368"/>
      <c r="TV73" s="368"/>
      <c r="TW73" s="368"/>
      <c r="TX73" s="368"/>
      <c r="TY73" s="368"/>
      <c r="TZ73" s="368"/>
      <c r="UA73" s="368"/>
      <c r="UB73" s="368"/>
      <c r="UC73" s="368"/>
      <c r="UD73" s="368"/>
      <c r="UE73" s="368"/>
      <c r="UF73" s="368"/>
      <c r="UG73" s="368"/>
      <c r="UH73" s="368"/>
      <c r="UI73" s="368"/>
      <c r="UJ73" s="368"/>
      <c r="UK73" s="368"/>
      <c r="UL73" s="368"/>
      <c r="UM73" s="368"/>
      <c r="UN73" s="368"/>
      <c r="UO73" s="368"/>
      <c r="UP73" s="368"/>
      <c r="UQ73" s="368"/>
      <c r="UR73" s="368"/>
      <c r="US73" s="368"/>
      <c r="UT73" s="368"/>
      <c r="UU73" s="368"/>
      <c r="UV73" s="368"/>
      <c r="UW73" s="368"/>
      <c r="UX73" s="368"/>
      <c r="UY73" s="368"/>
      <c r="UZ73" s="368"/>
      <c r="VA73" s="368"/>
      <c r="VB73" s="368"/>
      <c r="VC73" s="368"/>
      <c r="VD73" s="368"/>
      <c r="VE73" s="368"/>
      <c r="VF73" s="368"/>
      <c r="VG73" s="368"/>
      <c r="VH73" s="368"/>
      <c r="VI73" s="368"/>
      <c r="VJ73" s="368"/>
      <c r="VK73" s="368"/>
      <c r="VL73" s="368"/>
      <c r="VM73" s="368"/>
      <c r="VN73" s="368"/>
      <c r="VO73" s="368"/>
      <c r="VP73" s="368"/>
      <c r="VQ73" s="368"/>
      <c r="VR73" s="368"/>
      <c r="VS73" s="368"/>
      <c r="VT73" s="368"/>
      <c r="VU73" s="368"/>
      <c r="VV73" s="368"/>
      <c r="VW73" s="368"/>
      <c r="VX73" s="368"/>
      <c r="VY73" s="368"/>
      <c r="VZ73" s="368"/>
      <c r="WA73" s="368"/>
      <c r="WB73" s="368"/>
      <c r="WC73" s="368"/>
      <c r="WD73" s="368"/>
      <c r="WE73" s="368"/>
      <c r="WF73" s="368"/>
      <c r="WG73" s="368"/>
      <c r="WH73" s="368"/>
      <c r="WI73" s="368"/>
      <c r="WJ73" s="368"/>
      <c r="WK73" s="368"/>
      <c r="WL73" s="368"/>
      <c r="WM73" s="368"/>
      <c r="WN73" s="368"/>
      <c r="WO73" s="368"/>
      <c r="WP73" s="368"/>
      <c r="WQ73" s="368"/>
      <c r="WR73" s="368"/>
      <c r="WS73" s="368"/>
      <c r="WT73" s="368"/>
      <c r="WU73" s="368"/>
      <c r="WV73" s="368"/>
      <c r="WW73" s="368"/>
      <c r="WX73" s="368"/>
      <c r="WY73" s="368"/>
      <c r="WZ73" s="368"/>
      <c r="XA73" s="368"/>
      <c r="XB73" s="368"/>
      <c r="XC73" s="368"/>
      <c r="XD73" s="368"/>
      <c r="XE73" s="368"/>
      <c r="XF73" s="368"/>
      <c r="XG73" s="368"/>
      <c r="XH73" s="368"/>
      <c r="XI73" s="368"/>
      <c r="XJ73" s="368"/>
      <c r="XK73" s="368"/>
      <c r="XL73" s="368"/>
      <c r="XM73" s="368"/>
      <c r="XN73" s="368"/>
      <c r="XO73" s="368"/>
      <c r="XP73" s="368"/>
      <c r="XQ73" s="368"/>
      <c r="XR73" s="368"/>
      <c r="XS73" s="368"/>
      <c r="XT73" s="368"/>
      <c r="XU73" s="368"/>
      <c r="XV73" s="368"/>
      <c r="XW73" s="368"/>
      <c r="XX73" s="368"/>
      <c r="XY73" s="368"/>
      <c r="XZ73" s="368"/>
      <c r="YA73" s="368"/>
      <c r="YB73" s="368"/>
      <c r="YC73" s="368"/>
      <c r="YD73" s="368"/>
      <c r="YE73" s="368"/>
      <c r="YF73" s="368"/>
      <c r="YG73" s="368"/>
      <c r="YH73" s="368"/>
      <c r="YI73" s="368"/>
      <c r="YJ73" s="368"/>
      <c r="YK73" s="368"/>
      <c r="YL73" s="368"/>
      <c r="YM73" s="368"/>
      <c r="YN73" s="368"/>
      <c r="YO73" s="368"/>
      <c r="YP73" s="368"/>
      <c r="YQ73" s="368"/>
      <c r="YR73" s="368"/>
      <c r="YS73" s="368"/>
      <c r="YT73" s="368"/>
      <c r="YU73" s="368"/>
      <c r="YV73" s="368"/>
      <c r="YW73" s="368"/>
      <c r="YX73" s="368"/>
      <c r="YY73" s="368"/>
      <c r="YZ73" s="368"/>
      <c r="ZA73" s="368"/>
      <c r="ZB73" s="368"/>
      <c r="ZC73" s="368"/>
      <c r="ZD73" s="368"/>
      <c r="ZE73" s="368"/>
      <c r="ZF73" s="368"/>
      <c r="ZG73" s="368"/>
      <c r="ZH73" s="368"/>
      <c r="ZI73" s="368"/>
      <c r="ZJ73" s="368"/>
      <c r="ZK73" s="368"/>
      <c r="ZL73" s="368"/>
      <c r="ZM73" s="368"/>
      <c r="ZN73" s="368"/>
      <c r="ZO73" s="368"/>
      <c r="ZP73" s="368"/>
      <c r="ZQ73" s="368"/>
      <c r="ZR73" s="368"/>
      <c r="ZS73" s="368"/>
      <c r="ZT73" s="368"/>
      <c r="ZU73" s="368"/>
      <c r="ZV73" s="368"/>
      <c r="ZW73" s="368"/>
      <c r="ZX73" s="368"/>
      <c r="ZY73" s="368"/>
      <c r="ZZ73" s="368"/>
      <c r="AAA73" s="368"/>
      <c r="AAB73" s="368"/>
      <c r="AAC73" s="368"/>
      <c r="AAD73" s="368"/>
      <c r="AAE73" s="368"/>
      <c r="AAF73" s="368"/>
      <c r="AAG73" s="368"/>
      <c r="AAH73" s="368"/>
      <c r="AAI73" s="368"/>
      <c r="AAJ73" s="368"/>
      <c r="AAK73" s="368"/>
      <c r="AAL73" s="368"/>
      <c r="AAM73" s="368"/>
      <c r="AAN73" s="368"/>
      <c r="AAO73" s="368"/>
      <c r="AAP73" s="368"/>
      <c r="AAQ73" s="368"/>
      <c r="AAR73" s="368"/>
      <c r="AAS73" s="368"/>
      <c r="AAT73" s="368"/>
      <c r="AAU73" s="368"/>
      <c r="AAV73" s="368"/>
      <c r="AAW73" s="368"/>
      <c r="AAX73" s="368"/>
      <c r="AAY73" s="368"/>
      <c r="AAZ73" s="368"/>
      <c r="ABA73" s="368"/>
      <c r="ABB73" s="368"/>
      <c r="ABC73" s="368"/>
      <c r="ABD73" s="368"/>
      <c r="ABE73" s="368"/>
      <c r="ABF73" s="368"/>
      <c r="ABG73" s="368"/>
      <c r="ABH73" s="368"/>
      <c r="ABI73" s="368"/>
      <c r="ABJ73" s="368"/>
      <c r="ABK73" s="368"/>
      <c r="ABL73" s="368"/>
      <c r="ABM73" s="368"/>
      <c r="ABN73" s="368"/>
      <c r="ABO73" s="368"/>
      <c r="ABP73" s="368"/>
      <c r="ABQ73" s="368"/>
      <c r="ABR73" s="368"/>
      <c r="ABS73" s="368"/>
      <c r="ABT73" s="368"/>
      <c r="ABU73" s="368"/>
      <c r="ABV73" s="368"/>
      <c r="ABW73" s="368"/>
      <c r="ABX73" s="368"/>
      <c r="ABY73" s="368"/>
      <c r="ABZ73" s="368"/>
      <c r="ACA73" s="368"/>
      <c r="ACB73" s="368"/>
      <c r="ACC73" s="368"/>
      <c r="ACD73" s="368"/>
      <c r="ACE73" s="368"/>
      <c r="ACF73" s="368"/>
      <c r="ACG73" s="368"/>
      <c r="ACH73" s="368"/>
      <c r="ACI73" s="368"/>
      <c r="ACJ73" s="368"/>
      <c r="ACK73" s="368"/>
      <c r="ACL73" s="368"/>
      <c r="ACM73" s="368"/>
      <c r="ACN73" s="368"/>
      <c r="ACO73" s="368"/>
      <c r="ACP73" s="368"/>
      <c r="ACQ73" s="368"/>
      <c r="ACR73" s="368"/>
      <c r="ACS73" s="368"/>
      <c r="ACT73" s="368"/>
      <c r="ACU73" s="368"/>
      <c r="ACV73" s="368"/>
      <c r="ACW73" s="368"/>
      <c r="ACX73" s="368"/>
      <c r="ACY73" s="368"/>
      <c r="ACZ73" s="368"/>
      <c r="ADA73" s="368"/>
      <c r="ADB73" s="368"/>
      <c r="ADC73" s="368"/>
      <c r="ADD73" s="368"/>
      <c r="ADE73" s="368"/>
      <c r="ADF73" s="368"/>
      <c r="ADG73" s="368"/>
      <c r="ADH73" s="368"/>
      <c r="ADI73" s="368"/>
      <c r="ADJ73" s="368"/>
      <c r="ADK73" s="368"/>
      <c r="ADL73" s="368"/>
      <c r="ADM73" s="368"/>
      <c r="ADN73" s="368"/>
      <c r="ADO73" s="368"/>
      <c r="ADP73" s="368"/>
      <c r="ADQ73" s="368"/>
      <c r="ADR73" s="368"/>
      <c r="ADS73" s="368"/>
      <c r="ADT73" s="368"/>
      <c r="ADU73" s="368"/>
      <c r="ADV73" s="368"/>
      <c r="ADW73" s="368"/>
      <c r="ADX73" s="368"/>
      <c r="ADY73" s="368"/>
      <c r="ADZ73" s="368"/>
      <c r="AEA73" s="368"/>
      <c r="AEB73" s="368"/>
      <c r="AEC73" s="368"/>
      <c r="AED73" s="368"/>
      <c r="AEE73" s="368"/>
      <c r="AEF73" s="368"/>
      <c r="AEG73" s="368"/>
      <c r="AEH73" s="368"/>
      <c r="AEI73" s="368"/>
      <c r="AEJ73" s="368"/>
      <c r="AEK73" s="368"/>
      <c r="AEL73" s="368"/>
      <c r="AEM73" s="368"/>
      <c r="AEN73" s="368"/>
      <c r="AEO73" s="368"/>
      <c r="AEP73" s="368"/>
      <c r="AEQ73" s="368"/>
      <c r="AER73" s="368"/>
      <c r="AES73" s="368"/>
      <c r="AET73" s="368"/>
      <c r="AEU73" s="368"/>
      <c r="AEV73" s="368"/>
      <c r="AEW73" s="368"/>
      <c r="AEX73" s="368"/>
      <c r="AEY73" s="368"/>
      <c r="AEZ73" s="368"/>
      <c r="AFA73" s="368"/>
      <c r="AFB73" s="368"/>
      <c r="AFC73" s="368"/>
      <c r="AFD73" s="368"/>
      <c r="AFE73" s="368"/>
      <c r="AFF73" s="368"/>
      <c r="AFG73" s="368"/>
      <c r="AFH73" s="368"/>
      <c r="AFI73" s="368"/>
      <c r="AFJ73" s="368"/>
      <c r="AFK73" s="368"/>
      <c r="AFL73" s="368"/>
      <c r="AFM73" s="368"/>
      <c r="AFN73" s="368"/>
      <c r="AFO73" s="368"/>
      <c r="AFP73" s="368"/>
      <c r="AFQ73" s="368"/>
      <c r="AFR73" s="368"/>
      <c r="AFS73" s="368"/>
      <c r="AFT73" s="368"/>
      <c r="AFU73" s="368"/>
      <c r="AFV73" s="368"/>
      <c r="AFW73" s="368"/>
      <c r="AFX73" s="368"/>
      <c r="AFY73" s="368"/>
      <c r="AFZ73" s="368"/>
      <c r="AGA73" s="368"/>
      <c r="AGB73" s="368"/>
      <c r="AGC73" s="368"/>
      <c r="AGD73" s="368"/>
      <c r="AGE73" s="368"/>
      <c r="AGF73" s="368"/>
      <c r="AGG73" s="368"/>
      <c r="AGH73" s="368"/>
      <c r="AGI73" s="368"/>
      <c r="AGJ73" s="368"/>
      <c r="AGK73" s="368"/>
      <c r="AGL73" s="368"/>
      <c r="AGM73" s="368"/>
      <c r="AGN73" s="368"/>
      <c r="AGO73" s="368"/>
      <c r="AGP73" s="368"/>
      <c r="AGQ73" s="368"/>
      <c r="AGR73" s="368"/>
      <c r="AGS73" s="368"/>
      <c r="AGT73" s="368"/>
      <c r="AGU73" s="368"/>
      <c r="AGV73" s="368"/>
      <c r="AGW73" s="368"/>
      <c r="AGX73" s="368"/>
      <c r="AGY73" s="368"/>
      <c r="AGZ73" s="368"/>
      <c r="AHA73" s="368"/>
      <c r="AHB73" s="368"/>
      <c r="AHC73" s="368"/>
      <c r="AHD73" s="368"/>
      <c r="AHE73" s="368"/>
      <c r="AHF73" s="368"/>
      <c r="AHG73" s="368"/>
      <c r="AHH73" s="368"/>
      <c r="AHI73" s="368"/>
      <c r="AHJ73" s="368"/>
      <c r="AHK73" s="368"/>
      <c r="AHL73" s="368"/>
      <c r="AHM73" s="368"/>
      <c r="AHN73" s="368"/>
      <c r="AHO73" s="368"/>
      <c r="AHP73" s="368"/>
      <c r="AHQ73" s="368"/>
      <c r="AHR73" s="368"/>
      <c r="AHS73" s="368"/>
      <c r="AHT73" s="368"/>
      <c r="AHU73" s="368"/>
      <c r="AHV73" s="368"/>
      <c r="AHW73" s="368"/>
      <c r="AHX73" s="368"/>
      <c r="AHY73" s="368"/>
      <c r="AHZ73" s="368"/>
      <c r="AIA73" s="368"/>
      <c r="AIB73" s="368"/>
      <c r="AIC73" s="368"/>
      <c r="AID73" s="368"/>
      <c r="AIE73" s="368"/>
      <c r="AIF73" s="368"/>
      <c r="AIG73" s="368"/>
      <c r="AIH73" s="368"/>
      <c r="AII73" s="368"/>
      <c r="AIJ73" s="368"/>
      <c r="AIK73" s="368"/>
      <c r="AIL73" s="368"/>
      <c r="AIM73" s="368"/>
      <c r="AIN73" s="368"/>
      <c r="AIO73" s="368"/>
      <c r="AIP73" s="368"/>
      <c r="AIQ73" s="368"/>
      <c r="AIR73" s="368"/>
      <c r="AIS73" s="368"/>
      <c r="AIT73" s="368"/>
      <c r="AIU73" s="368"/>
      <c r="AIV73" s="368"/>
      <c r="AIW73" s="368"/>
      <c r="AIX73" s="368"/>
      <c r="AIY73" s="368"/>
      <c r="AIZ73" s="368"/>
      <c r="AJA73" s="368"/>
      <c r="AJB73" s="368"/>
      <c r="AJC73" s="368"/>
      <c r="AJD73" s="368"/>
      <c r="AJE73" s="368"/>
      <c r="AJF73" s="368"/>
      <c r="AJG73" s="368"/>
      <c r="AJH73" s="368"/>
      <c r="AJI73" s="368"/>
      <c r="AJJ73" s="368"/>
      <c r="AJK73" s="368"/>
      <c r="AJL73" s="368"/>
      <c r="AJM73" s="368"/>
      <c r="AJN73" s="368"/>
      <c r="AJO73" s="368"/>
      <c r="AJP73" s="368"/>
      <c r="AJQ73" s="368"/>
      <c r="AJR73" s="368"/>
      <c r="AJS73" s="368"/>
      <c r="AJT73" s="368"/>
      <c r="AJU73" s="368"/>
      <c r="AJV73" s="368"/>
      <c r="AJW73" s="368"/>
      <c r="AJX73" s="368"/>
      <c r="AJY73" s="368"/>
      <c r="AJZ73" s="368"/>
      <c r="AKA73" s="368"/>
      <c r="AKB73" s="368"/>
      <c r="AKC73" s="368"/>
      <c r="AKD73" s="368"/>
      <c r="AKE73" s="368"/>
      <c r="AKF73" s="368"/>
      <c r="AKG73" s="368"/>
      <c r="AKH73" s="368"/>
      <c r="AKI73" s="368"/>
      <c r="AKJ73" s="368"/>
      <c r="AKK73" s="368"/>
      <c r="AKL73" s="368"/>
      <c r="AKM73" s="368"/>
      <c r="AKN73" s="368"/>
    </row>
    <row r="74" spans="1:976" s="14" customFormat="1" ht="22.5" customHeight="1" x14ac:dyDescent="0.2">
      <c r="A74" s="408" t="s">
        <v>408</v>
      </c>
      <c r="B74" s="408"/>
      <c r="C74" s="408" t="s">
        <v>221</v>
      </c>
      <c r="D74" s="408" t="s">
        <v>222</v>
      </c>
      <c r="E74" s="409">
        <v>410903</v>
      </c>
      <c r="F74" s="409">
        <v>1199</v>
      </c>
      <c r="G74" s="409">
        <v>182</v>
      </c>
      <c r="H74" s="409">
        <v>0</v>
      </c>
      <c r="I74" s="410">
        <v>45826</v>
      </c>
      <c r="J74" s="408" t="s">
        <v>281</v>
      </c>
      <c r="K74" s="408" t="s">
        <v>484</v>
      </c>
      <c r="L74" s="411">
        <v>15.88</v>
      </c>
      <c r="M74" s="411">
        <v>3.17</v>
      </c>
      <c r="N74" s="450">
        <v>19.05</v>
      </c>
      <c r="O74" s="408"/>
      <c r="P74" s="412">
        <v>45832</v>
      </c>
      <c r="Q74" s="411">
        <v>19.05</v>
      </c>
      <c r="R74" s="408"/>
      <c r="S74" s="411">
        <v>0</v>
      </c>
      <c r="T74" s="411">
        <v>0</v>
      </c>
      <c r="U74" s="411">
        <v>0</v>
      </c>
      <c r="V74" s="411">
        <v>0</v>
      </c>
      <c r="W74" s="408"/>
      <c r="X74" s="408" t="s">
        <v>283</v>
      </c>
      <c r="Y74" s="408" t="s">
        <v>284</v>
      </c>
      <c r="Z74" s="408" t="s">
        <v>46</v>
      </c>
      <c r="AA74" s="408" t="s">
        <v>228</v>
      </c>
      <c r="AB74" s="408" t="s">
        <v>285</v>
      </c>
      <c r="AC74" s="408" t="s">
        <v>286</v>
      </c>
      <c r="AD74" s="408" t="s">
        <v>231</v>
      </c>
      <c r="AE74" s="408" t="s">
        <v>232</v>
      </c>
      <c r="AF74" s="408" t="s">
        <v>231</v>
      </c>
      <c r="AG74" s="408" t="s">
        <v>232</v>
      </c>
      <c r="AH74" s="408"/>
      <c r="AI74" s="408"/>
      <c r="AJ74" s="408"/>
      <c r="AK74" s="408"/>
      <c r="AL74" s="409">
        <v>1</v>
      </c>
      <c r="AM74" s="409">
        <v>0</v>
      </c>
      <c r="AN74" s="410">
        <v>45827</v>
      </c>
      <c r="AO74" s="410">
        <v>45827</v>
      </c>
      <c r="AP74" s="411">
        <v>19.05</v>
      </c>
      <c r="AQ74" s="410">
        <v>45826</v>
      </c>
    </row>
    <row r="75" spans="1:976" s="363" customFormat="1" ht="22.5" customHeight="1" x14ac:dyDescent="0.2">
      <c r="A75" s="358" t="s">
        <v>408</v>
      </c>
      <c r="B75" s="358"/>
      <c r="C75" s="358" t="s">
        <v>221</v>
      </c>
      <c r="D75" s="358" t="s">
        <v>222</v>
      </c>
      <c r="E75" s="359">
        <v>410904</v>
      </c>
      <c r="F75" s="359">
        <v>1200</v>
      </c>
      <c r="G75" s="359">
        <v>182</v>
      </c>
      <c r="H75" s="359">
        <v>0</v>
      </c>
      <c r="I75" s="360">
        <v>45826</v>
      </c>
      <c r="J75" s="358" t="s">
        <v>281</v>
      </c>
      <c r="K75" s="358" t="s">
        <v>490</v>
      </c>
      <c r="L75" s="361">
        <v>37.42</v>
      </c>
      <c r="M75" s="361">
        <v>7.48</v>
      </c>
      <c r="N75" s="448">
        <v>44.9</v>
      </c>
      <c r="O75" s="358"/>
      <c r="P75" s="362">
        <v>45832</v>
      </c>
      <c r="Q75" s="361">
        <v>44.9</v>
      </c>
      <c r="R75" s="358"/>
      <c r="S75" s="361">
        <v>0</v>
      </c>
      <c r="T75" s="361">
        <v>0</v>
      </c>
      <c r="U75" s="361">
        <v>0</v>
      </c>
      <c r="V75" s="361">
        <v>0</v>
      </c>
      <c r="W75" s="358"/>
      <c r="X75" s="358" t="s">
        <v>283</v>
      </c>
      <c r="Y75" s="358" t="s">
        <v>284</v>
      </c>
      <c r="Z75" s="358" t="s">
        <v>46</v>
      </c>
      <c r="AA75" s="358" t="s">
        <v>228</v>
      </c>
      <c r="AB75" s="358" t="s">
        <v>289</v>
      </c>
      <c r="AC75" s="358" t="s">
        <v>31</v>
      </c>
      <c r="AD75" s="358" t="s">
        <v>231</v>
      </c>
      <c r="AE75" s="358" t="s">
        <v>232</v>
      </c>
      <c r="AF75" s="358" t="s">
        <v>231</v>
      </c>
      <c r="AG75" s="358" t="s">
        <v>232</v>
      </c>
      <c r="AH75" s="358"/>
      <c r="AI75" s="358"/>
      <c r="AJ75" s="358"/>
      <c r="AK75" s="358"/>
      <c r="AL75" s="359">
        <v>1</v>
      </c>
      <c r="AM75" s="359">
        <v>0</v>
      </c>
      <c r="AN75" s="360">
        <v>45827</v>
      </c>
      <c r="AO75" s="360">
        <v>45827</v>
      </c>
      <c r="AP75" s="361">
        <v>44.9</v>
      </c>
      <c r="AQ75" s="360">
        <v>45826</v>
      </c>
      <c r="AR75" s="368"/>
      <c r="AS75" s="368"/>
      <c r="AT75" s="368"/>
      <c r="AU75" s="368"/>
      <c r="AV75" s="368"/>
      <c r="AW75" s="368"/>
      <c r="AX75" s="368"/>
      <c r="AY75" s="368"/>
      <c r="AZ75" s="368"/>
      <c r="BA75" s="368"/>
      <c r="BB75" s="368"/>
      <c r="BC75" s="368"/>
      <c r="BD75" s="368"/>
      <c r="BE75" s="368"/>
      <c r="BF75" s="368"/>
      <c r="BG75" s="368"/>
      <c r="BH75" s="368"/>
      <c r="BI75" s="368"/>
      <c r="BJ75" s="368"/>
      <c r="BK75" s="368"/>
      <c r="BL75" s="368"/>
      <c r="BM75" s="368"/>
      <c r="BN75" s="368"/>
      <c r="BO75" s="368"/>
      <c r="BP75" s="368"/>
      <c r="BQ75" s="368"/>
      <c r="BR75" s="368"/>
      <c r="BS75" s="368"/>
      <c r="BT75" s="368"/>
      <c r="BU75" s="368"/>
      <c r="BV75" s="368"/>
      <c r="BW75" s="368"/>
      <c r="BX75" s="368"/>
      <c r="BY75" s="368"/>
      <c r="BZ75" s="368"/>
      <c r="CA75" s="368"/>
      <c r="CB75" s="368"/>
      <c r="CC75" s="368"/>
      <c r="CD75" s="368"/>
      <c r="CE75" s="368"/>
      <c r="CF75" s="368"/>
      <c r="CG75" s="368"/>
      <c r="CH75" s="368"/>
      <c r="CI75" s="368"/>
      <c r="CJ75" s="368"/>
      <c r="CK75" s="368"/>
      <c r="CL75" s="368"/>
      <c r="CM75" s="368"/>
      <c r="CN75" s="368"/>
      <c r="CO75" s="368"/>
      <c r="CP75" s="368"/>
      <c r="CQ75" s="368"/>
      <c r="CR75" s="368"/>
      <c r="CS75" s="368"/>
      <c r="CT75" s="368"/>
      <c r="CU75" s="368"/>
      <c r="CV75" s="368"/>
      <c r="CW75" s="368"/>
      <c r="CX75" s="368"/>
      <c r="CY75" s="368"/>
      <c r="CZ75" s="368"/>
      <c r="DA75" s="368"/>
      <c r="DB75" s="368"/>
      <c r="DC75" s="368"/>
      <c r="DD75" s="368"/>
      <c r="DE75" s="368"/>
      <c r="DF75" s="368"/>
      <c r="DG75" s="368"/>
      <c r="DH75" s="368"/>
      <c r="DI75" s="368"/>
      <c r="DJ75" s="368"/>
      <c r="DK75" s="368"/>
      <c r="DL75" s="368"/>
      <c r="DM75" s="368"/>
      <c r="DN75" s="368"/>
      <c r="DO75" s="368"/>
      <c r="DP75" s="368"/>
      <c r="DQ75" s="368"/>
      <c r="DR75" s="368"/>
      <c r="DS75" s="368"/>
      <c r="DT75" s="368"/>
      <c r="DU75" s="368"/>
      <c r="DV75" s="368"/>
      <c r="DW75" s="368"/>
      <c r="DX75" s="368"/>
      <c r="DY75" s="368"/>
      <c r="DZ75" s="368"/>
      <c r="EA75" s="368"/>
      <c r="EB75" s="368"/>
      <c r="EC75" s="368"/>
      <c r="ED75" s="368"/>
      <c r="EE75" s="368"/>
      <c r="EF75" s="368"/>
      <c r="EG75" s="368"/>
      <c r="EH75" s="368"/>
      <c r="EI75" s="368"/>
      <c r="EJ75" s="368"/>
      <c r="EK75" s="368"/>
      <c r="EL75" s="368"/>
      <c r="EM75" s="368"/>
      <c r="EN75" s="368"/>
      <c r="EO75" s="368"/>
      <c r="EP75" s="368"/>
      <c r="EQ75" s="368"/>
      <c r="ER75" s="368"/>
      <c r="ES75" s="368"/>
      <c r="ET75" s="368"/>
      <c r="EU75" s="368"/>
      <c r="EV75" s="368"/>
      <c r="EW75" s="368"/>
      <c r="EX75" s="368"/>
      <c r="EY75" s="368"/>
      <c r="EZ75" s="368"/>
      <c r="FA75" s="368"/>
      <c r="FB75" s="368"/>
      <c r="FC75" s="368"/>
      <c r="FD75" s="368"/>
      <c r="FE75" s="368"/>
      <c r="FF75" s="368"/>
      <c r="FG75" s="368"/>
      <c r="FH75" s="368"/>
      <c r="FI75" s="368"/>
      <c r="FJ75" s="368"/>
      <c r="FK75" s="368"/>
      <c r="FL75" s="368"/>
      <c r="FM75" s="368"/>
      <c r="FN75" s="368"/>
      <c r="FO75" s="368"/>
      <c r="FP75" s="368"/>
      <c r="FQ75" s="368"/>
      <c r="FR75" s="368"/>
      <c r="FS75" s="368"/>
      <c r="FT75" s="368"/>
      <c r="FU75" s="368"/>
      <c r="FV75" s="368"/>
      <c r="FW75" s="368"/>
      <c r="FX75" s="368"/>
      <c r="FY75" s="368"/>
      <c r="FZ75" s="368"/>
      <c r="GA75" s="368"/>
      <c r="GB75" s="368"/>
      <c r="GC75" s="368"/>
      <c r="GD75" s="368"/>
      <c r="GE75" s="368"/>
      <c r="GF75" s="368"/>
      <c r="GG75" s="368"/>
      <c r="GH75" s="368"/>
      <c r="GI75" s="368"/>
      <c r="GJ75" s="368"/>
      <c r="GK75" s="368"/>
      <c r="GL75" s="368"/>
      <c r="GM75" s="368"/>
      <c r="GN75" s="368"/>
      <c r="GO75" s="368"/>
      <c r="GP75" s="368"/>
      <c r="GQ75" s="368"/>
      <c r="GR75" s="368"/>
      <c r="GS75" s="368"/>
      <c r="GT75" s="368"/>
      <c r="GU75" s="368"/>
      <c r="GV75" s="368"/>
      <c r="GW75" s="368"/>
      <c r="GX75" s="368"/>
      <c r="GY75" s="368"/>
      <c r="GZ75" s="368"/>
      <c r="HA75" s="368"/>
      <c r="HB75" s="368"/>
      <c r="HC75" s="368"/>
      <c r="HD75" s="368"/>
      <c r="HE75" s="368"/>
      <c r="HF75" s="368"/>
      <c r="HG75" s="368"/>
      <c r="HH75" s="368"/>
      <c r="HI75" s="368"/>
      <c r="HJ75" s="368"/>
      <c r="HK75" s="368"/>
      <c r="HL75" s="368"/>
      <c r="HM75" s="368"/>
      <c r="HN75" s="368"/>
      <c r="HO75" s="368"/>
      <c r="HP75" s="368"/>
      <c r="HQ75" s="368"/>
      <c r="HR75" s="368"/>
      <c r="HS75" s="368"/>
      <c r="HT75" s="368"/>
      <c r="HU75" s="368"/>
      <c r="HV75" s="368"/>
      <c r="HW75" s="368"/>
      <c r="HX75" s="368"/>
      <c r="HY75" s="368"/>
      <c r="HZ75" s="368"/>
      <c r="IA75" s="368"/>
      <c r="IB75" s="368"/>
      <c r="IC75" s="368"/>
      <c r="ID75" s="368"/>
      <c r="IE75" s="368"/>
      <c r="IF75" s="368"/>
      <c r="IG75" s="368"/>
      <c r="IH75" s="368"/>
      <c r="II75" s="368"/>
      <c r="IJ75" s="368"/>
      <c r="IK75" s="368"/>
      <c r="IL75" s="368"/>
      <c r="IM75" s="368"/>
      <c r="IN75" s="368"/>
      <c r="IO75" s="368"/>
      <c r="IP75" s="368"/>
      <c r="IQ75" s="368"/>
      <c r="IR75" s="368"/>
      <c r="IS75" s="368"/>
      <c r="IT75" s="368"/>
      <c r="IU75" s="368"/>
      <c r="IV75" s="368"/>
      <c r="IW75" s="368"/>
      <c r="IX75" s="368"/>
      <c r="IY75" s="368"/>
      <c r="IZ75" s="368"/>
      <c r="JA75" s="368"/>
      <c r="JB75" s="368"/>
      <c r="JC75" s="368"/>
      <c r="JD75" s="368"/>
      <c r="JE75" s="368"/>
      <c r="JF75" s="368"/>
      <c r="JG75" s="368"/>
      <c r="JH75" s="368"/>
      <c r="JI75" s="368"/>
      <c r="JJ75" s="368"/>
      <c r="JK75" s="368"/>
      <c r="JL75" s="368"/>
      <c r="JM75" s="368"/>
      <c r="JN75" s="368"/>
      <c r="JO75" s="368"/>
      <c r="JP75" s="368"/>
      <c r="JQ75" s="368"/>
      <c r="JR75" s="368"/>
      <c r="JS75" s="368"/>
      <c r="JT75" s="368"/>
      <c r="JU75" s="368"/>
      <c r="JV75" s="368"/>
      <c r="JW75" s="368"/>
      <c r="JX75" s="368"/>
      <c r="JY75" s="368"/>
      <c r="JZ75" s="368"/>
      <c r="KA75" s="368"/>
      <c r="KB75" s="368"/>
      <c r="KC75" s="368"/>
      <c r="KD75" s="368"/>
      <c r="KE75" s="368"/>
      <c r="KF75" s="368"/>
      <c r="KG75" s="368"/>
      <c r="KH75" s="368"/>
      <c r="KI75" s="368"/>
      <c r="KJ75" s="368"/>
      <c r="KK75" s="368"/>
      <c r="KL75" s="368"/>
      <c r="KM75" s="368"/>
      <c r="KN75" s="368"/>
      <c r="KO75" s="368"/>
      <c r="KP75" s="368"/>
      <c r="KQ75" s="368"/>
      <c r="KR75" s="368"/>
      <c r="KS75" s="368"/>
      <c r="KT75" s="368"/>
      <c r="KU75" s="368"/>
      <c r="KV75" s="368"/>
      <c r="KW75" s="368"/>
      <c r="KX75" s="368"/>
      <c r="KY75" s="368"/>
      <c r="KZ75" s="368"/>
      <c r="LA75" s="368"/>
      <c r="LB75" s="368"/>
      <c r="LC75" s="368"/>
      <c r="LD75" s="368"/>
      <c r="LE75" s="368"/>
      <c r="LF75" s="368"/>
      <c r="LG75" s="368"/>
      <c r="LH75" s="368"/>
      <c r="LI75" s="368"/>
      <c r="LJ75" s="368"/>
      <c r="LK75" s="368"/>
      <c r="LL75" s="368"/>
      <c r="LM75" s="368"/>
      <c r="LN75" s="368"/>
      <c r="LO75" s="368"/>
      <c r="LP75" s="368"/>
      <c r="LQ75" s="368"/>
      <c r="LR75" s="368"/>
      <c r="LS75" s="368"/>
      <c r="LT75" s="368"/>
      <c r="LU75" s="368"/>
      <c r="LV75" s="368"/>
      <c r="LW75" s="368"/>
      <c r="LX75" s="368"/>
      <c r="LY75" s="368"/>
      <c r="LZ75" s="368"/>
      <c r="MA75" s="368"/>
      <c r="MB75" s="368"/>
      <c r="MC75" s="368"/>
      <c r="MD75" s="368"/>
      <c r="ME75" s="368"/>
      <c r="MF75" s="368"/>
      <c r="MG75" s="368"/>
      <c r="MH75" s="368"/>
      <c r="MI75" s="368"/>
      <c r="MJ75" s="368"/>
      <c r="MK75" s="368"/>
      <c r="ML75" s="368"/>
      <c r="MM75" s="368"/>
      <c r="MN75" s="368"/>
      <c r="MO75" s="368"/>
      <c r="MP75" s="368"/>
      <c r="MQ75" s="368"/>
      <c r="MR75" s="368"/>
      <c r="MS75" s="368"/>
      <c r="MT75" s="368"/>
      <c r="MU75" s="368"/>
      <c r="MV75" s="368"/>
      <c r="MW75" s="368"/>
      <c r="MX75" s="368"/>
      <c r="MY75" s="368"/>
      <c r="MZ75" s="368"/>
      <c r="NA75" s="368"/>
      <c r="NB75" s="368"/>
      <c r="NC75" s="368"/>
      <c r="ND75" s="368"/>
      <c r="NE75" s="368"/>
      <c r="NF75" s="368"/>
      <c r="NG75" s="368"/>
      <c r="NH75" s="368"/>
      <c r="NI75" s="368"/>
      <c r="NJ75" s="368"/>
      <c r="NK75" s="368"/>
      <c r="NL75" s="368"/>
      <c r="NM75" s="368"/>
      <c r="NN75" s="368"/>
      <c r="NO75" s="368"/>
      <c r="NP75" s="368"/>
      <c r="NQ75" s="368"/>
      <c r="NR75" s="368"/>
      <c r="NS75" s="368"/>
      <c r="NT75" s="368"/>
      <c r="NU75" s="368"/>
      <c r="NV75" s="368"/>
      <c r="NW75" s="368"/>
      <c r="NX75" s="368"/>
      <c r="NY75" s="368"/>
      <c r="NZ75" s="368"/>
      <c r="OA75" s="368"/>
      <c r="OB75" s="368"/>
      <c r="OC75" s="368"/>
      <c r="OD75" s="368"/>
      <c r="OE75" s="368"/>
      <c r="OF75" s="368"/>
      <c r="OG75" s="368"/>
      <c r="OH75" s="368"/>
      <c r="OI75" s="368"/>
      <c r="OJ75" s="368"/>
      <c r="OK75" s="368"/>
      <c r="OL75" s="368"/>
      <c r="OM75" s="368"/>
      <c r="ON75" s="368"/>
      <c r="OO75" s="368"/>
      <c r="OP75" s="368"/>
      <c r="OQ75" s="368"/>
      <c r="OR75" s="368"/>
      <c r="OS75" s="368"/>
      <c r="OT75" s="368"/>
      <c r="OU75" s="368"/>
      <c r="OV75" s="368"/>
      <c r="OW75" s="368"/>
      <c r="OX75" s="368"/>
      <c r="OY75" s="368"/>
      <c r="OZ75" s="368"/>
      <c r="PA75" s="368"/>
      <c r="PB75" s="368"/>
      <c r="PC75" s="368"/>
      <c r="PD75" s="368"/>
      <c r="PE75" s="368"/>
      <c r="PF75" s="368"/>
      <c r="PG75" s="368"/>
      <c r="PH75" s="368"/>
      <c r="PI75" s="368"/>
      <c r="PJ75" s="368"/>
      <c r="PK75" s="368"/>
      <c r="PL75" s="368"/>
      <c r="PM75" s="368"/>
      <c r="PN75" s="368"/>
      <c r="PO75" s="368"/>
      <c r="PP75" s="368"/>
      <c r="PQ75" s="368"/>
      <c r="PR75" s="368"/>
      <c r="PS75" s="368"/>
      <c r="PT75" s="368"/>
      <c r="PU75" s="368"/>
      <c r="PV75" s="368"/>
      <c r="PW75" s="368"/>
      <c r="PX75" s="368"/>
      <c r="PY75" s="368"/>
      <c r="PZ75" s="368"/>
      <c r="QA75" s="368"/>
      <c r="QB75" s="368"/>
      <c r="QC75" s="368"/>
      <c r="QD75" s="368"/>
      <c r="QE75" s="368"/>
      <c r="QF75" s="368"/>
      <c r="QG75" s="368"/>
      <c r="QH75" s="368"/>
      <c r="QI75" s="368"/>
      <c r="QJ75" s="368"/>
      <c r="QK75" s="368"/>
      <c r="QL75" s="368"/>
      <c r="QM75" s="368"/>
      <c r="QN75" s="368"/>
      <c r="QO75" s="368"/>
      <c r="QP75" s="368"/>
      <c r="QQ75" s="368"/>
      <c r="QR75" s="368"/>
      <c r="QS75" s="368"/>
      <c r="QT75" s="368"/>
      <c r="QU75" s="368"/>
      <c r="QV75" s="368"/>
      <c r="QW75" s="368"/>
      <c r="QX75" s="368"/>
      <c r="QY75" s="368"/>
      <c r="QZ75" s="368"/>
      <c r="RA75" s="368"/>
      <c r="RB75" s="368"/>
      <c r="RC75" s="368"/>
      <c r="RD75" s="368"/>
      <c r="RE75" s="368"/>
      <c r="RF75" s="368"/>
      <c r="RG75" s="368"/>
      <c r="RH75" s="368"/>
      <c r="RI75" s="368"/>
      <c r="RJ75" s="368"/>
      <c r="RK75" s="368"/>
      <c r="RL75" s="368"/>
      <c r="RM75" s="368"/>
      <c r="RN75" s="368"/>
      <c r="RO75" s="368"/>
      <c r="RP75" s="368"/>
      <c r="RQ75" s="368"/>
      <c r="RR75" s="368"/>
      <c r="RS75" s="368"/>
      <c r="RT75" s="368"/>
      <c r="RU75" s="368"/>
      <c r="RV75" s="368"/>
      <c r="RW75" s="368"/>
      <c r="RX75" s="368"/>
      <c r="RY75" s="368"/>
      <c r="RZ75" s="368"/>
      <c r="SA75" s="368"/>
      <c r="SB75" s="368"/>
      <c r="SC75" s="368"/>
      <c r="SD75" s="368"/>
      <c r="SE75" s="368"/>
      <c r="SF75" s="368"/>
      <c r="SG75" s="368"/>
      <c r="SH75" s="368"/>
      <c r="SI75" s="368"/>
      <c r="SJ75" s="368"/>
      <c r="SK75" s="368"/>
      <c r="SL75" s="368"/>
      <c r="SM75" s="368"/>
      <c r="SN75" s="368"/>
      <c r="SO75" s="368"/>
      <c r="SP75" s="368"/>
      <c r="SQ75" s="368"/>
      <c r="SR75" s="368"/>
      <c r="SS75" s="368"/>
      <c r="ST75" s="368"/>
      <c r="SU75" s="368"/>
      <c r="SV75" s="368"/>
      <c r="SW75" s="368"/>
      <c r="SX75" s="368"/>
      <c r="SY75" s="368"/>
      <c r="SZ75" s="368"/>
      <c r="TA75" s="368"/>
      <c r="TB75" s="368"/>
      <c r="TC75" s="368"/>
      <c r="TD75" s="368"/>
      <c r="TE75" s="368"/>
      <c r="TF75" s="368"/>
      <c r="TG75" s="368"/>
      <c r="TH75" s="368"/>
      <c r="TI75" s="368"/>
      <c r="TJ75" s="368"/>
      <c r="TK75" s="368"/>
      <c r="TL75" s="368"/>
      <c r="TM75" s="368"/>
      <c r="TN75" s="368"/>
      <c r="TO75" s="368"/>
      <c r="TP75" s="368"/>
      <c r="TQ75" s="368"/>
      <c r="TR75" s="368"/>
      <c r="TS75" s="368"/>
      <c r="TT75" s="368"/>
      <c r="TU75" s="368"/>
      <c r="TV75" s="368"/>
      <c r="TW75" s="368"/>
      <c r="TX75" s="368"/>
      <c r="TY75" s="368"/>
      <c r="TZ75" s="368"/>
      <c r="UA75" s="368"/>
      <c r="UB75" s="368"/>
      <c r="UC75" s="368"/>
      <c r="UD75" s="368"/>
      <c r="UE75" s="368"/>
      <c r="UF75" s="368"/>
      <c r="UG75" s="368"/>
      <c r="UH75" s="368"/>
      <c r="UI75" s="368"/>
      <c r="UJ75" s="368"/>
      <c r="UK75" s="368"/>
      <c r="UL75" s="368"/>
      <c r="UM75" s="368"/>
      <c r="UN75" s="368"/>
      <c r="UO75" s="368"/>
      <c r="UP75" s="368"/>
      <c r="UQ75" s="368"/>
      <c r="UR75" s="368"/>
      <c r="US75" s="368"/>
      <c r="UT75" s="368"/>
      <c r="UU75" s="368"/>
      <c r="UV75" s="368"/>
      <c r="UW75" s="368"/>
      <c r="UX75" s="368"/>
      <c r="UY75" s="368"/>
      <c r="UZ75" s="368"/>
      <c r="VA75" s="368"/>
      <c r="VB75" s="368"/>
      <c r="VC75" s="368"/>
      <c r="VD75" s="368"/>
      <c r="VE75" s="368"/>
      <c r="VF75" s="368"/>
      <c r="VG75" s="368"/>
      <c r="VH75" s="368"/>
      <c r="VI75" s="368"/>
      <c r="VJ75" s="368"/>
      <c r="VK75" s="368"/>
      <c r="VL75" s="368"/>
      <c r="VM75" s="368"/>
      <c r="VN75" s="368"/>
      <c r="VO75" s="368"/>
      <c r="VP75" s="368"/>
      <c r="VQ75" s="368"/>
      <c r="VR75" s="368"/>
      <c r="VS75" s="368"/>
      <c r="VT75" s="368"/>
      <c r="VU75" s="368"/>
      <c r="VV75" s="368"/>
      <c r="VW75" s="368"/>
      <c r="VX75" s="368"/>
      <c r="VY75" s="368"/>
      <c r="VZ75" s="368"/>
      <c r="WA75" s="368"/>
      <c r="WB75" s="368"/>
      <c r="WC75" s="368"/>
      <c r="WD75" s="368"/>
      <c r="WE75" s="368"/>
      <c r="WF75" s="368"/>
      <c r="WG75" s="368"/>
      <c r="WH75" s="368"/>
      <c r="WI75" s="368"/>
      <c r="WJ75" s="368"/>
      <c r="WK75" s="368"/>
      <c r="WL75" s="368"/>
      <c r="WM75" s="368"/>
      <c r="WN75" s="368"/>
      <c r="WO75" s="368"/>
      <c r="WP75" s="368"/>
      <c r="WQ75" s="368"/>
      <c r="WR75" s="368"/>
      <c r="WS75" s="368"/>
      <c r="WT75" s="368"/>
      <c r="WU75" s="368"/>
      <c r="WV75" s="368"/>
      <c r="WW75" s="368"/>
      <c r="WX75" s="368"/>
      <c r="WY75" s="368"/>
      <c r="WZ75" s="368"/>
      <c r="XA75" s="368"/>
      <c r="XB75" s="368"/>
      <c r="XC75" s="368"/>
      <c r="XD75" s="368"/>
      <c r="XE75" s="368"/>
      <c r="XF75" s="368"/>
      <c r="XG75" s="368"/>
      <c r="XH75" s="368"/>
      <c r="XI75" s="368"/>
      <c r="XJ75" s="368"/>
      <c r="XK75" s="368"/>
      <c r="XL75" s="368"/>
      <c r="XM75" s="368"/>
      <c r="XN75" s="368"/>
      <c r="XO75" s="368"/>
      <c r="XP75" s="368"/>
      <c r="XQ75" s="368"/>
      <c r="XR75" s="368"/>
      <c r="XS75" s="368"/>
      <c r="XT75" s="368"/>
      <c r="XU75" s="368"/>
      <c r="XV75" s="368"/>
      <c r="XW75" s="368"/>
      <c r="XX75" s="368"/>
      <c r="XY75" s="368"/>
      <c r="XZ75" s="368"/>
      <c r="YA75" s="368"/>
      <c r="YB75" s="368"/>
      <c r="YC75" s="368"/>
      <c r="YD75" s="368"/>
      <c r="YE75" s="368"/>
      <c r="YF75" s="368"/>
      <c r="YG75" s="368"/>
      <c r="YH75" s="368"/>
      <c r="YI75" s="368"/>
      <c r="YJ75" s="368"/>
      <c r="YK75" s="368"/>
      <c r="YL75" s="368"/>
      <c r="YM75" s="368"/>
      <c r="YN75" s="368"/>
      <c r="YO75" s="368"/>
      <c r="YP75" s="368"/>
      <c r="YQ75" s="368"/>
      <c r="YR75" s="368"/>
      <c r="YS75" s="368"/>
      <c r="YT75" s="368"/>
      <c r="YU75" s="368"/>
      <c r="YV75" s="368"/>
      <c r="YW75" s="368"/>
      <c r="YX75" s="368"/>
      <c r="YY75" s="368"/>
      <c r="YZ75" s="368"/>
      <c r="ZA75" s="368"/>
      <c r="ZB75" s="368"/>
      <c r="ZC75" s="368"/>
      <c r="ZD75" s="368"/>
      <c r="ZE75" s="368"/>
      <c r="ZF75" s="368"/>
      <c r="ZG75" s="368"/>
      <c r="ZH75" s="368"/>
      <c r="ZI75" s="368"/>
      <c r="ZJ75" s="368"/>
      <c r="ZK75" s="368"/>
      <c r="ZL75" s="368"/>
      <c r="ZM75" s="368"/>
      <c r="ZN75" s="368"/>
      <c r="ZO75" s="368"/>
      <c r="ZP75" s="368"/>
      <c r="ZQ75" s="368"/>
      <c r="ZR75" s="368"/>
      <c r="ZS75" s="368"/>
      <c r="ZT75" s="368"/>
      <c r="ZU75" s="368"/>
      <c r="ZV75" s="368"/>
      <c r="ZW75" s="368"/>
      <c r="ZX75" s="368"/>
      <c r="ZY75" s="368"/>
      <c r="ZZ75" s="368"/>
      <c r="AAA75" s="368"/>
      <c r="AAB75" s="368"/>
      <c r="AAC75" s="368"/>
      <c r="AAD75" s="368"/>
      <c r="AAE75" s="368"/>
      <c r="AAF75" s="368"/>
      <c r="AAG75" s="368"/>
      <c r="AAH75" s="368"/>
      <c r="AAI75" s="368"/>
      <c r="AAJ75" s="368"/>
      <c r="AAK75" s="368"/>
      <c r="AAL75" s="368"/>
      <c r="AAM75" s="368"/>
      <c r="AAN75" s="368"/>
      <c r="AAO75" s="368"/>
      <c r="AAP75" s="368"/>
      <c r="AAQ75" s="368"/>
      <c r="AAR75" s="368"/>
      <c r="AAS75" s="368"/>
      <c r="AAT75" s="368"/>
      <c r="AAU75" s="368"/>
      <c r="AAV75" s="368"/>
      <c r="AAW75" s="368"/>
      <c r="AAX75" s="368"/>
      <c r="AAY75" s="368"/>
      <c r="AAZ75" s="368"/>
      <c r="ABA75" s="368"/>
      <c r="ABB75" s="368"/>
      <c r="ABC75" s="368"/>
      <c r="ABD75" s="368"/>
      <c r="ABE75" s="368"/>
      <c r="ABF75" s="368"/>
      <c r="ABG75" s="368"/>
      <c r="ABH75" s="368"/>
      <c r="ABI75" s="368"/>
      <c r="ABJ75" s="368"/>
      <c r="ABK75" s="368"/>
      <c r="ABL75" s="368"/>
      <c r="ABM75" s="368"/>
      <c r="ABN75" s="368"/>
      <c r="ABO75" s="368"/>
      <c r="ABP75" s="368"/>
      <c r="ABQ75" s="368"/>
      <c r="ABR75" s="368"/>
      <c r="ABS75" s="368"/>
      <c r="ABT75" s="368"/>
      <c r="ABU75" s="368"/>
      <c r="ABV75" s="368"/>
      <c r="ABW75" s="368"/>
      <c r="ABX75" s="368"/>
      <c r="ABY75" s="368"/>
      <c r="ABZ75" s="368"/>
      <c r="ACA75" s="368"/>
      <c r="ACB75" s="368"/>
      <c r="ACC75" s="368"/>
      <c r="ACD75" s="368"/>
      <c r="ACE75" s="368"/>
      <c r="ACF75" s="368"/>
      <c r="ACG75" s="368"/>
      <c r="ACH75" s="368"/>
      <c r="ACI75" s="368"/>
      <c r="ACJ75" s="368"/>
      <c r="ACK75" s="368"/>
      <c r="ACL75" s="368"/>
      <c r="ACM75" s="368"/>
      <c r="ACN75" s="368"/>
      <c r="ACO75" s="368"/>
      <c r="ACP75" s="368"/>
      <c r="ACQ75" s="368"/>
      <c r="ACR75" s="368"/>
      <c r="ACS75" s="368"/>
      <c r="ACT75" s="368"/>
      <c r="ACU75" s="368"/>
      <c r="ACV75" s="368"/>
      <c r="ACW75" s="368"/>
      <c r="ACX75" s="368"/>
      <c r="ACY75" s="368"/>
      <c r="ACZ75" s="368"/>
      <c r="ADA75" s="368"/>
      <c r="ADB75" s="368"/>
      <c r="ADC75" s="368"/>
      <c r="ADD75" s="368"/>
      <c r="ADE75" s="368"/>
      <c r="ADF75" s="368"/>
      <c r="ADG75" s="368"/>
      <c r="ADH75" s="368"/>
      <c r="ADI75" s="368"/>
      <c r="ADJ75" s="368"/>
      <c r="ADK75" s="368"/>
      <c r="ADL75" s="368"/>
      <c r="ADM75" s="368"/>
      <c r="ADN75" s="368"/>
      <c r="ADO75" s="368"/>
      <c r="ADP75" s="368"/>
      <c r="ADQ75" s="368"/>
      <c r="ADR75" s="368"/>
      <c r="ADS75" s="368"/>
      <c r="ADT75" s="368"/>
      <c r="ADU75" s="368"/>
      <c r="ADV75" s="368"/>
      <c r="ADW75" s="368"/>
      <c r="ADX75" s="368"/>
      <c r="ADY75" s="368"/>
      <c r="ADZ75" s="368"/>
      <c r="AEA75" s="368"/>
      <c r="AEB75" s="368"/>
      <c r="AEC75" s="368"/>
      <c r="AED75" s="368"/>
      <c r="AEE75" s="368"/>
      <c r="AEF75" s="368"/>
      <c r="AEG75" s="368"/>
      <c r="AEH75" s="368"/>
      <c r="AEI75" s="368"/>
      <c r="AEJ75" s="368"/>
      <c r="AEK75" s="368"/>
      <c r="AEL75" s="368"/>
      <c r="AEM75" s="368"/>
      <c r="AEN75" s="368"/>
      <c r="AEO75" s="368"/>
      <c r="AEP75" s="368"/>
      <c r="AEQ75" s="368"/>
      <c r="AER75" s="368"/>
      <c r="AES75" s="368"/>
      <c r="AET75" s="368"/>
      <c r="AEU75" s="368"/>
      <c r="AEV75" s="368"/>
      <c r="AEW75" s="368"/>
      <c r="AEX75" s="368"/>
      <c r="AEY75" s="368"/>
      <c r="AEZ75" s="368"/>
      <c r="AFA75" s="368"/>
      <c r="AFB75" s="368"/>
      <c r="AFC75" s="368"/>
      <c r="AFD75" s="368"/>
      <c r="AFE75" s="368"/>
      <c r="AFF75" s="368"/>
      <c r="AFG75" s="368"/>
      <c r="AFH75" s="368"/>
      <c r="AFI75" s="368"/>
      <c r="AFJ75" s="368"/>
      <c r="AFK75" s="368"/>
      <c r="AFL75" s="368"/>
      <c r="AFM75" s="368"/>
      <c r="AFN75" s="368"/>
      <c r="AFO75" s="368"/>
      <c r="AFP75" s="368"/>
      <c r="AFQ75" s="368"/>
      <c r="AFR75" s="368"/>
      <c r="AFS75" s="368"/>
      <c r="AFT75" s="368"/>
      <c r="AFU75" s="368"/>
      <c r="AFV75" s="368"/>
      <c r="AFW75" s="368"/>
      <c r="AFX75" s="368"/>
      <c r="AFY75" s="368"/>
      <c r="AFZ75" s="368"/>
      <c r="AGA75" s="368"/>
      <c r="AGB75" s="368"/>
      <c r="AGC75" s="368"/>
      <c r="AGD75" s="368"/>
      <c r="AGE75" s="368"/>
      <c r="AGF75" s="368"/>
      <c r="AGG75" s="368"/>
      <c r="AGH75" s="368"/>
      <c r="AGI75" s="368"/>
      <c r="AGJ75" s="368"/>
      <c r="AGK75" s="368"/>
      <c r="AGL75" s="368"/>
      <c r="AGM75" s="368"/>
      <c r="AGN75" s="368"/>
      <c r="AGO75" s="368"/>
      <c r="AGP75" s="368"/>
      <c r="AGQ75" s="368"/>
      <c r="AGR75" s="368"/>
      <c r="AGS75" s="368"/>
      <c r="AGT75" s="368"/>
      <c r="AGU75" s="368"/>
      <c r="AGV75" s="368"/>
      <c r="AGW75" s="368"/>
      <c r="AGX75" s="368"/>
      <c r="AGY75" s="368"/>
      <c r="AGZ75" s="368"/>
      <c r="AHA75" s="368"/>
      <c r="AHB75" s="368"/>
      <c r="AHC75" s="368"/>
      <c r="AHD75" s="368"/>
      <c r="AHE75" s="368"/>
      <c r="AHF75" s="368"/>
      <c r="AHG75" s="368"/>
      <c r="AHH75" s="368"/>
      <c r="AHI75" s="368"/>
      <c r="AHJ75" s="368"/>
      <c r="AHK75" s="368"/>
      <c r="AHL75" s="368"/>
      <c r="AHM75" s="368"/>
      <c r="AHN75" s="368"/>
      <c r="AHO75" s="368"/>
      <c r="AHP75" s="368"/>
      <c r="AHQ75" s="368"/>
      <c r="AHR75" s="368"/>
      <c r="AHS75" s="368"/>
      <c r="AHT75" s="368"/>
      <c r="AHU75" s="368"/>
      <c r="AHV75" s="368"/>
      <c r="AHW75" s="368"/>
      <c r="AHX75" s="368"/>
      <c r="AHY75" s="368"/>
      <c r="AHZ75" s="368"/>
      <c r="AIA75" s="368"/>
      <c r="AIB75" s="368"/>
      <c r="AIC75" s="368"/>
      <c r="AID75" s="368"/>
      <c r="AIE75" s="368"/>
      <c r="AIF75" s="368"/>
      <c r="AIG75" s="368"/>
      <c r="AIH75" s="368"/>
      <c r="AII75" s="368"/>
      <c r="AIJ75" s="368"/>
      <c r="AIK75" s="368"/>
      <c r="AIL75" s="368"/>
      <c r="AIM75" s="368"/>
      <c r="AIN75" s="368"/>
      <c r="AIO75" s="368"/>
      <c r="AIP75" s="368"/>
      <c r="AIQ75" s="368"/>
      <c r="AIR75" s="368"/>
      <c r="AIS75" s="368"/>
      <c r="AIT75" s="368"/>
      <c r="AIU75" s="368"/>
      <c r="AIV75" s="368"/>
      <c r="AIW75" s="368"/>
      <c r="AIX75" s="368"/>
      <c r="AIY75" s="368"/>
      <c r="AIZ75" s="368"/>
      <c r="AJA75" s="368"/>
      <c r="AJB75" s="368"/>
      <c r="AJC75" s="368"/>
      <c r="AJD75" s="368"/>
      <c r="AJE75" s="368"/>
      <c r="AJF75" s="368"/>
      <c r="AJG75" s="368"/>
      <c r="AJH75" s="368"/>
      <c r="AJI75" s="368"/>
      <c r="AJJ75" s="368"/>
      <c r="AJK75" s="368"/>
      <c r="AJL75" s="368"/>
      <c r="AJM75" s="368"/>
      <c r="AJN75" s="368"/>
      <c r="AJO75" s="368"/>
      <c r="AJP75" s="368"/>
      <c r="AJQ75" s="368"/>
      <c r="AJR75" s="368"/>
      <c r="AJS75" s="368"/>
      <c r="AJT75" s="368"/>
      <c r="AJU75" s="368"/>
      <c r="AJV75" s="368"/>
      <c r="AJW75" s="368"/>
      <c r="AJX75" s="368"/>
      <c r="AJY75" s="368"/>
      <c r="AJZ75" s="368"/>
      <c r="AKA75" s="368"/>
      <c r="AKB75" s="368"/>
      <c r="AKC75" s="368"/>
      <c r="AKD75" s="368"/>
      <c r="AKE75" s="368"/>
      <c r="AKF75" s="368"/>
      <c r="AKG75" s="368"/>
      <c r="AKH75" s="368"/>
      <c r="AKI75" s="368"/>
      <c r="AKJ75" s="368"/>
      <c r="AKK75" s="368"/>
      <c r="AKL75" s="368"/>
      <c r="AKM75" s="368"/>
      <c r="AKN75" s="368"/>
    </row>
    <row r="76" spans="1:976" s="345" customFormat="1" ht="22.5" customHeight="1" x14ac:dyDescent="0.2">
      <c r="A76" s="423" t="s">
        <v>262</v>
      </c>
      <c r="B76" s="423"/>
      <c r="C76" s="423" t="s">
        <v>221</v>
      </c>
      <c r="D76" s="423" t="s">
        <v>222</v>
      </c>
      <c r="E76" s="424">
        <v>410939</v>
      </c>
      <c r="F76" s="424">
        <v>1233</v>
      </c>
      <c r="G76" s="424">
        <v>190</v>
      </c>
      <c r="H76" s="424">
        <v>0</v>
      </c>
      <c r="I76" s="425">
        <v>45832</v>
      </c>
      <c r="J76" s="423" t="s">
        <v>395</v>
      </c>
      <c r="K76" s="423" t="s">
        <v>491</v>
      </c>
      <c r="L76" s="426">
        <v>186.76</v>
      </c>
      <c r="M76" s="426">
        <v>12.65</v>
      </c>
      <c r="N76" s="451">
        <v>199.41</v>
      </c>
      <c r="O76" s="423"/>
      <c r="P76" s="427">
        <v>45842</v>
      </c>
      <c r="Q76" s="426">
        <v>199.41</v>
      </c>
      <c r="R76" s="423" t="s">
        <v>492</v>
      </c>
      <c r="S76" s="426">
        <v>0</v>
      </c>
      <c r="T76" s="426">
        <v>0</v>
      </c>
      <c r="U76" s="426">
        <v>0</v>
      </c>
      <c r="V76" s="426">
        <v>0</v>
      </c>
      <c r="W76" s="423"/>
      <c r="X76" s="423" t="s">
        <v>293</v>
      </c>
      <c r="Y76" s="423" t="s">
        <v>294</v>
      </c>
      <c r="Z76" s="423" t="s">
        <v>53</v>
      </c>
      <c r="AA76" s="423" t="s">
        <v>228</v>
      </c>
      <c r="AB76" s="423" t="s">
        <v>239</v>
      </c>
      <c r="AC76" s="423" t="s">
        <v>243</v>
      </c>
      <c r="AD76" s="423" t="s">
        <v>231</v>
      </c>
      <c r="AE76" s="423" t="s">
        <v>232</v>
      </c>
      <c r="AF76" s="423" t="s">
        <v>231</v>
      </c>
      <c r="AG76" s="423" t="s">
        <v>232</v>
      </c>
      <c r="AH76" s="423"/>
      <c r="AI76" s="423"/>
      <c r="AJ76" s="423" t="s">
        <v>244</v>
      </c>
      <c r="AK76" s="423" t="s">
        <v>493</v>
      </c>
      <c r="AL76" s="424">
        <v>1</v>
      </c>
      <c r="AM76" s="424">
        <v>0</v>
      </c>
      <c r="AN76" s="425">
        <v>45842</v>
      </c>
      <c r="AO76" s="425">
        <v>45842</v>
      </c>
      <c r="AP76" s="426">
        <v>199.41</v>
      </c>
      <c r="AQ76" s="425">
        <v>45841</v>
      </c>
    </row>
    <row r="77" spans="1:976" s="364" customFormat="1" ht="22.5" customHeight="1" x14ac:dyDescent="0.2">
      <c r="A77" s="347" t="s">
        <v>262</v>
      </c>
      <c r="B77" s="347"/>
      <c r="C77" s="347" t="s">
        <v>221</v>
      </c>
      <c r="D77" s="347" t="s">
        <v>222</v>
      </c>
      <c r="E77" s="348">
        <v>410963</v>
      </c>
      <c r="F77" s="348">
        <v>1242</v>
      </c>
      <c r="G77" s="348">
        <v>190</v>
      </c>
      <c r="H77" s="348">
        <v>0</v>
      </c>
      <c r="I77" s="349">
        <v>45832</v>
      </c>
      <c r="J77" s="347" t="s">
        <v>395</v>
      </c>
      <c r="K77" s="347" t="s">
        <v>494</v>
      </c>
      <c r="L77" s="344">
        <v>24.4</v>
      </c>
      <c r="M77" s="344">
        <v>1.34</v>
      </c>
      <c r="N77" s="447">
        <v>25.74</v>
      </c>
      <c r="O77" s="347"/>
      <c r="P77" s="350">
        <v>45842</v>
      </c>
      <c r="Q77" s="344">
        <v>25.74</v>
      </c>
      <c r="R77" s="347" t="s">
        <v>307</v>
      </c>
      <c r="S77" s="344">
        <v>0</v>
      </c>
      <c r="T77" s="344">
        <v>0</v>
      </c>
      <c r="U77" s="344">
        <v>0</v>
      </c>
      <c r="V77" s="344">
        <v>0</v>
      </c>
      <c r="W77" s="347"/>
      <c r="X77" s="347" t="s">
        <v>308</v>
      </c>
      <c r="Y77" s="347" t="s">
        <v>309</v>
      </c>
      <c r="Z77" s="347" t="s">
        <v>46</v>
      </c>
      <c r="AA77" s="347" t="s">
        <v>228</v>
      </c>
      <c r="AB77" s="347" t="s">
        <v>34</v>
      </c>
      <c r="AC77" s="347" t="s">
        <v>47</v>
      </c>
      <c r="AD77" s="347" t="s">
        <v>231</v>
      </c>
      <c r="AE77" s="347" t="s">
        <v>232</v>
      </c>
      <c r="AF77" s="347" t="s">
        <v>231</v>
      </c>
      <c r="AG77" s="347" t="s">
        <v>232</v>
      </c>
      <c r="AH77" s="347"/>
      <c r="AI77" s="347"/>
      <c r="AJ77" s="347"/>
      <c r="AK77" s="347" t="s">
        <v>495</v>
      </c>
      <c r="AL77" s="348">
        <v>1</v>
      </c>
      <c r="AM77" s="348">
        <v>0</v>
      </c>
      <c r="AN77" s="349">
        <v>45842</v>
      </c>
      <c r="AO77" s="349">
        <v>45842</v>
      </c>
      <c r="AP77" s="344">
        <v>25.74</v>
      </c>
      <c r="AQ77" s="349">
        <v>45841</v>
      </c>
      <c r="AR77" s="368"/>
      <c r="AS77" s="368"/>
      <c r="AT77" s="368"/>
      <c r="AU77" s="368"/>
      <c r="AV77" s="368"/>
      <c r="AW77" s="368"/>
      <c r="AX77" s="368"/>
      <c r="AY77" s="368"/>
      <c r="AZ77" s="368"/>
      <c r="BA77" s="368"/>
      <c r="BB77" s="368"/>
      <c r="BC77" s="368"/>
      <c r="BD77" s="368"/>
      <c r="BE77" s="368"/>
      <c r="BF77" s="368"/>
      <c r="BG77" s="368"/>
      <c r="BH77" s="368"/>
      <c r="BI77" s="368"/>
      <c r="BJ77" s="368"/>
      <c r="BK77" s="368"/>
      <c r="BL77" s="368"/>
      <c r="BM77" s="368"/>
      <c r="BN77" s="368"/>
      <c r="BO77" s="368"/>
      <c r="BP77" s="368"/>
      <c r="BQ77" s="368"/>
      <c r="BR77" s="368"/>
      <c r="BS77" s="368"/>
      <c r="BT77" s="368"/>
      <c r="BU77" s="368"/>
      <c r="BV77" s="368"/>
      <c r="BW77" s="368"/>
      <c r="BX77" s="368"/>
      <c r="BY77" s="368"/>
      <c r="BZ77" s="368"/>
      <c r="CA77" s="368"/>
      <c r="CB77" s="368"/>
      <c r="CC77" s="368"/>
      <c r="CD77" s="368"/>
      <c r="CE77" s="368"/>
      <c r="CF77" s="368"/>
      <c r="CG77" s="368"/>
      <c r="CH77" s="368"/>
      <c r="CI77" s="368"/>
      <c r="CJ77" s="368"/>
      <c r="CK77" s="368"/>
      <c r="CL77" s="368"/>
      <c r="CM77" s="368"/>
      <c r="CN77" s="368"/>
      <c r="CO77" s="368"/>
      <c r="CP77" s="368"/>
      <c r="CQ77" s="368"/>
      <c r="CR77" s="368"/>
      <c r="CS77" s="368"/>
      <c r="CT77" s="368"/>
      <c r="CU77" s="368"/>
      <c r="CV77" s="368"/>
      <c r="CW77" s="368"/>
      <c r="CX77" s="368"/>
      <c r="CY77" s="368"/>
      <c r="CZ77" s="368"/>
      <c r="DA77" s="368"/>
      <c r="DB77" s="368"/>
      <c r="DC77" s="368"/>
      <c r="DD77" s="368"/>
      <c r="DE77" s="368"/>
      <c r="DF77" s="368"/>
      <c r="DG77" s="368"/>
      <c r="DH77" s="368"/>
      <c r="DI77" s="368"/>
      <c r="DJ77" s="368"/>
      <c r="DK77" s="368"/>
      <c r="DL77" s="368"/>
      <c r="DM77" s="368"/>
      <c r="DN77" s="368"/>
      <c r="DO77" s="368"/>
      <c r="DP77" s="368"/>
      <c r="DQ77" s="368"/>
      <c r="DR77" s="368"/>
      <c r="DS77" s="368"/>
      <c r="DT77" s="368"/>
      <c r="DU77" s="368"/>
      <c r="DV77" s="368"/>
      <c r="DW77" s="368"/>
      <c r="DX77" s="368"/>
      <c r="DY77" s="368"/>
      <c r="DZ77" s="368"/>
      <c r="EA77" s="368"/>
      <c r="EB77" s="368"/>
      <c r="EC77" s="368"/>
      <c r="ED77" s="368"/>
      <c r="EE77" s="368"/>
      <c r="EF77" s="368"/>
      <c r="EG77" s="368"/>
      <c r="EH77" s="368"/>
      <c r="EI77" s="368"/>
      <c r="EJ77" s="368"/>
      <c r="EK77" s="368"/>
      <c r="EL77" s="368"/>
      <c r="EM77" s="368"/>
      <c r="EN77" s="368"/>
      <c r="EO77" s="368"/>
      <c r="EP77" s="368"/>
      <c r="EQ77" s="368"/>
      <c r="ER77" s="368"/>
      <c r="ES77" s="368"/>
      <c r="ET77" s="368"/>
      <c r="EU77" s="368"/>
      <c r="EV77" s="368"/>
      <c r="EW77" s="368"/>
      <c r="EX77" s="368"/>
      <c r="EY77" s="368"/>
      <c r="EZ77" s="368"/>
      <c r="FA77" s="368"/>
      <c r="FB77" s="368"/>
      <c r="FC77" s="368"/>
      <c r="FD77" s="368"/>
      <c r="FE77" s="368"/>
      <c r="FF77" s="368"/>
      <c r="FG77" s="368"/>
      <c r="FH77" s="368"/>
      <c r="FI77" s="368"/>
      <c r="FJ77" s="368"/>
      <c r="FK77" s="368"/>
      <c r="FL77" s="368"/>
      <c r="FM77" s="368"/>
      <c r="FN77" s="368"/>
      <c r="FO77" s="368"/>
      <c r="FP77" s="368"/>
      <c r="FQ77" s="368"/>
      <c r="FR77" s="368"/>
      <c r="FS77" s="368"/>
      <c r="FT77" s="368"/>
      <c r="FU77" s="368"/>
      <c r="FV77" s="368"/>
      <c r="FW77" s="368"/>
      <c r="FX77" s="368"/>
      <c r="FY77" s="368"/>
      <c r="FZ77" s="368"/>
      <c r="GA77" s="368"/>
      <c r="GB77" s="368"/>
      <c r="GC77" s="368"/>
      <c r="GD77" s="368"/>
      <c r="GE77" s="368"/>
      <c r="GF77" s="368"/>
      <c r="GG77" s="368"/>
      <c r="GH77" s="368"/>
      <c r="GI77" s="368"/>
      <c r="GJ77" s="368"/>
      <c r="GK77" s="368"/>
      <c r="GL77" s="368"/>
      <c r="GM77" s="368"/>
      <c r="GN77" s="368"/>
      <c r="GO77" s="368"/>
      <c r="GP77" s="368"/>
      <c r="GQ77" s="368"/>
      <c r="GR77" s="368"/>
      <c r="GS77" s="368"/>
      <c r="GT77" s="368"/>
      <c r="GU77" s="368"/>
      <c r="GV77" s="368"/>
      <c r="GW77" s="368"/>
      <c r="GX77" s="368"/>
      <c r="GY77" s="368"/>
      <c r="GZ77" s="368"/>
      <c r="HA77" s="368"/>
      <c r="HB77" s="368"/>
      <c r="HC77" s="368"/>
      <c r="HD77" s="368"/>
      <c r="HE77" s="368"/>
      <c r="HF77" s="368"/>
      <c r="HG77" s="368"/>
      <c r="HH77" s="368"/>
      <c r="HI77" s="368"/>
      <c r="HJ77" s="368"/>
      <c r="HK77" s="368"/>
      <c r="HL77" s="368"/>
      <c r="HM77" s="368"/>
      <c r="HN77" s="368"/>
      <c r="HO77" s="368"/>
      <c r="HP77" s="368"/>
      <c r="HQ77" s="368"/>
      <c r="HR77" s="368"/>
      <c r="HS77" s="368"/>
      <c r="HT77" s="368"/>
      <c r="HU77" s="368"/>
      <c r="HV77" s="368"/>
      <c r="HW77" s="368"/>
      <c r="HX77" s="368"/>
      <c r="HY77" s="368"/>
      <c r="HZ77" s="368"/>
      <c r="IA77" s="368"/>
      <c r="IB77" s="368"/>
      <c r="IC77" s="368"/>
      <c r="ID77" s="368"/>
      <c r="IE77" s="368"/>
      <c r="IF77" s="368"/>
      <c r="IG77" s="368"/>
      <c r="IH77" s="368"/>
      <c r="II77" s="368"/>
      <c r="IJ77" s="368"/>
      <c r="IK77" s="368"/>
      <c r="IL77" s="368"/>
      <c r="IM77" s="368"/>
      <c r="IN77" s="368"/>
      <c r="IO77" s="368"/>
      <c r="IP77" s="368"/>
      <c r="IQ77" s="368"/>
      <c r="IR77" s="368"/>
      <c r="IS77" s="368"/>
      <c r="IT77" s="368"/>
      <c r="IU77" s="368"/>
      <c r="IV77" s="368"/>
      <c r="IW77" s="368"/>
      <c r="IX77" s="368"/>
      <c r="IY77" s="368"/>
      <c r="IZ77" s="368"/>
      <c r="JA77" s="368"/>
      <c r="JB77" s="368"/>
      <c r="JC77" s="368"/>
      <c r="JD77" s="368"/>
      <c r="JE77" s="368"/>
      <c r="JF77" s="368"/>
      <c r="JG77" s="368"/>
      <c r="JH77" s="368"/>
      <c r="JI77" s="368"/>
      <c r="JJ77" s="368"/>
      <c r="JK77" s="368"/>
      <c r="JL77" s="368"/>
      <c r="JM77" s="368"/>
      <c r="JN77" s="368"/>
      <c r="JO77" s="368"/>
      <c r="JP77" s="368"/>
      <c r="JQ77" s="368"/>
      <c r="JR77" s="368"/>
      <c r="JS77" s="368"/>
      <c r="JT77" s="368"/>
      <c r="JU77" s="368"/>
      <c r="JV77" s="368"/>
      <c r="JW77" s="368"/>
      <c r="JX77" s="368"/>
      <c r="JY77" s="368"/>
      <c r="JZ77" s="368"/>
      <c r="KA77" s="368"/>
      <c r="KB77" s="368"/>
      <c r="KC77" s="368"/>
      <c r="KD77" s="368"/>
      <c r="KE77" s="368"/>
      <c r="KF77" s="368"/>
      <c r="KG77" s="368"/>
      <c r="KH77" s="368"/>
      <c r="KI77" s="368"/>
      <c r="KJ77" s="368"/>
      <c r="KK77" s="368"/>
      <c r="KL77" s="368"/>
      <c r="KM77" s="368"/>
      <c r="KN77" s="368"/>
      <c r="KO77" s="368"/>
      <c r="KP77" s="368"/>
      <c r="KQ77" s="368"/>
      <c r="KR77" s="368"/>
      <c r="KS77" s="368"/>
      <c r="KT77" s="368"/>
      <c r="KU77" s="368"/>
      <c r="KV77" s="368"/>
      <c r="KW77" s="368"/>
      <c r="KX77" s="368"/>
      <c r="KY77" s="368"/>
      <c r="KZ77" s="368"/>
      <c r="LA77" s="368"/>
      <c r="LB77" s="368"/>
      <c r="LC77" s="368"/>
      <c r="LD77" s="368"/>
      <c r="LE77" s="368"/>
      <c r="LF77" s="368"/>
      <c r="LG77" s="368"/>
      <c r="LH77" s="368"/>
      <c r="LI77" s="368"/>
      <c r="LJ77" s="368"/>
      <c r="LK77" s="368"/>
      <c r="LL77" s="368"/>
      <c r="LM77" s="368"/>
      <c r="LN77" s="368"/>
      <c r="LO77" s="368"/>
      <c r="LP77" s="368"/>
      <c r="LQ77" s="368"/>
      <c r="LR77" s="368"/>
      <c r="LS77" s="368"/>
      <c r="LT77" s="368"/>
      <c r="LU77" s="368"/>
      <c r="LV77" s="368"/>
      <c r="LW77" s="368"/>
      <c r="LX77" s="368"/>
      <c r="LY77" s="368"/>
      <c r="LZ77" s="368"/>
      <c r="MA77" s="368"/>
      <c r="MB77" s="368"/>
      <c r="MC77" s="368"/>
      <c r="MD77" s="368"/>
      <c r="ME77" s="368"/>
      <c r="MF77" s="368"/>
      <c r="MG77" s="368"/>
      <c r="MH77" s="368"/>
      <c r="MI77" s="368"/>
      <c r="MJ77" s="368"/>
      <c r="MK77" s="368"/>
      <c r="ML77" s="368"/>
      <c r="MM77" s="368"/>
      <c r="MN77" s="368"/>
      <c r="MO77" s="368"/>
      <c r="MP77" s="368"/>
      <c r="MQ77" s="368"/>
      <c r="MR77" s="368"/>
      <c r="MS77" s="368"/>
      <c r="MT77" s="368"/>
      <c r="MU77" s="368"/>
      <c r="MV77" s="368"/>
      <c r="MW77" s="368"/>
      <c r="MX77" s="368"/>
      <c r="MY77" s="368"/>
      <c r="MZ77" s="368"/>
      <c r="NA77" s="368"/>
      <c r="NB77" s="368"/>
      <c r="NC77" s="368"/>
      <c r="ND77" s="368"/>
      <c r="NE77" s="368"/>
      <c r="NF77" s="368"/>
      <c r="NG77" s="368"/>
      <c r="NH77" s="368"/>
      <c r="NI77" s="368"/>
      <c r="NJ77" s="368"/>
      <c r="NK77" s="368"/>
      <c r="NL77" s="368"/>
      <c r="NM77" s="368"/>
      <c r="NN77" s="368"/>
      <c r="NO77" s="368"/>
      <c r="NP77" s="368"/>
      <c r="NQ77" s="368"/>
      <c r="NR77" s="368"/>
      <c r="NS77" s="368"/>
      <c r="NT77" s="368"/>
      <c r="NU77" s="368"/>
      <c r="NV77" s="368"/>
      <c r="NW77" s="368"/>
      <c r="NX77" s="368"/>
      <c r="NY77" s="368"/>
      <c r="NZ77" s="368"/>
      <c r="OA77" s="368"/>
      <c r="OB77" s="368"/>
      <c r="OC77" s="368"/>
      <c r="OD77" s="368"/>
      <c r="OE77" s="368"/>
      <c r="OF77" s="368"/>
      <c r="OG77" s="368"/>
      <c r="OH77" s="368"/>
      <c r="OI77" s="368"/>
      <c r="OJ77" s="368"/>
      <c r="OK77" s="368"/>
      <c r="OL77" s="368"/>
      <c r="OM77" s="368"/>
      <c r="ON77" s="368"/>
      <c r="OO77" s="368"/>
      <c r="OP77" s="368"/>
      <c r="OQ77" s="368"/>
      <c r="OR77" s="368"/>
      <c r="OS77" s="368"/>
      <c r="OT77" s="368"/>
      <c r="OU77" s="368"/>
      <c r="OV77" s="368"/>
      <c r="OW77" s="368"/>
      <c r="OX77" s="368"/>
      <c r="OY77" s="368"/>
      <c r="OZ77" s="368"/>
      <c r="PA77" s="368"/>
      <c r="PB77" s="368"/>
      <c r="PC77" s="368"/>
      <c r="PD77" s="368"/>
      <c r="PE77" s="368"/>
      <c r="PF77" s="368"/>
      <c r="PG77" s="368"/>
      <c r="PH77" s="368"/>
      <c r="PI77" s="368"/>
      <c r="PJ77" s="368"/>
      <c r="PK77" s="368"/>
      <c r="PL77" s="368"/>
      <c r="PM77" s="368"/>
      <c r="PN77" s="368"/>
      <c r="PO77" s="368"/>
      <c r="PP77" s="368"/>
      <c r="PQ77" s="368"/>
      <c r="PR77" s="368"/>
      <c r="PS77" s="368"/>
      <c r="PT77" s="368"/>
      <c r="PU77" s="368"/>
      <c r="PV77" s="368"/>
      <c r="PW77" s="368"/>
      <c r="PX77" s="368"/>
      <c r="PY77" s="368"/>
      <c r="PZ77" s="368"/>
      <c r="QA77" s="368"/>
      <c r="QB77" s="368"/>
      <c r="QC77" s="368"/>
      <c r="QD77" s="368"/>
      <c r="QE77" s="368"/>
      <c r="QF77" s="368"/>
      <c r="QG77" s="368"/>
      <c r="QH77" s="368"/>
      <c r="QI77" s="368"/>
      <c r="QJ77" s="368"/>
      <c r="QK77" s="368"/>
      <c r="QL77" s="368"/>
      <c r="QM77" s="368"/>
      <c r="QN77" s="368"/>
      <c r="QO77" s="368"/>
      <c r="QP77" s="368"/>
      <c r="QQ77" s="368"/>
      <c r="QR77" s="368"/>
      <c r="QS77" s="368"/>
      <c r="QT77" s="368"/>
      <c r="QU77" s="368"/>
      <c r="QV77" s="368"/>
      <c r="QW77" s="368"/>
      <c r="QX77" s="368"/>
      <c r="QY77" s="368"/>
      <c r="QZ77" s="368"/>
      <c r="RA77" s="368"/>
      <c r="RB77" s="368"/>
      <c r="RC77" s="368"/>
      <c r="RD77" s="368"/>
      <c r="RE77" s="368"/>
      <c r="RF77" s="368"/>
      <c r="RG77" s="368"/>
      <c r="RH77" s="368"/>
      <c r="RI77" s="368"/>
      <c r="RJ77" s="368"/>
      <c r="RK77" s="368"/>
      <c r="RL77" s="368"/>
      <c r="RM77" s="368"/>
      <c r="RN77" s="368"/>
      <c r="RO77" s="368"/>
      <c r="RP77" s="368"/>
      <c r="RQ77" s="368"/>
      <c r="RR77" s="368"/>
      <c r="RS77" s="368"/>
      <c r="RT77" s="368"/>
      <c r="RU77" s="368"/>
      <c r="RV77" s="368"/>
      <c r="RW77" s="368"/>
      <c r="RX77" s="368"/>
      <c r="RY77" s="368"/>
      <c r="RZ77" s="368"/>
      <c r="SA77" s="368"/>
      <c r="SB77" s="368"/>
      <c r="SC77" s="368"/>
      <c r="SD77" s="368"/>
      <c r="SE77" s="368"/>
      <c r="SF77" s="368"/>
      <c r="SG77" s="368"/>
      <c r="SH77" s="368"/>
      <c r="SI77" s="368"/>
      <c r="SJ77" s="368"/>
      <c r="SK77" s="368"/>
      <c r="SL77" s="368"/>
      <c r="SM77" s="368"/>
      <c r="SN77" s="368"/>
      <c r="SO77" s="368"/>
      <c r="SP77" s="368"/>
      <c r="SQ77" s="368"/>
      <c r="SR77" s="368"/>
      <c r="SS77" s="368"/>
      <c r="ST77" s="368"/>
      <c r="SU77" s="368"/>
      <c r="SV77" s="368"/>
      <c r="SW77" s="368"/>
      <c r="SX77" s="368"/>
      <c r="SY77" s="368"/>
      <c r="SZ77" s="368"/>
      <c r="TA77" s="368"/>
      <c r="TB77" s="368"/>
      <c r="TC77" s="368"/>
      <c r="TD77" s="368"/>
      <c r="TE77" s="368"/>
      <c r="TF77" s="368"/>
      <c r="TG77" s="368"/>
      <c r="TH77" s="368"/>
      <c r="TI77" s="368"/>
      <c r="TJ77" s="368"/>
      <c r="TK77" s="368"/>
      <c r="TL77" s="368"/>
      <c r="TM77" s="368"/>
      <c r="TN77" s="368"/>
      <c r="TO77" s="368"/>
      <c r="TP77" s="368"/>
      <c r="TQ77" s="368"/>
      <c r="TR77" s="368"/>
      <c r="TS77" s="368"/>
      <c r="TT77" s="368"/>
      <c r="TU77" s="368"/>
      <c r="TV77" s="368"/>
      <c r="TW77" s="368"/>
      <c r="TX77" s="368"/>
      <c r="TY77" s="368"/>
      <c r="TZ77" s="368"/>
      <c r="UA77" s="368"/>
      <c r="UB77" s="368"/>
      <c r="UC77" s="368"/>
      <c r="UD77" s="368"/>
      <c r="UE77" s="368"/>
      <c r="UF77" s="368"/>
      <c r="UG77" s="368"/>
      <c r="UH77" s="368"/>
      <c r="UI77" s="368"/>
      <c r="UJ77" s="368"/>
      <c r="UK77" s="368"/>
      <c r="UL77" s="368"/>
      <c r="UM77" s="368"/>
      <c r="UN77" s="368"/>
      <c r="UO77" s="368"/>
      <c r="UP77" s="368"/>
      <c r="UQ77" s="368"/>
      <c r="UR77" s="368"/>
      <c r="US77" s="368"/>
      <c r="UT77" s="368"/>
      <c r="UU77" s="368"/>
      <c r="UV77" s="368"/>
      <c r="UW77" s="368"/>
      <c r="UX77" s="368"/>
      <c r="UY77" s="368"/>
      <c r="UZ77" s="368"/>
      <c r="VA77" s="368"/>
      <c r="VB77" s="368"/>
      <c r="VC77" s="368"/>
      <c r="VD77" s="368"/>
      <c r="VE77" s="368"/>
      <c r="VF77" s="368"/>
      <c r="VG77" s="368"/>
      <c r="VH77" s="368"/>
      <c r="VI77" s="368"/>
      <c r="VJ77" s="368"/>
      <c r="VK77" s="368"/>
      <c r="VL77" s="368"/>
      <c r="VM77" s="368"/>
      <c r="VN77" s="368"/>
      <c r="VO77" s="368"/>
      <c r="VP77" s="368"/>
      <c r="VQ77" s="368"/>
      <c r="VR77" s="368"/>
      <c r="VS77" s="368"/>
      <c r="VT77" s="368"/>
      <c r="VU77" s="368"/>
      <c r="VV77" s="368"/>
      <c r="VW77" s="368"/>
      <c r="VX77" s="368"/>
      <c r="VY77" s="368"/>
      <c r="VZ77" s="368"/>
      <c r="WA77" s="368"/>
      <c r="WB77" s="368"/>
      <c r="WC77" s="368"/>
      <c r="WD77" s="368"/>
      <c r="WE77" s="368"/>
      <c r="WF77" s="368"/>
      <c r="WG77" s="368"/>
      <c r="WH77" s="368"/>
      <c r="WI77" s="368"/>
      <c r="WJ77" s="368"/>
      <c r="WK77" s="368"/>
      <c r="WL77" s="368"/>
      <c r="WM77" s="368"/>
      <c r="WN77" s="368"/>
      <c r="WO77" s="368"/>
      <c r="WP77" s="368"/>
      <c r="WQ77" s="368"/>
      <c r="WR77" s="368"/>
      <c r="WS77" s="368"/>
      <c r="WT77" s="368"/>
      <c r="WU77" s="368"/>
      <c r="WV77" s="368"/>
      <c r="WW77" s="368"/>
      <c r="WX77" s="368"/>
      <c r="WY77" s="368"/>
      <c r="WZ77" s="368"/>
      <c r="XA77" s="368"/>
      <c r="XB77" s="368"/>
      <c r="XC77" s="368"/>
      <c r="XD77" s="368"/>
      <c r="XE77" s="368"/>
      <c r="XF77" s="368"/>
      <c r="XG77" s="368"/>
      <c r="XH77" s="368"/>
      <c r="XI77" s="368"/>
      <c r="XJ77" s="368"/>
      <c r="XK77" s="368"/>
      <c r="XL77" s="368"/>
      <c r="XM77" s="368"/>
      <c r="XN77" s="368"/>
      <c r="XO77" s="368"/>
      <c r="XP77" s="368"/>
      <c r="XQ77" s="368"/>
      <c r="XR77" s="368"/>
      <c r="XS77" s="368"/>
      <c r="XT77" s="368"/>
      <c r="XU77" s="368"/>
      <c r="XV77" s="368"/>
      <c r="XW77" s="368"/>
      <c r="XX77" s="368"/>
      <c r="XY77" s="368"/>
      <c r="XZ77" s="368"/>
      <c r="YA77" s="368"/>
      <c r="YB77" s="368"/>
      <c r="YC77" s="368"/>
      <c r="YD77" s="368"/>
      <c r="YE77" s="368"/>
      <c r="YF77" s="368"/>
      <c r="YG77" s="368"/>
      <c r="YH77" s="368"/>
      <c r="YI77" s="368"/>
      <c r="YJ77" s="368"/>
      <c r="YK77" s="368"/>
      <c r="YL77" s="368"/>
      <c r="YM77" s="368"/>
      <c r="YN77" s="368"/>
      <c r="YO77" s="368"/>
      <c r="YP77" s="368"/>
      <c r="YQ77" s="368"/>
      <c r="YR77" s="368"/>
      <c r="YS77" s="368"/>
      <c r="YT77" s="368"/>
      <c r="YU77" s="368"/>
      <c r="YV77" s="368"/>
      <c r="YW77" s="368"/>
      <c r="YX77" s="368"/>
      <c r="YY77" s="368"/>
      <c r="YZ77" s="368"/>
      <c r="ZA77" s="368"/>
      <c r="ZB77" s="368"/>
      <c r="ZC77" s="368"/>
      <c r="ZD77" s="368"/>
      <c r="ZE77" s="368"/>
      <c r="ZF77" s="368"/>
      <c r="ZG77" s="368"/>
      <c r="ZH77" s="368"/>
      <c r="ZI77" s="368"/>
      <c r="ZJ77" s="368"/>
      <c r="ZK77" s="368"/>
      <c r="ZL77" s="368"/>
      <c r="ZM77" s="368"/>
      <c r="ZN77" s="368"/>
      <c r="ZO77" s="368"/>
      <c r="ZP77" s="368"/>
      <c r="ZQ77" s="368"/>
      <c r="ZR77" s="368"/>
      <c r="ZS77" s="368"/>
      <c r="ZT77" s="368"/>
      <c r="ZU77" s="368"/>
      <c r="ZV77" s="368"/>
      <c r="ZW77" s="368"/>
      <c r="ZX77" s="368"/>
      <c r="ZY77" s="368"/>
      <c r="ZZ77" s="368"/>
      <c r="AAA77" s="368"/>
      <c r="AAB77" s="368"/>
      <c r="AAC77" s="368"/>
      <c r="AAD77" s="368"/>
      <c r="AAE77" s="368"/>
      <c r="AAF77" s="368"/>
      <c r="AAG77" s="368"/>
      <c r="AAH77" s="368"/>
      <c r="AAI77" s="368"/>
      <c r="AAJ77" s="368"/>
      <c r="AAK77" s="368"/>
      <c r="AAL77" s="368"/>
      <c r="AAM77" s="368"/>
      <c r="AAN77" s="368"/>
      <c r="AAO77" s="368"/>
      <c r="AAP77" s="368"/>
      <c r="AAQ77" s="368"/>
      <c r="AAR77" s="368"/>
      <c r="AAS77" s="368"/>
      <c r="AAT77" s="368"/>
      <c r="AAU77" s="368"/>
      <c r="AAV77" s="368"/>
      <c r="AAW77" s="368"/>
      <c r="AAX77" s="368"/>
      <c r="AAY77" s="368"/>
      <c r="AAZ77" s="368"/>
      <c r="ABA77" s="368"/>
      <c r="ABB77" s="368"/>
      <c r="ABC77" s="368"/>
      <c r="ABD77" s="368"/>
      <c r="ABE77" s="368"/>
      <c r="ABF77" s="368"/>
      <c r="ABG77" s="368"/>
      <c r="ABH77" s="368"/>
      <c r="ABI77" s="368"/>
      <c r="ABJ77" s="368"/>
      <c r="ABK77" s="368"/>
      <c r="ABL77" s="368"/>
      <c r="ABM77" s="368"/>
      <c r="ABN77" s="368"/>
      <c r="ABO77" s="368"/>
      <c r="ABP77" s="368"/>
      <c r="ABQ77" s="368"/>
      <c r="ABR77" s="368"/>
      <c r="ABS77" s="368"/>
      <c r="ABT77" s="368"/>
      <c r="ABU77" s="368"/>
      <c r="ABV77" s="368"/>
      <c r="ABW77" s="368"/>
      <c r="ABX77" s="368"/>
      <c r="ABY77" s="368"/>
      <c r="ABZ77" s="368"/>
      <c r="ACA77" s="368"/>
      <c r="ACB77" s="368"/>
      <c r="ACC77" s="368"/>
      <c r="ACD77" s="368"/>
      <c r="ACE77" s="368"/>
      <c r="ACF77" s="368"/>
      <c r="ACG77" s="368"/>
      <c r="ACH77" s="368"/>
      <c r="ACI77" s="368"/>
      <c r="ACJ77" s="368"/>
      <c r="ACK77" s="368"/>
      <c r="ACL77" s="368"/>
      <c r="ACM77" s="368"/>
      <c r="ACN77" s="368"/>
      <c r="ACO77" s="368"/>
      <c r="ACP77" s="368"/>
      <c r="ACQ77" s="368"/>
      <c r="ACR77" s="368"/>
      <c r="ACS77" s="368"/>
      <c r="ACT77" s="368"/>
      <c r="ACU77" s="368"/>
      <c r="ACV77" s="368"/>
      <c r="ACW77" s="368"/>
      <c r="ACX77" s="368"/>
      <c r="ACY77" s="368"/>
      <c r="ACZ77" s="368"/>
      <c r="ADA77" s="368"/>
      <c r="ADB77" s="368"/>
      <c r="ADC77" s="368"/>
      <c r="ADD77" s="368"/>
      <c r="ADE77" s="368"/>
      <c r="ADF77" s="368"/>
      <c r="ADG77" s="368"/>
      <c r="ADH77" s="368"/>
      <c r="ADI77" s="368"/>
      <c r="ADJ77" s="368"/>
      <c r="ADK77" s="368"/>
      <c r="ADL77" s="368"/>
      <c r="ADM77" s="368"/>
      <c r="ADN77" s="368"/>
      <c r="ADO77" s="368"/>
      <c r="ADP77" s="368"/>
      <c r="ADQ77" s="368"/>
      <c r="ADR77" s="368"/>
      <c r="ADS77" s="368"/>
      <c r="ADT77" s="368"/>
      <c r="ADU77" s="368"/>
      <c r="ADV77" s="368"/>
      <c r="ADW77" s="368"/>
      <c r="ADX77" s="368"/>
      <c r="ADY77" s="368"/>
      <c r="ADZ77" s="368"/>
      <c r="AEA77" s="368"/>
      <c r="AEB77" s="368"/>
      <c r="AEC77" s="368"/>
      <c r="AED77" s="368"/>
      <c r="AEE77" s="368"/>
      <c r="AEF77" s="368"/>
      <c r="AEG77" s="368"/>
      <c r="AEH77" s="368"/>
      <c r="AEI77" s="368"/>
      <c r="AEJ77" s="368"/>
      <c r="AEK77" s="368"/>
      <c r="AEL77" s="368"/>
      <c r="AEM77" s="368"/>
      <c r="AEN77" s="368"/>
      <c r="AEO77" s="368"/>
      <c r="AEP77" s="368"/>
      <c r="AEQ77" s="368"/>
      <c r="AER77" s="368"/>
      <c r="AES77" s="368"/>
      <c r="AET77" s="368"/>
      <c r="AEU77" s="368"/>
      <c r="AEV77" s="368"/>
      <c r="AEW77" s="368"/>
      <c r="AEX77" s="368"/>
      <c r="AEY77" s="368"/>
      <c r="AEZ77" s="368"/>
      <c r="AFA77" s="368"/>
      <c r="AFB77" s="368"/>
      <c r="AFC77" s="368"/>
      <c r="AFD77" s="368"/>
      <c r="AFE77" s="368"/>
      <c r="AFF77" s="368"/>
      <c r="AFG77" s="368"/>
      <c r="AFH77" s="368"/>
      <c r="AFI77" s="368"/>
      <c r="AFJ77" s="368"/>
      <c r="AFK77" s="368"/>
      <c r="AFL77" s="368"/>
      <c r="AFM77" s="368"/>
      <c r="AFN77" s="368"/>
      <c r="AFO77" s="368"/>
      <c r="AFP77" s="368"/>
      <c r="AFQ77" s="368"/>
      <c r="AFR77" s="368"/>
      <c r="AFS77" s="368"/>
      <c r="AFT77" s="368"/>
      <c r="AFU77" s="368"/>
      <c r="AFV77" s="368"/>
      <c r="AFW77" s="368"/>
      <c r="AFX77" s="368"/>
      <c r="AFY77" s="368"/>
      <c r="AFZ77" s="368"/>
      <c r="AGA77" s="368"/>
      <c r="AGB77" s="368"/>
      <c r="AGC77" s="368"/>
      <c r="AGD77" s="368"/>
      <c r="AGE77" s="368"/>
      <c r="AGF77" s="368"/>
      <c r="AGG77" s="368"/>
      <c r="AGH77" s="368"/>
      <c r="AGI77" s="368"/>
      <c r="AGJ77" s="368"/>
      <c r="AGK77" s="368"/>
      <c r="AGL77" s="368"/>
      <c r="AGM77" s="368"/>
      <c r="AGN77" s="368"/>
      <c r="AGO77" s="368"/>
      <c r="AGP77" s="368"/>
      <c r="AGQ77" s="368"/>
      <c r="AGR77" s="368"/>
      <c r="AGS77" s="368"/>
      <c r="AGT77" s="368"/>
      <c r="AGU77" s="368"/>
      <c r="AGV77" s="368"/>
      <c r="AGW77" s="368"/>
      <c r="AGX77" s="368"/>
      <c r="AGY77" s="368"/>
      <c r="AGZ77" s="368"/>
      <c r="AHA77" s="368"/>
      <c r="AHB77" s="368"/>
      <c r="AHC77" s="368"/>
      <c r="AHD77" s="368"/>
      <c r="AHE77" s="368"/>
      <c r="AHF77" s="368"/>
      <c r="AHG77" s="368"/>
      <c r="AHH77" s="368"/>
      <c r="AHI77" s="368"/>
      <c r="AHJ77" s="368"/>
      <c r="AHK77" s="368"/>
      <c r="AHL77" s="368"/>
      <c r="AHM77" s="368"/>
      <c r="AHN77" s="368"/>
      <c r="AHO77" s="368"/>
      <c r="AHP77" s="368"/>
      <c r="AHQ77" s="368"/>
      <c r="AHR77" s="368"/>
      <c r="AHS77" s="368"/>
      <c r="AHT77" s="368"/>
      <c r="AHU77" s="368"/>
      <c r="AHV77" s="368"/>
      <c r="AHW77" s="368"/>
      <c r="AHX77" s="368"/>
      <c r="AHY77" s="368"/>
      <c r="AHZ77" s="368"/>
      <c r="AIA77" s="368"/>
      <c r="AIB77" s="368"/>
      <c r="AIC77" s="368"/>
      <c r="AID77" s="368"/>
      <c r="AIE77" s="368"/>
      <c r="AIF77" s="368"/>
      <c r="AIG77" s="368"/>
      <c r="AIH77" s="368"/>
      <c r="AII77" s="368"/>
      <c r="AIJ77" s="368"/>
      <c r="AIK77" s="368"/>
      <c r="AIL77" s="368"/>
      <c r="AIM77" s="368"/>
      <c r="AIN77" s="368"/>
      <c r="AIO77" s="368"/>
      <c r="AIP77" s="368"/>
      <c r="AIQ77" s="368"/>
      <c r="AIR77" s="368"/>
      <c r="AIS77" s="368"/>
      <c r="AIT77" s="368"/>
      <c r="AIU77" s="368"/>
      <c r="AIV77" s="368"/>
      <c r="AIW77" s="368"/>
      <c r="AIX77" s="368"/>
      <c r="AIY77" s="368"/>
      <c r="AIZ77" s="368"/>
      <c r="AJA77" s="368"/>
      <c r="AJB77" s="368"/>
      <c r="AJC77" s="368"/>
      <c r="AJD77" s="368"/>
      <c r="AJE77" s="368"/>
      <c r="AJF77" s="368"/>
      <c r="AJG77" s="368"/>
      <c r="AJH77" s="368"/>
      <c r="AJI77" s="368"/>
      <c r="AJJ77" s="368"/>
      <c r="AJK77" s="368"/>
      <c r="AJL77" s="368"/>
      <c r="AJM77" s="368"/>
      <c r="AJN77" s="368"/>
      <c r="AJO77" s="368"/>
      <c r="AJP77" s="368"/>
      <c r="AJQ77" s="368"/>
      <c r="AJR77" s="368"/>
      <c r="AJS77" s="368"/>
      <c r="AJT77" s="368"/>
      <c r="AJU77" s="368"/>
      <c r="AJV77" s="368"/>
      <c r="AJW77" s="368"/>
      <c r="AJX77" s="368"/>
      <c r="AJY77" s="368"/>
      <c r="AJZ77" s="368"/>
      <c r="AKA77" s="368"/>
      <c r="AKB77" s="368"/>
      <c r="AKC77" s="368"/>
      <c r="AKD77" s="368"/>
      <c r="AKE77" s="368"/>
      <c r="AKF77" s="368"/>
      <c r="AKG77" s="368"/>
      <c r="AKH77" s="368"/>
      <c r="AKI77" s="368"/>
      <c r="AKJ77" s="368"/>
      <c r="AKK77" s="368"/>
      <c r="AKL77" s="368"/>
      <c r="AKM77" s="368"/>
      <c r="AKN77" s="368"/>
    </row>
    <row r="78" spans="1:976" s="369" customFormat="1" ht="22.5" customHeight="1" x14ac:dyDescent="0.2">
      <c r="A78" s="352" t="s">
        <v>262</v>
      </c>
      <c r="B78" s="352"/>
      <c r="C78" s="352" t="s">
        <v>221</v>
      </c>
      <c r="D78" s="352" t="s">
        <v>222</v>
      </c>
      <c r="E78" s="353">
        <v>410965</v>
      </c>
      <c r="F78" s="353">
        <v>1244</v>
      </c>
      <c r="G78" s="353">
        <v>190</v>
      </c>
      <c r="H78" s="353">
        <v>0</v>
      </c>
      <c r="I78" s="354">
        <v>45832</v>
      </c>
      <c r="J78" s="352" t="s">
        <v>395</v>
      </c>
      <c r="K78" s="352" t="s">
        <v>496</v>
      </c>
      <c r="L78" s="355">
        <v>55.45</v>
      </c>
      <c r="M78" s="355">
        <v>3.05</v>
      </c>
      <c r="N78" s="449">
        <v>58.5</v>
      </c>
      <c r="O78" s="352"/>
      <c r="P78" s="356">
        <v>45842</v>
      </c>
      <c r="Q78" s="355">
        <v>58.5</v>
      </c>
      <c r="R78" s="352" t="s">
        <v>312</v>
      </c>
      <c r="S78" s="355">
        <v>0</v>
      </c>
      <c r="T78" s="355">
        <v>0</v>
      </c>
      <c r="U78" s="355">
        <v>0</v>
      </c>
      <c r="V78" s="355">
        <v>0</v>
      </c>
      <c r="W78" s="352"/>
      <c r="X78" s="352" t="s">
        <v>308</v>
      </c>
      <c r="Y78" s="352" t="s">
        <v>309</v>
      </c>
      <c r="Z78" s="352" t="s">
        <v>42</v>
      </c>
      <c r="AA78" s="352" t="s">
        <v>228</v>
      </c>
      <c r="AB78" s="352" t="s">
        <v>34</v>
      </c>
      <c r="AC78" s="352" t="s">
        <v>43</v>
      </c>
      <c r="AD78" s="352" t="s">
        <v>231</v>
      </c>
      <c r="AE78" s="352" t="s">
        <v>232</v>
      </c>
      <c r="AF78" s="352" t="s">
        <v>231</v>
      </c>
      <c r="AG78" s="352" t="s">
        <v>232</v>
      </c>
      <c r="AH78" s="352"/>
      <c r="AI78" s="352"/>
      <c r="AJ78" s="352"/>
      <c r="AK78" s="352" t="s">
        <v>497</v>
      </c>
      <c r="AL78" s="353">
        <v>1</v>
      </c>
      <c r="AM78" s="353">
        <v>0</v>
      </c>
      <c r="AN78" s="354">
        <v>45842</v>
      </c>
      <c r="AO78" s="354">
        <v>45842</v>
      </c>
      <c r="AP78" s="355">
        <v>58.5</v>
      </c>
      <c r="AQ78" s="354">
        <v>45841</v>
      </c>
      <c r="AR78" s="368"/>
      <c r="AS78" s="368"/>
      <c r="AT78" s="368"/>
      <c r="AU78" s="368"/>
      <c r="AV78" s="368"/>
      <c r="AW78" s="368"/>
      <c r="AX78" s="368"/>
      <c r="AY78" s="368"/>
      <c r="AZ78" s="368"/>
      <c r="BA78" s="368"/>
      <c r="BB78" s="368"/>
      <c r="BC78" s="368"/>
      <c r="BD78" s="368"/>
      <c r="BE78" s="368"/>
      <c r="BF78" s="368"/>
      <c r="BG78" s="368"/>
      <c r="BH78" s="368"/>
      <c r="BI78" s="368"/>
      <c r="BJ78" s="368"/>
      <c r="BK78" s="368"/>
      <c r="BL78" s="368"/>
      <c r="BM78" s="368"/>
      <c r="BN78" s="368"/>
      <c r="BO78" s="368"/>
      <c r="BP78" s="368"/>
      <c r="BQ78" s="368"/>
      <c r="BR78" s="368"/>
      <c r="BS78" s="368"/>
      <c r="BT78" s="368"/>
      <c r="BU78" s="368"/>
      <c r="BV78" s="368"/>
      <c r="BW78" s="368"/>
      <c r="BX78" s="368"/>
      <c r="BY78" s="368"/>
      <c r="BZ78" s="368"/>
      <c r="CA78" s="368"/>
      <c r="CB78" s="368"/>
      <c r="CC78" s="368"/>
      <c r="CD78" s="368"/>
      <c r="CE78" s="368"/>
      <c r="CF78" s="368"/>
      <c r="CG78" s="368"/>
      <c r="CH78" s="368"/>
      <c r="CI78" s="368"/>
      <c r="CJ78" s="368"/>
      <c r="CK78" s="368"/>
      <c r="CL78" s="368"/>
      <c r="CM78" s="368"/>
      <c r="CN78" s="368"/>
      <c r="CO78" s="368"/>
      <c r="CP78" s="368"/>
      <c r="CQ78" s="368"/>
      <c r="CR78" s="368"/>
      <c r="CS78" s="368"/>
      <c r="CT78" s="368"/>
      <c r="CU78" s="368"/>
      <c r="CV78" s="368"/>
      <c r="CW78" s="368"/>
      <c r="CX78" s="368"/>
      <c r="CY78" s="368"/>
      <c r="CZ78" s="368"/>
      <c r="DA78" s="368"/>
      <c r="DB78" s="368"/>
      <c r="DC78" s="368"/>
      <c r="DD78" s="368"/>
      <c r="DE78" s="368"/>
      <c r="DF78" s="368"/>
      <c r="DG78" s="368"/>
      <c r="DH78" s="368"/>
      <c r="DI78" s="368"/>
      <c r="DJ78" s="368"/>
      <c r="DK78" s="368"/>
      <c r="DL78" s="368"/>
      <c r="DM78" s="368"/>
      <c r="DN78" s="368"/>
      <c r="DO78" s="368"/>
      <c r="DP78" s="368"/>
      <c r="DQ78" s="368"/>
      <c r="DR78" s="368"/>
      <c r="DS78" s="368"/>
      <c r="DT78" s="368"/>
      <c r="DU78" s="368"/>
      <c r="DV78" s="368"/>
      <c r="DW78" s="368"/>
      <c r="DX78" s="368"/>
      <c r="DY78" s="368"/>
      <c r="DZ78" s="368"/>
      <c r="EA78" s="368"/>
      <c r="EB78" s="368"/>
      <c r="EC78" s="368"/>
      <c r="ED78" s="368"/>
      <c r="EE78" s="368"/>
      <c r="EF78" s="368"/>
      <c r="EG78" s="368"/>
      <c r="EH78" s="368"/>
      <c r="EI78" s="368"/>
      <c r="EJ78" s="368"/>
      <c r="EK78" s="368"/>
      <c r="EL78" s="368"/>
      <c r="EM78" s="368"/>
      <c r="EN78" s="368"/>
      <c r="EO78" s="368"/>
      <c r="EP78" s="368"/>
      <c r="EQ78" s="368"/>
      <c r="ER78" s="368"/>
      <c r="ES78" s="368"/>
      <c r="ET78" s="368"/>
      <c r="EU78" s="368"/>
      <c r="EV78" s="368"/>
      <c r="EW78" s="368"/>
      <c r="EX78" s="368"/>
      <c r="EY78" s="368"/>
      <c r="EZ78" s="368"/>
      <c r="FA78" s="368"/>
      <c r="FB78" s="368"/>
      <c r="FC78" s="368"/>
      <c r="FD78" s="368"/>
      <c r="FE78" s="368"/>
      <c r="FF78" s="368"/>
      <c r="FG78" s="368"/>
      <c r="FH78" s="368"/>
      <c r="FI78" s="368"/>
      <c r="FJ78" s="368"/>
      <c r="FK78" s="368"/>
      <c r="FL78" s="368"/>
      <c r="FM78" s="368"/>
      <c r="FN78" s="368"/>
      <c r="FO78" s="368"/>
      <c r="FP78" s="368"/>
      <c r="FQ78" s="368"/>
      <c r="FR78" s="368"/>
      <c r="FS78" s="368"/>
      <c r="FT78" s="368"/>
      <c r="FU78" s="368"/>
      <c r="FV78" s="368"/>
      <c r="FW78" s="368"/>
      <c r="FX78" s="368"/>
      <c r="FY78" s="368"/>
      <c r="FZ78" s="368"/>
      <c r="GA78" s="368"/>
      <c r="GB78" s="368"/>
      <c r="GC78" s="368"/>
      <c r="GD78" s="368"/>
      <c r="GE78" s="368"/>
      <c r="GF78" s="368"/>
      <c r="GG78" s="368"/>
      <c r="GH78" s="368"/>
      <c r="GI78" s="368"/>
      <c r="GJ78" s="368"/>
      <c r="GK78" s="368"/>
      <c r="GL78" s="368"/>
      <c r="GM78" s="368"/>
      <c r="GN78" s="368"/>
      <c r="GO78" s="368"/>
      <c r="GP78" s="368"/>
      <c r="GQ78" s="368"/>
      <c r="GR78" s="368"/>
      <c r="GS78" s="368"/>
      <c r="GT78" s="368"/>
      <c r="GU78" s="368"/>
      <c r="GV78" s="368"/>
      <c r="GW78" s="368"/>
      <c r="GX78" s="368"/>
      <c r="GY78" s="368"/>
      <c r="GZ78" s="368"/>
      <c r="HA78" s="368"/>
      <c r="HB78" s="368"/>
      <c r="HC78" s="368"/>
      <c r="HD78" s="368"/>
      <c r="HE78" s="368"/>
      <c r="HF78" s="368"/>
      <c r="HG78" s="368"/>
      <c r="HH78" s="368"/>
      <c r="HI78" s="368"/>
      <c r="HJ78" s="368"/>
      <c r="HK78" s="368"/>
      <c r="HL78" s="368"/>
      <c r="HM78" s="368"/>
      <c r="HN78" s="368"/>
      <c r="HO78" s="368"/>
      <c r="HP78" s="368"/>
      <c r="HQ78" s="368"/>
      <c r="HR78" s="368"/>
      <c r="HS78" s="368"/>
      <c r="HT78" s="368"/>
      <c r="HU78" s="368"/>
      <c r="HV78" s="368"/>
      <c r="HW78" s="368"/>
      <c r="HX78" s="368"/>
      <c r="HY78" s="368"/>
      <c r="HZ78" s="368"/>
      <c r="IA78" s="368"/>
      <c r="IB78" s="368"/>
      <c r="IC78" s="368"/>
      <c r="ID78" s="368"/>
      <c r="IE78" s="368"/>
      <c r="IF78" s="368"/>
      <c r="IG78" s="368"/>
      <c r="IH78" s="368"/>
      <c r="II78" s="368"/>
      <c r="IJ78" s="368"/>
      <c r="IK78" s="368"/>
      <c r="IL78" s="368"/>
      <c r="IM78" s="368"/>
      <c r="IN78" s="368"/>
      <c r="IO78" s="368"/>
      <c r="IP78" s="368"/>
      <c r="IQ78" s="368"/>
      <c r="IR78" s="368"/>
      <c r="IS78" s="368"/>
      <c r="IT78" s="368"/>
      <c r="IU78" s="368"/>
      <c r="IV78" s="368"/>
      <c r="IW78" s="368"/>
      <c r="IX78" s="368"/>
      <c r="IY78" s="368"/>
      <c r="IZ78" s="368"/>
      <c r="JA78" s="368"/>
      <c r="JB78" s="368"/>
      <c r="JC78" s="368"/>
      <c r="JD78" s="368"/>
      <c r="JE78" s="368"/>
      <c r="JF78" s="368"/>
      <c r="JG78" s="368"/>
      <c r="JH78" s="368"/>
      <c r="JI78" s="368"/>
      <c r="JJ78" s="368"/>
      <c r="JK78" s="368"/>
      <c r="JL78" s="368"/>
      <c r="JM78" s="368"/>
      <c r="JN78" s="368"/>
      <c r="JO78" s="368"/>
      <c r="JP78" s="368"/>
      <c r="JQ78" s="368"/>
      <c r="JR78" s="368"/>
      <c r="JS78" s="368"/>
      <c r="JT78" s="368"/>
      <c r="JU78" s="368"/>
      <c r="JV78" s="368"/>
      <c r="JW78" s="368"/>
      <c r="JX78" s="368"/>
      <c r="JY78" s="368"/>
      <c r="JZ78" s="368"/>
      <c r="KA78" s="368"/>
      <c r="KB78" s="368"/>
      <c r="KC78" s="368"/>
      <c r="KD78" s="368"/>
      <c r="KE78" s="368"/>
      <c r="KF78" s="368"/>
      <c r="KG78" s="368"/>
      <c r="KH78" s="368"/>
      <c r="KI78" s="368"/>
      <c r="KJ78" s="368"/>
      <c r="KK78" s="368"/>
      <c r="KL78" s="368"/>
      <c r="KM78" s="368"/>
      <c r="KN78" s="368"/>
      <c r="KO78" s="368"/>
      <c r="KP78" s="368"/>
      <c r="KQ78" s="368"/>
      <c r="KR78" s="368"/>
      <c r="KS78" s="368"/>
      <c r="KT78" s="368"/>
      <c r="KU78" s="368"/>
      <c r="KV78" s="368"/>
      <c r="KW78" s="368"/>
      <c r="KX78" s="368"/>
      <c r="KY78" s="368"/>
      <c r="KZ78" s="368"/>
      <c r="LA78" s="368"/>
      <c r="LB78" s="368"/>
      <c r="LC78" s="368"/>
      <c r="LD78" s="368"/>
      <c r="LE78" s="368"/>
      <c r="LF78" s="368"/>
      <c r="LG78" s="368"/>
      <c r="LH78" s="368"/>
      <c r="LI78" s="368"/>
      <c r="LJ78" s="368"/>
      <c r="LK78" s="368"/>
      <c r="LL78" s="368"/>
      <c r="LM78" s="368"/>
      <c r="LN78" s="368"/>
      <c r="LO78" s="368"/>
      <c r="LP78" s="368"/>
      <c r="LQ78" s="368"/>
      <c r="LR78" s="368"/>
      <c r="LS78" s="368"/>
      <c r="LT78" s="368"/>
      <c r="LU78" s="368"/>
      <c r="LV78" s="368"/>
      <c r="LW78" s="368"/>
      <c r="LX78" s="368"/>
      <c r="LY78" s="368"/>
      <c r="LZ78" s="368"/>
      <c r="MA78" s="368"/>
      <c r="MB78" s="368"/>
      <c r="MC78" s="368"/>
      <c r="MD78" s="368"/>
      <c r="ME78" s="368"/>
      <c r="MF78" s="368"/>
      <c r="MG78" s="368"/>
      <c r="MH78" s="368"/>
      <c r="MI78" s="368"/>
      <c r="MJ78" s="368"/>
      <c r="MK78" s="368"/>
      <c r="ML78" s="368"/>
      <c r="MM78" s="368"/>
      <c r="MN78" s="368"/>
      <c r="MO78" s="368"/>
      <c r="MP78" s="368"/>
      <c r="MQ78" s="368"/>
      <c r="MR78" s="368"/>
      <c r="MS78" s="368"/>
      <c r="MT78" s="368"/>
      <c r="MU78" s="368"/>
      <c r="MV78" s="368"/>
      <c r="MW78" s="368"/>
      <c r="MX78" s="368"/>
      <c r="MY78" s="368"/>
      <c r="MZ78" s="368"/>
      <c r="NA78" s="368"/>
      <c r="NB78" s="368"/>
      <c r="NC78" s="368"/>
      <c r="ND78" s="368"/>
      <c r="NE78" s="368"/>
      <c r="NF78" s="368"/>
      <c r="NG78" s="368"/>
      <c r="NH78" s="368"/>
      <c r="NI78" s="368"/>
      <c r="NJ78" s="368"/>
      <c r="NK78" s="368"/>
      <c r="NL78" s="368"/>
      <c r="NM78" s="368"/>
      <c r="NN78" s="368"/>
      <c r="NO78" s="368"/>
      <c r="NP78" s="368"/>
      <c r="NQ78" s="368"/>
      <c r="NR78" s="368"/>
      <c r="NS78" s="368"/>
      <c r="NT78" s="368"/>
      <c r="NU78" s="368"/>
      <c r="NV78" s="368"/>
      <c r="NW78" s="368"/>
      <c r="NX78" s="368"/>
      <c r="NY78" s="368"/>
      <c r="NZ78" s="368"/>
      <c r="OA78" s="368"/>
      <c r="OB78" s="368"/>
      <c r="OC78" s="368"/>
      <c r="OD78" s="368"/>
      <c r="OE78" s="368"/>
      <c r="OF78" s="368"/>
      <c r="OG78" s="368"/>
      <c r="OH78" s="368"/>
      <c r="OI78" s="368"/>
      <c r="OJ78" s="368"/>
      <c r="OK78" s="368"/>
      <c r="OL78" s="368"/>
      <c r="OM78" s="368"/>
      <c r="ON78" s="368"/>
      <c r="OO78" s="368"/>
      <c r="OP78" s="368"/>
      <c r="OQ78" s="368"/>
      <c r="OR78" s="368"/>
      <c r="OS78" s="368"/>
      <c r="OT78" s="368"/>
      <c r="OU78" s="368"/>
      <c r="OV78" s="368"/>
      <c r="OW78" s="368"/>
      <c r="OX78" s="368"/>
      <c r="OY78" s="368"/>
      <c r="OZ78" s="368"/>
      <c r="PA78" s="368"/>
      <c r="PB78" s="368"/>
      <c r="PC78" s="368"/>
      <c r="PD78" s="368"/>
      <c r="PE78" s="368"/>
      <c r="PF78" s="368"/>
      <c r="PG78" s="368"/>
      <c r="PH78" s="368"/>
      <c r="PI78" s="368"/>
      <c r="PJ78" s="368"/>
      <c r="PK78" s="368"/>
      <c r="PL78" s="368"/>
      <c r="PM78" s="368"/>
      <c r="PN78" s="368"/>
      <c r="PO78" s="368"/>
      <c r="PP78" s="368"/>
      <c r="PQ78" s="368"/>
      <c r="PR78" s="368"/>
      <c r="PS78" s="368"/>
      <c r="PT78" s="368"/>
      <c r="PU78" s="368"/>
      <c r="PV78" s="368"/>
      <c r="PW78" s="368"/>
      <c r="PX78" s="368"/>
      <c r="PY78" s="368"/>
      <c r="PZ78" s="368"/>
      <c r="QA78" s="368"/>
      <c r="QB78" s="368"/>
      <c r="QC78" s="368"/>
      <c r="QD78" s="368"/>
      <c r="QE78" s="368"/>
      <c r="QF78" s="368"/>
      <c r="QG78" s="368"/>
      <c r="QH78" s="368"/>
      <c r="QI78" s="368"/>
      <c r="QJ78" s="368"/>
      <c r="QK78" s="368"/>
      <c r="QL78" s="368"/>
      <c r="QM78" s="368"/>
      <c r="QN78" s="368"/>
      <c r="QO78" s="368"/>
      <c r="QP78" s="368"/>
      <c r="QQ78" s="368"/>
      <c r="QR78" s="368"/>
      <c r="QS78" s="368"/>
      <c r="QT78" s="368"/>
      <c r="QU78" s="368"/>
      <c r="QV78" s="368"/>
      <c r="QW78" s="368"/>
      <c r="QX78" s="368"/>
      <c r="QY78" s="368"/>
      <c r="QZ78" s="368"/>
      <c r="RA78" s="368"/>
      <c r="RB78" s="368"/>
      <c r="RC78" s="368"/>
      <c r="RD78" s="368"/>
      <c r="RE78" s="368"/>
      <c r="RF78" s="368"/>
      <c r="RG78" s="368"/>
      <c r="RH78" s="368"/>
      <c r="RI78" s="368"/>
      <c r="RJ78" s="368"/>
      <c r="RK78" s="368"/>
      <c r="RL78" s="368"/>
      <c r="RM78" s="368"/>
      <c r="RN78" s="368"/>
      <c r="RO78" s="368"/>
      <c r="RP78" s="368"/>
      <c r="RQ78" s="368"/>
      <c r="RR78" s="368"/>
      <c r="RS78" s="368"/>
      <c r="RT78" s="368"/>
      <c r="RU78" s="368"/>
      <c r="RV78" s="368"/>
      <c r="RW78" s="368"/>
      <c r="RX78" s="368"/>
      <c r="RY78" s="368"/>
      <c r="RZ78" s="368"/>
      <c r="SA78" s="368"/>
      <c r="SB78" s="368"/>
      <c r="SC78" s="368"/>
      <c r="SD78" s="368"/>
      <c r="SE78" s="368"/>
      <c r="SF78" s="368"/>
      <c r="SG78" s="368"/>
      <c r="SH78" s="368"/>
      <c r="SI78" s="368"/>
      <c r="SJ78" s="368"/>
      <c r="SK78" s="368"/>
      <c r="SL78" s="368"/>
      <c r="SM78" s="368"/>
      <c r="SN78" s="368"/>
      <c r="SO78" s="368"/>
      <c r="SP78" s="368"/>
      <c r="SQ78" s="368"/>
      <c r="SR78" s="368"/>
      <c r="SS78" s="368"/>
      <c r="ST78" s="368"/>
      <c r="SU78" s="368"/>
      <c r="SV78" s="368"/>
      <c r="SW78" s="368"/>
      <c r="SX78" s="368"/>
      <c r="SY78" s="368"/>
      <c r="SZ78" s="368"/>
      <c r="TA78" s="368"/>
      <c r="TB78" s="368"/>
      <c r="TC78" s="368"/>
      <c r="TD78" s="368"/>
      <c r="TE78" s="368"/>
      <c r="TF78" s="368"/>
      <c r="TG78" s="368"/>
      <c r="TH78" s="368"/>
      <c r="TI78" s="368"/>
      <c r="TJ78" s="368"/>
      <c r="TK78" s="368"/>
      <c r="TL78" s="368"/>
      <c r="TM78" s="368"/>
      <c r="TN78" s="368"/>
      <c r="TO78" s="368"/>
      <c r="TP78" s="368"/>
      <c r="TQ78" s="368"/>
      <c r="TR78" s="368"/>
      <c r="TS78" s="368"/>
      <c r="TT78" s="368"/>
      <c r="TU78" s="368"/>
      <c r="TV78" s="368"/>
      <c r="TW78" s="368"/>
      <c r="TX78" s="368"/>
      <c r="TY78" s="368"/>
      <c r="TZ78" s="368"/>
      <c r="UA78" s="368"/>
      <c r="UB78" s="368"/>
      <c r="UC78" s="368"/>
      <c r="UD78" s="368"/>
      <c r="UE78" s="368"/>
      <c r="UF78" s="368"/>
      <c r="UG78" s="368"/>
      <c r="UH78" s="368"/>
      <c r="UI78" s="368"/>
      <c r="UJ78" s="368"/>
      <c r="UK78" s="368"/>
      <c r="UL78" s="368"/>
      <c r="UM78" s="368"/>
      <c r="UN78" s="368"/>
      <c r="UO78" s="368"/>
      <c r="UP78" s="368"/>
      <c r="UQ78" s="368"/>
      <c r="UR78" s="368"/>
      <c r="US78" s="368"/>
      <c r="UT78" s="368"/>
      <c r="UU78" s="368"/>
      <c r="UV78" s="368"/>
      <c r="UW78" s="368"/>
      <c r="UX78" s="368"/>
      <c r="UY78" s="368"/>
      <c r="UZ78" s="368"/>
      <c r="VA78" s="368"/>
      <c r="VB78" s="368"/>
      <c r="VC78" s="368"/>
      <c r="VD78" s="368"/>
      <c r="VE78" s="368"/>
      <c r="VF78" s="368"/>
      <c r="VG78" s="368"/>
      <c r="VH78" s="368"/>
      <c r="VI78" s="368"/>
      <c r="VJ78" s="368"/>
      <c r="VK78" s="368"/>
      <c r="VL78" s="368"/>
      <c r="VM78" s="368"/>
      <c r="VN78" s="368"/>
      <c r="VO78" s="368"/>
      <c r="VP78" s="368"/>
      <c r="VQ78" s="368"/>
      <c r="VR78" s="368"/>
      <c r="VS78" s="368"/>
      <c r="VT78" s="368"/>
      <c r="VU78" s="368"/>
      <c r="VV78" s="368"/>
      <c r="VW78" s="368"/>
      <c r="VX78" s="368"/>
      <c r="VY78" s="368"/>
      <c r="VZ78" s="368"/>
      <c r="WA78" s="368"/>
      <c r="WB78" s="368"/>
      <c r="WC78" s="368"/>
      <c r="WD78" s="368"/>
      <c r="WE78" s="368"/>
      <c r="WF78" s="368"/>
      <c r="WG78" s="368"/>
      <c r="WH78" s="368"/>
      <c r="WI78" s="368"/>
      <c r="WJ78" s="368"/>
      <c r="WK78" s="368"/>
      <c r="WL78" s="368"/>
      <c r="WM78" s="368"/>
      <c r="WN78" s="368"/>
      <c r="WO78" s="368"/>
      <c r="WP78" s="368"/>
      <c r="WQ78" s="368"/>
      <c r="WR78" s="368"/>
      <c r="WS78" s="368"/>
      <c r="WT78" s="368"/>
      <c r="WU78" s="368"/>
      <c r="WV78" s="368"/>
      <c r="WW78" s="368"/>
      <c r="WX78" s="368"/>
      <c r="WY78" s="368"/>
      <c r="WZ78" s="368"/>
      <c r="XA78" s="368"/>
      <c r="XB78" s="368"/>
      <c r="XC78" s="368"/>
      <c r="XD78" s="368"/>
      <c r="XE78" s="368"/>
      <c r="XF78" s="368"/>
      <c r="XG78" s="368"/>
      <c r="XH78" s="368"/>
      <c r="XI78" s="368"/>
      <c r="XJ78" s="368"/>
      <c r="XK78" s="368"/>
      <c r="XL78" s="368"/>
      <c r="XM78" s="368"/>
      <c r="XN78" s="368"/>
      <c r="XO78" s="368"/>
      <c r="XP78" s="368"/>
      <c r="XQ78" s="368"/>
      <c r="XR78" s="368"/>
      <c r="XS78" s="368"/>
      <c r="XT78" s="368"/>
      <c r="XU78" s="368"/>
      <c r="XV78" s="368"/>
      <c r="XW78" s="368"/>
      <c r="XX78" s="368"/>
      <c r="XY78" s="368"/>
      <c r="XZ78" s="368"/>
      <c r="YA78" s="368"/>
      <c r="YB78" s="368"/>
      <c r="YC78" s="368"/>
      <c r="YD78" s="368"/>
      <c r="YE78" s="368"/>
      <c r="YF78" s="368"/>
      <c r="YG78" s="368"/>
      <c r="YH78" s="368"/>
      <c r="YI78" s="368"/>
      <c r="YJ78" s="368"/>
      <c r="YK78" s="368"/>
      <c r="YL78" s="368"/>
      <c r="YM78" s="368"/>
      <c r="YN78" s="368"/>
      <c r="YO78" s="368"/>
      <c r="YP78" s="368"/>
      <c r="YQ78" s="368"/>
      <c r="YR78" s="368"/>
      <c r="YS78" s="368"/>
      <c r="YT78" s="368"/>
      <c r="YU78" s="368"/>
      <c r="YV78" s="368"/>
      <c r="YW78" s="368"/>
      <c r="YX78" s="368"/>
      <c r="YY78" s="368"/>
      <c r="YZ78" s="368"/>
      <c r="ZA78" s="368"/>
      <c r="ZB78" s="368"/>
      <c r="ZC78" s="368"/>
      <c r="ZD78" s="368"/>
      <c r="ZE78" s="368"/>
      <c r="ZF78" s="368"/>
      <c r="ZG78" s="368"/>
      <c r="ZH78" s="368"/>
      <c r="ZI78" s="368"/>
      <c r="ZJ78" s="368"/>
      <c r="ZK78" s="368"/>
      <c r="ZL78" s="368"/>
      <c r="ZM78" s="368"/>
      <c r="ZN78" s="368"/>
      <c r="ZO78" s="368"/>
      <c r="ZP78" s="368"/>
      <c r="ZQ78" s="368"/>
      <c r="ZR78" s="368"/>
      <c r="ZS78" s="368"/>
      <c r="ZT78" s="368"/>
      <c r="ZU78" s="368"/>
      <c r="ZV78" s="368"/>
      <c r="ZW78" s="368"/>
      <c r="ZX78" s="368"/>
      <c r="ZY78" s="368"/>
      <c r="ZZ78" s="368"/>
      <c r="AAA78" s="368"/>
      <c r="AAB78" s="368"/>
      <c r="AAC78" s="368"/>
      <c r="AAD78" s="368"/>
      <c r="AAE78" s="368"/>
      <c r="AAF78" s="368"/>
      <c r="AAG78" s="368"/>
      <c r="AAH78" s="368"/>
      <c r="AAI78" s="368"/>
      <c r="AAJ78" s="368"/>
      <c r="AAK78" s="368"/>
      <c r="AAL78" s="368"/>
      <c r="AAM78" s="368"/>
      <c r="AAN78" s="368"/>
      <c r="AAO78" s="368"/>
      <c r="AAP78" s="368"/>
      <c r="AAQ78" s="368"/>
      <c r="AAR78" s="368"/>
      <c r="AAS78" s="368"/>
      <c r="AAT78" s="368"/>
      <c r="AAU78" s="368"/>
      <c r="AAV78" s="368"/>
      <c r="AAW78" s="368"/>
      <c r="AAX78" s="368"/>
      <c r="AAY78" s="368"/>
      <c r="AAZ78" s="368"/>
      <c r="ABA78" s="368"/>
      <c r="ABB78" s="368"/>
      <c r="ABC78" s="368"/>
      <c r="ABD78" s="368"/>
      <c r="ABE78" s="368"/>
      <c r="ABF78" s="368"/>
      <c r="ABG78" s="368"/>
      <c r="ABH78" s="368"/>
      <c r="ABI78" s="368"/>
      <c r="ABJ78" s="368"/>
      <c r="ABK78" s="368"/>
      <c r="ABL78" s="368"/>
      <c r="ABM78" s="368"/>
      <c r="ABN78" s="368"/>
      <c r="ABO78" s="368"/>
      <c r="ABP78" s="368"/>
      <c r="ABQ78" s="368"/>
      <c r="ABR78" s="368"/>
      <c r="ABS78" s="368"/>
      <c r="ABT78" s="368"/>
      <c r="ABU78" s="368"/>
      <c r="ABV78" s="368"/>
      <c r="ABW78" s="368"/>
      <c r="ABX78" s="368"/>
      <c r="ABY78" s="368"/>
      <c r="ABZ78" s="368"/>
      <c r="ACA78" s="368"/>
      <c r="ACB78" s="368"/>
      <c r="ACC78" s="368"/>
      <c r="ACD78" s="368"/>
      <c r="ACE78" s="368"/>
      <c r="ACF78" s="368"/>
      <c r="ACG78" s="368"/>
      <c r="ACH78" s="368"/>
      <c r="ACI78" s="368"/>
      <c r="ACJ78" s="368"/>
      <c r="ACK78" s="368"/>
      <c r="ACL78" s="368"/>
      <c r="ACM78" s="368"/>
      <c r="ACN78" s="368"/>
      <c r="ACO78" s="368"/>
      <c r="ACP78" s="368"/>
      <c r="ACQ78" s="368"/>
      <c r="ACR78" s="368"/>
      <c r="ACS78" s="368"/>
      <c r="ACT78" s="368"/>
      <c r="ACU78" s="368"/>
      <c r="ACV78" s="368"/>
      <c r="ACW78" s="368"/>
      <c r="ACX78" s="368"/>
      <c r="ACY78" s="368"/>
      <c r="ACZ78" s="368"/>
      <c r="ADA78" s="368"/>
      <c r="ADB78" s="368"/>
      <c r="ADC78" s="368"/>
      <c r="ADD78" s="368"/>
      <c r="ADE78" s="368"/>
      <c r="ADF78" s="368"/>
      <c r="ADG78" s="368"/>
      <c r="ADH78" s="368"/>
      <c r="ADI78" s="368"/>
      <c r="ADJ78" s="368"/>
      <c r="ADK78" s="368"/>
      <c r="ADL78" s="368"/>
      <c r="ADM78" s="368"/>
      <c r="ADN78" s="368"/>
      <c r="ADO78" s="368"/>
      <c r="ADP78" s="368"/>
      <c r="ADQ78" s="368"/>
      <c r="ADR78" s="368"/>
      <c r="ADS78" s="368"/>
      <c r="ADT78" s="368"/>
      <c r="ADU78" s="368"/>
      <c r="ADV78" s="368"/>
      <c r="ADW78" s="368"/>
      <c r="ADX78" s="368"/>
      <c r="ADY78" s="368"/>
      <c r="ADZ78" s="368"/>
      <c r="AEA78" s="368"/>
      <c r="AEB78" s="368"/>
      <c r="AEC78" s="368"/>
      <c r="AED78" s="368"/>
      <c r="AEE78" s="368"/>
      <c r="AEF78" s="368"/>
      <c r="AEG78" s="368"/>
      <c r="AEH78" s="368"/>
      <c r="AEI78" s="368"/>
      <c r="AEJ78" s="368"/>
      <c r="AEK78" s="368"/>
      <c r="AEL78" s="368"/>
      <c r="AEM78" s="368"/>
      <c r="AEN78" s="368"/>
      <c r="AEO78" s="368"/>
      <c r="AEP78" s="368"/>
      <c r="AEQ78" s="368"/>
      <c r="AER78" s="368"/>
      <c r="AES78" s="368"/>
      <c r="AET78" s="368"/>
      <c r="AEU78" s="368"/>
      <c r="AEV78" s="368"/>
      <c r="AEW78" s="368"/>
      <c r="AEX78" s="368"/>
      <c r="AEY78" s="368"/>
      <c r="AEZ78" s="368"/>
      <c r="AFA78" s="368"/>
      <c r="AFB78" s="368"/>
      <c r="AFC78" s="368"/>
      <c r="AFD78" s="368"/>
      <c r="AFE78" s="368"/>
      <c r="AFF78" s="368"/>
      <c r="AFG78" s="368"/>
      <c r="AFH78" s="368"/>
      <c r="AFI78" s="368"/>
      <c r="AFJ78" s="368"/>
      <c r="AFK78" s="368"/>
      <c r="AFL78" s="368"/>
      <c r="AFM78" s="368"/>
      <c r="AFN78" s="368"/>
      <c r="AFO78" s="368"/>
      <c r="AFP78" s="368"/>
      <c r="AFQ78" s="368"/>
      <c r="AFR78" s="368"/>
      <c r="AFS78" s="368"/>
      <c r="AFT78" s="368"/>
      <c r="AFU78" s="368"/>
      <c r="AFV78" s="368"/>
      <c r="AFW78" s="368"/>
      <c r="AFX78" s="368"/>
      <c r="AFY78" s="368"/>
      <c r="AFZ78" s="368"/>
      <c r="AGA78" s="368"/>
      <c r="AGB78" s="368"/>
      <c r="AGC78" s="368"/>
      <c r="AGD78" s="368"/>
      <c r="AGE78" s="368"/>
      <c r="AGF78" s="368"/>
      <c r="AGG78" s="368"/>
      <c r="AGH78" s="368"/>
      <c r="AGI78" s="368"/>
      <c r="AGJ78" s="368"/>
      <c r="AGK78" s="368"/>
      <c r="AGL78" s="368"/>
      <c r="AGM78" s="368"/>
      <c r="AGN78" s="368"/>
      <c r="AGO78" s="368"/>
      <c r="AGP78" s="368"/>
      <c r="AGQ78" s="368"/>
      <c r="AGR78" s="368"/>
      <c r="AGS78" s="368"/>
      <c r="AGT78" s="368"/>
      <c r="AGU78" s="368"/>
      <c r="AGV78" s="368"/>
      <c r="AGW78" s="368"/>
      <c r="AGX78" s="368"/>
      <c r="AGY78" s="368"/>
      <c r="AGZ78" s="368"/>
      <c r="AHA78" s="368"/>
      <c r="AHB78" s="368"/>
      <c r="AHC78" s="368"/>
      <c r="AHD78" s="368"/>
      <c r="AHE78" s="368"/>
      <c r="AHF78" s="368"/>
      <c r="AHG78" s="368"/>
      <c r="AHH78" s="368"/>
      <c r="AHI78" s="368"/>
      <c r="AHJ78" s="368"/>
      <c r="AHK78" s="368"/>
      <c r="AHL78" s="368"/>
      <c r="AHM78" s="368"/>
      <c r="AHN78" s="368"/>
      <c r="AHO78" s="368"/>
      <c r="AHP78" s="368"/>
      <c r="AHQ78" s="368"/>
      <c r="AHR78" s="368"/>
      <c r="AHS78" s="368"/>
      <c r="AHT78" s="368"/>
      <c r="AHU78" s="368"/>
      <c r="AHV78" s="368"/>
      <c r="AHW78" s="368"/>
      <c r="AHX78" s="368"/>
      <c r="AHY78" s="368"/>
      <c r="AHZ78" s="368"/>
      <c r="AIA78" s="368"/>
      <c r="AIB78" s="368"/>
      <c r="AIC78" s="368"/>
      <c r="AID78" s="368"/>
      <c r="AIE78" s="368"/>
      <c r="AIF78" s="368"/>
      <c r="AIG78" s="368"/>
      <c r="AIH78" s="368"/>
      <c r="AII78" s="368"/>
      <c r="AIJ78" s="368"/>
      <c r="AIK78" s="368"/>
      <c r="AIL78" s="368"/>
      <c r="AIM78" s="368"/>
      <c r="AIN78" s="368"/>
      <c r="AIO78" s="368"/>
      <c r="AIP78" s="368"/>
      <c r="AIQ78" s="368"/>
      <c r="AIR78" s="368"/>
      <c r="AIS78" s="368"/>
      <c r="AIT78" s="368"/>
      <c r="AIU78" s="368"/>
      <c r="AIV78" s="368"/>
      <c r="AIW78" s="368"/>
      <c r="AIX78" s="368"/>
      <c r="AIY78" s="368"/>
      <c r="AIZ78" s="368"/>
      <c r="AJA78" s="368"/>
      <c r="AJB78" s="368"/>
      <c r="AJC78" s="368"/>
      <c r="AJD78" s="368"/>
      <c r="AJE78" s="368"/>
      <c r="AJF78" s="368"/>
      <c r="AJG78" s="368"/>
      <c r="AJH78" s="368"/>
      <c r="AJI78" s="368"/>
      <c r="AJJ78" s="368"/>
      <c r="AJK78" s="368"/>
      <c r="AJL78" s="368"/>
      <c r="AJM78" s="368"/>
      <c r="AJN78" s="368"/>
      <c r="AJO78" s="368"/>
      <c r="AJP78" s="368"/>
      <c r="AJQ78" s="368"/>
      <c r="AJR78" s="368"/>
      <c r="AJS78" s="368"/>
      <c r="AJT78" s="368"/>
      <c r="AJU78" s="368"/>
      <c r="AJV78" s="368"/>
      <c r="AJW78" s="368"/>
      <c r="AJX78" s="368"/>
      <c r="AJY78" s="368"/>
      <c r="AJZ78" s="368"/>
      <c r="AKA78" s="368"/>
      <c r="AKB78" s="368"/>
      <c r="AKC78" s="368"/>
      <c r="AKD78" s="368"/>
      <c r="AKE78" s="368"/>
      <c r="AKF78" s="368"/>
      <c r="AKG78" s="368"/>
      <c r="AKH78" s="368"/>
      <c r="AKI78" s="368"/>
      <c r="AKJ78" s="368"/>
      <c r="AKK78" s="368"/>
      <c r="AKL78" s="368"/>
      <c r="AKM78" s="368"/>
      <c r="AKN78" s="368"/>
    </row>
    <row r="79" spans="1:976" s="351" customFormat="1" ht="22.5" customHeight="1" x14ac:dyDescent="0.2">
      <c r="A79" s="418" t="s">
        <v>262</v>
      </c>
      <c r="B79" s="418"/>
      <c r="C79" s="418" t="s">
        <v>221</v>
      </c>
      <c r="D79" s="418" t="s">
        <v>222</v>
      </c>
      <c r="E79" s="419">
        <v>410966</v>
      </c>
      <c r="F79" s="419">
        <v>1245</v>
      </c>
      <c r="G79" s="419">
        <v>190</v>
      </c>
      <c r="H79" s="419">
        <v>0</v>
      </c>
      <c r="I79" s="420">
        <v>45832</v>
      </c>
      <c r="J79" s="418" t="s">
        <v>395</v>
      </c>
      <c r="K79" s="418" t="s">
        <v>498</v>
      </c>
      <c r="L79" s="421">
        <v>44.36</v>
      </c>
      <c r="M79" s="421">
        <v>2.44</v>
      </c>
      <c r="N79" s="443">
        <v>46.8</v>
      </c>
      <c r="O79" s="418"/>
      <c r="P79" s="422">
        <v>45842</v>
      </c>
      <c r="Q79" s="421">
        <v>46.8</v>
      </c>
      <c r="R79" s="418" t="s">
        <v>318</v>
      </c>
      <c r="S79" s="421">
        <v>0</v>
      </c>
      <c r="T79" s="421">
        <v>0</v>
      </c>
      <c r="U79" s="421">
        <v>0</v>
      </c>
      <c r="V79" s="421">
        <v>0</v>
      </c>
      <c r="W79" s="418"/>
      <c r="X79" s="418" t="s">
        <v>308</v>
      </c>
      <c r="Y79" s="418" t="s">
        <v>309</v>
      </c>
      <c r="Z79" s="418" t="s">
        <v>42</v>
      </c>
      <c r="AA79" s="418" t="s">
        <v>228</v>
      </c>
      <c r="AB79" s="418" t="s">
        <v>34</v>
      </c>
      <c r="AC79" s="418" t="s">
        <v>250</v>
      </c>
      <c r="AD79" s="418" t="s">
        <v>231</v>
      </c>
      <c r="AE79" s="418" t="s">
        <v>232</v>
      </c>
      <c r="AF79" s="418" t="s">
        <v>231</v>
      </c>
      <c r="AG79" s="418" t="s">
        <v>232</v>
      </c>
      <c r="AH79" s="418"/>
      <c r="AI79" s="418"/>
      <c r="AJ79" s="418"/>
      <c r="AK79" s="418" t="s">
        <v>499</v>
      </c>
      <c r="AL79" s="419">
        <v>1</v>
      </c>
      <c r="AM79" s="419">
        <v>0</v>
      </c>
      <c r="AN79" s="420">
        <v>45842</v>
      </c>
      <c r="AO79" s="420">
        <v>45842</v>
      </c>
      <c r="AP79" s="421">
        <v>46.8</v>
      </c>
      <c r="AQ79" s="420">
        <v>45841</v>
      </c>
      <c r="AR79" s="368"/>
      <c r="AS79" s="368"/>
      <c r="AT79" s="368"/>
      <c r="AU79" s="368"/>
      <c r="AV79" s="368"/>
      <c r="AW79" s="368"/>
      <c r="AX79" s="368"/>
      <c r="AY79" s="368"/>
      <c r="AZ79" s="368"/>
      <c r="BA79" s="368"/>
      <c r="BB79" s="368"/>
      <c r="BC79" s="368"/>
      <c r="BD79" s="368"/>
      <c r="BE79" s="368"/>
      <c r="BF79" s="368"/>
      <c r="BG79" s="368"/>
      <c r="BH79" s="368"/>
      <c r="BI79" s="368"/>
      <c r="BJ79" s="368"/>
      <c r="BK79" s="368"/>
      <c r="BL79" s="368"/>
      <c r="BM79" s="368"/>
      <c r="BN79" s="368"/>
      <c r="BO79" s="368"/>
      <c r="BP79" s="368"/>
      <c r="BQ79" s="368"/>
      <c r="BR79" s="368"/>
      <c r="BS79" s="368"/>
      <c r="BT79" s="368"/>
      <c r="BU79" s="368"/>
      <c r="BV79" s="368"/>
      <c r="BW79" s="368"/>
      <c r="BX79" s="368"/>
      <c r="BY79" s="368"/>
      <c r="BZ79" s="368"/>
      <c r="CA79" s="368"/>
      <c r="CB79" s="368"/>
      <c r="CC79" s="368"/>
      <c r="CD79" s="368"/>
      <c r="CE79" s="368"/>
      <c r="CF79" s="368"/>
      <c r="CG79" s="368"/>
      <c r="CH79" s="368"/>
      <c r="CI79" s="368"/>
      <c r="CJ79" s="368"/>
      <c r="CK79" s="368"/>
      <c r="CL79" s="368"/>
      <c r="CM79" s="368"/>
      <c r="CN79" s="368"/>
      <c r="CO79" s="368"/>
      <c r="CP79" s="368"/>
      <c r="CQ79" s="368"/>
      <c r="CR79" s="368"/>
      <c r="CS79" s="368"/>
      <c r="CT79" s="368"/>
      <c r="CU79" s="368"/>
      <c r="CV79" s="368"/>
      <c r="CW79" s="368"/>
      <c r="CX79" s="368"/>
      <c r="CY79" s="368"/>
      <c r="CZ79" s="368"/>
      <c r="DA79" s="368"/>
      <c r="DB79" s="368"/>
      <c r="DC79" s="368"/>
      <c r="DD79" s="368"/>
      <c r="DE79" s="368"/>
      <c r="DF79" s="368"/>
      <c r="DG79" s="368"/>
      <c r="DH79" s="368"/>
      <c r="DI79" s="368"/>
      <c r="DJ79" s="368"/>
      <c r="DK79" s="368"/>
      <c r="DL79" s="368"/>
      <c r="DM79" s="368"/>
      <c r="DN79" s="368"/>
      <c r="DO79" s="368"/>
      <c r="DP79" s="368"/>
      <c r="DQ79" s="368"/>
      <c r="DR79" s="368"/>
      <c r="DS79" s="368"/>
      <c r="DT79" s="368"/>
      <c r="DU79" s="368"/>
      <c r="DV79" s="368"/>
      <c r="DW79" s="368"/>
      <c r="DX79" s="368"/>
      <c r="DY79" s="368"/>
      <c r="DZ79" s="368"/>
      <c r="EA79" s="368"/>
      <c r="EB79" s="368"/>
      <c r="EC79" s="368"/>
      <c r="ED79" s="368"/>
      <c r="EE79" s="368"/>
      <c r="EF79" s="368"/>
      <c r="EG79" s="368"/>
      <c r="EH79" s="368"/>
      <c r="EI79" s="368"/>
      <c r="EJ79" s="368"/>
      <c r="EK79" s="368"/>
      <c r="EL79" s="368"/>
      <c r="EM79" s="368"/>
      <c r="EN79" s="368"/>
      <c r="EO79" s="368"/>
      <c r="EP79" s="368"/>
      <c r="EQ79" s="368"/>
      <c r="ER79" s="368"/>
      <c r="ES79" s="368"/>
      <c r="ET79" s="368"/>
      <c r="EU79" s="368"/>
      <c r="EV79" s="368"/>
      <c r="EW79" s="368"/>
      <c r="EX79" s="368"/>
      <c r="EY79" s="368"/>
      <c r="EZ79" s="368"/>
      <c r="FA79" s="368"/>
      <c r="FB79" s="368"/>
      <c r="FC79" s="368"/>
      <c r="FD79" s="368"/>
      <c r="FE79" s="368"/>
      <c r="FF79" s="368"/>
      <c r="FG79" s="368"/>
      <c r="FH79" s="368"/>
      <c r="FI79" s="368"/>
      <c r="FJ79" s="368"/>
      <c r="FK79" s="368"/>
      <c r="FL79" s="368"/>
      <c r="FM79" s="368"/>
      <c r="FN79" s="368"/>
      <c r="FO79" s="368"/>
      <c r="FP79" s="368"/>
      <c r="FQ79" s="368"/>
      <c r="FR79" s="368"/>
      <c r="FS79" s="368"/>
      <c r="FT79" s="368"/>
      <c r="FU79" s="368"/>
      <c r="FV79" s="368"/>
      <c r="FW79" s="368"/>
      <c r="FX79" s="368"/>
      <c r="FY79" s="368"/>
      <c r="FZ79" s="368"/>
      <c r="GA79" s="368"/>
      <c r="GB79" s="368"/>
      <c r="GC79" s="368"/>
      <c r="GD79" s="368"/>
      <c r="GE79" s="368"/>
      <c r="GF79" s="368"/>
      <c r="GG79" s="368"/>
      <c r="GH79" s="368"/>
      <c r="GI79" s="368"/>
      <c r="GJ79" s="368"/>
      <c r="GK79" s="368"/>
      <c r="GL79" s="368"/>
      <c r="GM79" s="368"/>
      <c r="GN79" s="368"/>
      <c r="GO79" s="368"/>
      <c r="GP79" s="368"/>
      <c r="GQ79" s="368"/>
      <c r="GR79" s="368"/>
      <c r="GS79" s="368"/>
      <c r="GT79" s="368"/>
      <c r="GU79" s="368"/>
      <c r="GV79" s="368"/>
      <c r="GW79" s="368"/>
      <c r="GX79" s="368"/>
      <c r="GY79" s="368"/>
      <c r="GZ79" s="368"/>
      <c r="HA79" s="368"/>
      <c r="HB79" s="368"/>
      <c r="HC79" s="368"/>
      <c r="HD79" s="368"/>
      <c r="HE79" s="368"/>
      <c r="HF79" s="368"/>
      <c r="HG79" s="368"/>
      <c r="HH79" s="368"/>
      <c r="HI79" s="368"/>
      <c r="HJ79" s="368"/>
      <c r="HK79" s="368"/>
      <c r="HL79" s="368"/>
      <c r="HM79" s="368"/>
      <c r="HN79" s="368"/>
      <c r="HO79" s="368"/>
      <c r="HP79" s="368"/>
      <c r="HQ79" s="368"/>
      <c r="HR79" s="368"/>
      <c r="HS79" s="368"/>
      <c r="HT79" s="368"/>
      <c r="HU79" s="368"/>
      <c r="HV79" s="368"/>
      <c r="HW79" s="368"/>
      <c r="HX79" s="368"/>
      <c r="HY79" s="368"/>
      <c r="HZ79" s="368"/>
      <c r="IA79" s="368"/>
      <c r="IB79" s="368"/>
      <c r="IC79" s="368"/>
      <c r="ID79" s="368"/>
      <c r="IE79" s="368"/>
      <c r="IF79" s="368"/>
      <c r="IG79" s="368"/>
      <c r="IH79" s="368"/>
      <c r="II79" s="368"/>
      <c r="IJ79" s="368"/>
      <c r="IK79" s="368"/>
      <c r="IL79" s="368"/>
      <c r="IM79" s="368"/>
      <c r="IN79" s="368"/>
      <c r="IO79" s="368"/>
      <c r="IP79" s="368"/>
      <c r="IQ79" s="368"/>
      <c r="IR79" s="368"/>
      <c r="IS79" s="368"/>
      <c r="IT79" s="368"/>
      <c r="IU79" s="368"/>
      <c r="IV79" s="368"/>
      <c r="IW79" s="368"/>
      <c r="IX79" s="368"/>
      <c r="IY79" s="368"/>
      <c r="IZ79" s="368"/>
      <c r="JA79" s="368"/>
      <c r="JB79" s="368"/>
      <c r="JC79" s="368"/>
      <c r="JD79" s="368"/>
      <c r="JE79" s="368"/>
      <c r="JF79" s="368"/>
      <c r="JG79" s="368"/>
      <c r="JH79" s="368"/>
      <c r="JI79" s="368"/>
      <c r="JJ79" s="368"/>
      <c r="JK79" s="368"/>
      <c r="JL79" s="368"/>
      <c r="JM79" s="368"/>
      <c r="JN79" s="368"/>
      <c r="JO79" s="368"/>
      <c r="JP79" s="368"/>
      <c r="JQ79" s="368"/>
      <c r="JR79" s="368"/>
      <c r="JS79" s="368"/>
      <c r="JT79" s="368"/>
      <c r="JU79" s="368"/>
      <c r="JV79" s="368"/>
      <c r="JW79" s="368"/>
      <c r="JX79" s="368"/>
      <c r="JY79" s="368"/>
      <c r="JZ79" s="368"/>
      <c r="KA79" s="368"/>
      <c r="KB79" s="368"/>
      <c r="KC79" s="368"/>
      <c r="KD79" s="368"/>
      <c r="KE79" s="368"/>
      <c r="KF79" s="368"/>
      <c r="KG79" s="368"/>
      <c r="KH79" s="368"/>
      <c r="KI79" s="368"/>
      <c r="KJ79" s="368"/>
      <c r="KK79" s="368"/>
      <c r="KL79" s="368"/>
      <c r="KM79" s="368"/>
      <c r="KN79" s="368"/>
      <c r="KO79" s="368"/>
      <c r="KP79" s="368"/>
      <c r="KQ79" s="368"/>
      <c r="KR79" s="368"/>
      <c r="KS79" s="368"/>
      <c r="KT79" s="368"/>
      <c r="KU79" s="368"/>
      <c r="KV79" s="368"/>
      <c r="KW79" s="368"/>
      <c r="KX79" s="368"/>
      <c r="KY79" s="368"/>
      <c r="KZ79" s="368"/>
      <c r="LA79" s="368"/>
      <c r="LB79" s="368"/>
      <c r="LC79" s="368"/>
      <c r="LD79" s="368"/>
      <c r="LE79" s="368"/>
      <c r="LF79" s="368"/>
      <c r="LG79" s="368"/>
      <c r="LH79" s="368"/>
      <c r="LI79" s="368"/>
      <c r="LJ79" s="368"/>
      <c r="LK79" s="368"/>
      <c r="LL79" s="368"/>
      <c r="LM79" s="368"/>
      <c r="LN79" s="368"/>
      <c r="LO79" s="368"/>
      <c r="LP79" s="368"/>
      <c r="LQ79" s="368"/>
      <c r="LR79" s="368"/>
      <c r="LS79" s="368"/>
      <c r="LT79" s="368"/>
      <c r="LU79" s="368"/>
      <c r="LV79" s="368"/>
      <c r="LW79" s="368"/>
      <c r="LX79" s="368"/>
      <c r="LY79" s="368"/>
      <c r="LZ79" s="368"/>
      <c r="MA79" s="368"/>
      <c r="MB79" s="368"/>
      <c r="MC79" s="368"/>
      <c r="MD79" s="368"/>
      <c r="ME79" s="368"/>
      <c r="MF79" s="368"/>
      <c r="MG79" s="368"/>
      <c r="MH79" s="368"/>
      <c r="MI79" s="368"/>
      <c r="MJ79" s="368"/>
      <c r="MK79" s="368"/>
      <c r="ML79" s="368"/>
      <c r="MM79" s="368"/>
      <c r="MN79" s="368"/>
      <c r="MO79" s="368"/>
      <c r="MP79" s="368"/>
      <c r="MQ79" s="368"/>
      <c r="MR79" s="368"/>
      <c r="MS79" s="368"/>
      <c r="MT79" s="368"/>
      <c r="MU79" s="368"/>
      <c r="MV79" s="368"/>
      <c r="MW79" s="368"/>
      <c r="MX79" s="368"/>
      <c r="MY79" s="368"/>
      <c r="MZ79" s="368"/>
      <c r="NA79" s="368"/>
      <c r="NB79" s="368"/>
      <c r="NC79" s="368"/>
      <c r="ND79" s="368"/>
      <c r="NE79" s="368"/>
      <c r="NF79" s="368"/>
      <c r="NG79" s="368"/>
      <c r="NH79" s="368"/>
      <c r="NI79" s="368"/>
      <c r="NJ79" s="368"/>
      <c r="NK79" s="368"/>
      <c r="NL79" s="368"/>
      <c r="NM79" s="368"/>
      <c r="NN79" s="368"/>
      <c r="NO79" s="368"/>
      <c r="NP79" s="368"/>
      <c r="NQ79" s="368"/>
      <c r="NR79" s="368"/>
      <c r="NS79" s="368"/>
      <c r="NT79" s="368"/>
      <c r="NU79" s="368"/>
      <c r="NV79" s="368"/>
      <c r="NW79" s="368"/>
      <c r="NX79" s="368"/>
      <c r="NY79" s="368"/>
      <c r="NZ79" s="368"/>
      <c r="OA79" s="368"/>
      <c r="OB79" s="368"/>
      <c r="OC79" s="368"/>
      <c r="OD79" s="368"/>
      <c r="OE79" s="368"/>
      <c r="OF79" s="368"/>
      <c r="OG79" s="368"/>
      <c r="OH79" s="368"/>
      <c r="OI79" s="368"/>
      <c r="OJ79" s="368"/>
      <c r="OK79" s="368"/>
      <c r="OL79" s="368"/>
      <c r="OM79" s="368"/>
      <c r="ON79" s="368"/>
      <c r="OO79" s="368"/>
      <c r="OP79" s="368"/>
      <c r="OQ79" s="368"/>
      <c r="OR79" s="368"/>
      <c r="OS79" s="368"/>
      <c r="OT79" s="368"/>
      <c r="OU79" s="368"/>
      <c r="OV79" s="368"/>
      <c r="OW79" s="368"/>
      <c r="OX79" s="368"/>
      <c r="OY79" s="368"/>
      <c r="OZ79" s="368"/>
      <c r="PA79" s="368"/>
      <c r="PB79" s="368"/>
      <c r="PC79" s="368"/>
      <c r="PD79" s="368"/>
      <c r="PE79" s="368"/>
      <c r="PF79" s="368"/>
      <c r="PG79" s="368"/>
      <c r="PH79" s="368"/>
      <c r="PI79" s="368"/>
      <c r="PJ79" s="368"/>
      <c r="PK79" s="368"/>
      <c r="PL79" s="368"/>
      <c r="PM79" s="368"/>
      <c r="PN79" s="368"/>
      <c r="PO79" s="368"/>
      <c r="PP79" s="368"/>
      <c r="PQ79" s="368"/>
      <c r="PR79" s="368"/>
      <c r="PS79" s="368"/>
      <c r="PT79" s="368"/>
      <c r="PU79" s="368"/>
      <c r="PV79" s="368"/>
      <c r="PW79" s="368"/>
      <c r="PX79" s="368"/>
      <c r="PY79" s="368"/>
      <c r="PZ79" s="368"/>
      <c r="QA79" s="368"/>
      <c r="QB79" s="368"/>
      <c r="QC79" s="368"/>
      <c r="QD79" s="368"/>
      <c r="QE79" s="368"/>
      <c r="QF79" s="368"/>
      <c r="QG79" s="368"/>
      <c r="QH79" s="368"/>
      <c r="QI79" s="368"/>
      <c r="QJ79" s="368"/>
      <c r="QK79" s="368"/>
      <c r="QL79" s="368"/>
      <c r="QM79" s="368"/>
      <c r="QN79" s="368"/>
      <c r="QO79" s="368"/>
      <c r="QP79" s="368"/>
      <c r="QQ79" s="368"/>
      <c r="QR79" s="368"/>
      <c r="QS79" s="368"/>
      <c r="QT79" s="368"/>
      <c r="QU79" s="368"/>
      <c r="QV79" s="368"/>
      <c r="QW79" s="368"/>
      <c r="QX79" s="368"/>
      <c r="QY79" s="368"/>
      <c r="QZ79" s="368"/>
      <c r="RA79" s="368"/>
      <c r="RB79" s="368"/>
      <c r="RC79" s="368"/>
      <c r="RD79" s="368"/>
      <c r="RE79" s="368"/>
      <c r="RF79" s="368"/>
      <c r="RG79" s="368"/>
      <c r="RH79" s="368"/>
      <c r="RI79" s="368"/>
      <c r="RJ79" s="368"/>
      <c r="RK79" s="368"/>
      <c r="RL79" s="368"/>
      <c r="RM79" s="368"/>
      <c r="RN79" s="368"/>
      <c r="RO79" s="368"/>
      <c r="RP79" s="368"/>
      <c r="RQ79" s="368"/>
      <c r="RR79" s="368"/>
      <c r="RS79" s="368"/>
      <c r="RT79" s="368"/>
      <c r="RU79" s="368"/>
      <c r="RV79" s="368"/>
      <c r="RW79" s="368"/>
      <c r="RX79" s="368"/>
      <c r="RY79" s="368"/>
      <c r="RZ79" s="368"/>
      <c r="SA79" s="368"/>
      <c r="SB79" s="368"/>
      <c r="SC79" s="368"/>
      <c r="SD79" s="368"/>
      <c r="SE79" s="368"/>
      <c r="SF79" s="368"/>
      <c r="SG79" s="368"/>
      <c r="SH79" s="368"/>
      <c r="SI79" s="368"/>
      <c r="SJ79" s="368"/>
      <c r="SK79" s="368"/>
      <c r="SL79" s="368"/>
      <c r="SM79" s="368"/>
      <c r="SN79" s="368"/>
      <c r="SO79" s="368"/>
      <c r="SP79" s="368"/>
      <c r="SQ79" s="368"/>
      <c r="SR79" s="368"/>
      <c r="SS79" s="368"/>
      <c r="ST79" s="368"/>
      <c r="SU79" s="368"/>
      <c r="SV79" s="368"/>
      <c r="SW79" s="368"/>
      <c r="SX79" s="368"/>
      <c r="SY79" s="368"/>
      <c r="SZ79" s="368"/>
      <c r="TA79" s="368"/>
      <c r="TB79" s="368"/>
      <c r="TC79" s="368"/>
      <c r="TD79" s="368"/>
      <c r="TE79" s="368"/>
      <c r="TF79" s="368"/>
      <c r="TG79" s="368"/>
      <c r="TH79" s="368"/>
      <c r="TI79" s="368"/>
      <c r="TJ79" s="368"/>
      <c r="TK79" s="368"/>
      <c r="TL79" s="368"/>
      <c r="TM79" s="368"/>
      <c r="TN79" s="368"/>
      <c r="TO79" s="368"/>
      <c r="TP79" s="368"/>
      <c r="TQ79" s="368"/>
      <c r="TR79" s="368"/>
      <c r="TS79" s="368"/>
      <c r="TT79" s="368"/>
      <c r="TU79" s="368"/>
      <c r="TV79" s="368"/>
      <c r="TW79" s="368"/>
      <c r="TX79" s="368"/>
      <c r="TY79" s="368"/>
      <c r="TZ79" s="368"/>
      <c r="UA79" s="368"/>
      <c r="UB79" s="368"/>
      <c r="UC79" s="368"/>
      <c r="UD79" s="368"/>
      <c r="UE79" s="368"/>
      <c r="UF79" s="368"/>
      <c r="UG79" s="368"/>
      <c r="UH79" s="368"/>
      <c r="UI79" s="368"/>
      <c r="UJ79" s="368"/>
      <c r="UK79" s="368"/>
      <c r="UL79" s="368"/>
      <c r="UM79" s="368"/>
      <c r="UN79" s="368"/>
      <c r="UO79" s="368"/>
      <c r="UP79" s="368"/>
      <c r="UQ79" s="368"/>
      <c r="UR79" s="368"/>
      <c r="US79" s="368"/>
      <c r="UT79" s="368"/>
      <c r="UU79" s="368"/>
      <c r="UV79" s="368"/>
      <c r="UW79" s="368"/>
      <c r="UX79" s="368"/>
      <c r="UY79" s="368"/>
      <c r="UZ79" s="368"/>
      <c r="VA79" s="368"/>
      <c r="VB79" s="368"/>
      <c r="VC79" s="368"/>
      <c r="VD79" s="368"/>
      <c r="VE79" s="368"/>
      <c r="VF79" s="368"/>
      <c r="VG79" s="368"/>
      <c r="VH79" s="368"/>
      <c r="VI79" s="368"/>
      <c r="VJ79" s="368"/>
      <c r="VK79" s="368"/>
      <c r="VL79" s="368"/>
      <c r="VM79" s="368"/>
      <c r="VN79" s="368"/>
      <c r="VO79" s="368"/>
      <c r="VP79" s="368"/>
      <c r="VQ79" s="368"/>
      <c r="VR79" s="368"/>
      <c r="VS79" s="368"/>
      <c r="VT79" s="368"/>
      <c r="VU79" s="368"/>
      <c r="VV79" s="368"/>
      <c r="VW79" s="368"/>
      <c r="VX79" s="368"/>
      <c r="VY79" s="368"/>
      <c r="VZ79" s="368"/>
      <c r="WA79" s="368"/>
      <c r="WB79" s="368"/>
      <c r="WC79" s="368"/>
      <c r="WD79" s="368"/>
      <c r="WE79" s="368"/>
      <c r="WF79" s="368"/>
      <c r="WG79" s="368"/>
      <c r="WH79" s="368"/>
      <c r="WI79" s="368"/>
      <c r="WJ79" s="368"/>
      <c r="WK79" s="368"/>
      <c r="WL79" s="368"/>
      <c r="WM79" s="368"/>
      <c r="WN79" s="368"/>
      <c r="WO79" s="368"/>
      <c r="WP79" s="368"/>
      <c r="WQ79" s="368"/>
      <c r="WR79" s="368"/>
      <c r="WS79" s="368"/>
      <c r="WT79" s="368"/>
      <c r="WU79" s="368"/>
      <c r="WV79" s="368"/>
      <c r="WW79" s="368"/>
      <c r="WX79" s="368"/>
      <c r="WY79" s="368"/>
      <c r="WZ79" s="368"/>
      <c r="XA79" s="368"/>
      <c r="XB79" s="368"/>
      <c r="XC79" s="368"/>
      <c r="XD79" s="368"/>
      <c r="XE79" s="368"/>
      <c r="XF79" s="368"/>
      <c r="XG79" s="368"/>
      <c r="XH79" s="368"/>
      <c r="XI79" s="368"/>
      <c r="XJ79" s="368"/>
      <c r="XK79" s="368"/>
      <c r="XL79" s="368"/>
      <c r="XM79" s="368"/>
      <c r="XN79" s="368"/>
      <c r="XO79" s="368"/>
      <c r="XP79" s="368"/>
      <c r="XQ79" s="368"/>
      <c r="XR79" s="368"/>
      <c r="XS79" s="368"/>
      <c r="XT79" s="368"/>
      <c r="XU79" s="368"/>
      <c r="XV79" s="368"/>
      <c r="XW79" s="368"/>
      <c r="XX79" s="368"/>
      <c r="XY79" s="368"/>
      <c r="XZ79" s="368"/>
      <c r="YA79" s="368"/>
      <c r="YB79" s="368"/>
      <c r="YC79" s="368"/>
      <c r="YD79" s="368"/>
      <c r="YE79" s="368"/>
      <c r="YF79" s="368"/>
      <c r="YG79" s="368"/>
      <c r="YH79" s="368"/>
      <c r="YI79" s="368"/>
      <c r="YJ79" s="368"/>
      <c r="YK79" s="368"/>
      <c r="YL79" s="368"/>
      <c r="YM79" s="368"/>
      <c r="YN79" s="368"/>
      <c r="YO79" s="368"/>
      <c r="YP79" s="368"/>
      <c r="YQ79" s="368"/>
      <c r="YR79" s="368"/>
      <c r="YS79" s="368"/>
      <c r="YT79" s="368"/>
      <c r="YU79" s="368"/>
      <c r="YV79" s="368"/>
      <c r="YW79" s="368"/>
      <c r="YX79" s="368"/>
      <c r="YY79" s="368"/>
      <c r="YZ79" s="368"/>
      <c r="ZA79" s="368"/>
      <c r="ZB79" s="368"/>
      <c r="ZC79" s="368"/>
      <c r="ZD79" s="368"/>
      <c r="ZE79" s="368"/>
      <c r="ZF79" s="368"/>
      <c r="ZG79" s="368"/>
      <c r="ZH79" s="368"/>
      <c r="ZI79" s="368"/>
      <c r="ZJ79" s="368"/>
      <c r="ZK79" s="368"/>
      <c r="ZL79" s="368"/>
      <c r="ZM79" s="368"/>
      <c r="ZN79" s="368"/>
      <c r="ZO79" s="368"/>
      <c r="ZP79" s="368"/>
      <c r="ZQ79" s="368"/>
      <c r="ZR79" s="368"/>
      <c r="ZS79" s="368"/>
      <c r="ZT79" s="368"/>
      <c r="ZU79" s="368"/>
      <c r="ZV79" s="368"/>
      <c r="ZW79" s="368"/>
      <c r="ZX79" s="368"/>
      <c r="ZY79" s="368"/>
      <c r="ZZ79" s="368"/>
      <c r="AAA79" s="368"/>
      <c r="AAB79" s="368"/>
      <c r="AAC79" s="368"/>
      <c r="AAD79" s="368"/>
      <c r="AAE79" s="368"/>
      <c r="AAF79" s="368"/>
      <c r="AAG79" s="368"/>
      <c r="AAH79" s="368"/>
      <c r="AAI79" s="368"/>
      <c r="AAJ79" s="368"/>
      <c r="AAK79" s="368"/>
      <c r="AAL79" s="368"/>
      <c r="AAM79" s="368"/>
      <c r="AAN79" s="368"/>
      <c r="AAO79" s="368"/>
      <c r="AAP79" s="368"/>
      <c r="AAQ79" s="368"/>
      <c r="AAR79" s="368"/>
      <c r="AAS79" s="368"/>
      <c r="AAT79" s="368"/>
      <c r="AAU79" s="368"/>
      <c r="AAV79" s="368"/>
      <c r="AAW79" s="368"/>
      <c r="AAX79" s="368"/>
      <c r="AAY79" s="368"/>
      <c r="AAZ79" s="368"/>
      <c r="ABA79" s="368"/>
      <c r="ABB79" s="368"/>
      <c r="ABC79" s="368"/>
      <c r="ABD79" s="368"/>
      <c r="ABE79" s="368"/>
      <c r="ABF79" s="368"/>
      <c r="ABG79" s="368"/>
      <c r="ABH79" s="368"/>
      <c r="ABI79" s="368"/>
      <c r="ABJ79" s="368"/>
      <c r="ABK79" s="368"/>
      <c r="ABL79" s="368"/>
      <c r="ABM79" s="368"/>
      <c r="ABN79" s="368"/>
      <c r="ABO79" s="368"/>
      <c r="ABP79" s="368"/>
      <c r="ABQ79" s="368"/>
      <c r="ABR79" s="368"/>
      <c r="ABS79" s="368"/>
      <c r="ABT79" s="368"/>
      <c r="ABU79" s="368"/>
      <c r="ABV79" s="368"/>
      <c r="ABW79" s="368"/>
      <c r="ABX79" s="368"/>
      <c r="ABY79" s="368"/>
      <c r="ABZ79" s="368"/>
      <c r="ACA79" s="368"/>
      <c r="ACB79" s="368"/>
      <c r="ACC79" s="368"/>
      <c r="ACD79" s="368"/>
      <c r="ACE79" s="368"/>
      <c r="ACF79" s="368"/>
      <c r="ACG79" s="368"/>
      <c r="ACH79" s="368"/>
      <c r="ACI79" s="368"/>
      <c r="ACJ79" s="368"/>
      <c r="ACK79" s="368"/>
      <c r="ACL79" s="368"/>
      <c r="ACM79" s="368"/>
      <c r="ACN79" s="368"/>
      <c r="ACO79" s="368"/>
      <c r="ACP79" s="368"/>
      <c r="ACQ79" s="368"/>
      <c r="ACR79" s="368"/>
      <c r="ACS79" s="368"/>
      <c r="ACT79" s="368"/>
      <c r="ACU79" s="368"/>
      <c r="ACV79" s="368"/>
      <c r="ACW79" s="368"/>
      <c r="ACX79" s="368"/>
      <c r="ACY79" s="368"/>
      <c r="ACZ79" s="368"/>
      <c r="ADA79" s="368"/>
      <c r="ADB79" s="368"/>
      <c r="ADC79" s="368"/>
      <c r="ADD79" s="368"/>
      <c r="ADE79" s="368"/>
      <c r="ADF79" s="368"/>
      <c r="ADG79" s="368"/>
      <c r="ADH79" s="368"/>
      <c r="ADI79" s="368"/>
      <c r="ADJ79" s="368"/>
      <c r="ADK79" s="368"/>
      <c r="ADL79" s="368"/>
      <c r="ADM79" s="368"/>
      <c r="ADN79" s="368"/>
      <c r="ADO79" s="368"/>
      <c r="ADP79" s="368"/>
      <c r="ADQ79" s="368"/>
      <c r="ADR79" s="368"/>
      <c r="ADS79" s="368"/>
      <c r="ADT79" s="368"/>
      <c r="ADU79" s="368"/>
      <c r="ADV79" s="368"/>
      <c r="ADW79" s="368"/>
      <c r="ADX79" s="368"/>
      <c r="ADY79" s="368"/>
      <c r="ADZ79" s="368"/>
      <c r="AEA79" s="368"/>
      <c r="AEB79" s="368"/>
      <c r="AEC79" s="368"/>
      <c r="AED79" s="368"/>
      <c r="AEE79" s="368"/>
      <c r="AEF79" s="368"/>
      <c r="AEG79" s="368"/>
      <c r="AEH79" s="368"/>
      <c r="AEI79" s="368"/>
      <c r="AEJ79" s="368"/>
      <c r="AEK79" s="368"/>
      <c r="AEL79" s="368"/>
      <c r="AEM79" s="368"/>
      <c r="AEN79" s="368"/>
      <c r="AEO79" s="368"/>
      <c r="AEP79" s="368"/>
      <c r="AEQ79" s="368"/>
      <c r="AER79" s="368"/>
      <c r="AES79" s="368"/>
      <c r="AET79" s="368"/>
      <c r="AEU79" s="368"/>
      <c r="AEV79" s="368"/>
      <c r="AEW79" s="368"/>
      <c r="AEX79" s="368"/>
      <c r="AEY79" s="368"/>
      <c r="AEZ79" s="368"/>
      <c r="AFA79" s="368"/>
      <c r="AFB79" s="368"/>
      <c r="AFC79" s="368"/>
      <c r="AFD79" s="368"/>
      <c r="AFE79" s="368"/>
      <c r="AFF79" s="368"/>
      <c r="AFG79" s="368"/>
      <c r="AFH79" s="368"/>
      <c r="AFI79" s="368"/>
      <c r="AFJ79" s="368"/>
      <c r="AFK79" s="368"/>
      <c r="AFL79" s="368"/>
      <c r="AFM79" s="368"/>
      <c r="AFN79" s="368"/>
      <c r="AFO79" s="368"/>
      <c r="AFP79" s="368"/>
      <c r="AFQ79" s="368"/>
      <c r="AFR79" s="368"/>
      <c r="AFS79" s="368"/>
      <c r="AFT79" s="368"/>
      <c r="AFU79" s="368"/>
      <c r="AFV79" s="368"/>
      <c r="AFW79" s="368"/>
      <c r="AFX79" s="368"/>
      <c r="AFY79" s="368"/>
      <c r="AFZ79" s="368"/>
      <c r="AGA79" s="368"/>
      <c r="AGB79" s="368"/>
      <c r="AGC79" s="368"/>
      <c r="AGD79" s="368"/>
      <c r="AGE79" s="368"/>
      <c r="AGF79" s="368"/>
      <c r="AGG79" s="368"/>
      <c r="AGH79" s="368"/>
      <c r="AGI79" s="368"/>
      <c r="AGJ79" s="368"/>
      <c r="AGK79" s="368"/>
      <c r="AGL79" s="368"/>
      <c r="AGM79" s="368"/>
      <c r="AGN79" s="368"/>
      <c r="AGO79" s="368"/>
      <c r="AGP79" s="368"/>
      <c r="AGQ79" s="368"/>
      <c r="AGR79" s="368"/>
      <c r="AGS79" s="368"/>
      <c r="AGT79" s="368"/>
      <c r="AGU79" s="368"/>
      <c r="AGV79" s="368"/>
      <c r="AGW79" s="368"/>
      <c r="AGX79" s="368"/>
      <c r="AGY79" s="368"/>
      <c r="AGZ79" s="368"/>
      <c r="AHA79" s="368"/>
      <c r="AHB79" s="368"/>
      <c r="AHC79" s="368"/>
      <c r="AHD79" s="368"/>
      <c r="AHE79" s="368"/>
      <c r="AHF79" s="368"/>
      <c r="AHG79" s="368"/>
      <c r="AHH79" s="368"/>
      <c r="AHI79" s="368"/>
      <c r="AHJ79" s="368"/>
      <c r="AHK79" s="368"/>
      <c r="AHL79" s="368"/>
      <c r="AHM79" s="368"/>
      <c r="AHN79" s="368"/>
      <c r="AHO79" s="368"/>
      <c r="AHP79" s="368"/>
      <c r="AHQ79" s="368"/>
      <c r="AHR79" s="368"/>
      <c r="AHS79" s="368"/>
      <c r="AHT79" s="368"/>
      <c r="AHU79" s="368"/>
      <c r="AHV79" s="368"/>
      <c r="AHW79" s="368"/>
      <c r="AHX79" s="368"/>
      <c r="AHY79" s="368"/>
      <c r="AHZ79" s="368"/>
      <c r="AIA79" s="368"/>
      <c r="AIB79" s="368"/>
      <c r="AIC79" s="368"/>
      <c r="AID79" s="368"/>
      <c r="AIE79" s="368"/>
      <c r="AIF79" s="368"/>
      <c r="AIG79" s="368"/>
      <c r="AIH79" s="368"/>
      <c r="AII79" s="368"/>
      <c r="AIJ79" s="368"/>
      <c r="AIK79" s="368"/>
      <c r="AIL79" s="368"/>
      <c r="AIM79" s="368"/>
      <c r="AIN79" s="368"/>
      <c r="AIO79" s="368"/>
      <c r="AIP79" s="368"/>
      <c r="AIQ79" s="368"/>
      <c r="AIR79" s="368"/>
      <c r="AIS79" s="368"/>
      <c r="AIT79" s="368"/>
      <c r="AIU79" s="368"/>
      <c r="AIV79" s="368"/>
      <c r="AIW79" s="368"/>
      <c r="AIX79" s="368"/>
      <c r="AIY79" s="368"/>
      <c r="AIZ79" s="368"/>
      <c r="AJA79" s="368"/>
      <c r="AJB79" s="368"/>
      <c r="AJC79" s="368"/>
      <c r="AJD79" s="368"/>
      <c r="AJE79" s="368"/>
      <c r="AJF79" s="368"/>
      <c r="AJG79" s="368"/>
      <c r="AJH79" s="368"/>
      <c r="AJI79" s="368"/>
      <c r="AJJ79" s="368"/>
      <c r="AJK79" s="368"/>
      <c r="AJL79" s="368"/>
      <c r="AJM79" s="368"/>
      <c r="AJN79" s="368"/>
      <c r="AJO79" s="368"/>
      <c r="AJP79" s="368"/>
      <c r="AJQ79" s="368"/>
      <c r="AJR79" s="368"/>
      <c r="AJS79" s="368"/>
      <c r="AJT79" s="368"/>
      <c r="AJU79" s="368"/>
      <c r="AJV79" s="368"/>
      <c r="AJW79" s="368"/>
      <c r="AJX79" s="368"/>
      <c r="AJY79" s="368"/>
      <c r="AJZ79" s="368"/>
      <c r="AKA79" s="368"/>
      <c r="AKB79" s="368"/>
      <c r="AKC79" s="368"/>
      <c r="AKD79" s="368"/>
      <c r="AKE79" s="368"/>
      <c r="AKF79" s="368"/>
      <c r="AKG79" s="368"/>
      <c r="AKH79" s="368"/>
      <c r="AKI79" s="368"/>
      <c r="AKJ79" s="368"/>
      <c r="AKK79" s="368"/>
      <c r="AKL79" s="368"/>
      <c r="AKM79" s="368"/>
      <c r="AKN79" s="368"/>
    </row>
    <row r="80" spans="1:976" s="363" customFormat="1" ht="22.5" customHeight="1" x14ac:dyDescent="0.2">
      <c r="A80" s="358" t="s">
        <v>262</v>
      </c>
      <c r="B80" s="358"/>
      <c r="C80" s="358" t="s">
        <v>221</v>
      </c>
      <c r="D80" s="358" t="s">
        <v>222</v>
      </c>
      <c r="E80" s="359">
        <v>410967</v>
      </c>
      <c r="F80" s="359">
        <v>1246</v>
      </c>
      <c r="G80" s="359">
        <v>190</v>
      </c>
      <c r="H80" s="359">
        <v>0</v>
      </c>
      <c r="I80" s="360">
        <v>45832</v>
      </c>
      <c r="J80" s="358" t="s">
        <v>395</v>
      </c>
      <c r="K80" s="358" t="s">
        <v>500</v>
      </c>
      <c r="L80" s="361">
        <v>1005.87</v>
      </c>
      <c r="M80" s="361">
        <v>55.32</v>
      </c>
      <c r="N80" s="448">
        <v>1061.19</v>
      </c>
      <c r="O80" s="358"/>
      <c r="P80" s="362">
        <v>45842</v>
      </c>
      <c r="Q80" s="361">
        <v>1061.19</v>
      </c>
      <c r="R80" s="358" t="s">
        <v>321</v>
      </c>
      <c r="S80" s="361">
        <v>0</v>
      </c>
      <c r="T80" s="361">
        <v>0</v>
      </c>
      <c r="U80" s="361">
        <v>0</v>
      </c>
      <c r="V80" s="361">
        <v>0</v>
      </c>
      <c r="W80" s="358"/>
      <c r="X80" s="358" t="s">
        <v>308</v>
      </c>
      <c r="Y80" s="358" t="s">
        <v>309</v>
      </c>
      <c r="Z80" s="358" t="s">
        <v>32</v>
      </c>
      <c r="AA80" s="358" t="s">
        <v>228</v>
      </c>
      <c r="AB80" s="358" t="s">
        <v>34</v>
      </c>
      <c r="AC80" s="358" t="s">
        <v>31</v>
      </c>
      <c r="AD80" s="358" t="s">
        <v>231</v>
      </c>
      <c r="AE80" s="358" t="s">
        <v>232</v>
      </c>
      <c r="AF80" s="358" t="s">
        <v>231</v>
      </c>
      <c r="AG80" s="358" t="s">
        <v>232</v>
      </c>
      <c r="AH80" s="358"/>
      <c r="AI80" s="358"/>
      <c r="AJ80" s="358"/>
      <c r="AK80" s="358" t="s">
        <v>501</v>
      </c>
      <c r="AL80" s="359">
        <v>1</v>
      </c>
      <c r="AM80" s="359">
        <v>0</v>
      </c>
      <c r="AN80" s="360">
        <v>45842</v>
      </c>
      <c r="AO80" s="360">
        <v>45842</v>
      </c>
      <c r="AP80" s="361">
        <v>1061.19</v>
      </c>
      <c r="AQ80" s="360">
        <v>45841</v>
      </c>
      <c r="AR80" s="368"/>
      <c r="AS80" s="368"/>
      <c r="AT80" s="368"/>
      <c r="AU80" s="368"/>
      <c r="AV80" s="368"/>
      <c r="AW80" s="368"/>
      <c r="AX80" s="368"/>
      <c r="AY80" s="368"/>
      <c r="AZ80" s="368"/>
      <c r="BA80" s="368"/>
      <c r="BB80" s="368"/>
      <c r="BC80" s="368"/>
      <c r="BD80" s="368"/>
      <c r="BE80" s="368"/>
      <c r="BF80" s="368"/>
      <c r="BG80" s="368"/>
      <c r="BH80" s="368"/>
      <c r="BI80" s="368"/>
      <c r="BJ80" s="368"/>
      <c r="BK80" s="368"/>
      <c r="BL80" s="368"/>
      <c r="BM80" s="368"/>
      <c r="BN80" s="368"/>
      <c r="BO80" s="368"/>
      <c r="BP80" s="368"/>
      <c r="BQ80" s="368"/>
      <c r="BR80" s="368"/>
      <c r="BS80" s="368"/>
      <c r="BT80" s="368"/>
      <c r="BU80" s="368"/>
      <c r="BV80" s="368"/>
      <c r="BW80" s="368"/>
      <c r="BX80" s="368"/>
      <c r="BY80" s="368"/>
      <c r="BZ80" s="368"/>
      <c r="CA80" s="368"/>
      <c r="CB80" s="368"/>
      <c r="CC80" s="368"/>
      <c r="CD80" s="368"/>
      <c r="CE80" s="368"/>
      <c r="CF80" s="368"/>
      <c r="CG80" s="368"/>
      <c r="CH80" s="368"/>
      <c r="CI80" s="368"/>
      <c r="CJ80" s="368"/>
      <c r="CK80" s="368"/>
      <c r="CL80" s="368"/>
      <c r="CM80" s="368"/>
      <c r="CN80" s="368"/>
      <c r="CO80" s="368"/>
      <c r="CP80" s="368"/>
      <c r="CQ80" s="368"/>
      <c r="CR80" s="368"/>
      <c r="CS80" s="368"/>
      <c r="CT80" s="368"/>
      <c r="CU80" s="368"/>
      <c r="CV80" s="368"/>
      <c r="CW80" s="368"/>
      <c r="CX80" s="368"/>
      <c r="CY80" s="368"/>
      <c r="CZ80" s="368"/>
      <c r="DA80" s="368"/>
      <c r="DB80" s="368"/>
      <c r="DC80" s="368"/>
      <c r="DD80" s="368"/>
      <c r="DE80" s="368"/>
      <c r="DF80" s="368"/>
      <c r="DG80" s="368"/>
      <c r="DH80" s="368"/>
      <c r="DI80" s="368"/>
      <c r="DJ80" s="368"/>
      <c r="DK80" s="368"/>
      <c r="DL80" s="368"/>
      <c r="DM80" s="368"/>
      <c r="DN80" s="368"/>
      <c r="DO80" s="368"/>
      <c r="DP80" s="368"/>
      <c r="DQ80" s="368"/>
      <c r="DR80" s="368"/>
      <c r="DS80" s="368"/>
      <c r="DT80" s="368"/>
      <c r="DU80" s="368"/>
      <c r="DV80" s="368"/>
      <c r="DW80" s="368"/>
      <c r="DX80" s="368"/>
      <c r="DY80" s="368"/>
      <c r="DZ80" s="368"/>
      <c r="EA80" s="368"/>
      <c r="EB80" s="368"/>
      <c r="EC80" s="368"/>
      <c r="ED80" s="368"/>
      <c r="EE80" s="368"/>
      <c r="EF80" s="368"/>
      <c r="EG80" s="368"/>
      <c r="EH80" s="368"/>
      <c r="EI80" s="368"/>
      <c r="EJ80" s="368"/>
      <c r="EK80" s="368"/>
      <c r="EL80" s="368"/>
      <c r="EM80" s="368"/>
      <c r="EN80" s="368"/>
      <c r="EO80" s="368"/>
      <c r="EP80" s="368"/>
      <c r="EQ80" s="368"/>
      <c r="ER80" s="368"/>
      <c r="ES80" s="368"/>
      <c r="ET80" s="368"/>
      <c r="EU80" s="368"/>
      <c r="EV80" s="368"/>
      <c r="EW80" s="368"/>
      <c r="EX80" s="368"/>
      <c r="EY80" s="368"/>
      <c r="EZ80" s="368"/>
      <c r="FA80" s="368"/>
      <c r="FB80" s="368"/>
      <c r="FC80" s="368"/>
      <c r="FD80" s="368"/>
      <c r="FE80" s="368"/>
      <c r="FF80" s="368"/>
      <c r="FG80" s="368"/>
      <c r="FH80" s="368"/>
      <c r="FI80" s="368"/>
      <c r="FJ80" s="368"/>
      <c r="FK80" s="368"/>
      <c r="FL80" s="368"/>
      <c r="FM80" s="368"/>
      <c r="FN80" s="368"/>
      <c r="FO80" s="368"/>
      <c r="FP80" s="368"/>
      <c r="FQ80" s="368"/>
      <c r="FR80" s="368"/>
      <c r="FS80" s="368"/>
      <c r="FT80" s="368"/>
      <c r="FU80" s="368"/>
      <c r="FV80" s="368"/>
      <c r="FW80" s="368"/>
      <c r="FX80" s="368"/>
      <c r="FY80" s="368"/>
      <c r="FZ80" s="368"/>
      <c r="GA80" s="368"/>
      <c r="GB80" s="368"/>
      <c r="GC80" s="368"/>
      <c r="GD80" s="368"/>
      <c r="GE80" s="368"/>
      <c r="GF80" s="368"/>
      <c r="GG80" s="368"/>
      <c r="GH80" s="368"/>
      <c r="GI80" s="368"/>
      <c r="GJ80" s="368"/>
      <c r="GK80" s="368"/>
      <c r="GL80" s="368"/>
      <c r="GM80" s="368"/>
      <c r="GN80" s="368"/>
      <c r="GO80" s="368"/>
      <c r="GP80" s="368"/>
      <c r="GQ80" s="368"/>
      <c r="GR80" s="368"/>
      <c r="GS80" s="368"/>
      <c r="GT80" s="368"/>
      <c r="GU80" s="368"/>
      <c r="GV80" s="368"/>
      <c r="GW80" s="368"/>
      <c r="GX80" s="368"/>
      <c r="GY80" s="368"/>
      <c r="GZ80" s="368"/>
      <c r="HA80" s="368"/>
      <c r="HB80" s="368"/>
      <c r="HC80" s="368"/>
      <c r="HD80" s="368"/>
      <c r="HE80" s="368"/>
      <c r="HF80" s="368"/>
      <c r="HG80" s="368"/>
      <c r="HH80" s="368"/>
      <c r="HI80" s="368"/>
      <c r="HJ80" s="368"/>
      <c r="HK80" s="368"/>
      <c r="HL80" s="368"/>
      <c r="HM80" s="368"/>
      <c r="HN80" s="368"/>
      <c r="HO80" s="368"/>
      <c r="HP80" s="368"/>
      <c r="HQ80" s="368"/>
      <c r="HR80" s="368"/>
      <c r="HS80" s="368"/>
      <c r="HT80" s="368"/>
      <c r="HU80" s="368"/>
      <c r="HV80" s="368"/>
      <c r="HW80" s="368"/>
      <c r="HX80" s="368"/>
      <c r="HY80" s="368"/>
      <c r="HZ80" s="368"/>
      <c r="IA80" s="368"/>
      <c r="IB80" s="368"/>
      <c r="IC80" s="368"/>
      <c r="ID80" s="368"/>
      <c r="IE80" s="368"/>
      <c r="IF80" s="368"/>
      <c r="IG80" s="368"/>
      <c r="IH80" s="368"/>
      <c r="II80" s="368"/>
      <c r="IJ80" s="368"/>
      <c r="IK80" s="368"/>
      <c r="IL80" s="368"/>
      <c r="IM80" s="368"/>
      <c r="IN80" s="368"/>
      <c r="IO80" s="368"/>
      <c r="IP80" s="368"/>
      <c r="IQ80" s="368"/>
      <c r="IR80" s="368"/>
      <c r="IS80" s="368"/>
      <c r="IT80" s="368"/>
      <c r="IU80" s="368"/>
      <c r="IV80" s="368"/>
      <c r="IW80" s="368"/>
      <c r="IX80" s="368"/>
      <c r="IY80" s="368"/>
      <c r="IZ80" s="368"/>
      <c r="JA80" s="368"/>
      <c r="JB80" s="368"/>
      <c r="JC80" s="368"/>
      <c r="JD80" s="368"/>
      <c r="JE80" s="368"/>
      <c r="JF80" s="368"/>
      <c r="JG80" s="368"/>
      <c r="JH80" s="368"/>
      <c r="JI80" s="368"/>
      <c r="JJ80" s="368"/>
      <c r="JK80" s="368"/>
      <c r="JL80" s="368"/>
      <c r="JM80" s="368"/>
      <c r="JN80" s="368"/>
      <c r="JO80" s="368"/>
      <c r="JP80" s="368"/>
      <c r="JQ80" s="368"/>
      <c r="JR80" s="368"/>
      <c r="JS80" s="368"/>
      <c r="JT80" s="368"/>
      <c r="JU80" s="368"/>
      <c r="JV80" s="368"/>
      <c r="JW80" s="368"/>
      <c r="JX80" s="368"/>
      <c r="JY80" s="368"/>
      <c r="JZ80" s="368"/>
      <c r="KA80" s="368"/>
      <c r="KB80" s="368"/>
      <c r="KC80" s="368"/>
      <c r="KD80" s="368"/>
      <c r="KE80" s="368"/>
      <c r="KF80" s="368"/>
      <c r="KG80" s="368"/>
      <c r="KH80" s="368"/>
      <c r="KI80" s="368"/>
      <c r="KJ80" s="368"/>
      <c r="KK80" s="368"/>
      <c r="KL80" s="368"/>
      <c r="KM80" s="368"/>
      <c r="KN80" s="368"/>
      <c r="KO80" s="368"/>
      <c r="KP80" s="368"/>
      <c r="KQ80" s="368"/>
      <c r="KR80" s="368"/>
      <c r="KS80" s="368"/>
      <c r="KT80" s="368"/>
      <c r="KU80" s="368"/>
      <c r="KV80" s="368"/>
      <c r="KW80" s="368"/>
      <c r="KX80" s="368"/>
      <c r="KY80" s="368"/>
      <c r="KZ80" s="368"/>
      <c r="LA80" s="368"/>
      <c r="LB80" s="368"/>
      <c r="LC80" s="368"/>
      <c r="LD80" s="368"/>
      <c r="LE80" s="368"/>
      <c r="LF80" s="368"/>
      <c r="LG80" s="368"/>
      <c r="LH80" s="368"/>
      <c r="LI80" s="368"/>
      <c r="LJ80" s="368"/>
      <c r="LK80" s="368"/>
      <c r="LL80" s="368"/>
      <c r="LM80" s="368"/>
      <c r="LN80" s="368"/>
      <c r="LO80" s="368"/>
      <c r="LP80" s="368"/>
      <c r="LQ80" s="368"/>
      <c r="LR80" s="368"/>
      <c r="LS80" s="368"/>
      <c r="LT80" s="368"/>
      <c r="LU80" s="368"/>
      <c r="LV80" s="368"/>
      <c r="LW80" s="368"/>
      <c r="LX80" s="368"/>
      <c r="LY80" s="368"/>
      <c r="LZ80" s="368"/>
      <c r="MA80" s="368"/>
      <c r="MB80" s="368"/>
      <c r="MC80" s="368"/>
      <c r="MD80" s="368"/>
      <c r="ME80" s="368"/>
      <c r="MF80" s="368"/>
      <c r="MG80" s="368"/>
      <c r="MH80" s="368"/>
      <c r="MI80" s="368"/>
      <c r="MJ80" s="368"/>
      <c r="MK80" s="368"/>
      <c r="ML80" s="368"/>
      <c r="MM80" s="368"/>
      <c r="MN80" s="368"/>
      <c r="MO80" s="368"/>
      <c r="MP80" s="368"/>
      <c r="MQ80" s="368"/>
      <c r="MR80" s="368"/>
      <c r="MS80" s="368"/>
      <c r="MT80" s="368"/>
      <c r="MU80" s="368"/>
      <c r="MV80" s="368"/>
      <c r="MW80" s="368"/>
      <c r="MX80" s="368"/>
      <c r="MY80" s="368"/>
      <c r="MZ80" s="368"/>
      <c r="NA80" s="368"/>
      <c r="NB80" s="368"/>
      <c r="NC80" s="368"/>
      <c r="ND80" s="368"/>
      <c r="NE80" s="368"/>
      <c r="NF80" s="368"/>
      <c r="NG80" s="368"/>
      <c r="NH80" s="368"/>
      <c r="NI80" s="368"/>
      <c r="NJ80" s="368"/>
      <c r="NK80" s="368"/>
      <c r="NL80" s="368"/>
      <c r="NM80" s="368"/>
      <c r="NN80" s="368"/>
      <c r="NO80" s="368"/>
      <c r="NP80" s="368"/>
      <c r="NQ80" s="368"/>
      <c r="NR80" s="368"/>
      <c r="NS80" s="368"/>
      <c r="NT80" s="368"/>
      <c r="NU80" s="368"/>
      <c r="NV80" s="368"/>
      <c r="NW80" s="368"/>
      <c r="NX80" s="368"/>
      <c r="NY80" s="368"/>
      <c r="NZ80" s="368"/>
      <c r="OA80" s="368"/>
      <c r="OB80" s="368"/>
      <c r="OC80" s="368"/>
      <c r="OD80" s="368"/>
      <c r="OE80" s="368"/>
      <c r="OF80" s="368"/>
      <c r="OG80" s="368"/>
      <c r="OH80" s="368"/>
      <c r="OI80" s="368"/>
      <c r="OJ80" s="368"/>
      <c r="OK80" s="368"/>
      <c r="OL80" s="368"/>
      <c r="OM80" s="368"/>
      <c r="ON80" s="368"/>
      <c r="OO80" s="368"/>
      <c r="OP80" s="368"/>
      <c r="OQ80" s="368"/>
      <c r="OR80" s="368"/>
      <c r="OS80" s="368"/>
      <c r="OT80" s="368"/>
      <c r="OU80" s="368"/>
      <c r="OV80" s="368"/>
      <c r="OW80" s="368"/>
      <c r="OX80" s="368"/>
      <c r="OY80" s="368"/>
      <c r="OZ80" s="368"/>
      <c r="PA80" s="368"/>
      <c r="PB80" s="368"/>
      <c r="PC80" s="368"/>
      <c r="PD80" s="368"/>
      <c r="PE80" s="368"/>
      <c r="PF80" s="368"/>
      <c r="PG80" s="368"/>
      <c r="PH80" s="368"/>
      <c r="PI80" s="368"/>
      <c r="PJ80" s="368"/>
      <c r="PK80" s="368"/>
      <c r="PL80" s="368"/>
      <c r="PM80" s="368"/>
      <c r="PN80" s="368"/>
      <c r="PO80" s="368"/>
      <c r="PP80" s="368"/>
      <c r="PQ80" s="368"/>
      <c r="PR80" s="368"/>
      <c r="PS80" s="368"/>
      <c r="PT80" s="368"/>
      <c r="PU80" s="368"/>
      <c r="PV80" s="368"/>
      <c r="PW80" s="368"/>
      <c r="PX80" s="368"/>
      <c r="PY80" s="368"/>
      <c r="PZ80" s="368"/>
      <c r="QA80" s="368"/>
      <c r="QB80" s="368"/>
      <c r="QC80" s="368"/>
      <c r="QD80" s="368"/>
      <c r="QE80" s="368"/>
      <c r="QF80" s="368"/>
      <c r="QG80" s="368"/>
      <c r="QH80" s="368"/>
      <c r="QI80" s="368"/>
      <c r="QJ80" s="368"/>
      <c r="QK80" s="368"/>
      <c r="QL80" s="368"/>
      <c r="QM80" s="368"/>
      <c r="QN80" s="368"/>
      <c r="QO80" s="368"/>
      <c r="QP80" s="368"/>
      <c r="QQ80" s="368"/>
      <c r="QR80" s="368"/>
      <c r="QS80" s="368"/>
      <c r="QT80" s="368"/>
      <c r="QU80" s="368"/>
      <c r="QV80" s="368"/>
      <c r="QW80" s="368"/>
      <c r="QX80" s="368"/>
      <c r="QY80" s="368"/>
      <c r="QZ80" s="368"/>
      <c r="RA80" s="368"/>
      <c r="RB80" s="368"/>
      <c r="RC80" s="368"/>
      <c r="RD80" s="368"/>
      <c r="RE80" s="368"/>
      <c r="RF80" s="368"/>
      <c r="RG80" s="368"/>
      <c r="RH80" s="368"/>
      <c r="RI80" s="368"/>
      <c r="RJ80" s="368"/>
      <c r="RK80" s="368"/>
      <c r="RL80" s="368"/>
      <c r="RM80" s="368"/>
      <c r="RN80" s="368"/>
      <c r="RO80" s="368"/>
      <c r="RP80" s="368"/>
      <c r="RQ80" s="368"/>
      <c r="RR80" s="368"/>
      <c r="RS80" s="368"/>
      <c r="RT80" s="368"/>
      <c r="RU80" s="368"/>
      <c r="RV80" s="368"/>
      <c r="RW80" s="368"/>
      <c r="RX80" s="368"/>
      <c r="RY80" s="368"/>
      <c r="RZ80" s="368"/>
      <c r="SA80" s="368"/>
      <c r="SB80" s="368"/>
      <c r="SC80" s="368"/>
      <c r="SD80" s="368"/>
      <c r="SE80" s="368"/>
      <c r="SF80" s="368"/>
      <c r="SG80" s="368"/>
      <c r="SH80" s="368"/>
      <c r="SI80" s="368"/>
      <c r="SJ80" s="368"/>
      <c r="SK80" s="368"/>
      <c r="SL80" s="368"/>
      <c r="SM80" s="368"/>
      <c r="SN80" s="368"/>
      <c r="SO80" s="368"/>
      <c r="SP80" s="368"/>
      <c r="SQ80" s="368"/>
      <c r="SR80" s="368"/>
      <c r="SS80" s="368"/>
      <c r="ST80" s="368"/>
      <c r="SU80" s="368"/>
      <c r="SV80" s="368"/>
      <c r="SW80" s="368"/>
      <c r="SX80" s="368"/>
      <c r="SY80" s="368"/>
      <c r="SZ80" s="368"/>
      <c r="TA80" s="368"/>
      <c r="TB80" s="368"/>
      <c r="TC80" s="368"/>
      <c r="TD80" s="368"/>
      <c r="TE80" s="368"/>
      <c r="TF80" s="368"/>
      <c r="TG80" s="368"/>
      <c r="TH80" s="368"/>
      <c r="TI80" s="368"/>
      <c r="TJ80" s="368"/>
      <c r="TK80" s="368"/>
      <c r="TL80" s="368"/>
      <c r="TM80" s="368"/>
      <c r="TN80" s="368"/>
      <c r="TO80" s="368"/>
      <c r="TP80" s="368"/>
      <c r="TQ80" s="368"/>
      <c r="TR80" s="368"/>
      <c r="TS80" s="368"/>
      <c r="TT80" s="368"/>
      <c r="TU80" s="368"/>
      <c r="TV80" s="368"/>
      <c r="TW80" s="368"/>
      <c r="TX80" s="368"/>
      <c r="TY80" s="368"/>
      <c r="TZ80" s="368"/>
      <c r="UA80" s="368"/>
      <c r="UB80" s="368"/>
      <c r="UC80" s="368"/>
      <c r="UD80" s="368"/>
      <c r="UE80" s="368"/>
      <c r="UF80" s="368"/>
      <c r="UG80" s="368"/>
      <c r="UH80" s="368"/>
      <c r="UI80" s="368"/>
      <c r="UJ80" s="368"/>
      <c r="UK80" s="368"/>
      <c r="UL80" s="368"/>
      <c r="UM80" s="368"/>
      <c r="UN80" s="368"/>
      <c r="UO80" s="368"/>
      <c r="UP80" s="368"/>
      <c r="UQ80" s="368"/>
      <c r="UR80" s="368"/>
      <c r="US80" s="368"/>
      <c r="UT80" s="368"/>
      <c r="UU80" s="368"/>
      <c r="UV80" s="368"/>
      <c r="UW80" s="368"/>
      <c r="UX80" s="368"/>
      <c r="UY80" s="368"/>
      <c r="UZ80" s="368"/>
      <c r="VA80" s="368"/>
      <c r="VB80" s="368"/>
      <c r="VC80" s="368"/>
      <c r="VD80" s="368"/>
      <c r="VE80" s="368"/>
      <c r="VF80" s="368"/>
      <c r="VG80" s="368"/>
      <c r="VH80" s="368"/>
      <c r="VI80" s="368"/>
      <c r="VJ80" s="368"/>
      <c r="VK80" s="368"/>
      <c r="VL80" s="368"/>
      <c r="VM80" s="368"/>
      <c r="VN80" s="368"/>
      <c r="VO80" s="368"/>
      <c r="VP80" s="368"/>
      <c r="VQ80" s="368"/>
      <c r="VR80" s="368"/>
      <c r="VS80" s="368"/>
      <c r="VT80" s="368"/>
      <c r="VU80" s="368"/>
      <c r="VV80" s="368"/>
      <c r="VW80" s="368"/>
      <c r="VX80" s="368"/>
      <c r="VY80" s="368"/>
      <c r="VZ80" s="368"/>
      <c r="WA80" s="368"/>
      <c r="WB80" s="368"/>
      <c r="WC80" s="368"/>
      <c r="WD80" s="368"/>
      <c r="WE80" s="368"/>
      <c r="WF80" s="368"/>
      <c r="WG80" s="368"/>
      <c r="WH80" s="368"/>
      <c r="WI80" s="368"/>
      <c r="WJ80" s="368"/>
      <c r="WK80" s="368"/>
      <c r="WL80" s="368"/>
      <c r="WM80" s="368"/>
      <c r="WN80" s="368"/>
      <c r="WO80" s="368"/>
      <c r="WP80" s="368"/>
      <c r="WQ80" s="368"/>
      <c r="WR80" s="368"/>
      <c r="WS80" s="368"/>
      <c r="WT80" s="368"/>
      <c r="WU80" s="368"/>
      <c r="WV80" s="368"/>
      <c r="WW80" s="368"/>
      <c r="WX80" s="368"/>
      <c r="WY80" s="368"/>
      <c r="WZ80" s="368"/>
      <c r="XA80" s="368"/>
      <c r="XB80" s="368"/>
      <c r="XC80" s="368"/>
      <c r="XD80" s="368"/>
      <c r="XE80" s="368"/>
      <c r="XF80" s="368"/>
      <c r="XG80" s="368"/>
      <c r="XH80" s="368"/>
      <c r="XI80" s="368"/>
      <c r="XJ80" s="368"/>
      <c r="XK80" s="368"/>
      <c r="XL80" s="368"/>
      <c r="XM80" s="368"/>
      <c r="XN80" s="368"/>
      <c r="XO80" s="368"/>
      <c r="XP80" s="368"/>
      <c r="XQ80" s="368"/>
      <c r="XR80" s="368"/>
      <c r="XS80" s="368"/>
      <c r="XT80" s="368"/>
      <c r="XU80" s="368"/>
      <c r="XV80" s="368"/>
      <c r="XW80" s="368"/>
      <c r="XX80" s="368"/>
      <c r="XY80" s="368"/>
      <c r="XZ80" s="368"/>
      <c r="YA80" s="368"/>
      <c r="YB80" s="368"/>
      <c r="YC80" s="368"/>
      <c r="YD80" s="368"/>
      <c r="YE80" s="368"/>
      <c r="YF80" s="368"/>
      <c r="YG80" s="368"/>
      <c r="YH80" s="368"/>
      <c r="YI80" s="368"/>
      <c r="YJ80" s="368"/>
      <c r="YK80" s="368"/>
      <c r="YL80" s="368"/>
      <c r="YM80" s="368"/>
      <c r="YN80" s="368"/>
      <c r="YO80" s="368"/>
      <c r="YP80" s="368"/>
      <c r="YQ80" s="368"/>
      <c r="YR80" s="368"/>
      <c r="YS80" s="368"/>
      <c r="YT80" s="368"/>
      <c r="YU80" s="368"/>
      <c r="YV80" s="368"/>
      <c r="YW80" s="368"/>
      <c r="YX80" s="368"/>
      <c r="YY80" s="368"/>
      <c r="YZ80" s="368"/>
      <c r="ZA80" s="368"/>
      <c r="ZB80" s="368"/>
      <c r="ZC80" s="368"/>
      <c r="ZD80" s="368"/>
      <c r="ZE80" s="368"/>
      <c r="ZF80" s="368"/>
      <c r="ZG80" s="368"/>
      <c r="ZH80" s="368"/>
      <c r="ZI80" s="368"/>
      <c r="ZJ80" s="368"/>
      <c r="ZK80" s="368"/>
      <c r="ZL80" s="368"/>
      <c r="ZM80" s="368"/>
      <c r="ZN80" s="368"/>
      <c r="ZO80" s="368"/>
      <c r="ZP80" s="368"/>
      <c r="ZQ80" s="368"/>
      <c r="ZR80" s="368"/>
      <c r="ZS80" s="368"/>
      <c r="ZT80" s="368"/>
      <c r="ZU80" s="368"/>
      <c r="ZV80" s="368"/>
      <c r="ZW80" s="368"/>
      <c r="ZX80" s="368"/>
      <c r="ZY80" s="368"/>
      <c r="ZZ80" s="368"/>
      <c r="AAA80" s="368"/>
      <c r="AAB80" s="368"/>
      <c r="AAC80" s="368"/>
      <c r="AAD80" s="368"/>
      <c r="AAE80" s="368"/>
      <c r="AAF80" s="368"/>
      <c r="AAG80" s="368"/>
      <c r="AAH80" s="368"/>
      <c r="AAI80" s="368"/>
      <c r="AAJ80" s="368"/>
      <c r="AAK80" s="368"/>
      <c r="AAL80" s="368"/>
      <c r="AAM80" s="368"/>
      <c r="AAN80" s="368"/>
      <c r="AAO80" s="368"/>
      <c r="AAP80" s="368"/>
      <c r="AAQ80" s="368"/>
      <c r="AAR80" s="368"/>
      <c r="AAS80" s="368"/>
      <c r="AAT80" s="368"/>
      <c r="AAU80" s="368"/>
      <c r="AAV80" s="368"/>
      <c r="AAW80" s="368"/>
      <c r="AAX80" s="368"/>
      <c r="AAY80" s="368"/>
      <c r="AAZ80" s="368"/>
      <c r="ABA80" s="368"/>
      <c r="ABB80" s="368"/>
      <c r="ABC80" s="368"/>
      <c r="ABD80" s="368"/>
      <c r="ABE80" s="368"/>
      <c r="ABF80" s="368"/>
      <c r="ABG80" s="368"/>
      <c r="ABH80" s="368"/>
      <c r="ABI80" s="368"/>
      <c r="ABJ80" s="368"/>
      <c r="ABK80" s="368"/>
      <c r="ABL80" s="368"/>
      <c r="ABM80" s="368"/>
      <c r="ABN80" s="368"/>
      <c r="ABO80" s="368"/>
      <c r="ABP80" s="368"/>
      <c r="ABQ80" s="368"/>
      <c r="ABR80" s="368"/>
      <c r="ABS80" s="368"/>
      <c r="ABT80" s="368"/>
      <c r="ABU80" s="368"/>
      <c r="ABV80" s="368"/>
      <c r="ABW80" s="368"/>
      <c r="ABX80" s="368"/>
      <c r="ABY80" s="368"/>
      <c r="ABZ80" s="368"/>
      <c r="ACA80" s="368"/>
      <c r="ACB80" s="368"/>
      <c r="ACC80" s="368"/>
      <c r="ACD80" s="368"/>
      <c r="ACE80" s="368"/>
      <c r="ACF80" s="368"/>
      <c r="ACG80" s="368"/>
      <c r="ACH80" s="368"/>
      <c r="ACI80" s="368"/>
      <c r="ACJ80" s="368"/>
      <c r="ACK80" s="368"/>
      <c r="ACL80" s="368"/>
      <c r="ACM80" s="368"/>
      <c r="ACN80" s="368"/>
      <c r="ACO80" s="368"/>
      <c r="ACP80" s="368"/>
      <c r="ACQ80" s="368"/>
      <c r="ACR80" s="368"/>
      <c r="ACS80" s="368"/>
      <c r="ACT80" s="368"/>
      <c r="ACU80" s="368"/>
      <c r="ACV80" s="368"/>
      <c r="ACW80" s="368"/>
      <c r="ACX80" s="368"/>
      <c r="ACY80" s="368"/>
      <c r="ACZ80" s="368"/>
      <c r="ADA80" s="368"/>
      <c r="ADB80" s="368"/>
      <c r="ADC80" s="368"/>
      <c r="ADD80" s="368"/>
      <c r="ADE80" s="368"/>
      <c r="ADF80" s="368"/>
      <c r="ADG80" s="368"/>
      <c r="ADH80" s="368"/>
      <c r="ADI80" s="368"/>
      <c r="ADJ80" s="368"/>
      <c r="ADK80" s="368"/>
      <c r="ADL80" s="368"/>
      <c r="ADM80" s="368"/>
      <c r="ADN80" s="368"/>
      <c r="ADO80" s="368"/>
      <c r="ADP80" s="368"/>
      <c r="ADQ80" s="368"/>
      <c r="ADR80" s="368"/>
      <c r="ADS80" s="368"/>
      <c r="ADT80" s="368"/>
      <c r="ADU80" s="368"/>
      <c r="ADV80" s="368"/>
      <c r="ADW80" s="368"/>
      <c r="ADX80" s="368"/>
      <c r="ADY80" s="368"/>
      <c r="ADZ80" s="368"/>
      <c r="AEA80" s="368"/>
      <c r="AEB80" s="368"/>
      <c r="AEC80" s="368"/>
      <c r="AED80" s="368"/>
      <c r="AEE80" s="368"/>
      <c r="AEF80" s="368"/>
      <c r="AEG80" s="368"/>
      <c r="AEH80" s="368"/>
      <c r="AEI80" s="368"/>
      <c r="AEJ80" s="368"/>
      <c r="AEK80" s="368"/>
      <c r="AEL80" s="368"/>
      <c r="AEM80" s="368"/>
      <c r="AEN80" s="368"/>
      <c r="AEO80" s="368"/>
      <c r="AEP80" s="368"/>
      <c r="AEQ80" s="368"/>
      <c r="AER80" s="368"/>
      <c r="AES80" s="368"/>
      <c r="AET80" s="368"/>
      <c r="AEU80" s="368"/>
      <c r="AEV80" s="368"/>
      <c r="AEW80" s="368"/>
      <c r="AEX80" s="368"/>
      <c r="AEY80" s="368"/>
      <c r="AEZ80" s="368"/>
      <c r="AFA80" s="368"/>
      <c r="AFB80" s="368"/>
      <c r="AFC80" s="368"/>
      <c r="AFD80" s="368"/>
      <c r="AFE80" s="368"/>
      <c r="AFF80" s="368"/>
      <c r="AFG80" s="368"/>
      <c r="AFH80" s="368"/>
      <c r="AFI80" s="368"/>
      <c r="AFJ80" s="368"/>
      <c r="AFK80" s="368"/>
      <c r="AFL80" s="368"/>
      <c r="AFM80" s="368"/>
      <c r="AFN80" s="368"/>
      <c r="AFO80" s="368"/>
      <c r="AFP80" s="368"/>
      <c r="AFQ80" s="368"/>
      <c r="AFR80" s="368"/>
      <c r="AFS80" s="368"/>
      <c r="AFT80" s="368"/>
      <c r="AFU80" s="368"/>
      <c r="AFV80" s="368"/>
      <c r="AFW80" s="368"/>
      <c r="AFX80" s="368"/>
      <c r="AFY80" s="368"/>
      <c r="AFZ80" s="368"/>
      <c r="AGA80" s="368"/>
      <c r="AGB80" s="368"/>
      <c r="AGC80" s="368"/>
      <c r="AGD80" s="368"/>
      <c r="AGE80" s="368"/>
      <c r="AGF80" s="368"/>
      <c r="AGG80" s="368"/>
      <c r="AGH80" s="368"/>
      <c r="AGI80" s="368"/>
      <c r="AGJ80" s="368"/>
      <c r="AGK80" s="368"/>
      <c r="AGL80" s="368"/>
      <c r="AGM80" s="368"/>
      <c r="AGN80" s="368"/>
      <c r="AGO80" s="368"/>
      <c r="AGP80" s="368"/>
      <c r="AGQ80" s="368"/>
      <c r="AGR80" s="368"/>
      <c r="AGS80" s="368"/>
      <c r="AGT80" s="368"/>
      <c r="AGU80" s="368"/>
      <c r="AGV80" s="368"/>
      <c r="AGW80" s="368"/>
      <c r="AGX80" s="368"/>
      <c r="AGY80" s="368"/>
      <c r="AGZ80" s="368"/>
      <c r="AHA80" s="368"/>
      <c r="AHB80" s="368"/>
      <c r="AHC80" s="368"/>
      <c r="AHD80" s="368"/>
      <c r="AHE80" s="368"/>
      <c r="AHF80" s="368"/>
      <c r="AHG80" s="368"/>
      <c r="AHH80" s="368"/>
      <c r="AHI80" s="368"/>
      <c r="AHJ80" s="368"/>
      <c r="AHK80" s="368"/>
      <c r="AHL80" s="368"/>
      <c r="AHM80" s="368"/>
      <c r="AHN80" s="368"/>
      <c r="AHO80" s="368"/>
      <c r="AHP80" s="368"/>
      <c r="AHQ80" s="368"/>
      <c r="AHR80" s="368"/>
      <c r="AHS80" s="368"/>
      <c r="AHT80" s="368"/>
      <c r="AHU80" s="368"/>
      <c r="AHV80" s="368"/>
      <c r="AHW80" s="368"/>
      <c r="AHX80" s="368"/>
      <c r="AHY80" s="368"/>
      <c r="AHZ80" s="368"/>
      <c r="AIA80" s="368"/>
      <c r="AIB80" s="368"/>
      <c r="AIC80" s="368"/>
      <c r="AID80" s="368"/>
      <c r="AIE80" s="368"/>
      <c r="AIF80" s="368"/>
      <c r="AIG80" s="368"/>
      <c r="AIH80" s="368"/>
      <c r="AII80" s="368"/>
      <c r="AIJ80" s="368"/>
      <c r="AIK80" s="368"/>
      <c r="AIL80" s="368"/>
      <c r="AIM80" s="368"/>
      <c r="AIN80" s="368"/>
      <c r="AIO80" s="368"/>
      <c r="AIP80" s="368"/>
      <c r="AIQ80" s="368"/>
      <c r="AIR80" s="368"/>
      <c r="AIS80" s="368"/>
      <c r="AIT80" s="368"/>
      <c r="AIU80" s="368"/>
      <c r="AIV80" s="368"/>
      <c r="AIW80" s="368"/>
      <c r="AIX80" s="368"/>
      <c r="AIY80" s="368"/>
      <c r="AIZ80" s="368"/>
      <c r="AJA80" s="368"/>
      <c r="AJB80" s="368"/>
      <c r="AJC80" s="368"/>
      <c r="AJD80" s="368"/>
      <c r="AJE80" s="368"/>
      <c r="AJF80" s="368"/>
      <c r="AJG80" s="368"/>
      <c r="AJH80" s="368"/>
      <c r="AJI80" s="368"/>
      <c r="AJJ80" s="368"/>
      <c r="AJK80" s="368"/>
      <c r="AJL80" s="368"/>
      <c r="AJM80" s="368"/>
      <c r="AJN80" s="368"/>
      <c r="AJO80" s="368"/>
      <c r="AJP80" s="368"/>
      <c r="AJQ80" s="368"/>
      <c r="AJR80" s="368"/>
      <c r="AJS80" s="368"/>
      <c r="AJT80" s="368"/>
      <c r="AJU80" s="368"/>
      <c r="AJV80" s="368"/>
      <c r="AJW80" s="368"/>
      <c r="AJX80" s="368"/>
      <c r="AJY80" s="368"/>
      <c r="AJZ80" s="368"/>
      <c r="AKA80" s="368"/>
      <c r="AKB80" s="368"/>
      <c r="AKC80" s="368"/>
      <c r="AKD80" s="368"/>
      <c r="AKE80" s="368"/>
      <c r="AKF80" s="368"/>
      <c r="AKG80" s="368"/>
      <c r="AKH80" s="368"/>
      <c r="AKI80" s="368"/>
      <c r="AKJ80" s="368"/>
      <c r="AKK80" s="368"/>
      <c r="AKL80" s="368"/>
      <c r="AKM80" s="368"/>
      <c r="AKN80" s="368"/>
    </row>
    <row r="81" spans="1:976" s="351" customFormat="1" ht="22.5" customHeight="1" x14ac:dyDescent="0.2">
      <c r="A81" s="418" t="s">
        <v>262</v>
      </c>
      <c r="B81" s="418"/>
      <c r="C81" s="418" t="s">
        <v>221</v>
      </c>
      <c r="D81" s="418" t="s">
        <v>222</v>
      </c>
      <c r="E81" s="419">
        <v>411279</v>
      </c>
      <c r="F81" s="419">
        <v>1401</v>
      </c>
      <c r="G81" s="419">
        <v>212</v>
      </c>
      <c r="H81" s="419">
        <v>0</v>
      </c>
      <c r="I81" s="420">
        <v>45848</v>
      </c>
      <c r="J81" s="418" t="s">
        <v>263</v>
      </c>
      <c r="K81" s="418" t="s">
        <v>502</v>
      </c>
      <c r="L81" s="421">
        <v>138.87</v>
      </c>
      <c r="M81" s="421">
        <v>7.64</v>
      </c>
      <c r="N81" s="443">
        <v>146.51</v>
      </c>
      <c r="O81" s="418"/>
      <c r="P81" s="422">
        <v>45856</v>
      </c>
      <c r="Q81" s="421">
        <v>146.51</v>
      </c>
      <c r="R81" s="418" t="s">
        <v>503</v>
      </c>
      <c r="S81" s="421">
        <v>0</v>
      </c>
      <c r="T81" s="421">
        <v>0</v>
      </c>
      <c r="U81" s="421">
        <v>0</v>
      </c>
      <c r="V81" s="421">
        <v>0</v>
      </c>
      <c r="W81" s="418"/>
      <c r="X81" s="418" t="s">
        <v>365</v>
      </c>
      <c r="Y81" s="418" t="s">
        <v>366</v>
      </c>
      <c r="Z81" s="418" t="s">
        <v>42</v>
      </c>
      <c r="AA81" s="418" t="s">
        <v>228</v>
      </c>
      <c r="AB81" s="418" t="s">
        <v>235</v>
      </c>
      <c r="AC81" s="418" t="s">
        <v>250</v>
      </c>
      <c r="AD81" s="418" t="s">
        <v>231</v>
      </c>
      <c r="AE81" s="418" t="s">
        <v>232</v>
      </c>
      <c r="AF81" s="418" t="s">
        <v>231</v>
      </c>
      <c r="AG81" s="418" t="s">
        <v>232</v>
      </c>
      <c r="AH81" s="418"/>
      <c r="AI81" s="418"/>
      <c r="AJ81" s="418"/>
      <c r="AK81" s="418" t="s">
        <v>504</v>
      </c>
      <c r="AL81" s="419">
        <v>1</v>
      </c>
      <c r="AM81" s="419">
        <v>0</v>
      </c>
      <c r="AN81" s="420">
        <v>45856</v>
      </c>
      <c r="AO81" s="420">
        <v>45855</v>
      </c>
      <c r="AP81" s="421">
        <v>146.51</v>
      </c>
      <c r="AQ81" s="420">
        <v>45854</v>
      </c>
      <c r="AR81" s="368"/>
      <c r="AS81" s="368"/>
      <c r="AT81" s="368"/>
      <c r="AU81" s="368"/>
      <c r="AV81" s="368"/>
      <c r="AW81" s="368"/>
      <c r="AX81" s="368"/>
      <c r="AY81" s="368"/>
      <c r="AZ81" s="368"/>
      <c r="BA81" s="368"/>
      <c r="BB81" s="368"/>
      <c r="BC81" s="368"/>
      <c r="BD81" s="368"/>
      <c r="BE81" s="368"/>
      <c r="BF81" s="368"/>
      <c r="BG81" s="368"/>
      <c r="BH81" s="368"/>
      <c r="BI81" s="368"/>
      <c r="BJ81" s="368"/>
      <c r="BK81" s="368"/>
      <c r="BL81" s="368"/>
      <c r="BM81" s="368"/>
      <c r="BN81" s="368"/>
      <c r="BO81" s="368"/>
      <c r="BP81" s="368"/>
      <c r="BQ81" s="368"/>
      <c r="BR81" s="368"/>
      <c r="BS81" s="368"/>
      <c r="BT81" s="368"/>
      <c r="BU81" s="368"/>
      <c r="BV81" s="368"/>
      <c r="BW81" s="368"/>
      <c r="BX81" s="368"/>
      <c r="BY81" s="368"/>
      <c r="BZ81" s="368"/>
      <c r="CA81" s="368"/>
      <c r="CB81" s="368"/>
      <c r="CC81" s="368"/>
      <c r="CD81" s="368"/>
      <c r="CE81" s="368"/>
      <c r="CF81" s="368"/>
      <c r="CG81" s="368"/>
      <c r="CH81" s="368"/>
      <c r="CI81" s="368"/>
      <c r="CJ81" s="368"/>
      <c r="CK81" s="368"/>
      <c r="CL81" s="368"/>
      <c r="CM81" s="368"/>
      <c r="CN81" s="368"/>
      <c r="CO81" s="368"/>
      <c r="CP81" s="368"/>
      <c r="CQ81" s="368"/>
      <c r="CR81" s="368"/>
      <c r="CS81" s="368"/>
      <c r="CT81" s="368"/>
      <c r="CU81" s="368"/>
      <c r="CV81" s="368"/>
      <c r="CW81" s="368"/>
      <c r="CX81" s="368"/>
      <c r="CY81" s="368"/>
      <c r="CZ81" s="368"/>
      <c r="DA81" s="368"/>
      <c r="DB81" s="368"/>
      <c r="DC81" s="368"/>
      <c r="DD81" s="368"/>
      <c r="DE81" s="368"/>
      <c r="DF81" s="368"/>
      <c r="DG81" s="368"/>
      <c r="DH81" s="368"/>
      <c r="DI81" s="368"/>
      <c r="DJ81" s="368"/>
      <c r="DK81" s="368"/>
      <c r="DL81" s="368"/>
      <c r="DM81" s="368"/>
      <c r="DN81" s="368"/>
      <c r="DO81" s="368"/>
      <c r="DP81" s="368"/>
      <c r="DQ81" s="368"/>
      <c r="DR81" s="368"/>
      <c r="DS81" s="368"/>
      <c r="DT81" s="368"/>
      <c r="DU81" s="368"/>
      <c r="DV81" s="368"/>
      <c r="DW81" s="368"/>
      <c r="DX81" s="368"/>
      <c r="DY81" s="368"/>
      <c r="DZ81" s="368"/>
      <c r="EA81" s="368"/>
      <c r="EB81" s="368"/>
      <c r="EC81" s="368"/>
      <c r="ED81" s="368"/>
      <c r="EE81" s="368"/>
      <c r="EF81" s="368"/>
      <c r="EG81" s="368"/>
      <c r="EH81" s="368"/>
      <c r="EI81" s="368"/>
      <c r="EJ81" s="368"/>
      <c r="EK81" s="368"/>
      <c r="EL81" s="368"/>
      <c r="EM81" s="368"/>
      <c r="EN81" s="368"/>
      <c r="EO81" s="368"/>
      <c r="EP81" s="368"/>
      <c r="EQ81" s="368"/>
      <c r="ER81" s="368"/>
      <c r="ES81" s="368"/>
      <c r="ET81" s="368"/>
      <c r="EU81" s="368"/>
      <c r="EV81" s="368"/>
      <c r="EW81" s="368"/>
      <c r="EX81" s="368"/>
      <c r="EY81" s="368"/>
      <c r="EZ81" s="368"/>
      <c r="FA81" s="368"/>
      <c r="FB81" s="368"/>
      <c r="FC81" s="368"/>
      <c r="FD81" s="368"/>
      <c r="FE81" s="368"/>
      <c r="FF81" s="368"/>
      <c r="FG81" s="368"/>
      <c r="FH81" s="368"/>
      <c r="FI81" s="368"/>
      <c r="FJ81" s="368"/>
      <c r="FK81" s="368"/>
      <c r="FL81" s="368"/>
      <c r="FM81" s="368"/>
      <c r="FN81" s="368"/>
      <c r="FO81" s="368"/>
      <c r="FP81" s="368"/>
      <c r="FQ81" s="368"/>
      <c r="FR81" s="368"/>
      <c r="FS81" s="368"/>
      <c r="FT81" s="368"/>
      <c r="FU81" s="368"/>
      <c r="FV81" s="368"/>
      <c r="FW81" s="368"/>
      <c r="FX81" s="368"/>
      <c r="FY81" s="368"/>
      <c r="FZ81" s="368"/>
      <c r="GA81" s="368"/>
      <c r="GB81" s="368"/>
      <c r="GC81" s="368"/>
      <c r="GD81" s="368"/>
      <c r="GE81" s="368"/>
      <c r="GF81" s="368"/>
      <c r="GG81" s="368"/>
      <c r="GH81" s="368"/>
      <c r="GI81" s="368"/>
      <c r="GJ81" s="368"/>
      <c r="GK81" s="368"/>
      <c r="GL81" s="368"/>
      <c r="GM81" s="368"/>
      <c r="GN81" s="368"/>
      <c r="GO81" s="368"/>
      <c r="GP81" s="368"/>
      <c r="GQ81" s="368"/>
      <c r="GR81" s="368"/>
      <c r="GS81" s="368"/>
      <c r="GT81" s="368"/>
      <c r="GU81" s="368"/>
      <c r="GV81" s="368"/>
      <c r="GW81" s="368"/>
      <c r="GX81" s="368"/>
      <c r="GY81" s="368"/>
      <c r="GZ81" s="368"/>
      <c r="HA81" s="368"/>
      <c r="HB81" s="368"/>
      <c r="HC81" s="368"/>
      <c r="HD81" s="368"/>
      <c r="HE81" s="368"/>
      <c r="HF81" s="368"/>
      <c r="HG81" s="368"/>
      <c r="HH81" s="368"/>
      <c r="HI81" s="368"/>
      <c r="HJ81" s="368"/>
      <c r="HK81" s="368"/>
      <c r="HL81" s="368"/>
      <c r="HM81" s="368"/>
      <c r="HN81" s="368"/>
      <c r="HO81" s="368"/>
      <c r="HP81" s="368"/>
      <c r="HQ81" s="368"/>
      <c r="HR81" s="368"/>
      <c r="HS81" s="368"/>
      <c r="HT81" s="368"/>
      <c r="HU81" s="368"/>
      <c r="HV81" s="368"/>
      <c r="HW81" s="368"/>
      <c r="HX81" s="368"/>
      <c r="HY81" s="368"/>
      <c r="HZ81" s="368"/>
      <c r="IA81" s="368"/>
      <c r="IB81" s="368"/>
      <c r="IC81" s="368"/>
      <c r="ID81" s="368"/>
      <c r="IE81" s="368"/>
      <c r="IF81" s="368"/>
      <c r="IG81" s="368"/>
      <c r="IH81" s="368"/>
      <c r="II81" s="368"/>
      <c r="IJ81" s="368"/>
      <c r="IK81" s="368"/>
      <c r="IL81" s="368"/>
      <c r="IM81" s="368"/>
      <c r="IN81" s="368"/>
      <c r="IO81" s="368"/>
      <c r="IP81" s="368"/>
      <c r="IQ81" s="368"/>
      <c r="IR81" s="368"/>
      <c r="IS81" s="368"/>
      <c r="IT81" s="368"/>
      <c r="IU81" s="368"/>
      <c r="IV81" s="368"/>
      <c r="IW81" s="368"/>
      <c r="IX81" s="368"/>
      <c r="IY81" s="368"/>
      <c r="IZ81" s="368"/>
      <c r="JA81" s="368"/>
      <c r="JB81" s="368"/>
      <c r="JC81" s="368"/>
      <c r="JD81" s="368"/>
      <c r="JE81" s="368"/>
      <c r="JF81" s="368"/>
      <c r="JG81" s="368"/>
      <c r="JH81" s="368"/>
      <c r="JI81" s="368"/>
      <c r="JJ81" s="368"/>
      <c r="JK81" s="368"/>
      <c r="JL81" s="368"/>
      <c r="JM81" s="368"/>
      <c r="JN81" s="368"/>
      <c r="JO81" s="368"/>
      <c r="JP81" s="368"/>
      <c r="JQ81" s="368"/>
      <c r="JR81" s="368"/>
      <c r="JS81" s="368"/>
      <c r="JT81" s="368"/>
      <c r="JU81" s="368"/>
      <c r="JV81" s="368"/>
      <c r="JW81" s="368"/>
      <c r="JX81" s="368"/>
      <c r="JY81" s="368"/>
      <c r="JZ81" s="368"/>
      <c r="KA81" s="368"/>
      <c r="KB81" s="368"/>
      <c r="KC81" s="368"/>
      <c r="KD81" s="368"/>
      <c r="KE81" s="368"/>
      <c r="KF81" s="368"/>
      <c r="KG81" s="368"/>
      <c r="KH81" s="368"/>
      <c r="KI81" s="368"/>
      <c r="KJ81" s="368"/>
      <c r="KK81" s="368"/>
      <c r="KL81" s="368"/>
      <c r="KM81" s="368"/>
      <c r="KN81" s="368"/>
      <c r="KO81" s="368"/>
      <c r="KP81" s="368"/>
      <c r="KQ81" s="368"/>
      <c r="KR81" s="368"/>
      <c r="KS81" s="368"/>
      <c r="KT81" s="368"/>
      <c r="KU81" s="368"/>
      <c r="KV81" s="368"/>
      <c r="KW81" s="368"/>
      <c r="KX81" s="368"/>
      <c r="KY81" s="368"/>
      <c r="KZ81" s="368"/>
      <c r="LA81" s="368"/>
      <c r="LB81" s="368"/>
      <c r="LC81" s="368"/>
      <c r="LD81" s="368"/>
      <c r="LE81" s="368"/>
      <c r="LF81" s="368"/>
      <c r="LG81" s="368"/>
      <c r="LH81" s="368"/>
      <c r="LI81" s="368"/>
      <c r="LJ81" s="368"/>
      <c r="LK81" s="368"/>
      <c r="LL81" s="368"/>
      <c r="LM81" s="368"/>
      <c r="LN81" s="368"/>
      <c r="LO81" s="368"/>
      <c r="LP81" s="368"/>
      <c r="LQ81" s="368"/>
      <c r="LR81" s="368"/>
      <c r="LS81" s="368"/>
      <c r="LT81" s="368"/>
      <c r="LU81" s="368"/>
      <c r="LV81" s="368"/>
      <c r="LW81" s="368"/>
      <c r="LX81" s="368"/>
      <c r="LY81" s="368"/>
      <c r="LZ81" s="368"/>
      <c r="MA81" s="368"/>
      <c r="MB81" s="368"/>
      <c r="MC81" s="368"/>
      <c r="MD81" s="368"/>
      <c r="ME81" s="368"/>
      <c r="MF81" s="368"/>
      <c r="MG81" s="368"/>
      <c r="MH81" s="368"/>
      <c r="MI81" s="368"/>
      <c r="MJ81" s="368"/>
      <c r="MK81" s="368"/>
      <c r="ML81" s="368"/>
      <c r="MM81" s="368"/>
      <c r="MN81" s="368"/>
      <c r="MO81" s="368"/>
      <c r="MP81" s="368"/>
      <c r="MQ81" s="368"/>
      <c r="MR81" s="368"/>
      <c r="MS81" s="368"/>
      <c r="MT81" s="368"/>
      <c r="MU81" s="368"/>
      <c r="MV81" s="368"/>
      <c r="MW81" s="368"/>
      <c r="MX81" s="368"/>
      <c r="MY81" s="368"/>
      <c r="MZ81" s="368"/>
      <c r="NA81" s="368"/>
      <c r="NB81" s="368"/>
      <c r="NC81" s="368"/>
      <c r="ND81" s="368"/>
      <c r="NE81" s="368"/>
      <c r="NF81" s="368"/>
      <c r="NG81" s="368"/>
      <c r="NH81" s="368"/>
      <c r="NI81" s="368"/>
      <c r="NJ81" s="368"/>
      <c r="NK81" s="368"/>
      <c r="NL81" s="368"/>
      <c r="NM81" s="368"/>
      <c r="NN81" s="368"/>
      <c r="NO81" s="368"/>
      <c r="NP81" s="368"/>
      <c r="NQ81" s="368"/>
      <c r="NR81" s="368"/>
      <c r="NS81" s="368"/>
      <c r="NT81" s="368"/>
      <c r="NU81" s="368"/>
      <c r="NV81" s="368"/>
      <c r="NW81" s="368"/>
      <c r="NX81" s="368"/>
      <c r="NY81" s="368"/>
      <c r="NZ81" s="368"/>
      <c r="OA81" s="368"/>
      <c r="OB81" s="368"/>
      <c r="OC81" s="368"/>
      <c r="OD81" s="368"/>
      <c r="OE81" s="368"/>
      <c r="OF81" s="368"/>
      <c r="OG81" s="368"/>
      <c r="OH81" s="368"/>
      <c r="OI81" s="368"/>
      <c r="OJ81" s="368"/>
      <c r="OK81" s="368"/>
      <c r="OL81" s="368"/>
      <c r="OM81" s="368"/>
      <c r="ON81" s="368"/>
      <c r="OO81" s="368"/>
      <c r="OP81" s="368"/>
      <c r="OQ81" s="368"/>
      <c r="OR81" s="368"/>
      <c r="OS81" s="368"/>
      <c r="OT81" s="368"/>
      <c r="OU81" s="368"/>
      <c r="OV81" s="368"/>
      <c r="OW81" s="368"/>
      <c r="OX81" s="368"/>
      <c r="OY81" s="368"/>
      <c r="OZ81" s="368"/>
      <c r="PA81" s="368"/>
      <c r="PB81" s="368"/>
      <c r="PC81" s="368"/>
      <c r="PD81" s="368"/>
      <c r="PE81" s="368"/>
      <c r="PF81" s="368"/>
      <c r="PG81" s="368"/>
      <c r="PH81" s="368"/>
      <c r="PI81" s="368"/>
      <c r="PJ81" s="368"/>
      <c r="PK81" s="368"/>
      <c r="PL81" s="368"/>
      <c r="PM81" s="368"/>
      <c r="PN81" s="368"/>
      <c r="PO81" s="368"/>
      <c r="PP81" s="368"/>
      <c r="PQ81" s="368"/>
      <c r="PR81" s="368"/>
      <c r="PS81" s="368"/>
      <c r="PT81" s="368"/>
      <c r="PU81" s="368"/>
      <c r="PV81" s="368"/>
      <c r="PW81" s="368"/>
      <c r="PX81" s="368"/>
      <c r="PY81" s="368"/>
      <c r="PZ81" s="368"/>
      <c r="QA81" s="368"/>
      <c r="QB81" s="368"/>
      <c r="QC81" s="368"/>
      <c r="QD81" s="368"/>
      <c r="QE81" s="368"/>
      <c r="QF81" s="368"/>
      <c r="QG81" s="368"/>
      <c r="QH81" s="368"/>
      <c r="QI81" s="368"/>
      <c r="QJ81" s="368"/>
      <c r="QK81" s="368"/>
      <c r="QL81" s="368"/>
      <c r="QM81" s="368"/>
      <c r="QN81" s="368"/>
      <c r="QO81" s="368"/>
      <c r="QP81" s="368"/>
      <c r="QQ81" s="368"/>
      <c r="QR81" s="368"/>
      <c r="QS81" s="368"/>
      <c r="QT81" s="368"/>
      <c r="QU81" s="368"/>
      <c r="QV81" s="368"/>
      <c r="QW81" s="368"/>
      <c r="QX81" s="368"/>
      <c r="QY81" s="368"/>
      <c r="QZ81" s="368"/>
      <c r="RA81" s="368"/>
      <c r="RB81" s="368"/>
      <c r="RC81" s="368"/>
      <c r="RD81" s="368"/>
      <c r="RE81" s="368"/>
      <c r="RF81" s="368"/>
      <c r="RG81" s="368"/>
      <c r="RH81" s="368"/>
      <c r="RI81" s="368"/>
      <c r="RJ81" s="368"/>
      <c r="RK81" s="368"/>
      <c r="RL81" s="368"/>
      <c r="RM81" s="368"/>
      <c r="RN81" s="368"/>
      <c r="RO81" s="368"/>
      <c r="RP81" s="368"/>
      <c r="RQ81" s="368"/>
      <c r="RR81" s="368"/>
      <c r="RS81" s="368"/>
      <c r="RT81" s="368"/>
      <c r="RU81" s="368"/>
      <c r="RV81" s="368"/>
      <c r="RW81" s="368"/>
      <c r="RX81" s="368"/>
      <c r="RY81" s="368"/>
      <c r="RZ81" s="368"/>
      <c r="SA81" s="368"/>
      <c r="SB81" s="368"/>
      <c r="SC81" s="368"/>
      <c r="SD81" s="368"/>
      <c r="SE81" s="368"/>
      <c r="SF81" s="368"/>
      <c r="SG81" s="368"/>
      <c r="SH81" s="368"/>
      <c r="SI81" s="368"/>
      <c r="SJ81" s="368"/>
      <c r="SK81" s="368"/>
      <c r="SL81" s="368"/>
      <c r="SM81" s="368"/>
      <c r="SN81" s="368"/>
      <c r="SO81" s="368"/>
      <c r="SP81" s="368"/>
      <c r="SQ81" s="368"/>
      <c r="SR81" s="368"/>
      <c r="SS81" s="368"/>
      <c r="ST81" s="368"/>
      <c r="SU81" s="368"/>
      <c r="SV81" s="368"/>
      <c r="SW81" s="368"/>
      <c r="SX81" s="368"/>
      <c r="SY81" s="368"/>
      <c r="SZ81" s="368"/>
      <c r="TA81" s="368"/>
      <c r="TB81" s="368"/>
      <c r="TC81" s="368"/>
      <c r="TD81" s="368"/>
      <c r="TE81" s="368"/>
      <c r="TF81" s="368"/>
      <c r="TG81" s="368"/>
      <c r="TH81" s="368"/>
      <c r="TI81" s="368"/>
      <c r="TJ81" s="368"/>
      <c r="TK81" s="368"/>
      <c r="TL81" s="368"/>
      <c r="TM81" s="368"/>
      <c r="TN81" s="368"/>
      <c r="TO81" s="368"/>
      <c r="TP81" s="368"/>
      <c r="TQ81" s="368"/>
      <c r="TR81" s="368"/>
      <c r="TS81" s="368"/>
      <c r="TT81" s="368"/>
      <c r="TU81" s="368"/>
      <c r="TV81" s="368"/>
      <c r="TW81" s="368"/>
      <c r="TX81" s="368"/>
      <c r="TY81" s="368"/>
      <c r="TZ81" s="368"/>
      <c r="UA81" s="368"/>
      <c r="UB81" s="368"/>
      <c r="UC81" s="368"/>
      <c r="UD81" s="368"/>
      <c r="UE81" s="368"/>
      <c r="UF81" s="368"/>
      <c r="UG81" s="368"/>
      <c r="UH81" s="368"/>
      <c r="UI81" s="368"/>
      <c r="UJ81" s="368"/>
      <c r="UK81" s="368"/>
      <c r="UL81" s="368"/>
      <c r="UM81" s="368"/>
      <c r="UN81" s="368"/>
      <c r="UO81" s="368"/>
      <c r="UP81" s="368"/>
      <c r="UQ81" s="368"/>
      <c r="UR81" s="368"/>
      <c r="US81" s="368"/>
      <c r="UT81" s="368"/>
      <c r="UU81" s="368"/>
      <c r="UV81" s="368"/>
      <c r="UW81" s="368"/>
      <c r="UX81" s="368"/>
      <c r="UY81" s="368"/>
      <c r="UZ81" s="368"/>
      <c r="VA81" s="368"/>
      <c r="VB81" s="368"/>
      <c r="VC81" s="368"/>
      <c r="VD81" s="368"/>
      <c r="VE81" s="368"/>
      <c r="VF81" s="368"/>
      <c r="VG81" s="368"/>
      <c r="VH81" s="368"/>
      <c r="VI81" s="368"/>
      <c r="VJ81" s="368"/>
      <c r="VK81" s="368"/>
      <c r="VL81" s="368"/>
      <c r="VM81" s="368"/>
      <c r="VN81" s="368"/>
      <c r="VO81" s="368"/>
      <c r="VP81" s="368"/>
      <c r="VQ81" s="368"/>
      <c r="VR81" s="368"/>
      <c r="VS81" s="368"/>
      <c r="VT81" s="368"/>
      <c r="VU81" s="368"/>
      <c r="VV81" s="368"/>
      <c r="VW81" s="368"/>
      <c r="VX81" s="368"/>
      <c r="VY81" s="368"/>
      <c r="VZ81" s="368"/>
      <c r="WA81" s="368"/>
      <c r="WB81" s="368"/>
      <c r="WC81" s="368"/>
      <c r="WD81" s="368"/>
      <c r="WE81" s="368"/>
      <c r="WF81" s="368"/>
      <c r="WG81" s="368"/>
      <c r="WH81" s="368"/>
      <c r="WI81" s="368"/>
      <c r="WJ81" s="368"/>
      <c r="WK81" s="368"/>
      <c r="WL81" s="368"/>
      <c r="WM81" s="368"/>
      <c r="WN81" s="368"/>
      <c r="WO81" s="368"/>
      <c r="WP81" s="368"/>
      <c r="WQ81" s="368"/>
      <c r="WR81" s="368"/>
      <c r="WS81" s="368"/>
      <c r="WT81" s="368"/>
      <c r="WU81" s="368"/>
      <c r="WV81" s="368"/>
      <c r="WW81" s="368"/>
      <c r="WX81" s="368"/>
      <c r="WY81" s="368"/>
      <c r="WZ81" s="368"/>
      <c r="XA81" s="368"/>
      <c r="XB81" s="368"/>
      <c r="XC81" s="368"/>
      <c r="XD81" s="368"/>
      <c r="XE81" s="368"/>
      <c r="XF81" s="368"/>
      <c r="XG81" s="368"/>
      <c r="XH81" s="368"/>
      <c r="XI81" s="368"/>
      <c r="XJ81" s="368"/>
      <c r="XK81" s="368"/>
      <c r="XL81" s="368"/>
      <c r="XM81" s="368"/>
      <c r="XN81" s="368"/>
      <c r="XO81" s="368"/>
      <c r="XP81" s="368"/>
      <c r="XQ81" s="368"/>
      <c r="XR81" s="368"/>
      <c r="XS81" s="368"/>
      <c r="XT81" s="368"/>
      <c r="XU81" s="368"/>
      <c r="XV81" s="368"/>
      <c r="XW81" s="368"/>
      <c r="XX81" s="368"/>
      <c r="XY81" s="368"/>
      <c r="XZ81" s="368"/>
      <c r="YA81" s="368"/>
      <c r="YB81" s="368"/>
      <c r="YC81" s="368"/>
      <c r="YD81" s="368"/>
      <c r="YE81" s="368"/>
      <c r="YF81" s="368"/>
      <c r="YG81" s="368"/>
      <c r="YH81" s="368"/>
      <c r="YI81" s="368"/>
      <c r="YJ81" s="368"/>
      <c r="YK81" s="368"/>
      <c r="YL81" s="368"/>
      <c r="YM81" s="368"/>
      <c r="YN81" s="368"/>
      <c r="YO81" s="368"/>
      <c r="YP81" s="368"/>
      <c r="YQ81" s="368"/>
      <c r="YR81" s="368"/>
      <c r="YS81" s="368"/>
      <c r="YT81" s="368"/>
      <c r="YU81" s="368"/>
      <c r="YV81" s="368"/>
      <c r="YW81" s="368"/>
      <c r="YX81" s="368"/>
      <c r="YY81" s="368"/>
      <c r="YZ81" s="368"/>
      <c r="ZA81" s="368"/>
      <c r="ZB81" s="368"/>
      <c r="ZC81" s="368"/>
      <c r="ZD81" s="368"/>
      <c r="ZE81" s="368"/>
      <c r="ZF81" s="368"/>
      <c r="ZG81" s="368"/>
      <c r="ZH81" s="368"/>
      <c r="ZI81" s="368"/>
      <c r="ZJ81" s="368"/>
      <c r="ZK81" s="368"/>
      <c r="ZL81" s="368"/>
      <c r="ZM81" s="368"/>
      <c r="ZN81" s="368"/>
      <c r="ZO81" s="368"/>
      <c r="ZP81" s="368"/>
      <c r="ZQ81" s="368"/>
      <c r="ZR81" s="368"/>
      <c r="ZS81" s="368"/>
      <c r="ZT81" s="368"/>
      <c r="ZU81" s="368"/>
      <c r="ZV81" s="368"/>
      <c r="ZW81" s="368"/>
      <c r="ZX81" s="368"/>
      <c r="ZY81" s="368"/>
      <c r="ZZ81" s="368"/>
      <c r="AAA81" s="368"/>
      <c r="AAB81" s="368"/>
      <c r="AAC81" s="368"/>
      <c r="AAD81" s="368"/>
      <c r="AAE81" s="368"/>
      <c r="AAF81" s="368"/>
      <c r="AAG81" s="368"/>
      <c r="AAH81" s="368"/>
      <c r="AAI81" s="368"/>
      <c r="AAJ81" s="368"/>
      <c r="AAK81" s="368"/>
      <c r="AAL81" s="368"/>
      <c r="AAM81" s="368"/>
      <c r="AAN81" s="368"/>
      <c r="AAO81" s="368"/>
      <c r="AAP81" s="368"/>
      <c r="AAQ81" s="368"/>
      <c r="AAR81" s="368"/>
      <c r="AAS81" s="368"/>
      <c r="AAT81" s="368"/>
      <c r="AAU81" s="368"/>
      <c r="AAV81" s="368"/>
      <c r="AAW81" s="368"/>
      <c r="AAX81" s="368"/>
      <c r="AAY81" s="368"/>
      <c r="AAZ81" s="368"/>
      <c r="ABA81" s="368"/>
      <c r="ABB81" s="368"/>
      <c r="ABC81" s="368"/>
      <c r="ABD81" s="368"/>
      <c r="ABE81" s="368"/>
      <c r="ABF81" s="368"/>
      <c r="ABG81" s="368"/>
      <c r="ABH81" s="368"/>
      <c r="ABI81" s="368"/>
      <c r="ABJ81" s="368"/>
      <c r="ABK81" s="368"/>
      <c r="ABL81" s="368"/>
      <c r="ABM81" s="368"/>
      <c r="ABN81" s="368"/>
      <c r="ABO81" s="368"/>
      <c r="ABP81" s="368"/>
      <c r="ABQ81" s="368"/>
      <c r="ABR81" s="368"/>
      <c r="ABS81" s="368"/>
      <c r="ABT81" s="368"/>
      <c r="ABU81" s="368"/>
      <c r="ABV81" s="368"/>
      <c r="ABW81" s="368"/>
      <c r="ABX81" s="368"/>
      <c r="ABY81" s="368"/>
      <c r="ABZ81" s="368"/>
      <c r="ACA81" s="368"/>
      <c r="ACB81" s="368"/>
      <c r="ACC81" s="368"/>
      <c r="ACD81" s="368"/>
      <c r="ACE81" s="368"/>
      <c r="ACF81" s="368"/>
      <c r="ACG81" s="368"/>
      <c r="ACH81" s="368"/>
      <c r="ACI81" s="368"/>
      <c r="ACJ81" s="368"/>
      <c r="ACK81" s="368"/>
      <c r="ACL81" s="368"/>
      <c r="ACM81" s="368"/>
      <c r="ACN81" s="368"/>
      <c r="ACO81" s="368"/>
      <c r="ACP81" s="368"/>
      <c r="ACQ81" s="368"/>
      <c r="ACR81" s="368"/>
      <c r="ACS81" s="368"/>
      <c r="ACT81" s="368"/>
      <c r="ACU81" s="368"/>
      <c r="ACV81" s="368"/>
      <c r="ACW81" s="368"/>
      <c r="ACX81" s="368"/>
      <c r="ACY81" s="368"/>
      <c r="ACZ81" s="368"/>
      <c r="ADA81" s="368"/>
      <c r="ADB81" s="368"/>
      <c r="ADC81" s="368"/>
      <c r="ADD81" s="368"/>
      <c r="ADE81" s="368"/>
      <c r="ADF81" s="368"/>
      <c r="ADG81" s="368"/>
      <c r="ADH81" s="368"/>
      <c r="ADI81" s="368"/>
      <c r="ADJ81" s="368"/>
      <c r="ADK81" s="368"/>
      <c r="ADL81" s="368"/>
      <c r="ADM81" s="368"/>
      <c r="ADN81" s="368"/>
      <c r="ADO81" s="368"/>
      <c r="ADP81" s="368"/>
      <c r="ADQ81" s="368"/>
      <c r="ADR81" s="368"/>
      <c r="ADS81" s="368"/>
      <c r="ADT81" s="368"/>
      <c r="ADU81" s="368"/>
      <c r="ADV81" s="368"/>
      <c r="ADW81" s="368"/>
      <c r="ADX81" s="368"/>
      <c r="ADY81" s="368"/>
      <c r="ADZ81" s="368"/>
      <c r="AEA81" s="368"/>
      <c r="AEB81" s="368"/>
      <c r="AEC81" s="368"/>
      <c r="AED81" s="368"/>
      <c r="AEE81" s="368"/>
      <c r="AEF81" s="368"/>
      <c r="AEG81" s="368"/>
      <c r="AEH81" s="368"/>
      <c r="AEI81" s="368"/>
      <c r="AEJ81" s="368"/>
      <c r="AEK81" s="368"/>
      <c r="AEL81" s="368"/>
      <c r="AEM81" s="368"/>
      <c r="AEN81" s="368"/>
      <c r="AEO81" s="368"/>
      <c r="AEP81" s="368"/>
      <c r="AEQ81" s="368"/>
      <c r="AER81" s="368"/>
      <c r="AES81" s="368"/>
      <c r="AET81" s="368"/>
      <c r="AEU81" s="368"/>
      <c r="AEV81" s="368"/>
      <c r="AEW81" s="368"/>
      <c r="AEX81" s="368"/>
      <c r="AEY81" s="368"/>
      <c r="AEZ81" s="368"/>
      <c r="AFA81" s="368"/>
      <c r="AFB81" s="368"/>
      <c r="AFC81" s="368"/>
      <c r="AFD81" s="368"/>
      <c r="AFE81" s="368"/>
      <c r="AFF81" s="368"/>
      <c r="AFG81" s="368"/>
      <c r="AFH81" s="368"/>
      <c r="AFI81" s="368"/>
      <c r="AFJ81" s="368"/>
      <c r="AFK81" s="368"/>
      <c r="AFL81" s="368"/>
      <c r="AFM81" s="368"/>
      <c r="AFN81" s="368"/>
      <c r="AFO81" s="368"/>
      <c r="AFP81" s="368"/>
      <c r="AFQ81" s="368"/>
      <c r="AFR81" s="368"/>
      <c r="AFS81" s="368"/>
      <c r="AFT81" s="368"/>
      <c r="AFU81" s="368"/>
      <c r="AFV81" s="368"/>
      <c r="AFW81" s="368"/>
      <c r="AFX81" s="368"/>
      <c r="AFY81" s="368"/>
      <c r="AFZ81" s="368"/>
      <c r="AGA81" s="368"/>
      <c r="AGB81" s="368"/>
      <c r="AGC81" s="368"/>
      <c r="AGD81" s="368"/>
      <c r="AGE81" s="368"/>
      <c r="AGF81" s="368"/>
      <c r="AGG81" s="368"/>
      <c r="AGH81" s="368"/>
      <c r="AGI81" s="368"/>
      <c r="AGJ81" s="368"/>
      <c r="AGK81" s="368"/>
      <c r="AGL81" s="368"/>
      <c r="AGM81" s="368"/>
      <c r="AGN81" s="368"/>
      <c r="AGO81" s="368"/>
      <c r="AGP81" s="368"/>
      <c r="AGQ81" s="368"/>
      <c r="AGR81" s="368"/>
      <c r="AGS81" s="368"/>
      <c r="AGT81" s="368"/>
      <c r="AGU81" s="368"/>
      <c r="AGV81" s="368"/>
      <c r="AGW81" s="368"/>
      <c r="AGX81" s="368"/>
      <c r="AGY81" s="368"/>
      <c r="AGZ81" s="368"/>
      <c r="AHA81" s="368"/>
      <c r="AHB81" s="368"/>
      <c r="AHC81" s="368"/>
      <c r="AHD81" s="368"/>
      <c r="AHE81" s="368"/>
      <c r="AHF81" s="368"/>
      <c r="AHG81" s="368"/>
      <c r="AHH81" s="368"/>
      <c r="AHI81" s="368"/>
      <c r="AHJ81" s="368"/>
      <c r="AHK81" s="368"/>
      <c r="AHL81" s="368"/>
      <c r="AHM81" s="368"/>
      <c r="AHN81" s="368"/>
      <c r="AHO81" s="368"/>
      <c r="AHP81" s="368"/>
      <c r="AHQ81" s="368"/>
      <c r="AHR81" s="368"/>
      <c r="AHS81" s="368"/>
      <c r="AHT81" s="368"/>
      <c r="AHU81" s="368"/>
      <c r="AHV81" s="368"/>
      <c r="AHW81" s="368"/>
      <c r="AHX81" s="368"/>
      <c r="AHY81" s="368"/>
      <c r="AHZ81" s="368"/>
      <c r="AIA81" s="368"/>
      <c r="AIB81" s="368"/>
      <c r="AIC81" s="368"/>
      <c r="AID81" s="368"/>
      <c r="AIE81" s="368"/>
      <c r="AIF81" s="368"/>
      <c r="AIG81" s="368"/>
      <c r="AIH81" s="368"/>
      <c r="AII81" s="368"/>
      <c r="AIJ81" s="368"/>
      <c r="AIK81" s="368"/>
      <c r="AIL81" s="368"/>
      <c r="AIM81" s="368"/>
      <c r="AIN81" s="368"/>
      <c r="AIO81" s="368"/>
      <c r="AIP81" s="368"/>
      <c r="AIQ81" s="368"/>
      <c r="AIR81" s="368"/>
      <c r="AIS81" s="368"/>
      <c r="AIT81" s="368"/>
      <c r="AIU81" s="368"/>
      <c r="AIV81" s="368"/>
      <c r="AIW81" s="368"/>
      <c r="AIX81" s="368"/>
      <c r="AIY81" s="368"/>
      <c r="AIZ81" s="368"/>
      <c r="AJA81" s="368"/>
      <c r="AJB81" s="368"/>
      <c r="AJC81" s="368"/>
      <c r="AJD81" s="368"/>
      <c r="AJE81" s="368"/>
      <c r="AJF81" s="368"/>
      <c r="AJG81" s="368"/>
      <c r="AJH81" s="368"/>
      <c r="AJI81" s="368"/>
      <c r="AJJ81" s="368"/>
      <c r="AJK81" s="368"/>
      <c r="AJL81" s="368"/>
      <c r="AJM81" s="368"/>
      <c r="AJN81" s="368"/>
      <c r="AJO81" s="368"/>
      <c r="AJP81" s="368"/>
      <c r="AJQ81" s="368"/>
      <c r="AJR81" s="368"/>
      <c r="AJS81" s="368"/>
      <c r="AJT81" s="368"/>
      <c r="AJU81" s="368"/>
      <c r="AJV81" s="368"/>
      <c r="AJW81" s="368"/>
      <c r="AJX81" s="368"/>
      <c r="AJY81" s="368"/>
      <c r="AJZ81" s="368"/>
      <c r="AKA81" s="368"/>
      <c r="AKB81" s="368"/>
      <c r="AKC81" s="368"/>
      <c r="AKD81" s="368"/>
      <c r="AKE81" s="368"/>
      <c r="AKF81" s="368"/>
      <c r="AKG81" s="368"/>
      <c r="AKH81" s="368"/>
      <c r="AKI81" s="368"/>
      <c r="AKJ81" s="368"/>
      <c r="AKK81" s="368"/>
      <c r="AKL81" s="368"/>
      <c r="AKM81" s="368"/>
      <c r="AKN81" s="368"/>
    </row>
    <row r="82" spans="1:976" s="346" customFormat="1" ht="22.5" customHeight="1" x14ac:dyDescent="0.2">
      <c r="A82" s="370" t="s">
        <v>262</v>
      </c>
      <c r="B82" s="370"/>
      <c r="C82" s="370" t="s">
        <v>221</v>
      </c>
      <c r="D82" s="370" t="s">
        <v>222</v>
      </c>
      <c r="E82" s="371">
        <v>411351</v>
      </c>
      <c r="F82" s="371">
        <v>1347</v>
      </c>
      <c r="G82" s="371">
        <v>204</v>
      </c>
      <c r="H82" s="371">
        <v>0</v>
      </c>
      <c r="I82" s="372">
        <v>45846</v>
      </c>
      <c r="J82" s="370" t="s">
        <v>395</v>
      </c>
      <c r="K82" s="370" t="s">
        <v>505</v>
      </c>
      <c r="L82" s="373">
        <v>25.16</v>
      </c>
      <c r="M82" s="373">
        <v>3.12</v>
      </c>
      <c r="N82" s="444">
        <v>28.28</v>
      </c>
      <c r="O82" s="370"/>
      <c r="P82" s="374">
        <v>45848</v>
      </c>
      <c r="Q82" s="373">
        <v>28.28</v>
      </c>
      <c r="R82" s="370" t="s">
        <v>506</v>
      </c>
      <c r="S82" s="373">
        <v>0</v>
      </c>
      <c r="T82" s="373">
        <v>0</v>
      </c>
      <c r="U82" s="373">
        <v>0</v>
      </c>
      <c r="V82" s="373">
        <v>0</v>
      </c>
      <c r="W82" s="370"/>
      <c r="X82" s="370" t="s">
        <v>293</v>
      </c>
      <c r="Y82" s="370" t="s">
        <v>294</v>
      </c>
      <c r="Z82" s="370" t="s">
        <v>42</v>
      </c>
      <c r="AA82" s="370" t="s">
        <v>228</v>
      </c>
      <c r="AB82" s="370" t="s">
        <v>235</v>
      </c>
      <c r="AC82" s="370" t="s">
        <v>331</v>
      </c>
      <c r="AD82" s="370" t="s">
        <v>231</v>
      </c>
      <c r="AE82" s="370" t="s">
        <v>232</v>
      </c>
      <c r="AF82" s="370" t="s">
        <v>231</v>
      </c>
      <c r="AG82" s="370" t="s">
        <v>232</v>
      </c>
      <c r="AH82" s="370"/>
      <c r="AI82" s="370"/>
      <c r="AJ82" s="370"/>
      <c r="AK82" s="370" t="s">
        <v>507</v>
      </c>
      <c r="AL82" s="371">
        <v>1</v>
      </c>
      <c r="AM82" s="371">
        <v>0</v>
      </c>
      <c r="AN82" s="372">
        <v>45848</v>
      </c>
      <c r="AO82" s="372">
        <v>45848</v>
      </c>
      <c r="AP82" s="373">
        <v>28.28</v>
      </c>
      <c r="AQ82" s="372">
        <v>45847</v>
      </c>
      <c r="AR82" s="368"/>
      <c r="AS82" s="368"/>
      <c r="AT82" s="368"/>
      <c r="AU82" s="368"/>
      <c r="AV82" s="368"/>
      <c r="AW82" s="368"/>
      <c r="AX82" s="368"/>
      <c r="AY82" s="368"/>
      <c r="AZ82" s="368"/>
      <c r="BA82" s="368"/>
      <c r="BB82" s="368"/>
      <c r="BC82" s="368"/>
      <c r="BD82" s="368"/>
      <c r="BE82" s="368"/>
      <c r="BF82" s="368"/>
      <c r="BG82" s="368"/>
      <c r="BH82" s="368"/>
      <c r="BI82" s="368"/>
      <c r="BJ82" s="368"/>
      <c r="BK82" s="368"/>
      <c r="BL82" s="368"/>
      <c r="BM82" s="368"/>
      <c r="BN82" s="368"/>
      <c r="BO82" s="368"/>
      <c r="BP82" s="368"/>
      <c r="BQ82" s="368"/>
      <c r="BR82" s="368"/>
      <c r="BS82" s="368"/>
      <c r="BT82" s="368"/>
      <c r="BU82" s="368"/>
      <c r="BV82" s="368"/>
      <c r="BW82" s="368"/>
      <c r="BX82" s="368"/>
      <c r="BY82" s="368"/>
      <c r="BZ82" s="368"/>
      <c r="CA82" s="368"/>
      <c r="CB82" s="368"/>
      <c r="CC82" s="368"/>
      <c r="CD82" s="368"/>
      <c r="CE82" s="368"/>
      <c r="CF82" s="368"/>
      <c r="CG82" s="368"/>
      <c r="CH82" s="368"/>
      <c r="CI82" s="368"/>
      <c r="CJ82" s="368"/>
      <c r="CK82" s="368"/>
      <c r="CL82" s="368"/>
      <c r="CM82" s="368"/>
      <c r="CN82" s="368"/>
      <c r="CO82" s="368"/>
      <c r="CP82" s="368"/>
      <c r="CQ82" s="368"/>
      <c r="CR82" s="368"/>
      <c r="CS82" s="368"/>
      <c r="CT82" s="368"/>
      <c r="CU82" s="368"/>
      <c r="CV82" s="368"/>
      <c r="CW82" s="368"/>
      <c r="CX82" s="368"/>
      <c r="CY82" s="368"/>
      <c r="CZ82" s="368"/>
      <c r="DA82" s="368"/>
      <c r="DB82" s="368"/>
      <c r="DC82" s="368"/>
      <c r="DD82" s="368"/>
      <c r="DE82" s="368"/>
      <c r="DF82" s="368"/>
      <c r="DG82" s="368"/>
      <c r="DH82" s="368"/>
      <c r="DI82" s="368"/>
      <c r="DJ82" s="368"/>
      <c r="DK82" s="368"/>
      <c r="DL82" s="368"/>
      <c r="DM82" s="368"/>
      <c r="DN82" s="368"/>
      <c r="DO82" s="368"/>
      <c r="DP82" s="368"/>
      <c r="DQ82" s="368"/>
      <c r="DR82" s="368"/>
      <c r="DS82" s="368"/>
      <c r="DT82" s="368"/>
      <c r="DU82" s="368"/>
      <c r="DV82" s="368"/>
      <c r="DW82" s="368"/>
      <c r="DX82" s="368"/>
      <c r="DY82" s="368"/>
      <c r="DZ82" s="368"/>
      <c r="EA82" s="368"/>
      <c r="EB82" s="368"/>
      <c r="EC82" s="368"/>
      <c r="ED82" s="368"/>
      <c r="EE82" s="368"/>
      <c r="EF82" s="368"/>
      <c r="EG82" s="368"/>
      <c r="EH82" s="368"/>
      <c r="EI82" s="368"/>
      <c r="EJ82" s="368"/>
      <c r="EK82" s="368"/>
      <c r="EL82" s="368"/>
      <c r="EM82" s="368"/>
      <c r="EN82" s="368"/>
      <c r="EO82" s="368"/>
      <c r="EP82" s="368"/>
      <c r="EQ82" s="368"/>
      <c r="ER82" s="368"/>
      <c r="ES82" s="368"/>
      <c r="ET82" s="368"/>
      <c r="EU82" s="368"/>
      <c r="EV82" s="368"/>
      <c r="EW82" s="368"/>
      <c r="EX82" s="368"/>
      <c r="EY82" s="368"/>
      <c r="EZ82" s="368"/>
      <c r="FA82" s="368"/>
      <c r="FB82" s="368"/>
      <c r="FC82" s="368"/>
      <c r="FD82" s="368"/>
      <c r="FE82" s="368"/>
      <c r="FF82" s="368"/>
      <c r="FG82" s="368"/>
      <c r="FH82" s="368"/>
      <c r="FI82" s="368"/>
      <c r="FJ82" s="368"/>
      <c r="FK82" s="368"/>
      <c r="FL82" s="368"/>
      <c r="FM82" s="368"/>
      <c r="FN82" s="368"/>
      <c r="FO82" s="368"/>
      <c r="FP82" s="368"/>
      <c r="FQ82" s="368"/>
      <c r="FR82" s="368"/>
      <c r="FS82" s="368"/>
      <c r="FT82" s="368"/>
      <c r="FU82" s="368"/>
      <c r="FV82" s="368"/>
      <c r="FW82" s="368"/>
      <c r="FX82" s="368"/>
      <c r="FY82" s="368"/>
      <c r="FZ82" s="368"/>
      <c r="GA82" s="368"/>
      <c r="GB82" s="368"/>
      <c r="GC82" s="368"/>
      <c r="GD82" s="368"/>
      <c r="GE82" s="368"/>
      <c r="GF82" s="368"/>
      <c r="GG82" s="368"/>
      <c r="GH82" s="368"/>
      <c r="GI82" s="368"/>
      <c r="GJ82" s="368"/>
      <c r="GK82" s="368"/>
      <c r="GL82" s="368"/>
      <c r="GM82" s="368"/>
      <c r="GN82" s="368"/>
      <c r="GO82" s="368"/>
      <c r="GP82" s="368"/>
      <c r="GQ82" s="368"/>
      <c r="GR82" s="368"/>
      <c r="GS82" s="368"/>
      <c r="GT82" s="368"/>
      <c r="GU82" s="368"/>
      <c r="GV82" s="368"/>
      <c r="GW82" s="368"/>
      <c r="GX82" s="368"/>
      <c r="GY82" s="368"/>
      <c r="GZ82" s="368"/>
      <c r="HA82" s="368"/>
      <c r="HB82" s="368"/>
      <c r="HC82" s="368"/>
      <c r="HD82" s="368"/>
      <c r="HE82" s="368"/>
      <c r="HF82" s="368"/>
      <c r="HG82" s="368"/>
      <c r="HH82" s="368"/>
      <c r="HI82" s="368"/>
      <c r="HJ82" s="368"/>
      <c r="HK82" s="368"/>
      <c r="HL82" s="368"/>
      <c r="HM82" s="368"/>
      <c r="HN82" s="368"/>
      <c r="HO82" s="368"/>
      <c r="HP82" s="368"/>
      <c r="HQ82" s="368"/>
      <c r="HR82" s="368"/>
      <c r="HS82" s="368"/>
      <c r="HT82" s="368"/>
      <c r="HU82" s="368"/>
      <c r="HV82" s="368"/>
      <c r="HW82" s="368"/>
      <c r="HX82" s="368"/>
      <c r="HY82" s="368"/>
      <c r="HZ82" s="368"/>
      <c r="IA82" s="368"/>
      <c r="IB82" s="368"/>
      <c r="IC82" s="368"/>
      <c r="ID82" s="368"/>
      <c r="IE82" s="368"/>
      <c r="IF82" s="368"/>
      <c r="IG82" s="368"/>
      <c r="IH82" s="368"/>
      <c r="II82" s="368"/>
      <c r="IJ82" s="368"/>
      <c r="IK82" s="368"/>
      <c r="IL82" s="368"/>
      <c r="IM82" s="368"/>
      <c r="IN82" s="368"/>
      <c r="IO82" s="368"/>
      <c r="IP82" s="368"/>
      <c r="IQ82" s="368"/>
      <c r="IR82" s="368"/>
      <c r="IS82" s="368"/>
      <c r="IT82" s="368"/>
      <c r="IU82" s="368"/>
      <c r="IV82" s="368"/>
      <c r="IW82" s="368"/>
      <c r="IX82" s="368"/>
      <c r="IY82" s="368"/>
      <c r="IZ82" s="368"/>
      <c r="JA82" s="368"/>
      <c r="JB82" s="368"/>
      <c r="JC82" s="368"/>
      <c r="JD82" s="368"/>
      <c r="JE82" s="368"/>
      <c r="JF82" s="368"/>
      <c r="JG82" s="368"/>
      <c r="JH82" s="368"/>
      <c r="JI82" s="368"/>
      <c r="JJ82" s="368"/>
      <c r="JK82" s="368"/>
      <c r="JL82" s="368"/>
      <c r="JM82" s="368"/>
      <c r="JN82" s="368"/>
      <c r="JO82" s="368"/>
      <c r="JP82" s="368"/>
      <c r="JQ82" s="368"/>
      <c r="JR82" s="368"/>
      <c r="JS82" s="368"/>
      <c r="JT82" s="368"/>
      <c r="JU82" s="368"/>
      <c r="JV82" s="368"/>
      <c r="JW82" s="368"/>
      <c r="JX82" s="368"/>
      <c r="JY82" s="368"/>
      <c r="JZ82" s="368"/>
      <c r="KA82" s="368"/>
      <c r="KB82" s="368"/>
      <c r="KC82" s="368"/>
      <c r="KD82" s="368"/>
      <c r="KE82" s="368"/>
      <c r="KF82" s="368"/>
      <c r="KG82" s="368"/>
      <c r="KH82" s="368"/>
      <c r="KI82" s="368"/>
      <c r="KJ82" s="368"/>
      <c r="KK82" s="368"/>
      <c r="KL82" s="368"/>
      <c r="KM82" s="368"/>
      <c r="KN82" s="368"/>
      <c r="KO82" s="368"/>
      <c r="KP82" s="368"/>
      <c r="KQ82" s="368"/>
      <c r="KR82" s="368"/>
      <c r="KS82" s="368"/>
      <c r="KT82" s="368"/>
      <c r="KU82" s="368"/>
      <c r="KV82" s="368"/>
      <c r="KW82" s="368"/>
      <c r="KX82" s="368"/>
      <c r="KY82" s="368"/>
      <c r="KZ82" s="368"/>
      <c r="LA82" s="368"/>
      <c r="LB82" s="368"/>
      <c r="LC82" s="368"/>
      <c r="LD82" s="368"/>
      <c r="LE82" s="368"/>
      <c r="LF82" s="368"/>
      <c r="LG82" s="368"/>
      <c r="LH82" s="368"/>
      <c r="LI82" s="368"/>
      <c r="LJ82" s="368"/>
      <c r="LK82" s="368"/>
      <c r="LL82" s="368"/>
      <c r="LM82" s="368"/>
      <c r="LN82" s="368"/>
      <c r="LO82" s="368"/>
      <c r="LP82" s="368"/>
      <c r="LQ82" s="368"/>
      <c r="LR82" s="368"/>
      <c r="LS82" s="368"/>
      <c r="LT82" s="368"/>
      <c r="LU82" s="368"/>
      <c r="LV82" s="368"/>
      <c r="LW82" s="368"/>
      <c r="LX82" s="368"/>
      <c r="LY82" s="368"/>
      <c r="LZ82" s="368"/>
      <c r="MA82" s="368"/>
      <c r="MB82" s="368"/>
      <c r="MC82" s="368"/>
      <c r="MD82" s="368"/>
      <c r="ME82" s="368"/>
      <c r="MF82" s="368"/>
      <c r="MG82" s="368"/>
      <c r="MH82" s="368"/>
      <c r="MI82" s="368"/>
      <c r="MJ82" s="368"/>
      <c r="MK82" s="368"/>
      <c r="ML82" s="368"/>
      <c r="MM82" s="368"/>
      <c r="MN82" s="368"/>
      <c r="MO82" s="368"/>
      <c r="MP82" s="368"/>
      <c r="MQ82" s="368"/>
      <c r="MR82" s="368"/>
      <c r="MS82" s="368"/>
      <c r="MT82" s="368"/>
      <c r="MU82" s="368"/>
      <c r="MV82" s="368"/>
      <c r="MW82" s="368"/>
      <c r="MX82" s="368"/>
      <c r="MY82" s="368"/>
      <c r="MZ82" s="368"/>
      <c r="NA82" s="368"/>
      <c r="NB82" s="368"/>
      <c r="NC82" s="368"/>
      <c r="ND82" s="368"/>
      <c r="NE82" s="368"/>
      <c r="NF82" s="368"/>
      <c r="NG82" s="368"/>
      <c r="NH82" s="368"/>
      <c r="NI82" s="368"/>
      <c r="NJ82" s="368"/>
      <c r="NK82" s="368"/>
      <c r="NL82" s="368"/>
      <c r="NM82" s="368"/>
      <c r="NN82" s="368"/>
      <c r="NO82" s="368"/>
      <c r="NP82" s="368"/>
      <c r="NQ82" s="368"/>
      <c r="NR82" s="368"/>
      <c r="NS82" s="368"/>
      <c r="NT82" s="368"/>
      <c r="NU82" s="368"/>
      <c r="NV82" s="368"/>
      <c r="NW82" s="368"/>
      <c r="NX82" s="368"/>
      <c r="NY82" s="368"/>
      <c r="NZ82" s="368"/>
      <c r="OA82" s="368"/>
      <c r="OB82" s="368"/>
      <c r="OC82" s="368"/>
      <c r="OD82" s="368"/>
      <c r="OE82" s="368"/>
      <c r="OF82" s="368"/>
      <c r="OG82" s="368"/>
      <c r="OH82" s="368"/>
      <c r="OI82" s="368"/>
      <c r="OJ82" s="368"/>
      <c r="OK82" s="368"/>
      <c r="OL82" s="368"/>
      <c r="OM82" s="368"/>
      <c r="ON82" s="368"/>
      <c r="OO82" s="368"/>
      <c r="OP82" s="368"/>
      <c r="OQ82" s="368"/>
      <c r="OR82" s="368"/>
      <c r="OS82" s="368"/>
      <c r="OT82" s="368"/>
      <c r="OU82" s="368"/>
      <c r="OV82" s="368"/>
      <c r="OW82" s="368"/>
      <c r="OX82" s="368"/>
      <c r="OY82" s="368"/>
      <c r="OZ82" s="368"/>
      <c r="PA82" s="368"/>
      <c r="PB82" s="368"/>
      <c r="PC82" s="368"/>
      <c r="PD82" s="368"/>
      <c r="PE82" s="368"/>
      <c r="PF82" s="368"/>
      <c r="PG82" s="368"/>
      <c r="PH82" s="368"/>
      <c r="PI82" s="368"/>
      <c r="PJ82" s="368"/>
      <c r="PK82" s="368"/>
      <c r="PL82" s="368"/>
      <c r="PM82" s="368"/>
      <c r="PN82" s="368"/>
      <c r="PO82" s="368"/>
      <c r="PP82" s="368"/>
      <c r="PQ82" s="368"/>
      <c r="PR82" s="368"/>
      <c r="PS82" s="368"/>
      <c r="PT82" s="368"/>
      <c r="PU82" s="368"/>
      <c r="PV82" s="368"/>
      <c r="PW82" s="368"/>
      <c r="PX82" s="368"/>
      <c r="PY82" s="368"/>
      <c r="PZ82" s="368"/>
      <c r="QA82" s="368"/>
      <c r="QB82" s="368"/>
      <c r="QC82" s="368"/>
      <c r="QD82" s="368"/>
      <c r="QE82" s="368"/>
      <c r="QF82" s="368"/>
      <c r="QG82" s="368"/>
      <c r="QH82" s="368"/>
      <c r="QI82" s="368"/>
      <c r="QJ82" s="368"/>
      <c r="QK82" s="368"/>
      <c r="QL82" s="368"/>
      <c r="QM82" s="368"/>
      <c r="QN82" s="368"/>
      <c r="QO82" s="368"/>
      <c r="QP82" s="368"/>
      <c r="QQ82" s="368"/>
      <c r="QR82" s="368"/>
      <c r="QS82" s="368"/>
      <c r="QT82" s="368"/>
      <c r="QU82" s="368"/>
      <c r="QV82" s="368"/>
      <c r="QW82" s="368"/>
      <c r="QX82" s="368"/>
      <c r="QY82" s="368"/>
      <c r="QZ82" s="368"/>
      <c r="RA82" s="368"/>
      <c r="RB82" s="368"/>
      <c r="RC82" s="368"/>
      <c r="RD82" s="368"/>
      <c r="RE82" s="368"/>
      <c r="RF82" s="368"/>
      <c r="RG82" s="368"/>
      <c r="RH82" s="368"/>
      <c r="RI82" s="368"/>
      <c r="RJ82" s="368"/>
      <c r="RK82" s="368"/>
      <c r="RL82" s="368"/>
      <c r="RM82" s="368"/>
      <c r="RN82" s="368"/>
      <c r="RO82" s="368"/>
      <c r="RP82" s="368"/>
      <c r="RQ82" s="368"/>
      <c r="RR82" s="368"/>
      <c r="RS82" s="368"/>
      <c r="RT82" s="368"/>
      <c r="RU82" s="368"/>
      <c r="RV82" s="368"/>
      <c r="RW82" s="368"/>
      <c r="RX82" s="368"/>
      <c r="RY82" s="368"/>
      <c r="RZ82" s="368"/>
      <c r="SA82" s="368"/>
      <c r="SB82" s="368"/>
      <c r="SC82" s="368"/>
      <c r="SD82" s="368"/>
      <c r="SE82" s="368"/>
      <c r="SF82" s="368"/>
      <c r="SG82" s="368"/>
      <c r="SH82" s="368"/>
      <c r="SI82" s="368"/>
      <c r="SJ82" s="368"/>
      <c r="SK82" s="368"/>
      <c r="SL82" s="368"/>
      <c r="SM82" s="368"/>
      <c r="SN82" s="368"/>
      <c r="SO82" s="368"/>
      <c r="SP82" s="368"/>
      <c r="SQ82" s="368"/>
      <c r="SR82" s="368"/>
      <c r="SS82" s="368"/>
      <c r="ST82" s="368"/>
      <c r="SU82" s="368"/>
      <c r="SV82" s="368"/>
      <c r="SW82" s="368"/>
      <c r="SX82" s="368"/>
      <c r="SY82" s="368"/>
      <c r="SZ82" s="368"/>
      <c r="TA82" s="368"/>
      <c r="TB82" s="368"/>
      <c r="TC82" s="368"/>
      <c r="TD82" s="368"/>
      <c r="TE82" s="368"/>
      <c r="TF82" s="368"/>
      <c r="TG82" s="368"/>
      <c r="TH82" s="368"/>
      <c r="TI82" s="368"/>
      <c r="TJ82" s="368"/>
      <c r="TK82" s="368"/>
      <c r="TL82" s="368"/>
      <c r="TM82" s="368"/>
      <c r="TN82" s="368"/>
      <c r="TO82" s="368"/>
      <c r="TP82" s="368"/>
      <c r="TQ82" s="368"/>
      <c r="TR82" s="368"/>
      <c r="TS82" s="368"/>
      <c r="TT82" s="368"/>
      <c r="TU82" s="368"/>
      <c r="TV82" s="368"/>
      <c r="TW82" s="368"/>
      <c r="TX82" s="368"/>
      <c r="TY82" s="368"/>
      <c r="TZ82" s="368"/>
      <c r="UA82" s="368"/>
      <c r="UB82" s="368"/>
      <c r="UC82" s="368"/>
      <c r="UD82" s="368"/>
      <c r="UE82" s="368"/>
      <c r="UF82" s="368"/>
      <c r="UG82" s="368"/>
      <c r="UH82" s="368"/>
      <c r="UI82" s="368"/>
      <c r="UJ82" s="368"/>
      <c r="UK82" s="368"/>
      <c r="UL82" s="368"/>
      <c r="UM82" s="368"/>
      <c r="UN82" s="368"/>
      <c r="UO82" s="368"/>
      <c r="UP82" s="368"/>
      <c r="UQ82" s="368"/>
      <c r="UR82" s="368"/>
      <c r="US82" s="368"/>
      <c r="UT82" s="368"/>
      <c r="UU82" s="368"/>
      <c r="UV82" s="368"/>
      <c r="UW82" s="368"/>
      <c r="UX82" s="368"/>
      <c r="UY82" s="368"/>
      <c r="UZ82" s="368"/>
      <c r="VA82" s="368"/>
      <c r="VB82" s="368"/>
      <c r="VC82" s="368"/>
      <c r="VD82" s="368"/>
      <c r="VE82" s="368"/>
      <c r="VF82" s="368"/>
      <c r="VG82" s="368"/>
      <c r="VH82" s="368"/>
      <c r="VI82" s="368"/>
      <c r="VJ82" s="368"/>
      <c r="VK82" s="368"/>
      <c r="VL82" s="368"/>
      <c r="VM82" s="368"/>
      <c r="VN82" s="368"/>
      <c r="VO82" s="368"/>
      <c r="VP82" s="368"/>
      <c r="VQ82" s="368"/>
      <c r="VR82" s="368"/>
      <c r="VS82" s="368"/>
      <c r="VT82" s="368"/>
      <c r="VU82" s="368"/>
      <c r="VV82" s="368"/>
      <c r="VW82" s="368"/>
      <c r="VX82" s="368"/>
      <c r="VY82" s="368"/>
      <c r="VZ82" s="368"/>
      <c r="WA82" s="368"/>
      <c r="WB82" s="368"/>
      <c r="WC82" s="368"/>
      <c r="WD82" s="368"/>
      <c r="WE82" s="368"/>
      <c r="WF82" s="368"/>
      <c r="WG82" s="368"/>
      <c r="WH82" s="368"/>
      <c r="WI82" s="368"/>
      <c r="WJ82" s="368"/>
      <c r="WK82" s="368"/>
      <c r="WL82" s="368"/>
      <c r="WM82" s="368"/>
      <c r="WN82" s="368"/>
      <c r="WO82" s="368"/>
      <c r="WP82" s="368"/>
      <c r="WQ82" s="368"/>
      <c r="WR82" s="368"/>
      <c r="WS82" s="368"/>
      <c r="WT82" s="368"/>
      <c r="WU82" s="368"/>
      <c r="WV82" s="368"/>
      <c r="WW82" s="368"/>
      <c r="WX82" s="368"/>
      <c r="WY82" s="368"/>
      <c r="WZ82" s="368"/>
      <c r="XA82" s="368"/>
      <c r="XB82" s="368"/>
      <c r="XC82" s="368"/>
      <c r="XD82" s="368"/>
      <c r="XE82" s="368"/>
      <c r="XF82" s="368"/>
      <c r="XG82" s="368"/>
      <c r="XH82" s="368"/>
      <c r="XI82" s="368"/>
      <c r="XJ82" s="368"/>
      <c r="XK82" s="368"/>
      <c r="XL82" s="368"/>
      <c r="XM82" s="368"/>
      <c r="XN82" s="368"/>
      <c r="XO82" s="368"/>
      <c r="XP82" s="368"/>
      <c r="XQ82" s="368"/>
      <c r="XR82" s="368"/>
      <c r="XS82" s="368"/>
      <c r="XT82" s="368"/>
      <c r="XU82" s="368"/>
      <c r="XV82" s="368"/>
      <c r="XW82" s="368"/>
      <c r="XX82" s="368"/>
      <c r="XY82" s="368"/>
      <c r="XZ82" s="368"/>
      <c r="YA82" s="368"/>
      <c r="YB82" s="368"/>
      <c r="YC82" s="368"/>
      <c r="YD82" s="368"/>
      <c r="YE82" s="368"/>
      <c r="YF82" s="368"/>
      <c r="YG82" s="368"/>
      <c r="YH82" s="368"/>
      <c r="YI82" s="368"/>
      <c r="YJ82" s="368"/>
      <c r="YK82" s="368"/>
      <c r="YL82" s="368"/>
      <c r="YM82" s="368"/>
      <c r="YN82" s="368"/>
      <c r="YO82" s="368"/>
      <c r="YP82" s="368"/>
      <c r="YQ82" s="368"/>
      <c r="YR82" s="368"/>
      <c r="YS82" s="368"/>
      <c r="YT82" s="368"/>
      <c r="YU82" s="368"/>
      <c r="YV82" s="368"/>
      <c r="YW82" s="368"/>
      <c r="YX82" s="368"/>
      <c r="YY82" s="368"/>
      <c r="YZ82" s="368"/>
      <c r="ZA82" s="368"/>
      <c r="ZB82" s="368"/>
      <c r="ZC82" s="368"/>
      <c r="ZD82" s="368"/>
      <c r="ZE82" s="368"/>
      <c r="ZF82" s="368"/>
      <c r="ZG82" s="368"/>
      <c r="ZH82" s="368"/>
      <c r="ZI82" s="368"/>
      <c r="ZJ82" s="368"/>
      <c r="ZK82" s="368"/>
      <c r="ZL82" s="368"/>
      <c r="ZM82" s="368"/>
      <c r="ZN82" s="368"/>
      <c r="ZO82" s="368"/>
      <c r="ZP82" s="368"/>
      <c r="ZQ82" s="368"/>
      <c r="ZR82" s="368"/>
      <c r="ZS82" s="368"/>
      <c r="ZT82" s="368"/>
      <c r="ZU82" s="368"/>
      <c r="ZV82" s="368"/>
      <c r="ZW82" s="368"/>
      <c r="ZX82" s="368"/>
      <c r="ZY82" s="368"/>
      <c r="ZZ82" s="368"/>
      <c r="AAA82" s="368"/>
      <c r="AAB82" s="368"/>
      <c r="AAC82" s="368"/>
      <c r="AAD82" s="368"/>
      <c r="AAE82" s="368"/>
      <c r="AAF82" s="368"/>
      <c r="AAG82" s="368"/>
      <c r="AAH82" s="368"/>
      <c r="AAI82" s="368"/>
      <c r="AAJ82" s="368"/>
      <c r="AAK82" s="368"/>
      <c r="AAL82" s="368"/>
      <c r="AAM82" s="368"/>
      <c r="AAN82" s="368"/>
      <c r="AAO82" s="368"/>
      <c r="AAP82" s="368"/>
      <c r="AAQ82" s="368"/>
      <c r="AAR82" s="368"/>
      <c r="AAS82" s="368"/>
      <c r="AAT82" s="368"/>
      <c r="AAU82" s="368"/>
      <c r="AAV82" s="368"/>
      <c r="AAW82" s="368"/>
      <c r="AAX82" s="368"/>
      <c r="AAY82" s="368"/>
      <c r="AAZ82" s="368"/>
      <c r="ABA82" s="368"/>
      <c r="ABB82" s="368"/>
      <c r="ABC82" s="368"/>
      <c r="ABD82" s="368"/>
      <c r="ABE82" s="368"/>
      <c r="ABF82" s="368"/>
      <c r="ABG82" s="368"/>
      <c r="ABH82" s="368"/>
      <c r="ABI82" s="368"/>
      <c r="ABJ82" s="368"/>
      <c r="ABK82" s="368"/>
      <c r="ABL82" s="368"/>
      <c r="ABM82" s="368"/>
      <c r="ABN82" s="368"/>
      <c r="ABO82" s="368"/>
      <c r="ABP82" s="368"/>
      <c r="ABQ82" s="368"/>
      <c r="ABR82" s="368"/>
      <c r="ABS82" s="368"/>
      <c r="ABT82" s="368"/>
      <c r="ABU82" s="368"/>
      <c r="ABV82" s="368"/>
      <c r="ABW82" s="368"/>
      <c r="ABX82" s="368"/>
      <c r="ABY82" s="368"/>
      <c r="ABZ82" s="368"/>
      <c r="ACA82" s="368"/>
      <c r="ACB82" s="368"/>
      <c r="ACC82" s="368"/>
      <c r="ACD82" s="368"/>
      <c r="ACE82" s="368"/>
      <c r="ACF82" s="368"/>
      <c r="ACG82" s="368"/>
      <c r="ACH82" s="368"/>
      <c r="ACI82" s="368"/>
      <c r="ACJ82" s="368"/>
      <c r="ACK82" s="368"/>
      <c r="ACL82" s="368"/>
      <c r="ACM82" s="368"/>
      <c r="ACN82" s="368"/>
      <c r="ACO82" s="368"/>
      <c r="ACP82" s="368"/>
      <c r="ACQ82" s="368"/>
      <c r="ACR82" s="368"/>
      <c r="ACS82" s="368"/>
      <c r="ACT82" s="368"/>
      <c r="ACU82" s="368"/>
      <c r="ACV82" s="368"/>
      <c r="ACW82" s="368"/>
      <c r="ACX82" s="368"/>
      <c r="ACY82" s="368"/>
      <c r="ACZ82" s="368"/>
      <c r="ADA82" s="368"/>
      <c r="ADB82" s="368"/>
      <c r="ADC82" s="368"/>
      <c r="ADD82" s="368"/>
      <c r="ADE82" s="368"/>
      <c r="ADF82" s="368"/>
      <c r="ADG82" s="368"/>
      <c r="ADH82" s="368"/>
      <c r="ADI82" s="368"/>
      <c r="ADJ82" s="368"/>
      <c r="ADK82" s="368"/>
      <c r="ADL82" s="368"/>
      <c r="ADM82" s="368"/>
      <c r="ADN82" s="368"/>
      <c r="ADO82" s="368"/>
      <c r="ADP82" s="368"/>
      <c r="ADQ82" s="368"/>
      <c r="ADR82" s="368"/>
      <c r="ADS82" s="368"/>
      <c r="ADT82" s="368"/>
      <c r="ADU82" s="368"/>
      <c r="ADV82" s="368"/>
      <c r="ADW82" s="368"/>
      <c r="ADX82" s="368"/>
      <c r="ADY82" s="368"/>
      <c r="ADZ82" s="368"/>
      <c r="AEA82" s="368"/>
      <c r="AEB82" s="368"/>
      <c r="AEC82" s="368"/>
      <c r="AED82" s="368"/>
      <c r="AEE82" s="368"/>
      <c r="AEF82" s="368"/>
      <c r="AEG82" s="368"/>
      <c r="AEH82" s="368"/>
      <c r="AEI82" s="368"/>
      <c r="AEJ82" s="368"/>
      <c r="AEK82" s="368"/>
      <c r="AEL82" s="368"/>
      <c r="AEM82" s="368"/>
      <c r="AEN82" s="368"/>
      <c r="AEO82" s="368"/>
      <c r="AEP82" s="368"/>
      <c r="AEQ82" s="368"/>
      <c r="AER82" s="368"/>
      <c r="AES82" s="368"/>
      <c r="AET82" s="368"/>
      <c r="AEU82" s="368"/>
      <c r="AEV82" s="368"/>
      <c r="AEW82" s="368"/>
      <c r="AEX82" s="368"/>
      <c r="AEY82" s="368"/>
      <c r="AEZ82" s="368"/>
      <c r="AFA82" s="368"/>
      <c r="AFB82" s="368"/>
      <c r="AFC82" s="368"/>
      <c r="AFD82" s="368"/>
      <c r="AFE82" s="368"/>
      <c r="AFF82" s="368"/>
      <c r="AFG82" s="368"/>
      <c r="AFH82" s="368"/>
      <c r="AFI82" s="368"/>
      <c r="AFJ82" s="368"/>
      <c r="AFK82" s="368"/>
      <c r="AFL82" s="368"/>
      <c r="AFM82" s="368"/>
      <c r="AFN82" s="368"/>
      <c r="AFO82" s="368"/>
      <c r="AFP82" s="368"/>
      <c r="AFQ82" s="368"/>
      <c r="AFR82" s="368"/>
      <c r="AFS82" s="368"/>
      <c r="AFT82" s="368"/>
      <c r="AFU82" s="368"/>
      <c r="AFV82" s="368"/>
      <c r="AFW82" s="368"/>
      <c r="AFX82" s="368"/>
      <c r="AFY82" s="368"/>
      <c r="AFZ82" s="368"/>
      <c r="AGA82" s="368"/>
      <c r="AGB82" s="368"/>
      <c r="AGC82" s="368"/>
      <c r="AGD82" s="368"/>
      <c r="AGE82" s="368"/>
      <c r="AGF82" s="368"/>
      <c r="AGG82" s="368"/>
      <c r="AGH82" s="368"/>
      <c r="AGI82" s="368"/>
      <c r="AGJ82" s="368"/>
      <c r="AGK82" s="368"/>
      <c r="AGL82" s="368"/>
      <c r="AGM82" s="368"/>
      <c r="AGN82" s="368"/>
      <c r="AGO82" s="368"/>
      <c r="AGP82" s="368"/>
      <c r="AGQ82" s="368"/>
      <c r="AGR82" s="368"/>
      <c r="AGS82" s="368"/>
      <c r="AGT82" s="368"/>
      <c r="AGU82" s="368"/>
      <c r="AGV82" s="368"/>
      <c r="AGW82" s="368"/>
      <c r="AGX82" s="368"/>
      <c r="AGY82" s="368"/>
      <c r="AGZ82" s="368"/>
      <c r="AHA82" s="368"/>
      <c r="AHB82" s="368"/>
      <c r="AHC82" s="368"/>
      <c r="AHD82" s="368"/>
      <c r="AHE82" s="368"/>
      <c r="AHF82" s="368"/>
      <c r="AHG82" s="368"/>
      <c r="AHH82" s="368"/>
      <c r="AHI82" s="368"/>
      <c r="AHJ82" s="368"/>
      <c r="AHK82" s="368"/>
      <c r="AHL82" s="368"/>
      <c r="AHM82" s="368"/>
      <c r="AHN82" s="368"/>
      <c r="AHO82" s="368"/>
      <c r="AHP82" s="368"/>
      <c r="AHQ82" s="368"/>
      <c r="AHR82" s="368"/>
      <c r="AHS82" s="368"/>
      <c r="AHT82" s="368"/>
      <c r="AHU82" s="368"/>
      <c r="AHV82" s="368"/>
      <c r="AHW82" s="368"/>
      <c r="AHX82" s="368"/>
      <c r="AHY82" s="368"/>
      <c r="AHZ82" s="368"/>
      <c r="AIA82" s="368"/>
      <c r="AIB82" s="368"/>
      <c r="AIC82" s="368"/>
      <c r="AID82" s="368"/>
      <c r="AIE82" s="368"/>
      <c r="AIF82" s="368"/>
      <c r="AIG82" s="368"/>
      <c r="AIH82" s="368"/>
      <c r="AII82" s="368"/>
      <c r="AIJ82" s="368"/>
      <c r="AIK82" s="368"/>
      <c r="AIL82" s="368"/>
      <c r="AIM82" s="368"/>
      <c r="AIN82" s="368"/>
      <c r="AIO82" s="368"/>
      <c r="AIP82" s="368"/>
      <c r="AIQ82" s="368"/>
      <c r="AIR82" s="368"/>
      <c r="AIS82" s="368"/>
      <c r="AIT82" s="368"/>
      <c r="AIU82" s="368"/>
      <c r="AIV82" s="368"/>
      <c r="AIW82" s="368"/>
      <c r="AIX82" s="368"/>
      <c r="AIY82" s="368"/>
      <c r="AIZ82" s="368"/>
      <c r="AJA82" s="368"/>
      <c r="AJB82" s="368"/>
      <c r="AJC82" s="368"/>
      <c r="AJD82" s="368"/>
      <c r="AJE82" s="368"/>
      <c r="AJF82" s="368"/>
      <c r="AJG82" s="368"/>
      <c r="AJH82" s="368"/>
      <c r="AJI82" s="368"/>
      <c r="AJJ82" s="368"/>
      <c r="AJK82" s="368"/>
      <c r="AJL82" s="368"/>
      <c r="AJM82" s="368"/>
      <c r="AJN82" s="368"/>
      <c r="AJO82" s="368"/>
      <c r="AJP82" s="368"/>
      <c r="AJQ82" s="368"/>
      <c r="AJR82" s="368"/>
      <c r="AJS82" s="368"/>
      <c r="AJT82" s="368"/>
      <c r="AJU82" s="368"/>
      <c r="AJV82" s="368"/>
      <c r="AJW82" s="368"/>
      <c r="AJX82" s="368"/>
      <c r="AJY82" s="368"/>
      <c r="AJZ82" s="368"/>
      <c r="AKA82" s="368"/>
      <c r="AKB82" s="368"/>
      <c r="AKC82" s="368"/>
      <c r="AKD82" s="368"/>
      <c r="AKE82" s="368"/>
      <c r="AKF82" s="368"/>
      <c r="AKG82" s="368"/>
      <c r="AKH82" s="368"/>
      <c r="AKI82" s="368"/>
      <c r="AKJ82" s="368"/>
      <c r="AKK82" s="368"/>
      <c r="AKL82" s="368"/>
      <c r="AKM82" s="368"/>
      <c r="AKN82" s="368"/>
    </row>
    <row r="83" spans="1:976" s="346" customFormat="1" ht="22.5" customHeight="1" x14ac:dyDescent="0.2">
      <c r="A83" s="370" t="s">
        <v>262</v>
      </c>
      <c r="B83" s="370"/>
      <c r="C83" s="370" t="s">
        <v>221</v>
      </c>
      <c r="D83" s="370" t="s">
        <v>222</v>
      </c>
      <c r="E83" s="371">
        <v>411352</v>
      </c>
      <c r="F83" s="371">
        <v>1348</v>
      </c>
      <c r="G83" s="371">
        <v>204</v>
      </c>
      <c r="H83" s="371">
        <v>0</v>
      </c>
      <c r="I83" s="372">
        <v>45846</v>
      </c>
      <c r="J83" s="370" t="s">
        <v>395</v>
      </c>
      <c r="K83" s="370" t="s">
        <v>508</v>
      </c>
      <c r="L83" s="373">
        <v>72.709999999999994</v>
      </c>
      <c r="M83" s="373">
        <v>6.7</v>
      </c>
      <c r="N83" s="444">
        <v>79.41</v>
      </c>
      <c r="O83" s="370"/>
      <c r="P83" s="374">
        <v>45848</v>
      </c>
      <c r="Q83" s="373">
        <v>79.41</v>
      </c>
      <c r="R83" s="370" t="s">
        <v>509</v>
      </c>
      <c r="S83" s="373">
        <v>0</v>
      </c>
      <c r="T83" s="373">
        <v>0</v>
      </c>
      <c r="U83" s="373">
        <v>0</v>
      </c>
      <c r="V83" s="373">
        <v>0</v>
      </c>
      <c r="W83" s="370"/>
      <c r="X83" s="370" t="s">
        <v>293</v>
      </c>
      <c r="Y83" s="370" t="s">
        <v>294</v>
      </c>
      <c r="Z83" s="370" t="s">
        <v>42</v>
      </c>
      <c r="AA83" s="370" t="s">
        <v>228</v>
      </c>
      <c r="AB83" s="370" t="s">
        <v>235</v>
      </c>
      <c r="AC83" s="370" t="s">
        <v>331</v>
      </c>
      <c r="AD83" s="370" t="s">
        <v>231</v>
      </c>
      <c r="AE83" s="370" t="s">
        <v>232</v>
      </c>
      <c r="AF83" s="370" t="s">
        <v>231</v>
      </c>
      <c r="AG83" s="370" t="s">
        <v>232</v>
      </c>
      <c r="AH83" s="370"/>
      <c r="AI83" s="370"/>
      <c r="AJ83" s="370"/>
      <c r="AK83" s="370" t="s">
        <v>510</v>
      </c>
      <c r="AL83" s="371">
        <v>1</v>
      </c>
      <c r="AM83" s="371">
        <v>0</v>
      </c>
      <c r="AN83" s="372">
        <v>45848</v>
      </c>
      <c r="AO83" s="372">
        <v>45848</v>
      </c>
      <c r="AP83" s="373">
        <v>79.41</v>
      </c>
      <c r="AQ83" s="372">
        <v>45847</v>
      </c>
      <c r="AR83" s="368"/>
      <c r="AS83" s="368"/>
      <c r="AT83" s="368"/>
      <c r="AU83" s="368"/>
      <c r="AV83" s="368"/>
      <c r="AW83" s="368"/>
      <c r="AX83" s="368"/>
      <c r="AY83" s="368"/>
      <c r="AZ83" s="368"/>
      <c r="BA83" s="368"/>
      <c r="BB83" s="368"/>
      <c r="BC83" s="368"/>
      <c r="BD83" s="368"/>
      <c r="BE83" s="368"/>
      <c r="BF83" s="368"/>
      <c r="BG83" s="368"/>
      <c r="BH83" s="368"/>
      <c r="BI83" s="368"/>
      <c r="BJ83" s="368"/>
      <c r="BK83" s="368"/>
      <c r="BL83" s="368"/>
      <c r="BM83" s="368"/>
      <c r="BN83" s="368"/>
      <c r="BO83" s="368"/>
      <c r="BP83" s="368"/>
      <c r="BQ83" s="368"/>
      <c r="BR83" s="368"/>
      <c r="BS83" s="368"/>
      <c r="BT83" s="368"/>
      <c r="BU83" s="368"/>
      <c r="BV83" s="368"/>
      <c r="BW83" s="368"/>
      <c r="BX83" s="368"/>
      <c r="BY83" s="368"/>
      <c r="BZ83" s="368"/>
      <c r="CA83" s="368"/>
      <c r="CB83" s="368"/>
      <c r="CC83" s="368"/>
      <c r="CD83" s="368"/>
      <c r="CE83" s="368"/>
      <c r="CF83" s="368"/>
      <c r="CG83" s="368"/>
      <c r="CH83" s="368"/>
      <c r="CI83" s="368"/>
      <c r="CJ83" s="368"/>
      <c r="CK83" s="368"/>
      <c r="CL83" s="368"/>
      <c r="CM83" s="368"/>
      <c r="CN83" s="368"/>
      <c r="CO83" s="368"/>
      <c r="CP83" s="368"/>
      <c r="CQ83" s="368"/>
      <c r="CR83" s="368"/>
      <c r="CS83" s="368"/>
      <c r="CT83" s="368"/>
      <c r="CU83" s="368"/>
      <c r="CV83" s="368"/>
      <c r="CW83" s="368"/>
      <c r="CX83" s="368"/>
      <c r="CY83" s="368"/>
      <c r="CZ83" s="368"/>
      <c r="DA83" s="368"/>
      <c r="DB83" s="368"/>
      <c r="DC83" s="368"/>
      <c r="DD83" s="368"/>
      <c r="DE83" s="368"/>
      <c r="DF83" s="368"/>
      <c r="DG83" s="368"/>
      <c r="DH83" s="368"/>
      <c r="DI83" s="368"/>
      <c r="DJ83" s="368"/>
      <c r="DK83" s="368"/>
      <c r="DL83" s="368"/>
      <c r="DM83" s="368"/>
      <c r="DN83" s="368"/>
      <c r="DO83" s="368"/>
      <c r="DP83" s="368"/>
      <c r="DQ83" s="368"/>
      <c r="DR83" s="368"/>
      <c r="DS83" s="368"/>
      <c r="DT83" s="368"/>
      <c r="DU83" s="368"/>
      <c r="DV83" s="368"/>
      <c r="DW83" s="368"/>
      <c r="DX83" s="368"/>
      <c r="DY83" s="368"/>
      <c r="DZ83" s="368"/>
      <c r="EA83" s="368"/>
      <c r="EB83" s="368"/>
      <c r="EC83" s="368"/>
      <c r="ED83" s="368"/>
      <c r="EE83" s="368"/>
      <c r="EF83" s="368"/>
      <c r="EG83" s="368"/>
      <c r="EH83" s="368"/>
      <c r="EI83" s="368"/>
      <c r="EJ83" s="368"/>
      <c r="EK83" s="368"/>
      <c r="EL83" s="368"/>
      <c r="EM83" s="368"/>
      <c r="EN83" s="368"/>
      <c r="EO83" s="368"/>
      <c r="EP83" s="368"/>
      <c r="EQ83" s="368"/>
      <c r="ER83" s="368"/>
      <c r="ES83" s="368"/>
      <c r="ET83" s="368"/>
      <c r="EU83" s="368"/>
      <c r="EV83" s="368"/>
      <c r="EW83" s="368"/>
      <c r="EX83" s="368"/>
      <c r="EY83" s="368"/>
      <c r="EZ83" s="368"/>
      <c r="FA83" s="368"/>
      <c r="FB83" s="368"/>
      <c r="FC83" s="368"/>
      <c r="FD83" s="368"/>
      <c r="FE83" s="368"/>
      <c r="FF83" s="368"/>
      <c r="FG83" s="368"/>
      <c r="FH83" s="368"/>
      <c r="FI83" s="368"/>
      <c r="FJ83" s="368"/>
      <c r="FK83" s="368"/>
      <c r="FL83" s="368"/>
      <c r="FM83" s="368"/>
      <c r="FN83" s="368"/>
      <c r="FO83" s="368"/>
      <c r="FP83" s="368"/>
      <c r="FQ83" s="368"/>
      <c r="FR83" s="368"/>
      <c r="FS83" s="368"/>
      <c r="FT83" s="368"/>
      <c r="FU83" s="368"/>
      <c r="FV83" s="368"/>
      <c r="FW83" s="368"/>
      <c r="FX83" s="368"/>
      <c r="FY83" s="368"/>
      <c r="FZ83" s="368"/>
      <c r="GA83" s="368"/>
      <c r="GB83" s="368"/>
      <c r="GC83" s="368"/>
      <c r="GD83" s="368"/>
      <c r="GE83" s="368"/>
      <c r="GF83" s="368"/>
      <c r="GG83" s="368"/>
      <c r="GH83" s="368"/>
      <c r="GI83" s="368"/>
      <c r="GJ83" s="368"/>
      <c r="GK83" s="368"/>
      <c r="GL83" s="368"/>
      <c r="GM83" s="368"/>
      <c r="GN83" s="368"/>
      <c r="GO83" s="368"/>
      <c r="GP83" s="368"/>
      <c r="GQ83" s="368"/>
      <c r="GR83" s="368"/>
      <c r="GS83" s="368"/>
      <c r="GT83" s="368"/>
      <c r="GU83" s="368"/>
      <c r="GV83" s="368"/>
      <c r="GW83" s="368"/>
      <c r="GX83" s="368"/>
      <c r="GY83" s="368"/>
      <c r="GZ83" s="368"/>
      <c r="HA83" s="368"/>
      <c r="HB83" s="368"/>
      <c r="HC83" s="368"/>
      <c r="HD83" s="368"/>
      <c r="HE83" s="368"/>
      <c r="HF83" s="368"/>
      <c r="HG83" s="368"/>
      <c r="HH83" s="368"/>
      <c r="HI83" s="368"/>
      <c r="HJ83" s="368"/>
      <c r="HK83" s="368"/>
      <c r="HL83" s="368"/>
      <c r="HM83" s="368"/>
      <c r="HN83" s="368"/>
      <c r="HO83" s="368"/>
      <c r="HP83" s="368"/>
      <c r="HQ83" s="368"/>
      <c r="HR83" s="368"/>
      <c r="HS83" s="368"/>
      <c r="HT83" s="368"/>
      <c r="HU83" s="368"/>
      <c r="HV83" s="368"/>
      <c r="HW83" s="368"/>
      <c r="HX83" s="368"/>
      <c r="HY83" s="368"/>
      <c r="HZ83" s="368"/>
      <c r="IA83" s="368"/>
      <c r="IB83" s="368"/>
      <c r="IC83" s="368"/>
      <c r="ID83" s="368"/>
      <c r="IE83" s="368"/>
      <c r="IF83" s="368"/>
      <c r="IG83" s="368"/>
      <c r="IH83" s="368"/>
      <c r="II83" s="368"/>
      <c r="IJ83" s="368"/>
      <c r="IK83" s="368"/>
      <c r="IL83" s="368"/>
      <c r="IM83" s="368"/>
      <c r="IN83" s="368"/>
      <c r="IO83" s="368"/>
      <c r="IP83" s="368"/>
      <c r="IQ83" s="368"/>
      <c r="IR83" s="368"/>
      <c r="IS83" s="368"/>
      <c r="IT83" s="368"/>
      <c r="IU83" s="368"/>
      <c r="IV83" s="368"/>
      <c r="IW83" s="368"/>
      <c r="IX83" s="368"/>
      <c r="IY83" s="368"/>
      <c r="IZ83" s="368"/>
      <c r="JA83" s="368"/>
      <c r="JB83" s="368"/>
      <c r="JC83" s="368"/>
      <c r="JD83" s="368"/>
      <c r="JE83" s="368"/>
      <c r="JF83" s="368"/>
      <c r="JG83" s="368"/>
      <c r="JH83" s="368"/>
      <c r="JI83" s="368"/>
      <c r="JJ83" s="368"/>
      <c r="JK83" s="368"/>
      <c r="JL83" s="368"/>
      <c r="JM83" s="368"/>
      <c r="JN83" s="368"/>
      <c r="JO83" s="368"/>
      <c r="JP83" s="368"/>
      <c r="JQ83" s="368"/>
      <c r="JR83" s="368"/>
      <c r="JS83" s="368"/>
      <c r="JT83" s="368"/>
      <c r="JU83" s="368"/>
      <c r="JV83" s="368"/>
      <c r="JW83" s="368"/>
      <c r="JX83" s="368"/>
      <c r="JY83" s="368"/>
      <c r="JZ83" s="368"/>
      <c r="KA83" s="368"/>
      <c r="KB83" s="368"/>
      <c r="KC83" s="368"/>
      <c r="KD83" s="368"/>
      <c r="KE83" s="368"/>
      <c r="KF83" s="368"/>
      <c r="KG83" s="368"/>
      <c r="KH83" s="368"/>
      <c r="KI83" s="368"/>
      <c r="KJ83" s="368"/>
      <c r="KK83" s="368"/>
      <c r="KL83" s="368"/>
      <c r="KM83" s="368"/>
      <c r="KN83" s="368"/>
      <c r="KO83" s="368"/>
      <c r="KP83" s="368"/>
      <c r="KQ83" s="368"/>
      <c r="KR83" s="368"/>
      <c r="KS83" s="368"/>
      <c r="KT83" s="368"/>
      <c r="KU83" s="368"/>
      <c r="KV83" s="368"/>
      <c r="KW83" s="368"/>
      <c r="KX83" s="368"/>
      <c r="KY83" s="368"/>
      <c r="KZ83" s="368"/>
      <c r="LA83" s="368"/>
      <c r="LB83" s="368"/>
      <c r="LC83" s="368"/>
      <c r="LD83" s="368"/>
      <c r="LE83" s="368"/>
      <c r="LF83" s="368"/>
      <c r="LG83" s="368"/>
      <c r="LH83" s="368"/>
      <c r="LI83" s="368"/>
      <c r="LJ83" s="368"/>
      <c r="LK83" s="368"/>
      <c r="LL83" s="368"/>
      <c r="LM83" s="368"/>
      <c r="LN83" s="368"/>
      <c r="LO83" s="368"/>
      <c r="LP83" s="368"/>
      <c r="LQ83" s="368"/>
      <c r="LR83" s="368"/>
      <c r="LS83" s="368"/>
      <c r="LT83" s="368"/>
      <c r="LU83" s="368"/>
      <c r="LV83" s="368"/>
      <c r="LW83" s="368"/>
      <c r="LX83" s="368"/>
      <c r="LY83" s="368"/>
      <c r="LZ83" s="368"/>
      <c r="MA83" s="368"/>
      <c r="MB83" s="368"/>
      <c r="MC83" s="368"/>
      <c r="MD83" s="368"/>
      <c r="ME83" s="368"/>
      <c r="MF83" s="368"/>
      <c r="MG83" s="368"/>
      <c r="MH83" s="368"/>
      <c r="MI83" s="368"/>
      <c r="MJ83" s="368"/>
      <c r="MK83" s="368"/>
      <c r="ML83" s="368"/>
      <c r="MM83" s="368"/>
      <c r="MN83" s="368"/>
      <c r="MO83" s="368"/>
      <c r="MP83" s="368"/>
      <c r="MQ83" s="368"/>
      <c r="MR83" s="368"/>
      <c r="MS83" s="368"/>
      <c r="MT83" s="368"/>
      <c r="MU83" s="368"/>
      <c r="MV83" s="368"/>
      <c r="MW83" s="368"/>
      <c r="MX83" s="368"/>
      <c r="MY83" s="368"/>
      <c r="MZ83" s="368"/>
      <c r="NA83" s="368"/>
      <c r="NB83" s="368"/>
      <c r="NC83" s="368"/>
      <c r="ND83" s="368"/>
      <c r="NE83" s="368"/>
      <c r="NF83" s="368"/>
      <c r="NG83" s="368"/>
      <c r="NH83" s="368"/>
      <c r="NI83" s="368"/>
      <c r="NJ83" s="368"/>
      <c r="NK83" s="368"/>
      <c r="NL83" s="368"/>
      <c r="NM83" s="368"/>
      <c r="NN83" s="368"/>
      <c r="NO83" s="368"/>
      <c r="NP83" s="368"/>
      <c r="NQ83" s="368"/>
      <c r="NR83" s="368"/>
      <c r="NS83" s="368"/>
      <c r="NT83" s="368"/>
      <c r="NU83" s="368"/>
      <c r="NV83" s="368"/>
      <c r="NW83" s="368"/>
      <c r="NX83" s="368"/>
      <c r="NY83" s="368"/>
      <c r="NZ83" s="368"/>
      <c r="OA83" s="368"/>
      <c r="OB83" s="368"/>
      <c r="OC83" s="368"/>
      <c r="OD83" s="368"/>
      <c r="OE83" s="368"/>
      <c r="OF83" s="368"/>
      <c r="OG83" s="368"/>
      <c r="OH83" s="368"/>
      <c r="OI83" s="368"/>
      <c r="OJ83" s="368"/>
      <c r="OK83" s="368"/>
      <c r="OL83" s="368"/>
      <c r="OM83" s="368"/>
      <c r="ON83" s="368"/>
      <c r="OO83" s="368"/>
      <c r="OP83" s="368"/>
      <c r="OQ83" s="368"/>
      <c r="OR83" s="368"/>
      <c r="OS83" s="368"/>
      <c r="OT83" s="368"/>
      <c r="OU83" s="368"/>
      <c r="OV83" s="368"/>
      <c r="OW83" s="368"/>
      <c r="OX83" s="368"/>
      <c r="OY83" s="368"/>
      <c r="OZ83" s="368"/>
      <c r="PA83" s="368"/>
      <c r="PB83" s="368"/>
      <c r="PC83" s="368"/>
      <c r="PD83" s="368"/>
      <c r="PE83" s="368"/>
      <c r="PF83" s="368"/>
      <c r="PG83" s="368"/>
      <c r="PH83" s="368"/>
      <c r="PI83" s="368"/>
      <c r="PJ83" s="368"/>
      <c r="PK83" s="368"/>
      <c r="PL83" s="368"/>
      <c r="PM83" s="368"/>
      <c r="PN83" s="368"/>
      <c r="PO83" s="368"/>
      <c r="PP83" s="368"/>
      <c r="PQ83" s="368"/>
      <c r="PR83" s="368"/>
      <c r="PS83" s="368"/>
      <c r="PT83" s="368"/>
      <c r="PU83" s="368"/>
      <c r="PV83" s="368"/>
      <c r="PW83" s="368"/>
      <c r="PX83" s="368"/>
      <c r="PY83" s="368"/>
      <c r="PZ83" s="368"/>
      <c r="QA83" s="368"/>
      <c r="QB83" s="368"/>
      <c r="QC83" s="368"/>
      <c r="QD83" s="368"/>
      <c r="QE83" s="368"/>
      <c r="QF83" s="368"/>
      <c r="QG83" s="368"/>
      <c r="QH83" s="368"/>
      <c r="QI83" s="368"/>
      <c r="QJ83" s="368"/>
      <c r="QK83" s="368"/>
      <c r="QL83" s="368"/>
      <c r="QM83" s="368"/>
      <c r="QN83" s="368"/>
      <c r="QO83" s="368"/>
      <c r="QP83" s="368"/>
      <c r="QQ83" s="368"/>
      <c r="QR83" s="368"/>
      <c r="QS83" s="368"/>
      <c r="QT83" s="368"/>
      <c r="QU83" s="368"/>
      <c r="QV83" s="368"/>
      <c r="QW83" s="368"/>
      <c r="QX83" s="368"/>
      <c r="QY83" s="368"/>
      <c r="QZ83" s="368"/>
      <c r="RA83" s="368"/>
      <c r="RB83" s="368"/>
      <c r="RC83" s="368"/>
      <c r="RD83" s="368"/>
      <c r="RE83" s="368"/>
      <c r="RF83" s="368"/>
      <c r="RG83" s="368"/>
      <c r="RH83" s="368"/>
      <c r="RI83" s="368"/>
      <c r="RJ83" s="368"/>
      <c r="RK83" s="368"/>
      <c r="RL83" s="368"/>
      <c r="RM83" s="368"/>
      <c r="RN83" s="368"/>
      <c r="RO83" s="368"/>
      <c r="RP83" s="368"/>
      <c r="RQ83" s="368"/>
      <c r="RR83" s="368"/>
      <c r="RS83" s="368"/>
      <c r="RT83" s="368"/>
      <c r="RU83" s="368"/>
      <c r="RV83" s="368"/>
      <c r="RW83" s="368"/>
      <c r="RX83" s="368"/>
      <c r="RY83" s="368"/>
      <c r="RZ83" s="368"/>
      <c r="SA83" s="368"/>
      <c r="SB83" s="368"/>
      <c r="SC83" s="368"/>
      <c r="SD83" s="368"/>
      <c r="SE83" s="368"/>
      <c r="SF83" s="368"/>
      <c r="SG83" s="368"/>
      <c r="SH83" s="368"/>
      <c r="SI83" s="368"/>
      <c r="SJ83" s="368"/>
      <c r="SK83" s="368"/>
      <c r="SL83" s="368"/>
      <c r="SM83" s="368"/>
      <c r="SN83" s="368"/>
      <c r="SO83" s="368"/>
      <c r="SP83" s="368"/>
      <c r="SQ83" s="368"/>
      <c r="SR83" s="368"/>
      <c r="SS83" s="368"/>
      <c r="ST83" s="368"/>
      <c r="SU83" s="368"/>
      <c r="SV83" s="368"/>
      <c r="SW83" s="368"/>
      <c r="SX83" s="368"/>
      <c r="SY83" s="368"/>
      <c r="SZ83" s="368"/>
      <c r="TA83" s="368"/>
      <c r="TB83" s="368"/>
      <c r="TC83" s="368"/>
      <c r="TD83" s="368"/>
      <c r="TE83" s="368"/>
      <c r="TF83" s="368"/>
      <c r="TG83" s="368"/>
      <c r="TH83" s="368"/>
      <c r="TI83" s="368"/>
      <c r="TJ83" s="368"/>
      <c r="TK83" s="368"/>
      <c r="TL83" s="368"/>
      <c r="TM83" s="368"/>
      <c r="TN83" s="368"/>
      <c r="TO83" s="368"/>
      <c r="TP83" s="368"/>
      <c r="TQ83" s="368"/>
      <c r="TR83" s="368"/>
      <c r="TS83" s="368"/>
      <c r="TT83" s="368"/>
      <c r="TU83" s="368"/>
      <c r="TV83" s="368"/>
      <c r="TW83" s="368"/>
      <c r="TX83" s="368"/>
      <c r="TY83" s="368"/>
      <c r="TZ83" s="368"/>
      <c r="UA83" s="368"/>
      <c r="UB83" s="368"/>
      <c r="UC83" s="368"/>
      <c r="UD83" s="368"/>
      <c r="UE83" s="368"/>
      <c r="UF83" s="368"/>
      <c r="UG83" s="368"/>
      <c r="UH83" s="368"/>
      <c r="UI83" s="368"/>
      <c r="UJ83" s="368"/>
      <c r="UK83" s="368"/>
      <c r="UL83" s="368"/>
      <c r="UM83" s="368"/>
      <c r="UN83" s="368"/>
      <c r="UO83" s="368"/>
      <c r="UP83" s="368"/>
      <c r="UQ83" s="368"/>
      <c r="UR83" s="368"/>
      <c r="US83" s="368"/>
      <c r="UT83" s="368"/>
      <c r="UU83" s="368"/>
      <c r="UV83" s="368"/>
      <c r="UW83" s="368"/>
      <c r="UX83" s="368"/>
      <c r="UY83" s="368"/>
      <c r="UZ83" s="368"/>
      <c r="VA83" s="368"/>
      <c r="VB83" s="368"/>
      <c r="VC83" s="368"/>
      <c r="VD83" s="368"/>
      <c r="VE83" s="368"/>
      <c r="VF83" s="368"/>
      <c r="VG83" s="368"/>
      <c r="VH83" s="368"/>
      <c r="VI83" s="368"/>
      <c r="VJ83" s="368"/>
      <c r="VK83" s="368"/>
      <c r="VL83" s="368"/>
      <c r="VM83" s="368"/>
      <c r="VN83" s="368"/>
      <c r="VO83" s="368"/>
      <c r="VP83" s="368"/>
      <c r="VQ83" s="368"/>
      <c r="VR83" s="368"/>
      <c r="VS83" s="368"/>
      <c r="VT83" s="368"/>
      <c r="VU83" s="368"/>
      <c r="VV83" s="368"/>
      <c r="VW83" s="368"/>
      <c r="VX83" s="368"/>
      <c r="VY83" s="368"/>
      <c r="VZ83" s="368"/>
      <c r="WA83" s="368"/>
      <c r="WB83" s="368"/>
      <c r="WC83" s="368"/>
      <c r="WD83" s="368"/>
      <c r="WE83" s="368"/>
      <c r="WF83" s="368"/>
      <c r="WG83" s="368"/>
      <c r="WH83" s="368"/>
      <c r="WI83" s="368"/>
      <c r="WJ83" s="368"/>
      <c r="WK83" s="368"/>
      <c r="WL83" s="368"/>
      <c r="WM83" s="368"/>
      <c r="WN83" s="368"/>
      <c r="WO83" s="368"/>
      <c r="WP83" s="368"/>
      <c r="WQ83" s="368"/>
      <c r="WR83" s="368"/>
      <c r="WS83" s="368"/>
      <c r="WT83" s="368"/>
      <c r="WU83" s="368"/>
      <c r="WV83" s="368"/>
      <c r="WW83" s="368"/>
      <c r="WX83" s="368"/>
      <c r="WY83" s="368"/>
      <c r="WZ83" s="368"/>
      <c r="XA83" s="368"/>
      <c r="XB83" s="368"/>
      <c r="XC83" s="368"/>
      <c r="XD83" s="368"/>
      <c r="XE83" s="368"/>
      <c r="XF83" s="368"/>
      <c r="XG83" s="368"/>
      <c r="XH83" s="368"/>
      <c r="XI83" s="368"/>
      <c r="XJ83" s="368"/>
      <c r="XK83" s="368"/>
      <c r="XL83" s="368"/>
      <c r="XM83" s="368"/>
      <c r="XN83" s="368"/>
      <c r="XO83" s="368"/>
      <c r="XP83" s="368"/>
      <c r="XQ83" s="368"/>
      <c r="XR83" s="368"/>
      <c r="XS83" s="368"/>
      <c r="XT83" s="368"/>
      <c r="XU83" s="368"/>
      <c r="XV83" s="368"/>
      <c r="XW83" s="368"/>
      <c r="XX83" s="368"/>
      <c r="XY83" s="368"/>
      <c r="XZ83" s="368"/>
      <c r="YA83" s="368"/>
      <c r="YB83" s="368"/>
      <c r="YC83" s="368"/>
      <c r="YD83" s="368"/>
      <c r="YE83" s="368"/>
      <c r="YF83" s="368"/>
      <c r="YG83" s="368"/>
      <c r="YH83" s="368"/>
      <c r="YI83" s="368"/>
      <c r="YJ83" s="368"/>
      <c r="YK83" s="368"/>
      <c r="YL83" s="368"/>
      <c r="YM83" s="368"/>
      <c r="YN83" s="368"/>
      <c r="YO83" s="368"/>
      <c r="YP83" s="368"/>
      <c r="YQ83" s="368"/>
      <c r="YR83" s="368"/>
      <c r="YS83" s="368"/>
      <c r="YT83" s="368"/>
      <c r="YU83" s="368"/>
      <c r="YV83" s="368"/>
      <c r="YW83" s="368"/>
      <c r="YX83" s="368"/>
      <c r="YY83" s="368"/>
      <c r="YZ83" s="368"/>
      <c r="ZA83" s="368"/>
      <c r="ZB83" s="368"/>
      <c r="ZC83" s="368"/>
      <c r="ZD83" s="368"/>
      <c r="ZE83" s="368"/>
      <c r="ZF83" s="368"/>
      <c r="ZG83" s="368"/>
      <c r="ZH83" s="368"/>
      <c r="ZI83" s="368"/>
      <c r="ZJ83" s="368"/>
      <c r="ZK83" s="368"/>
      <c r="ZL83" s="368"/>
      <c r="ZM83" s="368"/>
      <c r="ZN83" s="368"/>
      <c r="ZO83" s="368"/>
      <c r="ZP83" s="368"/>
      <c r="ZQ83" s="368"/>
      <c r="ZR83" s="368"/>
      <c r="ZS83" s="368"/>
      <c r="ZT83" s="368"/>
      <c r="ZU83" s="368"/>
      <c r="ZV83" s="368"/>
      <c r="ZW83" s="368"/>
      <c r="ZX83" s="368"/>
      <c r="ZY83" s="368"/>
      <c r="ZZ83" s="368"/>
      <c r="AAA83" s="368"/>
      <c r="AAB83" s="368"/>
      <c r="AAC83" s="368"/>
      <c r="AAD83" s="368"/>
      <c r="AAE83" s="368"/>
      <c r="AAF83" s="368"/>
      <c r="AAG83" s="368"/>
      <c r="AAH83" s="368"/>
      <c r="AAI83" s="368"/>
      <c r="AAJ83" s="368"/>
      <c r="AAK83" s="368"/>
      <c r="AAL83" s="368"/>
      <c r="AAM83" s="368"/>
      <c r="AAN83" s="368"/>
      <c r="AAO83" s="368"/>
      <c r="AAP83" s="368"/>
      <c r="AAQ83" s="368"/>
      <c r="AAR83" s="368"/>
      <c r="AAS83" s="368"/>
      <c r="AAT83" s="368"/>
      <c r="AAU83" s="368"/>
      <c r="AAV83" s="368"/>
      <c r="AAW83" s="368"/>
      <c r="AAX83" s="368"/>
      <c r="AAY83" s="368"/>
      <c r="AAZ83" s="368"/>
      <c r="ABA83" s="368"/>
      <c r="ABB83" s="368"/>
      <c r="ABC83" s="368"/>
      <c r="ABD83" s="368"/>
      <c r="ABE83" s="368"/>
      <c r="ABF83" s="368"/>
      <c r="ABG83" s="368"/>
      <c r="ABH83" s="368"/>
      <c r="ABI83" s="368"/>
      <c r="ABJ83" s="368"/>
      <c r="ABK83" s="368"/>
      <c r="ABL83" s="368"/>
      <c r="ABM83" s="368"/>
      <c r="ABN83" s="368"/>
      <c r="ABO83" s="368"/>
      <c r="ABP83" s="368"/>
      <c r="ABQ83" s="368"/>
      <c r="ABR83" s="368"/>
      <c r="ABS83" s="368"/>
      <c r="ABT83" s="368"/>
      <c r="ABU83" s="368"/>
      <c r="ABV83" s="368"/>
      <c r="ABW83" s="368"/>
      <c r="ABX83" s="368"/>
      <c r="ABY83" s="368"/>
      <c r="ABZ83" s="368"/>
      <c r="ACA83" s="368"/>
      <c r="ACB83" s="368"/>
      <c r="ACC83" s="368"/>
      <c r="ACD83" s="368"/>
      <c r="ACE83" s="368"/>
      <c r="ACF83" s="368"/>
      <c r="ACG83" s="368"/>
      <c r="ACH83" s="368"/>
      <c r="ACI83" s="368"/>
      <c r="ACJ83" s="368"/>
      <c r="ACK83" s="368"/>
      <c r="ACL83" s="368"/>
      <c r="ACM83" s="368"/>
      <c r="ACN83" s="368"/>
      <c r="ACO83" s="368"/>
      <c r="ACP83" s="368"/>
      <c r="ACQ83" s="368"/>
      <c r="ACR83" s="368"/>
      <c r="ACS83" s="368"/>
      <c r="ACT83" s="368"/>
      <c r="ACU83" s="368"/>
      <c r="ACV83" s="368"/>
      <c r="ACW83" s="368"/>
      <c r="ACX83" s="368"/>
      <c r="ACY83" s="368"/>
      <c r="ACZ83" s="368"/>
      <c r="ADA83" s="368"/>
      <c r="ADB83" s="368"/>
      <c r="ADC83" s="368"/>
      <c r="ADD83" s="368"/>
      <c r="ADE83" s="368"/>
      <c r="ADF83" s="368"/>
      <c r="ADG83" s="368"/>
      <c r="ADH83" s="368"/>
      <c r="ADI83" s="368"/>
      <c r="ADJ83" s="368"/>
      <c r="ADK83" s="368"/>
      <c r="ADL83" s="368"/>
      <c r="ADM83" s="368"/>
      <c r="ADN83" s="368"/>
      <c r="ADO83" s="368"/>
      <c r="ADP83" s="368"/>
      <c r="ADQ83" s="368"/>
      <c r="ADR83" s="368"/>
      <c r="ADS83" s="368"/>
      <c r="ADT83" s="368"/>
      <c r="ADU83" s="368"/>
      <c r="ADV83" s="368"/>
      <c r="ADW83" s="368"/>
      <c r="ADX83" s="368"/>
      <c r="ADY83" s="368"/>
      <c r="ADZ83" s="368"/>
      <c r="AEA83" s="368"/>
      <c r="AEB83" s="368"/>
      <c r="AEC83" s="368"/>
      <c r="AED83" s="368"/>
      <c r="AEE83" s="368"/>
      <c r="AEF83" s="368"/>
      <c r="AEG83" s="368"/>
      <c r="AEH83" s="368"/>
      <c r="AEI83" s="368"/>
      <c r="AEJ83" s="368"/>
      <c r="AEK83" s="368"/>
      <c r="AEL83" s="368"/>
      <c r="AEM83" s="368"/>
      <c r="AEN83" s="368"/>
      <c r="AEO83" s="368"/>
      <c r="AEP83" s="368"/>
      <c r="AEQ83" s="368"/>
      <c r="AER83" s="368"/>
      <c r="AES83" s="368"/>
      <c r="AET83" s="368"/>
      <c r="AEU83" s="368"/>
      <c r="AEV83" s="368"/>
      <c r="AEW83" s="368"/>
      <c r="AEX83" s="368"/>
      <c r="AEY83" s="368"/>
      <c r="AEZ83" s="368"/>
      <c r="AFA83" s="368"/>
      <c r="AFB83" s="368"/>
      <c r="AFC83" s="368"/>
      <c r="AFD83" s="368"/>
      <c r="AFE83" s="368"/>
      <c r="AFF83" s="368"/>
      <c r="AFG83" s="368"/>
      <c r="AFH83" s="368"/>
      <c r="AFI83" s="368"/>
      <c r="AFJ83" s="368"/>
      <c r="AFK83" s="368"/>
      <c r="AFL83" s="368"/>
      <c r="AFM83" s="368"/>
      <c r="AFN83" s="368"/>
      <c r="AFO83" s="368"/>
      <c r="AFP83" s="368"/>
      <c r="AFQ83" s="368"/>
      <c r="AFR83" s="368"/>
      <c r="AFS83" s="368"/>
      <c r="AFT83" s="368"/>
      <c r="AFU83" s="368"/>
      <c r="AFV83" s="368"/>
      <c r="AFW83" s="368"/>
      <c r="AFX83" s="368"/>
      <c r="AFY83" s="368"/>
      <c r="AFZ83" s="368"/>
      <c r="AGA83" s="368"/>
      <c r="AGB83" s="368"/>
      <c r="AGC83" s="368"/>
      <c r="AGD83" s="368"/>
      <c r="AGE83" s="368"/>
      <c r="AGF83" s="368"/>
      <c r="AGG83" s="368"/>
      <c r="AGH83" s="368"/>
      <c r="AGI83" s="368"/>
      <c r="AGJ83" s="368"/>
      <c r="AGK83" s="368"/>
      <c r="AGL83" s="368"/>
      <c r="AGM83" s="368"/>
      <c r="AGN83" s="368"/>
      <c r="AGO83" s="368"/>
      <c r="AGP83" s="368"/>
      <c r="AGQ83" s="368"/>
      <c r="AGR83" s="368"/>
      <c r="AGS83" s="368"/>
      <c r="AGT83" s="368"/>
      <c r="AGU83" s="368"/>
      <c r="AGV83" s="368"/>
      <c r="AGW83" s="368"/>
      <c r="AGX83" s="368"/>
      <c r="AGY83" s="368"/>
      <c r="AGZ83" s="368"/>
      <c r="AHA83" s="368"/>
      <c r="AHB83" s="368"/>
      <c r="AHC83" s="368"/>
      <c r="AHD83" s="368"/>
      <c r="AHE83" s="368"/>
      <c r="AHF83" s="368"/>
      <c r="AHG83" s="368"/>
      <c r="AHH83" s="368"/>
      <c r="AHI83" s="368"/>
      <c r="AHJ83" s="368"/>
      <c r="AHK83" s="368"/>
      <c r="AHL83" s="368"/>
      <c r="AHM83" s="368"/>
      <c r="AHN83" s="368"/>
      <c r="AHO83" s="368"/>
      <c r="AHP83" s="368"/>
      <c r="AHQ83" s="368"/>
      <c r="AHR83" s="368"/>
      <c r="AHS83" s="368"/>
      <c r="AHT83" s="368"/>
      <c r="AHU83" s="368"/>
      <c r="AHV83" s="368"/>
      <c r="AHW83" s="368"/>
      <c r="AHX83" s="368"/>
      <c r="AHY83" s="368"/>
      <c r="AHZ83" s="368"/>
      <c r="AIA83" s="368"/>
      <c r="AIB83" s="368"/>
      <c r="AIC83" s="368"/>
      <c r="AID83" s="368"/>
      <c r="AIE83" s="368"/>
      <c r="AIF83" s="368"/>
      <c r="AIG83" s="368"/>
      <c r="AIH83" s="368"/>
      <c r="AII83" s="368"/>
      <c r="AIJ83" s="368"/>
      <c r="AIK83" s="368"/>
      <c r="AIL83" s="368"/>
      <c r="AIM83" s="368"/>
      <c r="AIN83" s="368"/>
      <c r="AIO83" s="368"/>
      <c r="AIP83" s="368"/>
      <c r="AIQ83" s="368"/>
      <c r="AIR83" s="368"/>
      <c r="AIS83" s="368"/>
      <c r="AIT83" s="368"/>
      <c r="AIU83" s="368"/>
      <c r="AIV83" s="368"/>
      <c r="AIW83" s="368"/>
      <c r="AIX83" s="368"/>
      <c r="AIY83" s="368"/>
      <c r="AIZ83" s="368"/>
      <c r="AJA83" s="368"/>
      <c r="AJB83" s="368"/>
      <c r="AJC83" s="368"/>
      <c r="AJD83" s="368"/>
      <c r="AJE83" s="368"/>
      <c r="AJF83" s="368"/>
      <c r="AJG83" s="368"/>
      <c r="AJH83" s="368"/>
      <c r="AJI83" s="368"/>
      <c r="AJJ83" s="368"/>
      <c r="AJK83" s="368"/>
      <c r="AJL83" s="368"/>
      <c r="AJM83" s="368"/>
      <c r="AJN83" s="368"/>
      <c r="AJO83" s="368"/>
      <c r="AJP83" s="368"/>
      <c r="AJQ83" s="368"/>
      <c r="AJR83" s="368"/>
      <c r="AJS83" s="368"/>
      <c r="AJT83" s="368"/>
      <c r="AJU83" s="368"/>
      <c r="AJV83" s="368"/>
      <c r="AJW83" s="368"/>
      <c r="AJX83" s="368"/>
      <c r="AJY83" s="368"/>
      <c r="AJZ83" s="368"/>
      <c r="AKA83" s="368"/>
      <c r="AKB83" s="368"/>
      <c r="AKC83" s="368"/>
      <c r="AKD83" s="368"/>
      <c r="AKE83" s="368"/>
      <c r="AKF83" s="368"/>
      <c r="AKG83" s="368"/>
      <c r="AKH83" s="368"/>
      <c r="AKI83" s="368"/>
      <c r="AKJ83" s="368"/>
      <c r="AKK83" s="368"/>
      <c r="AKL83" s="368"/>
      <c r="AKM83" s="368"/>
      <c r="AKN83" s="368"/>
    </row>
    <row r="84" spans="1:976" s="346" customFormat="1" ht="22.5" customHeight="1" x14ac:dyDescent="0.2">
      <c r="A84" s="370" t="s">
        <v>262</v>
      </c>
      <c r="B84" s="370"/>
      <c r="C84" s="370" t="s">
        <v>221</v>
      </c>
      <c r="D84" s="370" t="s">
        <v>222</v>
      </c>
      <c r="E84" s="371">
        <v>411353</v>
      </c>
      <c r="F84" s="371">
        <v>1349</v>
      </c>
      <c r="G84" s="371">
        <v>204</v>
      </c>
      <c r="H84" s="371">
        <v>0</v>
      </c>
      <c r="I84" s="372">
        <v>45846</v>
      </c>
      <c r="J84" s="370" t="s">
        <v>395</v>
      </c>
      <c r="K84" s="370" t="s">
        <v>511</v>
      </c>
      <c r="L84" s="373">
        <v>94.21</v>
      </c>
      <c r="M84" s="373">
        <v>5.18</v>
      </c>
      <c r="N84" s="444">
        <v>99.39</v>
      </c>
      <c r="O84" s="370"/>
      <c r="P84" s="374">
        <v>45848</v>
      </c>
      <c r="Q84" s="373">
        <v>99.39</v>
      </c>
      <c r="R84" s="370" t="s">
        <v>512</v>
      </c>
      <c r="S84" s="373">
        <v>0</v>
      </c>
      <c r="T84" s="373">
        <v>0</v>
      </c>
      <c r="U84" s="373">
        <v>0</v>
      </c>
      <c r="V84" s="373">
        <v>0</v>
      </c>
      <c r="W84" s="370"/>
      <c r="X84" s="370" t="s">
        <v>293</v>
      </c>
      <c r="Y84" s="370" t="s">
        <v>294</v>
      </c>
      <c r="Z84" s="370" t="s">
        <v>42</v>
      </c>
      <c r="AA84" s="370" t="s">
        <v>228</v>
      </c>
      <c r="AB84" s="370" t="s">
        <v>235</v>
      </c>
      <c r="AC84" s="370" t="s">
        <v>331</v>
      </c>
      <c r="AD84" s="370" t="s">
        <v>231</v>
      </c>
      <c r="AE84" s="370" t="s">
        <v>232</v>
      </c>
      <c r="AF84" s="370" t="s">
        <v>231</v>
      </c>
      <c r="AG84" s="370" t="s">
        <v>232</v>
      </c>
      <c r="AH84" s="370"/>
      <c r="AI84" s="370"/>
      <c r="AJ84" s="370"/>
      <c r="AK84" s="370" t="s">
        <v>513</v>
      </c>
      <c r="AL84" s="371">
        <v>1</v>
      </c>
      <c r="AM84" s="371">
        <v>0</v>
      </c>
      <c r="AN84" s="372">
        <v>45848</v>
      </c>
      <c r="AO84" s="372">
        <v>45848</v>
      </c>
      <c r="AP84" s="373">
        <v>99.39</v>
      </c>
      <c r="AQ84" s="372">
        <v>45847</v>
      </c>
      <c r="AR84" s="368"/>
      <c r="AS84" s="368"/>
      <c r="AT84" s="368"/>
      <c r="AU84" s="368"/>
      <c r="AV84" s="368"/>
      <c r="AW84" s="368"/>
      <c r="AX84" s="368"/>
      <c r="AY84" s="368"/>
      <c r="AZ84" s="368"/>
      <c r="BA84" s="368"/>
      <c r="BB84" s="368"/>
      <c r="BC84" s="368"/>
      <c r="BD84" s="368"/>
      <c r="BE84" s="368"/>
      <c r="BF84" s="368"/>
      <c r="BG84" s="368"/>
      <c r="BH84" s="368"/>
      <c r="BI84" s="368"/>
      <c r="BJ84" s="368"/>
      <c r="BK84" s="368"/>
      <c r="BL84" s="368"/>
      <c r="BM84" s="368"/>
      <c r="BN84" s="368"/>
      <c r="BO84" s="368"/>
      <c r="BP84" s="368"/>
      <c r="BQ84" s="368"/>
      <c r="BR84" s="368"/>
      <c r="BS84" s="368"/>
      <c r="BT84" s="368"/>
      <c r="BU84" s="368"/>
      <c r="BV84" s="368"/>
      <c r="BW84" s="368"/>
      <c r="BX84" s="368"/>
      <c r="BY84" s="368"/>
      <c r="BZ84" s="368"/>
      <c r="CA84" s="368"/>
      <c r="CB84" s="368"/>
      <c r="CC84" s="368"/>
      <c r="CD84" s="368"/>
      <c r="CE84" s="368"/>
      <c r="CF84" s="368"/>
      <c r="CG84" s="368"/>
      <c r="CH84" s="368"/>
      <c r="CI84" s="368"/>
      <c r="CJ84" s="368"/>
      <c r="CK84" s="368"/>
      <c r="CL84" s="368"/>
      <c r="CM84" s="368"/>
      <c r="CN84" s="368"/>
      <c r="CO84" s="368"/>
      <c r="CP84" s="368"/>
      <c r="CQ84" s="368"/>
      <c r="CR84" s="368"/>
      <c r="CS84" s="368"/>
      <c r="CT84" s="368"/>
      <c r="CU84" s="368"/>
      <c r="CV84" s="368"/>
      <c r="CW84" s="368"/>
      <c r="CX84" s="368"/>
      <c r="CY84" s="368"/>
      <c r="CZ84" s="368"/>
      <c r="DA84" s="368"/>
      <c r="DB84" s="368"/>
      <c r="DC84" s="368"/>
      <c r="DD84" s="368"/>
      <c r="DE84" s="368"/>
      <c r="DF84" s="368"/>
      <c r="DG84" s="368"/>
      <c r="DH84" s="368"/>
      <c r="DI84" s="368"/>
      <c r="DJ84" s="368"/>
      <c r="DK84" s="368"/>
      <c r="DL84" s="368"/>
      <c r="DM84" s="368"/>
      <c r="DN84" s="368"/>
      <c r="DO84" s="368"/>
      <c r="DP84" s="368"/>
      <c r="DQ84" s="368"/>
      <c r="DR84" s="368"/>
      <c r="DS84" s="368"/>
      <c r="DT84" s="368"/>
      <c r="DU84" s="368"/>
      <c r="DV84" s="368"/>
      <c r="DW84" s="368"/>
      <c r="DX84" s="368"/>
      <c r="DY84" s="368"/>
      <c r="DZ84" s="368"/>
      <c r="EA84" s="368"/>
      <c r="EB84" s="368"/>
      <c r="EC84" s="368"/>
      <c r="ED84" s="368"/>
      <c r="EE84" s="368"/>
      <c r="EF84" s="368"/>
      <c r="EG84" s="368"/>
      <c r="EH84" s="368"/>
      <c r="EI84" s="368"/>
      <c r="EJ84" s="368"/>
      <c r="EK84" s="368"/>
      <c r="EL84" s="368"/>
      <c r="EM84" s="368"/>
      <c r="EN84" s="368"/>
      <c r="EO84" s="368"/>
      <c r="EP84" s="368"/>
      <c r="EQ84" s="368"/>
      <c r="ER84" s="368"/>
      <c r="ES84" s="368"/>
      <c r="ET84" s="368"/>
      <c r="EU84" s="368"/>
      <c r="EV84" s="368"/>
      <c r="EW84" s="368"/>
      <c r="EX84" s="368"/>
      <c r="EY84" s="368"/>
      <c r="EZ84" s="368"/>
      <c r="FA84" s="368"/>
      <c r="FB84" s="368"/>
      <c r="FC84" s="368"/>
      <c r="FD84" s="368"/>
      <c r="FE84" s="368"/>
      <c r="FF84" s="368"/>
      <c r="FG84" s="368"/>
      <c r="FH84" s="368"/>
      <c r="FI84" s="368"/>
      <c r="FJ84" s="368"/>
      <c r="FK84" s="368"/>
      <c r="FL84" s="368"/>
      <c r="FM84" s="368"/>
      <c r="FN84" s="368"/>
      <c r="FO84" s="368"/>
      <c r="FP84" s="368"/>
      <c r="FQ84" s="368"/>
      <c r="FR84" s="368"/>
      <c r="FS84" s="368"/>
      <c r="FT84" s="368"/>
      <c r="FU84" s="368"/>
      <c r="FV84" s="368"/>
      <c r="FW84" s="368"/>
      <c r="FX84" s="368"/>
      <c r="FY84" s="368"/>
      <c r="FZ84" s="368"/>
      <c r="GA84" s="368"/>
      <c r="GB84" s="368"/>
      <c r="GC84" s="368"/>
      <c r="GD84" s="368"/>
      <c r="GE84" s="368"/>
      <c r="GF84" s="368"/>
      <c r="GG84" s="368"/>
      <c r="GH84" s="368"/>
      <c r="GI84" s="368"/>
      <c r="GJ84" s="368"/>
      <c r="GK84" s="368"/>
      <c r="GL84" s="368"/>
      <c r="GM84" s="368"/>
      <c r="GN84" s="368"/>
      <c r="GO84" s="368"/>
      <c r="GP84" s="368"/>
      <c r="GQ84" s="368"/>
      <c r="GR84" s="368"/>
      <c r="GS84" s="368"/>
      <c r="GT84" s="368"/>
      <c r="GU84" s="368"/>
      <c r="GV84" s="368"/>
      <c r="GW84" s="368"/>
      <c r="GX84" s="368"/>
      <c r="GY84" s="368"/>
      <c r="GZ84" s="368"/>
      <c r="HA84" s="368"/>
      <c r="HB84" s="368"/>
      <c r="HC84" s="368"/>
      <c r="HD84" s="368"/>
      <c r="HE84" s="368"/>
      <c r="HF84" s="368"/>
      <c r="HG84" s="368"/>
      <c r="HH84" s="368"/>
      <c r="HI84" s="368"/>
      <c r="HJ84" s="368"/>
      <c r="HK84" s="368"/>
      <c r="HL84" s="368"/>
      <c r="HM84" s="368"/>
      <c r="HN84" s="368"/>
      <c r="HO84" s="368"/>
      <c r="HP84" s="368"/>
      <c r="HQ84" s="368"/>
      <c r="HR84" s="368"/>
      <c r="HS84" s="368"/>
      <c r="HT84" s="368"/>
      <c r="HU84" s="368"/>
      <c r="HV84" s="368"/>
      <c r="HW84" s="368"/>
      <c r="HX84" s="368"/>
      <c r="HY84" s="368"/>
      <c r="HZ84" s="368"/>
      <c r="IA84" s="368"/>
      <c r="IB84" s="368"/>
      <c r="IC84" s="368"/>
      <c r="ID84" s="368"/>
      <c r="IE84" s="368"/>
      <c r="IF84" s="368"/>
      <c r="IG84" s="368"/>
      <c r="IH84" s="368"/>
      <c r="II84" s="368"/>
      <c r="IJ84" s="368"/>
      <c r="IK84" s="368"/>
      <c r="IL84" s="368"/>
      <c r="IM84" s="368"/>
      <c r="IN84" s="368"/>
      <c r="IO84" s="368"/>
      <c r="IP84" s="368"/>
      <c r="IQ84" s="368"/>
      <c r="IR84" s="368"/>
      <c r="IS84" s="368"/>
      <c r="IT84" s="368"/>
      <c r="IU84" s="368"/>
      <c r="IV84" s="368"/>
      <c r="IW84" s="368"/>
      <c r="IX84" s="368"/>
      <c r="IY84" s="368"/>
      <c r="IZ84" s="368"/>
      <c r="JA84" s="368"/>
      <c r="JB84" s="368"/>
      <c r="JC84" s="368"/>
      <c r="JD84" s="368"/>
      <c r="JE84" s="368"/>
      <c r="JF84" s="368"/>
      <c r="JG84" s="368"/>
      <c r="JH84" s="368"/>
      <c r="JI84" s="368"/>
      <c r="JJ84" s="368"/>
      <c r="JK84" s="368"/>
      <c r="JL84" s="368"/>
      <c r="JM84" s="368"/>
      <c r="JN84" s="368"/>
      <c r="JO84" s="368"/>
      <c r="JP84" s="368"/>
      <c r="JQ84" s="368"/>
      <c r="JR84" s="368"/>
      <c r="JS84" s="368"/>
      <c r="JT84" s="368"/>
      <c r="JU84" s="368"/>
      <c r="JV84" s="368"/>
      <c r="JW84" s="368"/>
      <c r="JX84" s="368"/>
      <c r="JY84" s="368"/>
      <c r="JZ84" s="368"/>
      <c r="KA84" s="368"/>
      <c r="KB84" s="368"/>
      <c r="KC84" s="368"/>
      <c r="KD84" s="368"/>
      <c r="KE84" s="368"/>
      <c r="KF84" s="368"/>
      <c r="KG84" s="368"/>
      <c r="KH84" s="368"/>
      <c r="KI84" s="368"/>
      <c r="KJ84" s="368"/>
      <c r="KK84" s="368"/>
      <c r="KL84" s="368"/>
      <c r="KM84" s="368"/>
      <c r="KN84" s="368"/>
      <c r="KO84" s="368"/>
      <c r="KP84" s="368"/>
      <c r="KQ84" s="368"/>
      <c r="KR84" s="368"/>
      <c r="KS84" s="368"/>
      <c r="KT84" s="368"/>
      <c r="KU84" s="368"/>
      <c r="KV84" s="368"/>
      <c r="KW84" s="368"/>
      <c r="KX84" s="368"/>
      <c r="KY84" s="368"/>
      <c r="KZ84" s="368"/>
      <c r="LA84" s="368"/>
      <c r="LB84" s="368"/>
      <c r="LC84" s="368"/>
      <c r="LD84" s="368"/>
      <c r="LE84" s="368"/>
      <c r="LF84" s="368"/>
      <c r="LG84" s="368"/>
      <c r="LH84" s="368"/>
      <c r="LI84" s="368"/>
      <c r="LJ84" s="368"/>
      <c r="LK84" s="368"/>
      <c r="LL84" s="368"/>
      <c r="LM84" s="368"/>
      <c r="LN84" s="368"/>
      <c r="LO84" s="368"/>
      <c r="LP84" s="368"/>
      <c r="LQ84" s="368"/>
      <c r="LR84" s="368"/>
      <c r="LS84" s="368"/>
      <c r="LT84" s="368"/>
      <c r="LU84" s="368"/>
      <c r="LV84" s="368"/>
      <c r="LW84" s="368"/>
      <c r="LX84" s="368"/>
      <c r="LY84" s="368"/>
      <c r="LZ84" s="368"/>
      <c r="MA84" s="368"/>
      <c r="MB84" s="368"/>
      <c r="MC84" s="368"/>
      <c r="MD84" s="368"/>
      <c r="ME84" s="368"/>
      <c r="MF84" s="368"/>
      <c r="MG84" s="368"/>
      <c r="MH84" s="368"/>
      <c r="MI84" s="368"/>
      <c r="MJ84" s="368"/>
      <c r="MK84" s="368"/>
      <c r="ML84" s="368"/>
      <c r="MM84" s="368"/>
      <c r="MN84" s="368"/>
      <c r="MO84" s="368"/>
      <c r="MP84" s="368"/>
      <c r="MQ84" s="368"/>
      <c r="MR84" s="368"/>
      <c r="MS84" s="368"/>
      <c r="MT84" s="368"/>
      <c r="MU84" s="368"/>
      <c r="MV84" s="368"/>
      <c r="MW84" s="368"/>
      <c r="MX84" s="368"/>
      <c r="MY84" s="368"/>
      <c r="MZ84" s="368"/>
      <c r="NA84" s="368"/>
      <c r="NB84" s="368"/>
      <c r="NC84" s="368"/>
      <c r="ND84" s="368"/>
      <c r="NE84" s="368"/>
      <c r="NF84" s="368"/>
      <c r="NG84" s="368"/>
      <c r="NH84" s="368"/>
      <c r="NI84" s="368"/>
      <c r="NJ84" s="368"/>
      <c r="NK84" s="368"/>
      <c r="NL84" s="368"/>
      <c r="NM84" s="368"/>
      <c r="NN84" s="368"/>
      <c r="NO84" s="368"/>
      <c r="NP84" s="368"/>
      <c r="NQ84" s="368"/>
      <c r="NR84" s="368"/>
      <c r="NS84" s="368"/>
      <c r="NT84" s="368"/>
      <c r="NU84" s="368"/>
      <c r="NV84" s="368"/>
      <c r="NW84" s="368"/>
      <c r="NX84" s="368"/>
      <c r="NY84" s="368"/>
      <c r="NZ84" s="368"/>
      <c r="OA84" s="368"/>
      <c r="OB84" s="368"/>
      <c r="OC84" s="368"/>
      <c r="OD84" s="368"/>
      <c r="OE84" s="368"/>
      <c r="OF84" s="368"/>
      <c r="OG84" s="368"/>
      <c r="OH84" s="368"/>
      <c r="OI84" s="368"/>
      <c r="OJ84" s="368"/>
      <c r="OK84" s="368"/>
      <c r="OL84" s="368"/>
      <c r="OM84" s="368"/>
      <c r="ON84" s="368"/>
      <c r="OO84" s="368"/>
      <c r="OP84" s="368"/>
      <c r="OQ84" s="368"/>
      <c r="OR84" s="368"/>
      <c r="OS84" s="368"/>
      <c r="OT84" s="368"/>
      <c r="OU84" s="368"/>
      <c r="OV84" s="368"/>
      <c r="OW84" s="368"/>
      <c r="OX84" s="368"/>
      <c r="OY84" s="368"/>
      <c r="OZ84" s="368"/>
      <c r="PA84" s="368"/>
      <c r="PB84" s="368"/>
      <c r="PC84" s="368"/>
      <c r="PD84" s="368"/>
      <c r="PE84" s="368"/>
      <c r="PF84" s="368"/>
      <c r="PG84" s="368"/>
      <c r="PH84" s="368"/>
      <c r="PI84" s="368"/>
      <c r="PJ84" s="368"/>
      <c r="PK84" s="368"/>
      <c r="PL84" s="368"/>
      <c r="PM84" s="368"/>
      <c r="PN84" s="368"/>
      <c r="PO84" s="368"/>
      <c r="PP84" s="368"/>
      <c r="PQ84" s="368"/>
      <c r="PR84" s="368"/>
      <c r="PS84" s="368"/>
      <c r="PT84" s="368"/>
      <c r="PU84" s="368"/>
      <c r="PV84" s="368"/>
      <c r="PW84" s="368"/>
      <c r="PX84" s="368"/>
      <c r="PY84" s="368"/>
      <c r="PZ84" s="368"/>
      <c r="QA84" s="368"/>
      <c r="QB84" s="368"/>
      <c r="QC84" s="368"/>
      <c r="QD84" s="368"/>
      <c r="QE84" s="368"/>
      <c r="QF84" s="368"/>
      <c r="QG84" s="368"/>
      <c r="QH84" s="368"/>
      <c r="QI84" s="368"/>
      <c r="QJ84" s="368"/>
      <c r="QK84" s="368"/>
      <c r="QL84" s="368"/>
      <c r="QM84" s="368"/>
      <c r="QN84" s="368"/>
      <c r="QO84" s="368"/>
      <c r="QP84" s="368"/>
      <c r="QQ84" s="368"/>
      <c r="QR84" s="368"/>
      <c r="QS84" s="368"/>
      <c r="QT84" s="368"/>
      <c r="QU84" s="368"/>
      <c r="QV84" s="368"/>
      <c r="QW84" s="368"/>
      <c r="QX84" s="368"/>
      <c r="QY84" s="368"/>
      <c r="QZ84" s="368"/>
      <c r="RA84" s="368"/>
      <c r="RB84" s="368"/>
      <c r="RC84" s="368"/>
      <c r="RD84" s="368"/>
      <c r="RE84" s="368"/>
      <c r="RF84" s="368"/>
      <c r="RG84" s="368"/>
      <c r="RH84" s="368"/>
      <c r="RI84" s="368"/>
      <c r="RJ84" s="368"/>
      <c r="RK84" s="368"/>
      <c r="RL84" s="368"/>
      <c r="RM84" s="368"/>
      <c r="RN84" s="368"/>
      <c r="RO84" s="368"/>
      <c r="RP84" s="368"/>
      <c r="RQ84" s="368"/>
      <c r="RR84" s="368"/>
      <c r="RS84" s="368"/>
      <c r="RT84" s="368"/>
      <c r="RU84" s="368"/>
      <c r="RV84" s="368"/>
      <c r="RW84" s="368"/>
      <c r="RX84" s="368"/>
      <c r="RY84" s="368"/>
      <c r="RZ84" s="368"/>
      <c r="SA84" s="368"/>
      <c r="SB84" s="368"/>
      <c r="SC84" s="368"/>
      <c r="SD84" s="368"/>
      <c r="SE84" s="368"/>
      <c r="SF84" s="368"/>
      <c r="SG84" s="368"/>
      <c r="SH84" s="368"/>
      <c r="SI84" s="368"/>
      <c r="SJ84" s="368"/>
      <c r="SK84" s="368"/>
      <c r="SL84" s="368"/>
      <c r="SM84" s="368"/>
      <c r="SN84" s="368"/>
      <c r="SO84" s="368"/>
      <c r="SP84" s="368"/>
      <c r="SQ84" s="368"/>
      <c r="SR84" s="368"/>
      <c r="SS84" s="368"/>
      <c r="ST84" s="368"/>
      <c r="SU84" s="368"/>
      <c r="SV84" s="368"/>
      <c r="SW84" s="368"/>
      <c r="SX84" s="368"/>
      <c r="SY84" s="368"/>
      <c r="SZ84" s="368"/>
      <c r="TA84" s="368"/>
      <c r="TB84" s="368"/>
      <c r="TC84" s="368"/>
      <c r="TD84" s="368"/>
      <c r="TE84" s="368"/>
      <c r="TF84" s="368"/>
      <c r="TG84" s="368"/>
      <c r="TH84" s="368"/>
      <c r="TI84" s="368"/>
      <c r="TJ84" s="368"/>
      <c r="TK84" s="368"/>
      <c r="TL84" s="368"/>
      <c r="TM84" s="368"/>
      <c r="TN84" s="368"/>
      <c r="TO84" s="368"/>
      <c r="TP84" s="368"/>
      <c r="TQ84" s="368"/>
      <c r="TR84" s="368"/>
      <c r="TS84" s="368"/>
      <c r="TT84" s="368"/>
      <c r="TU84" s="368"/>
      <c r="TV84" s="368"/>
      <c r="TW84" s="368"/>
      <c r="TX84" s="368"/>
      <c r="TY84" s="368"/>
      <c r="TZ84" s="368"/>
      <c r="UA84" s="368"/>
      <c r="UB84" s="368"/>
      <c r="UC84" s="368"/>
      <c r="UD84" s="368"/>
      <c r="UE84" s="368"/>
      <c r="UF84" s="368"/>
      <c r="UG84" s="368"/>
      <c r="UH84" s="368"/>
      <c r="UI84" s="368"/>
      <c r="UJ84" s="368"/>
      <c r="UK84" s="368"/>
      <c r="UL84" s="368"/>
      <c r="UM84" s="368"/>
      <c r="UN84" s="368"/>
      <c r="UO84" s="368"/>
      <c r="UP84" s="368"/>
      <c r="UQ84" s="368"/>
      <c r="UR84" s="368"/>
      <c r="US84" s="368"/>
      <c r="UT84" s="368"/>
      <c r="UU84" s="368"/>
      <c r="UV84" s="368"/>
      <c r="UW84" s="368"/>
      <c r="UX84" s="368"/>
      <c r="UY84" s="368"/>
      <c r="UZ84" s="368"/>
      <c r="VA84" s="368"/>
      <c r="VB84" s="368"/>
      <c r="VC84" s="368"/>
      <c r="VD84" s="368"/>
      <c r="VE84" s="368"/>
      <c r="VF84" s="368"/>
      <c r="VG84" s="368"/>
      <c r="VH84" s="368"/>
      <c r="VI84" s="368"/>
      <c r="VJ84" s="368"/>
      <c r="VK84" s="368"/>
      <c r="VL84" s="368"/>
      <c r="VM84" s="368"/>
      <c r="VN84" s="368"/>
      <c r="VO84" s="368"/>
      <c r="VP84" s="368"/>
      <c r="VQ84" s="368"/>
      <c r="VR84" s="368"/>
      <c r="VS84" s="368"/>
      <c r="VT84" s="368"/>
      <c r="VU84" s="368"/>
      <c r="VV84" s="368"/>
      <c r="VW84" s="368"/>
      <c r="VX84" s="368"/>
      <c r="VY84" s="368"/>
      <c r="VZ84" s="368"/>
      <c r="WA84" s="368"/>
      <c r="WB84" s="368"/>
      <c r="WC84" s="368"/>
      <c r="WD84" s="368"/>
      <c r="WE84" s="368"/>
      <c r="WF84" s="368"/>
      <c r="WG84" s="368"/>
      <c r="WH84" s="368"/>
      <c r="WI84" s="368"/>
      <c r="WJ84" s="368"/>
      <c r="WK84" s="368"/>
      <c r="WL84" s="368"/>
      <c r="WM84" s="368"/>
      <c r="WN84" s="368"/>
      <c r="WO84" s="368"/>
      <c r="WP84" s="368"/>
      <c r="WQ84" s="368"/>
      <c r="WR84" s="368"/>
      <c r="WS84" s="368"/>
      <c r="WT84" s="368"/>
      <c r="WU84" s="368"/>
      <c r="WV84" s="368"/>
      <c r="WW84" s="368"/>
      <c r="WX84" s="368"/>
      <c r="WY84" s="368"/>
      <c r="WZ84" s="368"/>
      <c r="XA84" s="368"/>
      <c r="XB84" s="368"/>
      <c r="XC84" s="368"/>
      <c r="XD84" s="368"/>
      <c r="XE84" s="368"/>
      <c r="XF84" s="368"/>
      <c r="XG84" s="368"/>
      <c r="XH84" s="368"/>
      <c r="XI84" s="368"/>
      <c r="XJ84" s="368"/>
      <c r="XK84" s="368"/>
      <c r="XL84" s="368"/>
      <c r="XM84" s="368"/>
      <c r="XN84" s="368"/>
      <c r="XO84" s="368"/>
      <c r="XP84" s="368"/>
      <c r="XQ84" s="368"/>
      <c r="XR84" s="368"/>
      <c r="XS84" s="368"/>
      <c r="XT84" s="368"/>
      <c r="XU84" s="368"/>
      <c r="XV84" s="368"/>
      <c r="XW84" s="368"/>
      <c r="XX84" s="368"/>
      <c r="XY84" s="368"/>
      <c r="XZ84" s="368"/>
      <c r="YA84" s="368"/>
      <c r="YB84" s="368"/>
      <c r="YC84" s="368"/>
      <c r="YD84" s="368"/>
      <c r="YE84" s="368"/>
      <c r="YF84" s="368"/>
      <c r="YG84" s="368"/>
      <c r="YH84" s="368"/>
      <c r="YI84" s="368"/>
      <c r="YJ84" s="368"/>
      <c r="YK84" s="368"/>
      <c r="YL84" s="368"/>
      <c r="YM84" s="368"/>
      <c r="YN84" s="368"/>
      <c r="YO84" s="368"/>
      <c r="YP84" s="368"/>
      <c r="YQ84" s="368"/>
      <c r="YR84" s="368"/>
      <c r="YS84" s="368"/>
      <c r="YT84" s="368"/>
      <c r="YU84" s="368"/>
      <c r="YV84" s="368"/>
      <c r="YW84" s="368"/>
      <c r="YX84" s="368"/>
      <c r="YY84" s="368"/>
      <c r="YZ84" s="368"/>
      <c r="ZA84" s="368"/>
      <c r="ZB84" s="368"/>
      <c r="ZC84" s="368"/>
      <c r="ZD84" s="368"/>
      <c r="ZE84" s="368"/>
      <c r="ZF84" s="368"/>
      <c r="ZG84" s="368"/>
      <c r="ZH84" s="368"/>
      <c r="ZI84" s="368"/>
      <c r="ZJ84" s="368"/>
      <c r="ZK84" s="368"/>
      <c r="ZL84" s="368"/>
      <c r="ZM84" s="368"/>
      <c r="ZN84" s="368"/>
      <c r="ZO84" s="368"/>
      <c r="ZP84" s="368"/>
      <c r="ZQ84" s="368"/>
      <c r="ZR84" s="368"/>
      <c r="ZS84" s="368"/>
      <c r="ZT84" s="368"/>
      <c r="ZU84" s="368"/>
      <c r="ZV84" s="368"/>
      <c r="ZW84" s="368"/>
      <c r="ZX84" s="368"/>
      <c r="ZY84" s="368"/>
      <c r="ZZ84" s="368"/>
      <c r="AAA84" s="368"/>
      <c r="AAB84" s="368"/>
      <c r="AAC84" s="368"/>
      <c r="AAD84" s="368"/>
      <c r="AAE84" s="368"/>
      <c r="AAF84" s="368"/>
      <c r="AAG84" s="368"/>
      <c r="AAH84" s="368"/>
      <c r="AAI84" s="368"/>
      <c r="AAJ84" s="368"/>
      <c r="AAK84" s="368"/>
      <c r="AAL84" s="368"/>
      <c r="AAM84" s="368"/>
      <c r="AAN84" s="368"/>
      <c r="AAO84" s="368"/>
      <c r="AAP84" s="368"/>
      <c r="AAQ84" s="368"/>
      <c r="AAR84" s="368"/>
      <c r="AAS84" s="368"/>
      <c r="AAT84" s="368"/>
      <c r="AAU84" s="368"/>
      <c r="AAV84" s="368"/>
      <c r="AAW84" s="368"/>
      <c r="AAX84" s="368"/>
      <c r="AAY84" s="368"/>
      <c r="AAZ84" s="368"/>
      <c r="ABA84" s="368"/>
      <c r="ABB84" s="368"/>
      <c r="ABC84" s="368"/>
      <c r="ABD84" s="368"/>
      <c r="ABE84" s="368"/>
      <c r="ABF84" s="368"/>
      <c r="ABG84" s="368"/>
      <c r="ABH84" s="368"/>
      <c r="ABI84" s="368"/>
      <c r="ABJ84" s="368"/>
      <c r="ABK84" s="368"/>
      <c r="ABL84" s="368"/>
      <c r="ABM84" s="368"/>
      <c r="ABN84" s="368"/>
      <c r="ABO84" s="368"/>
      <c r="ABP84" s="368"/>
      <c r="ABQ84" s="368"/>
      <c r="ABR84" s="368"/>
      <c r="ABS84" s="368"/>
      <c r="ABT84" s="368"/>
      <c r="ABU84" s="368"/>
      <c r="ABV84" s="368"/>
      <c r="ABW84" s="368"/>
      <c r="ABX84" s="368"/>
      <c r="ABY84" s="368"/>
      <c r="ABZ84" s="368"/>
      <c r="ACA84" s="368"/>
      <c r="ACB84" s="368"/>
      <c r="ACC84" s="368"/>
      <c r="ACD84" s="368"/>
      <c r="ACE84" s="368"/>
      <c r="ACF84" s="368"/>
      <c r="ACG84" s="368"/>
      <c r="ACH84" s="368"/>
      <c r="ACI84" s="368"/>
      <c r="ACJ84" s="368"/>
      <c r="ACK84" s="368"/>
      <c r="ACL84" s="368"/>
      <c r="ACM84" s="368"/>
      <c r="ACN84" s="368"/>
      <c r="ACO84" s="368"/>
      <c r="ACP84" s="368"/>
      <c r="ACQ84" s="368"/>
      <c r="ACR84" s="368"/>
      <c r="ACS84" s="368"/>
      <c r="ACT84" s="368"/>
      <c r="ACU84" s="368"/>
      <c r="ACV84" s="368"/>
      <c r="ACW84" s="368"/>
      <c r="ACX84" s="368"/>
      <c r="ACY84" s="368"/>
      <c r="ACZ84" s="368"/>
      <c r="ADA84" s="368"/>
      <c r="ADB84" s="368"/>
      <c r="ADC84" s="368"/>
      <c r="ADD84" s="368"/>
      <c r="ADE84" s="368"/>
      <c r="ADF84" s="368"/>
      <c r="ADG84" s="368"/>
      <c r="ADH84" s="368"/>
      <c r="ADI84" s="368"/>
      <c r="ADJ84" s="368"/>
      <c r="ADK84" s="368"/>
      <c r="ADL84" s="368"/>
      <c r="ADM84" s="368"/>
      <c r="ADN84" s="368"/>
      <c r="ADO84" s="368"/>
      <c r="ADP84" s="368"/>
      <c r="ADQ84" s="368"/>
      <c r="ADR84" s="368"/>
      <c r="ADS84" s="368"/>
      <c r="ADT84" s="368"/>
      <c r="ADU84" s="368"/>
      <c r="ADV84" s="368"/>
      <c r="ADW84" s="368"/>
      <c r="ADX84" s="368"/>
      <c r="ADY84" s="368"/>
      <c r="ADZ84" s="368"/>
      <c r="AEA84" s="368"/>
      <c r="AEB84" s="368"/>
      <c r="AEC84" s="368"/>
      <c r="AED84" s="368"/>
      <c r="AEE84" s="368"/>
      <c r="AEF84" s="368"/>
      <c r="AEG84" s="368"/>
      <c r="AEH84" s="368"/>
      <c r="AEI84" s="368"/>
      <c r="AEJ84" s="368"/>
      <c r="AEK84" s="368"/>
      <c r="AEL84" s="368"/>
      <c r="AEM84" s="368"/>
      <c r="AEN84" s="368"/>
      <c r="AEO84" s="368"/>
      <c r="AEP84" s="368"/>
      <c r="AEQ84" s="368"/>
      <c r="AER84" s="368"/>
      <c r="AES84" s="368"/>
      <c r="AET84" s="368"/>
      <c r="AEU84" s="368"/>
      <c r="AEV84" s="368"/>
      <c r="AEW84" s="368"/>
      <c r="AEX84" s="368"/>
      <c r="AEY84" s="368"/>
      <c r="AEZ84" s="368"/>
      <c r="AFA84" s="368"/>
      <c r="AFB84" s="368"/>
      <c r="AFC84" s="368"/>
      <c r="AFD84" s="368"/>
      <c r="AFE84" s="368"/>
      <c r="AFF84" s="368"/>
      <c r="AFG84" s="368"/>
      <c r="AFH84" s="368"/>
      <c r="AFI84" s="368"/>
      <c r="AFJ84" s="368"/>
      <c r="AFK84" s="368"/>
      <c r="AFL84" s="368"/>
      <c r="AFM84" s="368"/>
      <c r="AFN84" s="368"/>
      <c r="AFO84" s="368"/>
      <c r="AFP84" s="368"/>
      <c r="AFQ84" s="368"/>
      <c r="AFR84" s="368"/>
      <c r="AFS84" s="368"/>
      <c r="AFT84" s="368"/>
      <c r="AFU84" s="368"/>
      <c r="AFV84" s="368"/>
      <c r="AFW84" s="368"/>
      <c r="AFX84" s="368"/>
      <c r="AFY84" s="368"/>
      <c r="AFZ84" s="368"/>
      <c r="AGA84" s="368"/>
      <c r="AGB84" s="368"/>
      <c r="AGC84" s="368"/>
      <c r="AGD84" s="368"/>
      <c r="AGE84" s="368"/>
      <c r="AGF84" s="368"/>
      <c r="AGG84" s="368"/>
      <c r="AGH84" s="368"/>
      <c r="AGI84" s="368"/>
      <c r="AGJ84" s="368"/>
      <c r="AGK84" s="368"/>
      <c r="AGL84" s="368"/>
      <c r="AGM84" s="368"/>
      <c r="AGN84" s="368"/>
      <c r="AGO84" s="368"/>
      <c r="AGP84" s="368"/>
      <c r="AGQ84" s="368"/>
      <c r="AGR84" s="368"/>
      <c r="AGS84" s="368"/>
      <c r="AGT84" s="368"/>
      <c r="AGU84" s="368"/>
      <c r="AGV84" s="368"/>
      <c r="AGW84" s="368"/>
      <c r="AGX84" s="368"/>
      <c r="AGY84" s="368"/>
      <c r="AGZ84" s="368"/>
      <c r="AHA84" s="368"/>
      <c r="AHB84" s="368"/>
      <c r="AHC84" s="368"/>
      <c r="AHD84" s="368"/>
      <c r="AHE84" s="368"/>
      <c r="AHF84" s="368"/>
      <c r="AHG84" s="368"/>
      <c r="AHH84" s="368"/>
      <c r="AHI84" s="368"/>
      <c r="AHJ84" s="368"/>
      <c r="AHK84" s="368"/>
      <c r="AHL84" s="368"/>
      <c r="AHM84" s="368"/>
      <c r="AHN84" s="368"/>
      <c r="AHO84" s="368"/>
      <c r="AHP84" s="368"/>
      <c r="AHQ84" s="368"/>
      <c r="AHR84" s="368"/>
      <c r="AHS84" s="368"/>
      <c r="AHT84" s="368"/>
      <c r="AHU84" s="368"/>
      <c r="AHV84" s="368"/>
      <c r="AHW84" s="368"/>
      <c r="AHX84" s="368"/>
      <c r="AHY84" s="368"/>
      <c r="AHZ84" s="368"/>
      <c r="AIA84" s="368"/>
      <c r="AIB84" s="368"/>
      <c r="AIC84" s="368"/>
      <c r="AID84" s="368"/>
      <c r="AIE84" s="368"/>
      <c r="AIF84" s="368"/>
      <c r="AIG84" s="368"/>
      <c r="AIH84" s="368"/>
      <c r="AII84" s="368"/>
      <c r="AIJ84" s="368"/>
      <c r="AIK84" s="368"/>
      <c r="AIL84" s="368"/>
      <c r="AIM84" s="368"/>
      <c r="AIN84" s="368"/>
      <c r="AIO84" s="368"/>
      <c r="AIP84" s="368"/>
      <c r="AIQ84" s="368"/>
      <c r="AIR84" s="368"/>
      <c r="AIS84" s="368"/>
      <c r="AIT84" s="368"/>
      <c r="AIU84" s="368"/>
      <c r="AIV84" s="368"/>
      <c r="AIW84" s="368"/>
      <c r="AIX84" s="368"/>
      <c r="AIY84" s="368"/>
      <c r="AIZ84" s="368"/>
      <c r="AJA84" s="368"/>
      <c r="AJB84" s="368"/>
      <c r="AJC84" s="368"/>
      <c r="AJD84" s="368"/>
      <c r="AJE84" s="368"/>
      <c r="AJF84" s="368"/>
      <c r="AJG84" s="368"/>
      <c r="AJH84" s="368"/>
      <c r="AJI84" s="368"/>
      <c r="AJJ84" s="368"/>
      <c r="AJK84" s="368"/>
      <c r="AJL84" s="368"/>
      <c r="AJM84" s="368"/>
      <c r="AJN84" s="368"/>
      <c r="AJO84" s="368"/>
      <c r="AJP84" s="368"/>
      <c r="AJQ84" s="368"/>
      <c r="AJR84" s="368"/>
      <c r="AJS84" s="368"/>
      <c r="AJT84" s="368"/>
      <c r="AJU84" s="368"/>
      <c r="AJV84" s="368"/>
      <c r="AJW84" s="368"/>
      <c r="AJX84" s="368"/>
      <c r="AJY84" s="368"/>
      <c r="AJZ84" s="368"/>
      <c r="AKA84" s="368"/>
      <c r="AKB84" s="368"/>
      <c r="AKC84" s="368"/>
      <c r="AKD84" s="368"/>
      <c r="AKE84" s="368"/>
      <c r="AKF84" s="368"/>
      <c r="AKG84" s="368"/>
      <c r="AKH84" s="368"/>
      <c r="AKI84" s="368"/>
      <c r="AKJ84" s="368"/>
      <c r="AKK84" s="368"/>
      <c r="AKL84" s="368"/>
      <c r="AKM84" s="368"/>
      <c r="AKN84" s="368"/>
    </row>
    <row r="85" spans="1:976" s="346" customFormat="1" ht="22.5" customHeight="1" x14ac:dyDescent="0.2">
      <c r="A85" s="370" t="s">
        <v>262</v>
      </c>
      <c r="B85" s="370"/>
      <c r="C85" s="370" t="s">
        <v>221</v>
      </c>
      <c r="D85" s="370" t="s">
        <v>222</v>
      </c>
      <c r="E85" s="371">
        <v>411354</v>
      </c>
      <c r="F85" s="371">
        <v>1350</v>
      </c>
      <c r="G85" s="371">
        <v>204</v>
      </c>
      <c r="H85" s="371">
        <v>0</v>
      </c>
      <c r="I85" s="372">
        <v>45846</v>
      </c>
      <c r="J85" s="370" t="s">
        <v>395</v>
      </c>
      <c r="K85" s="370" t="s">
        <v>514</v>
      </c>
      <c r="L85" s="373">
        <v>28.01</v>
      </c>
      <c r="M85" s="373">
        <v>1.54</v>
      </c>
      <c r="N85" s="444">
        <v>29.55</v>
      </c>
      <c r="O85" s="370"/>
      <c r="P85" s="374">
        <v>45848</v>
      </c>
      <c r="Q85" s="373">
        <v>29.55</v>
      </c>
      <c r="R85" s="370" t="s">
        <v>515</v>
      </c>
      <c r="S85" s="373">
        <v>0</v>
      </c>
      <c r="T85" s="373">
        <v>0</v>
      </c>
      <c r="U85" s="373">
        <v>0</v>
      </c>
      <c r="V85" s="373">
        <v>0</v>
      </c>
      <c r="W85" s="370"/>
      <c r="X85" s="370" t="s">
        <v>293</v>
      </c>
      <c r="Y85" s="370" t="s">
        <v>294</v>
      </c>
      <c r="Z85" s="370" t="s">
        <v>42</v>
      </c>
      <c r="AA85" s="370" t="s">
        <v>228</v>
      </c>
      <c r="AB85" s="370" t="s">
        <v>235</v>
      </c>
      <c r="AC85" s="370" t="s">
        <v>331</v>
      </c>
      <c r="AD85" s="370" t="s">
        <v>231</v>
      </c>
      <c r="AE85" s="370" t="s">
        <v>232</v>
      </c>
      <c r="AF85" s="370" t="s">
        <v>231</v>
      </c>
      <c r="AG85" s="370" t="s">
        <v>232</v>
      </c>
      <c r="AH85" s="370"/>
      <c r="AI85" s="370"/>
      <c r="AJ85" s="370"/>
      <c r="AK85" s="370" t="s">
        <v>516</v>
      </c>
      <c r="AL85" s="371">
        <v>1</v>
      </c>
      <c r="AM85" s="371">
        <v>0</v>
      </c>
      <c r="AN85" s="372">
        <v>45848</v>
      </c>
      <c r="AO85" s="372">
        <v>45848</v>
      </c>
      <c r="AP85" s="373">
        <v>29.55</v>
      </c>
      <c r="AQ85" s="372">
        <v>45847</v>
      </c>
      <c r="AR85" s="368"/>
      <c r="AS85" s="368"/>
      <c r="AT85" s="368"/>
      <c r="AU85" s="368"/>
      <c r="AV85" s="368"/>
      <c r="AW85" s="368"/>
      <c r="AX85" s="368"/>
      <c r="AY85" s="368"/>
      <c r="AZ85" s="368"/>
      <c r="BA85" s="368"/>
      <c r="BB85" s="368"/>
      <c r="BC85" s="368"/>
      <c r="BD85" s="368"/>
      <c r="BE85" s="368"/>
      <c r="BF85" s="368"/>
      <c r="BG85" s="368"/>
      <c r="BH85" s="368"/>
      <c r="BI85" s="368"/>
      <c r="BJ85" s="368"/>
      <c r="BK85" s="368"/>
      <c r="BL85" s="368"/>
      <c r="BM85" s="368"/>
      <c r="BN85" s="368"/>
      <c r="BO85" s="368"/>
      <c r="BP85" s="368"/>
      <c r="BQ85" s="368"/>
      <c r="BR85" s="368"/>
      <c r="BS85" s="368"/>
      <c r="BT85" s="368"/>
      <c r="BU85" s="368"/>
      <c r="BV85" s="368"/>
      <c r="BW85" s="368"/>
      <c r="BX85" s="368"/>
      <c r="BY85" s="368"/>
      <c r="BZ85" s="368"/>
      <c r="CA85" s="368"/>
      <c r="CB85" s="368"/>
      <c r="CC85" s="368"/>
      <c r="CD85" s="368"/>
      <c r="CE85" s="368"/>
      <c r="CF85" s="368"/>
      <c r="CG85" s="368"/>
      <c r="CH85" s="368"/>
      <c r="CI85" s="368"/>
      <c r="CJ85" s="368"/>
      <c r="CK85" s="368"/>
      <c r="CL85" s="368"/>
      <c r="CM85" s="368"/>
      <c r="CN85" s="368"/>
      <c r="CO85" s="368"/>
      <c r="CP85" s="368"/>
      <c r="CQ85" s="368"/>
      <c r="CR85" s="368"/>
      <c r="CS85" s="368"/>
      <c r="CT85" s="368"/>
      <c r="CU85" s="368"/>
      <c r="CV85" s="368"/>
      <c r="CW85" s="368"/>
      <c r="CX85" s="368"/>
      <c r="CY85" s="368"/>
      <c r="CZ85" s="368"/>
      <c r="DA85" s="368"/>
      <c r="DB85" s="368"/>
      <c r="DC85" s="368"/>
      <c r="DD85" s="368"/>
      <c r="DE85" s="368"/>
      <c r="DF85" s="368"/>
      <c r="DG85" s="368"/>
      <c r="DH85" s="368"/>
      <c r="DI85" s="368"/>
      <c r="DJ85" s="368"/>
      <c r="DK85" s="368"/>
      <c r="DL85" s="368"/>
      <c r="DM85" s="368"/>
      <c r="DN85" s="368"/>
      <c r="DO85" s="368"/>
      <c r="DP85" s="368"/>
      <c r="DQ85" s="368"/>
      <c r="DR85" s="368"/>
      <c r="DS85" s="368"/>
      <c r="DT85" s="368"/>
      <c r="DU85" s="368"/>
      <c r="DV85" s="368"/>
      <c r="DW85" s="368"/>
      <c r="DX85" s="368"/>
      <c r="DY85" s="368"/>
      <c r="DZ85" s="368"/>
      <c r="EA85" s="368"/>
      <c r="EB85" s="368"/>
      <c r="EC85" s="368"/>
      <c r="ED85" s="368"/>
      <c r="EE85" s="368"/>
      <c r="EF85" s="368"/>
      <c r="EG85" s="368"/>
      <c r="EH85" s="368"/>
      <c r="EI85" s="368"/>
      <c r="EJ85" s="368"/>
      <c r="EK85" s="368"/>
      <c r="EL85" s="368"/>
      <c r="EM85" s="368"/>
      <c r="EN85" s="368"/>
      <c r="EO85" s="368"/>
      <c r="EP85" s="368"/>
      <c r="EQ85" s="368"/>
      <c r="ER85" s="368"/>
      <c r="ES85" s="368"/>
      <c r="ET85" s="368"/>
      <c r="EU85" s="368"/>
      <c r="EV85" s="368"/>
      <c r="EW85" s="368"/>
      <c r="EX85" s="368"/>
      <c r="EY85" s="368"/>
      <c r="EZ85" s="368"/>
      <c r="FA85" s="368"/>
      <c r="FB85" s="368"/>
      <c r="FC85" s="368"/>
      <c r="FD85" s="368"/>
      <c r="FE85" s="368"/>
      <c r="FF85" s="368"/>
      <c r="FG85" s="368"/>
      <c r="FH85" s="368"/>
      <c r="FI85" s="368"/>
      <c r="FJ85" s="368"/>
      <c r="FK85" s="368"/>
      <c r="FL85" s="368"/>
      <c r="FM85" s="368"/>
      <c r="FN85" s="368"/>
      <c r="FO85" s="368"/>
      <c r="FP85" s="368"/>
      <c r="FQ85" s="368"/>
      <c r="FR85" s="368"/>
      <c r="FS85" s="368"/>
      <c r="FT85" s="368"/>
      <c r="FU85" s="368"/>
      <c r="FV85" s="368"/>
      <c r="FW85" s="368"/>
      <c r="FX85" s="368"/>
      <c r="FY85" s="368"/>
      <c r="FZ85" s="368"/>
      <c r="GA85" s="368"/>
      <c r="GB85" s="368"/>
      <c r="GC85" s="368"/>
      <c r="GD85" s="368"/>
      <c r="GE85" s="368"/>
      <c r="GF85" s="368"/>
      <c r="GG85" s="368"/>
      <c r="GH85" s="368"/>
      <c r="GI85" s="368"/>
      <c r="GJ85" s="368"/>
      <c r="GK85" s="368"/>
      <c r="GL85" s="368"/>
      <c r="GM85" s="368"/>
      <c r="GN85" s="368"/>
      <c r="GO85" s="368"/>
      <c r="GP85" s="368"/>
      <c r="GQ85" s="368"/>
      <c r="GR85" s="368"/>
      <c r="GS85" s="368"/>
      <c r="GT85" s="368"/>
      <c r="GU85" s="368"/>
      <c r="GV85" s="368"/>
      <c r="GW85" s="368"/>
      <c r="GX85" s="368"/>
      <c r="GY85" s="368"/>
      <c r="GZ85" s="368"/>
      <c r="HA85" s="368"/>
      <c r="HB85" s="368"/>
      <c r="HC85" s="368"/>
      <c r="HD85" s="368"/>
      <c r="HE85" s="368"/>
      <c r="HF85" s="368"/>
      <c r="HG85" s="368"/>
      <c r="HH85" s="368"/>
      <c r="HI85" s="368"/>
      <c r="HJ85" s="368"/>
      <c r="HK85" s="368"/>
      <c r="HL85" s="368"/>
      <c r="HM85" s="368"/>
      <c r="HN85" s="368"/>
      <c r="HO85" s="368"/>
      <c r="HP85" s="368"/>
      <c r="HQ85" s="368"/>
      <c r="HR85" s="368"/>
      <c r="HS85" s="368"/>
      <c r="HT85" s="368"/>
      <c r="HU85" s="368"/>
      <c r="HV85" s="368"/>
      <c r="HW85" s="368"/>
      <c r="HX85" s="368"/>
      <c r="HY85" s="368"/>
      <c r="HZ85" s="368"/>
      <c r="IA85" s="368"/>
      <c r="IB85" s="368"/>
      <c r="IC85" s="368"/>
      <c r="ID85" s="368"/>
      <c r="IE85" s="368"/>
      <c r="IF85" s="368"/>
      <c r="IG85" s="368"/>
      <c r="IH85" s="368"/>
      <c r="II85" s="368"/>
      <c r="IJ85" s="368"/>
      <c r="IK85" s="368"/>
      <c r="IL85" s="368"/>
      <c r="IM85" s="368"/>
      <c r="IN85" s="368"/>
      <c r="IO85" s="368"/>
      <c r="IP85" s="368"/>
      <c r="IQ85" s="368"/>
      <c r="IR85" s="368"/>
      <c r="IS85" s="368"/>
      <c r="IT85" s="368"/>
      <c r="IU85" s="368"/>
      <c r="IV85" s="368"/>
      <c r="IW85" s="368"/>
      <c r="IX85" s="368"/>
      <c r="IY85" s="368"/>
      <c r="IZ85" s="368"/>
      <c r="JA85" s="368"/>
      <c r="JB85" s="368"/>
      <c r="JC85" s="368"/>
      <c r="JD85" s="368"/>
      <c r="JE85" s="368"/>
      <c r="JF85" s="368"/>
      <c r="JG85" s="368"/>
      <c r="JH85" s="368"/>
      <c r="JI85" s="368"/>
      <c r="JJ85" s="368"/>
      <c r="JK85" s="368"/>
      <c r="JL85" s="368"/>
      <c r="JM85" s="368"/>
      <c r="JN85" s="368"/>
      <c r="JO85" s="368"/>
      <c r="JP85" s="368"/>
      <c r="JQ85" s="368"/>
      <c r="JR85" s="368"/>
      <c r="JS85" s="368"/>
      <c r="JT85" s="368"/>
      <c r="JU85" s="368"/>
      <c r="JV85" s="368"/>
      <c r="JW85" s="368"/>
      <c r="JX85" s="368"/>
      <c r="JY85" s="368"/>
      <c r="JZ85" s="368"/>
      <c r="KA85" s="368"/>
      <c r="KB85" s="368"/>
      <c r="KC85" s="368"/>
      <c r="KD85" s="368"/>
      <c r="KE85" s="368"/>
      <c r="KF85" s="368"/>
      <c r="KG85" s="368"/>
      <c r="KH85" s="368"/>
      <c r="KI85" s="368"/>
      <c r="KJ85" s="368"/>
      <c r="KK85" s="368"/>
      <c r="KL85" s="368"/>
      <c r="KM85" s="368"/>
      <c r="KN85" s="368"/>
      <c r="KO85" s="368"/>
      <c r="KP85" s="368"/>
      <c r="KQ85" s="368"/>
      <c r="KR85" s="368"/>
      <c r="KS85" s="368"/>
      <c r="KT85" s="368"/>
      <c r="KU85" s="368"/>
      <c r="KV85" s="368"/>
      <c r="KW85" s="368"/>
      <c r="KX85" s="368"/>
      <c r="KY85" s="368"/>
      <c r="KZ85" s="368"/>
      <c r="LA85" s="368"/>
      <c r="LB85" s="368"/>
      <c r="LC85" s="368"/>
      <c r="LD85" s="368"/>
      <c r="LE85" s="368"/>
      <c r="LF85" s="368"/>
      <c r="LG85" s="368"/>
      <c r="LH85" s="368"/>
      <c r="LI85" s="368"/>
      <c r="LJ85" s="368"/>
      <c r="LK85" s="368"/>
      <c r="LL85" s="368"/>
      <c r="LM85" s="368"/>
      <c r="LN85" s="368"/>
      <c r="LO85" s="368"/>
      <c r="LP85" s="368"/>
      <c r="LQ85" s="368"/>
      <c r="LR85" s="368"/>
      <c r="LS85" s="368"/>
      <c r="LT85" s="368"/>
      <c r="LU85" s="368"/>
      <c r="LV85" s="368"/>
      <c r="LW85" s="368"/>
      <c r="LX85" s="368"/>
      <c r="LY85" s="368"/>
      <c r="LZ85" s="368"/>
      <c r="MA85" s="368"/>
      <c r="MB85" s="368"/>
      <c r="MC85" s="368"/>
      <c r="MD85" s="368"/>
      <c r="ME85" s="368"/>
      <c r="MF85" s="368"/>
      <c r="MG85" s="368"/>
      <c r="MH85" s="368"/>
      <c r="MI85" s="368"/>
      <c r="MJ85" s="368"/>
      <c r="MK85" s="368"/>
      <c r="ML85" s="368"/>
      <c r="MM85" s="368"/>
      <c r="MN85" s="368"/>
      <c r="MO85" s="368"/>
      <c r="MP85" s="368"/>
      <c r="MQ85" s="368"/>
      <c r="MR85" s="368"/>
      <c r="MS85" s="368"/>
      <c r="MT85" s="368"/>
      <c r="MU85" s="368"/>
      <c r="MV85" s="368"/>
      <c r="MW85" s="368"/>
      <c r="MX85" s="368"/>
      <c r="MY85" s="368"/>
      <c r="MZ85" s="368"/>
      <c r="NA85" s="368"/>
      <c r="NB85" s="368"/>
      <c r="NC85" s="368"/>
      <c r="ND85" s="368"/>
      <c r="NE85" s="368"/>
      <c r="NF85" s="368"/>
      <c r="NG85" s="368"/>
      <c r="NH85" s="368"/>
      <c r="NI85" s="368"/>
      <c r="NJ85" s="368"/>
      <c r="NK85" s="368"/>
      <c r="NL85" s="368"/>
      <c r="NM85" s="368"/>
      <c r="NN85" s="368"/>
      <c r="NO85" s="368"/>
      <c r="NP85" s="368"/>
      <c r="NQ85" s="368"/>
      <c r="NR85" s="368"/>
      <c r="NS85" s="368"/>
      <c r="NT85" s="368"/>
      <c r="NU85" s="368"/>
      <c r="NV85" s="368"/>
      <c r="NW85" s="368"/>
      <c r="NX85" s="368"/>
      <c r="NY85" s="368"/>
      <c r="NZ85" s="368"/>
      <c r="OA85" s="368"/>
      <c r="OB85" s="368"/>
      <c r="OC85" s="368"/>
      <c r="OD85" s="368"/>
      <c r="OE85" s="368"/>
      <c r="OF85" s="368"/>
      <c r="OG85" s="368"/>
      <c r="OH85" s="368"/>
      <c r="OI85" s="368"/>
      <c r="OJ85" s="368"/>
      <c r="OK85" s="368"/>
      <c r="OL85" s="368"/>
      <c r="OM85" s="368"/>
      <c r="ON85" s="368"/>
      <c r="OO85" s="368"/>
      <c r="OP85" s="368"/>
      <c r="OQ85" s="368"/>
      <c r="OR85" s="368"/>
      <c r="OS85" s="368"/>
      <c r="OT85" s="368"/>
      <c r="OU85" s="368"/>
      <c r="OV85" s="368"/>
      <c r="OW85" s="368"/>
      <c r="OX85" s="368"/>
      <c r="OY85" s="368"/>
      <c r="OZ85" s="368"/>
      <c r="PA85" s="368"/>
      <c r="PB85" s="368"/>
      <c r="PC85" s="368"/>
      <c r="PD85" s="368"/>
      <c r="PE85" s="368"/>
      <c r="PF85" s="368"/>
      <c r="PG85" s="368"/>
      <c r="PH85" s="368"/>
      <c r="PI85" s="368"/>
      <c r="PJ85" s="368"/>
      <c r="PK85" s="368"/>
      <c r="PL85" s="368"/>
      <c r="PM85" s="368"/>
      <c r="PN85" s="368"/>
      <c r="PO85" s="368"/>
      <c r="PP85" s="368"/>
      <c r="PQ85" s="368"/>
      <c r="PR85" s="368"/>
      <c r="PS85" s="368"/>
      <c r="PT85" s="368"/>
      <c r="PU85" s="368"/>
      <c r="PV85" s="368"/>
      <c r="PW85" s="368"/>
      <c r="PX85" s="368"/>
      <c r="PY85" s="368"/>
      <c r="PZ85" s="368"/>
      <c r="QA85" s="368"/>
      <c r="QB85" s="368"/>
      <c r="QC85" s="368"/>
      <c r="QD85" s="368"/>
      <c r="QE85" s="368"/>
      <c r="QF85" s="368"/>
      <c r="QG85" s="368"/>
      <c r="QH85" s="368"/>
      <c r="QI85" s="368"/>
      <c r="QJ85" s="368"/>
      <c r="QK85" s="368"/>
      <c r="QL85" s="368"/>
      <c r="QM85" s="368"/>
      <c r="QN85" s="368"/>
      <c r="QO85" s="368"/>
      <c r="QP85" s="368"/>
      <c r="QQ85" s="368"/>
      <c r="QR85" s="368"/>
      <c r="QS85" s="368"/>
      <c r="QT85" s="368"/>
      <c r="QU85" s="368"/>
      <c r="QV85" s="368"/>
      <c r="QW85" s="368"/>
      <c r="QX85" s="368"/>
      <c r="QY85" s="368"/>
      <c r="QZ85" s="368"/>
      <c r="RA85" s="368"/>
      <c r="RB85" s="368"/>
      <c r="RC85" s="368"/>
      <c r="RD85" s="368"/>
      <c r="RE85" s="368"/>
      <c r="RF85" s="368"/>
      <c r="RG85" s="368"/>
      <c r="RH85" s="368"/>
      <c r="RI85" s="368"/>
      <c r="RJ85" s="368"/>
      <c r="RK85" s="368"/>
      <c r="RL85" s="368"/>
      <c r="RM85" s="368"/>
      <c r="RN85" s="368"/>
      <c r="RO85" s="368"/>
      <c r="RP85" s="368"/>
      <c r="RQ85" s="368"/>
      <c r="RR85" s="368"/>
      <c r="RS85" s="368"/>
      <c r="RT85" s="368"/>
      <c r="RU85" s="368"/>
      <c r="RV85" s="368"/>
      <c r="RW85" s="368"/>
      <c r="RX85" s="368"/>
      <c r="RY85" s="368"/>
      <c r="RZ85" s="368"/>
      <c r="SA85" s="368"/>
      <c r="SB85" s="368"/>
      <c r="SC85" s="368"/>
      <c r="SD85" s="368"/>
      <c r="SE85" s="368"/>
      <c r="SF85" s="368"/>
      <c r="SG85" s="368"/>
      <c r="SH85" s="368"/>
      <c r="SI85" s="368"/>
      <c r="SJ85" s="368"/>
      <c r="SK85" s="368"/>
      <c r="SL85" s="368"/>
      <c r="SM85" s="368"/>
      <c r="SN85" s="368"/>
      <c r="SO85" s="368"/>
      <c r="SP85" s="368"/>
      <c r="SQ85" s="368"/>
      <c r="SR85" s="368"/>
      <c r="SS85" s="368"/>
      <c r="ST85" s="368"/>
      <c r="SU85" s="368"/>
      <c r="SV85" s="368"/>
      <c r="SW85" s="368"/>
      <c r="SX85" s="368"/>
      <c r="SY85" s="368"/>
      <c r="SZ85" s="368"/>
      <c r="TA85" s="368"/>
      <c r="TB85" s="368"/>
      <c r="TC85" s="368"/>
      <c r="TD85" s="368"/>
      <c r="TE85" s="368"/>
      <c r="TF85" s="368"/>
      <c r="TG85" s="368"/>
      <c r="TH85" s="368"/>
      <c r="TI85" s="368"/>
      <c r="TJ85" s="368"/>
      <c r="TK85" s="368"/>
      <c r="TL85" s="368"/>
      <c r="TM85" s="368"/>
      <c r="TN85" s="368"/>
      <c r="TO85" s="368"/>
      <c r="TP85" s="368"/>
      <c r="TQ85" s="368"/>
      <c r="TR85" s="368"/>
      <c r="TS85" s="368"/>
      <c r="TT85" s="368"/>
      <c r="TU85" s="368"/>
      <c r="TV85" s="368"/>
      <c r="TW85" s="368"/>
      <c r="TX85" s="368"/>
      <c r="TY85" s="368"/>
      <c r="TZ85" s="368"/>
      <c r="UA85" s="368"/>
      <c r="UB85" s="368"/>
      <c r="UC85" s="368"/>
      <c r="UD85" s="368"/>
      <c r="UE85" s="368"/>
      <c r="UF85" s="368"/>
      <c r="UG85" s="368"/>
      <c r="UH85" s="368"/>
      <c r="UI85" s="368"/>
      <c r="UJ85" s="368"/>
      <c r="UK85" s="368"/>
      <c r="UL85" s="368"/>
      <c r="UM85" s="368"/>
      <c r="UN85" s="368"/>
      <c r="UO85" s="368"/>
      <c r="UP85" s="368"/>
      <c r="UQ85" s="368"/>
      <c r="UR85" s="368"/>
      <c r="US85" s="368"/>
      <c r="UT85" s="368"/>
      <c r="UU85" s="368"/>
      <c r="UV85" s="368"/>
      <c r="UW85" s="368"/>
      <c r="UX85" s="368"/>
      <c r="UY85" s="368"/>
      <c r="UZ85" s="368"/>
      <c r="VA85" s="368"/>
      <c r="VB85" s="368"/>
      <c r="VC85" s="368"/>
      <c r="VD85" s="368"/>
      <c r="VE85" s="368"/>
      <c r="VF85" s="368"/>
      <c r="VG85" s="368"/>
      <c r="VH85" s="368"/>
      <c r="VI85" s="368"/>
      <c r="VJ85" s="368"/>
      <c r="VK85" s="368"/>
      <c r="VL85" s="368"/>
      <c r="VM85" s="368"/>
      <c r="VN85" s="368"/>
      <c r="VO85" s="368"/>
      <c r="VP85" s="368"/>
      <c r="VQ85" s="368"/>
      <c r="VR85" s="368"/>
      <c r="VS85" s="368"/>
      <c r="VT85" s="368"/>
      <c r="VU85" s="368"/>
      <c r="VV85" s="368"/>
      <c r="VW85" s="368"/>
      <c r="VX85" s="368"/>
      <c r="VY85" s="368"/>
      <c r="VZ85" s="368"/>
      <c r="WA85" s="368"/>
      <c r="WB85" s="368"/>
      <c r="WC85" s="368"/>
      <c r="WD85" s="368"/>
      <c r="WE85" s="368"/>
      <c r="WF85" s="368"/>
      <c r="WG85" s="368"/>
      <c r="WH85" s="368"/>
      <c r="WI85" s="368"/>
      <c r="WJ85" s="368"/>
      <c r="WK85" s="368"/>
      <c r="WL85" s="368"/>
      <c r="WM85" s="368"/>
      <c r="WN85" s="368"/>
      <c r="WO85" s="368"/>
      <c r="WP85" s="368"/>
      <c r="WQ85" s="368"/>
      <c r="WR85" s="368"/>
      <c r="WS85" s="368"/>
      <c r="WT85" s="368"/>
      <c r="WU85" s="368"/>
      <c r="WV85" s="368"/>
      <c r="WW85" s="368"/>
      <c r="WX85" s="368"/>
      <c r="WY85" s="368"/>
      <c r="WZ85" s="368"/>
      <c r="XA85" s="368"/>
      <c r="XB85" s="368"/>
      <c r="XC85" s="368"/>
      <c r="XD85" s="368"/>
      <c r="XE85" s="368"/>
      <c r="XF85" s="368"/>
      <c r="XG85" s="368"/>
      <c r="XH85" s="368"/>
      <c r="XI85" s="368"/>
      <c r="XJ85" s="368"/>
      <c r="XK85" s="368"/>
      <c r="XL85" s="368"/>
      <c r="XM85" s="368"/>
      <c r="XN85" s="368"/>
      <c r="XO85" s="368"/>
      <c r="XP85" s="368"/>
      <c r="XQ85" s="368"/>
      <c r="XR85" s="368"/>
      <c r="XS85" s="368"/>
      <c r="XT85" s="368"/>
      <c r="XU85" s="368"/>
      <c r="XV85" s="368"/>
      <c r="XW85" s="368"/>
      <c r="XX85" s="368"/>
      <c r="XY85" s="368"/>
      <c r="XZ85" s="368"/>
      <c r="YA85" s="368"/>
      <c r="YB85" s="368"/>
      <c r="YC85" s="368"/>
      <c r="YD85" s="368"/>
      <c r="YE85" s="368"/>
      <c r="YF85" s="368"/>
      <c r="YG85" s="368"/>
      <c r="YH85" s="368"/>
      <c r="YI85" s="368"/>
      <c r="YJ85" s="368"/>
      <c r="YK85" s="368"/>
      <c r="YL85" s="368"/>
      <c r="YM85" s="368"/>
      <c r="YN85" s="368"/>
      <c r="YO85" s="368"/>
      <c r="YP85" s="368"/>
      <c r="YQ85" s="368"/>
      <c r="YR85" s="368"/>
      <c r="YS85" s="368"/>
      <c r="YT85" s="368"/>
      <c r="YU85" s="368"/>
      <c r="YV85" s="368"/>
      <c r="YW85" s="368"/>
      <c r="YX85" s="368"/>
      <c r="YY85" s="368"/>
      <c r="YZ85" s="368"/>
      <c r="ZA85" s="368"/>
      <c r="ZB85" s="368"/>
      <c r="ZC85" s="368"/>
      <c r="ZD85" s="368"/>
      <c r="ZE85" s="368"/>
      <c r="ZF85" s="368"/>
      <c r="ZG85" s="368"/>
      <c r="ZH85" s="368"/>
      <c r="ZI85" s="368"/>
      <c r="ZJ85" s="368"/>
      <c r="ZK85" s="368"/>
      <c r="ZL85" s="368"/>
      <c r="ZM85" s="368"/>
      <c r="ZN85" s="368"/>
      <c r="ZO85" s="368"/>
      <c r="ZP85" s="368"/>
      <c r="ZQ85" s="368"/>
      <c r="ZR85" s="368"/>
      <c r="ZS85" s="368"/>
      <c r="ZT85" s="368"/>
      <c r="ZU85" s="368"/>
      <c r="ZV85" s="368"/>
      <c r="ZW85" s="368"/>
      <c r="ZX85" s="368"/>
      <c r="ZY85" s="368"/>
      <c r="ZZ85" s="368"/>
      <c r="AAA85" s="368"/>
      <c r="AAB85" s="368"/>
      <c r="AAC85" s="368"/>
      <c r="AAD85" s="368"/>
      <c r="AAE85" s="368"/>
      <c r="AAF85" s="368"/>
      <c r="AAG85" s="368"/>
      <c r="AAH85" s="368"/>
      <c r="AAI85" s="368"/>
      <c r="AAJ85" s="368"/>
      <c r="AAK85" s="368"/>
      <c r="AAL85" s="368"/>
      <c r="AAM85" s="368"/>
      <c r="AAN85" s="368"/>
      <c r="AAO85" s="368"/>
      <c r="AAP85" s="368"/>
      <c r="AAQ85" s="368"/>
      <c r="AAR85" s="368"/>
      <c r="AAS85" s="368"/>
      <c r="AAT85" s="368"/>
      <c r="AAU85" s="368"/>
      <c r="AAV85" s="368"/>
      <c r="AAW85" s="368"/>
      <c r="AAX85" s="368"/>
      <c r="AAY85" s="368"/>
      <c r="AAZ85" s="368"/>
      <c r="ABA85" s="368"/>
      <c r="ABB85" s="368"/>
      <c r="ABC85" s="368"/>
      <c r="ABD85" s="368"/>
      <c r="ABE85" s="368"/>
      <c r="ABF85" s="368"/>
      <c r="ABG85" s="368"/>
      <c r="ABH85" s="368"/>
      <c r="ABI85" s="368"/>
      <c r="ABJ85" s="368"/>
      <c r="ABK85" s="368"/>
      <c r="ABL85" s="368"/>
      <c r="ABM85" s="368"/>
      <c r="ABN85" s="368"/>
      <c r="ABO85" s="368"/>
      <c r="ABP85" s="368"/>
      <c r="ABQ85" s="368"/>
      <c r="ABR85" s="368"/>
      <c r="ABS85" s="368"/>
      <c r="ABT85" s="368"/>
      <c r="ABU85" s="368"/>
      <c r="ABV85" s="368"/>
      <c r="ABW85" s="368"/>
      <c r="ABX85" s="368"/>
      <c r="ABY85" s="368"/>
      <c r="ABZ85" s="368"/>
      <c r="ACA85" s="368"/>
      <c r="ACB85" s="368"/>
      <c r="ACC85" s="368"/>
      <c r="ACD85" s="368"/>
      <c r="ACE85" s="368"/>
      <c r="ACF85" s="368"/>
      <c r="ACG85" s="368"/>
      <c r="ACH85" s="368"/>
      <c r="ACI85" s="368"/>
      <c r="ACJ85" s="368"/>
      <c r="ACK85" s="368"/>
      <c r="ACL85" s="368"/>
      <c r="ACM85" s="368"/>
      <c r="ACN85" s="368"/>
      <c r="ACO85" s="368"/>
      <c r="ACP85" s="368"/>
      <c r="ACQ85" s="368"/>
      <c r="ACR85" s="368"/>
      <c r="ACS85" s="368"/>
      <c r="ACT85" s="368"/>
      <c r="ACU85" s="368"/>
      <c r="ACV85" s="368"/>
      <c r="ACW85" s="368"/>
      <c r="ACX85" s="368"/>
      <c r="ACY85" s="368"/>
      <c r="ACZ85" s="368"/>
      <c r="ADA85" s="368"/>
      <c r="ADB85" s="368"/>
      <c r="ADC85" s="368"/>
      <c r="ADD85" s="368"/>
      <c r="ADE85" s="368"/>
      <c r="ADF85" s="368"/>
      <c r="ADG85" s="368"/>
      <c r="ADH85" s="368"/>
      <c r="ADI85" s="368"/>
      <c r="ADJ85" s="368"/>
      <c r="ADK85" s="368"/>
      <c r="ADL85" s="368"/>
      <c r="ADM85" s="368"/>
      <c r="ADN85" s="368"/>
      <c r="ADO85" s="368"/>
      <c r="ADP85" s="368"/>
      <c r="ADQ85" s="368"/>
      <c r="ADR85" s="368"/>
      <c r="ADS85" s="368"/>
      <c r="ADT85" s="368"/>
      <c r="ADU85" s="368"/>
      <c r="ADV85" s="368"/>
      <c r="ADW85" s="368"/>
      <c r="ADX85" s="368"/>
      <c r="ADY85" s="368"/>
      <c r="ADZ85" s="368"/>
      <c r="AEA85" s="368"/>
      <c r="AEB85" s="368"/>
      <c r="AEC85" s="368"/>
      <c r="AED85" s="368"/>
      <c r="AEE85" s="368"/>
      <c r="AEF85" s="368"/>
      <c r="AEG85" s="368"/>
      <c r="AEH85" s="368"/>
      <c r="AEI85" s="368"/>
      <c r="AEJ85" s="368"/>
      <c r="AEK85" s="368"/>
      <c r="AEL85" s="368"/>
      <c r="AEM85" s="368"/>
      <c r="AEN85" s="368"/>
      <c r="AEO85" s="368"/>
      <c r="AEP85" s="368"/>
      <c r="AEQ85" s="368"/>
      <c r="AER85" s="368"/>
      <c r="AES85" s="368"/>
      <c r="AET85" s="368"/>
      <c r="AEU85" s="368"/>
      <c r="AEV85" s="368"/>
      <c r="AEW85" s="368"/>
      <c r="AEX85" s="368"/>
      <c r="AEY85" s="368"/>
      <c r="AEZ85" s="368"/>
      <c r="AFA85" s="368"/>
      <c r="AFB85" s="368"/>
      <c r="AFC85" s="368"/>
      <c r="AFD85" s="368"/>
      <c r="AFE85" s="368"/>
      <c r="AFF85" s="368"/>
      <c r="AFG85" s="368"/>
      <c r="AFH85" s="368"/>
      <c r="AFI85" s="368"/>
      <c r="AFJ85" s="368"/>
      <c r="AFK85" s="368"/>
      <c r="AFL85" s="368"/>
      <c r="AFM85" s="368"/>
      <c r="AFN85" s="368"/>
      <c r="AFO85" s="368"/>
      <c r="AFP85" s="368"/>
      <c r="AFQ85" s="368"/>
      <c r="AFR85" s="368"/>
      <c r="AFS85" s="368"/>
      <c r="AFT85" s="368"/>
      <c r="AFU85" s="368"/>
      <c r="AFV85" s="368"/>
      <c r="AFW85" s="368"/>
      <c r="AFX85" s="368"/>
      <c r="AFY85" s="368"/>
      <c r="AFZ85" s="368"/>
      <c r="AGA85" s="368"/>
      <c r="AGB85" s="368"/>
      <c r="AGC85" s="368"/>
      <c r="AGD85" s="368"/>
      <c r="AGE85" s="368"/>
      <c r="AGF85" s="368"/>
      <c r="AGG85" s="368"/>
      <c r="AGH85" s="368"/>
      <c r="AGI85" s="368"/>
      <c r="AGJ85" s="368"/>
      <c r="AGK85" s="368"/>
      <c r="AGL85" s="368"/>
      <c r="AGM85" s="368"/>
      <c r="AGN85" s="368"/>
      <c r="AGO85" s="368"/>
      <c r="AGP85" s="368"/>
      <c r="AGQ85" s="368"/>
      <c r="AGR85" s="368"/>
      <c r="AGS85" s="368"/>
      <c r="AGT85" s="368"/>
      <c r="AGU85" s="368"/>
      <c r="AGV85" s="368"/>
      <c r="AGW85" s="368"/>
      <c r="AGX85" s="368"/>
      <c r="AGY85" s="368"/>
      <c r="AGZ85" s="368"/>
      <c r="AHA85" s="368"/>
      <c r="AHB85" s="368"/>
      <c r="AHC85" s="368"/>
      <c r="AHD85" s="368"/>
      <c r="AHE85" s="368"/>
      <c r="AHF85" s="368"/>
      <c r="AHG85" s="368"/>
      <c r="AHH85" s="368"/>
      <c r="AHI85" s="368"/>
      <c r="AHJ85" s="368"/>
      <c r="AHK85" s="368"/>
      <c r="AHL85" s="368"/>
      <c r="AHM85" s="368"/>
      <c r="AHN85" s="368"/>
      <c r="AHO85" s="368"/>
      <c r="AHP85" s="368"/>
      <c r="AHQ85" s="368"/>
      <c r="AHR85" s="368"/>
      <c r="AHS85" s="368"/>
      <c r="AHT85" s="368"/>
      <c r="AHU85" s="368"/>
      <c r="AHV85" s="368"/>
      <c r="AHW85" s="368"/>
      <c r="AHX85" s="368"/>
      <c r="AHY85" s="368"/>
      <c r="AHZ85" s="368"/>
      <c r="AIA85" s="368"/>
      <c r="AIB85" s="368"/>
      <c r="AIC85" s="368"/>
      <c r="AID85" s="368"/>
      <c r="AIE85" s="368"/>
      <c r="AIF85" s="368"/>
      <c r="AIG85" s="368"/>
      <c r="AIH85" s="368"/>
      <c r="AII85" s="368"/>
      <c r="AIJ85" s="368"/>
      <c r="AIK85" s="368"/>
      <c r="AIL85" s="368"/>
      <c r="AIM85" s="368"/>
      <c r="AIN85" s="368"/>
      <c r="AIO85" s="368"/>
      <c r="AIP85" s="368"/>
      <c r="AIQ85" s="368"/>
      <c r="AIR85" s="368"/>
      <c r="AIS85" s="368"/>
      <c r="AIT85" s="368"/>
      <c r="AIU85" s="368"/>
      <c r="AIV85" s="368"/>
      <c r="AIW85" s="368"/>
      <c r="AIX85" s="368"/>
      <c r="AIY85" s="368"/>
      <c r="AIZ85" s="368"/>
      <c r="AJA85" s="368"/>
      <c r="AJB85" s="368"/>
      <c r="AJC85" s="368"/>
      <c r="AJD85" s="368"/>
      <c r="AJE85" s="368"/>
      <c r="AJF85" s="368"/>
      <c r="AJG85" s="368"/>
      <c r="AJH85" s="368"/>
      <c r="AJI85" s="368"/>
      <c r="AJJ85" s="368"/>
      <c r="AJK85" s="368"/>
      <c r="AJL85" s="368"/>
      <c r="AJM85" s="368"/>
      <c r="AJN85" s="368"/>
      <c r="AJO85" s="368"/>
      <c r="AJP85" s="368"/>
      <c r="AJQ85" s="368"/>
      <c r="AJR85" s="368"/>
      <c r="AJS85" s="368"/>
      <c r="AJT85" s="368"/>
      <c r="AJU85" s="368"/>
      <c r="AJV85" s="368"/>
      <c r="AJW85" s="368"/>
      <c r="AJX85" s="368"/>
      <c r="AJY85" s="368"/>
      <c r="AJZ85" s="368"/>
      <c r="AKA85" s="368"/>
      <c r="AKB85" s="368"/>
      <c r="AKC85" s="368"/>
      <c r="AKD85" s="368"/>
      <c r="AKE85" s="368"/>
      <c r="AKF85" s="368"/>
      <c r="AKG85" s="368"/>
      <c r="AKH85" s="368"/>
      <c r="AKI85" s="368"/>
      <c r="AKJ85" s="368"/>
      <c r="AKK85" s="368"/>
      <c r="AKL85" s="368"/>
      <c r="AKM85" s="368"/>
      <c r="AKN85" s="368"/>
    </row>
    <row r="86" spans="1:976" s="346" customFormat="1" ht="22.5" customHeight="1" x14ac:dyDescent="0.2">
      <c r="A86" s="370" t="s">
        <v>262</v>
      </c>
      <c r="B86" s="370"/>
      <c r="C86" s="370" t="s">
        <v>221</v>
      </c>
      <c r="D86" s="370" t="s">
        <v>222</v>
      </c>
      <c r="E86" s="371">
        <v>411355</v>
      </c>
      <c r="F86" s="371">
        <v>1351</v>
      </c>
      <c r="G86" s="371">
        <v>204</v>
      </c>
      <c r="H86" s="371">
        <v>0</v>
      </c>
      <c r="I86" s="372">
        <v>45846</v>
      </c>
      <c r="J86" s="370" t="s">
        <v>395</v>
      </c>
      <c r="K86" s="370" t="s">
        <v>517</v>
      </c>
      <c r="L86" s="373">
        <v>26.94</v>
      </c>
      <c r="M86" s="373">
        <v>2.73</v>
      </c>
      <c r="N86" s="444">
        <v>29.67</v>
      </c>
      <c r="O86" s="370"/>
      <c r="P86" s="374">
        <v>45848</v>
      </c>
      <c r="Q86" s="373">
        <v>29.67</v>
      </c>
      <c r="R86" s="370" t="s">
        <v>518</v>
      </c>
      <c r="S86" s="373">
        <v>0</v>
      </c>
      <c r="T86" s="373">
        <v>0</v>
      </c>
      <c r="U86" s="373">
        <v>0</v>
      </c>
      <c r="V86" s="373">
        <v>0</v>
      </c>
      <c r="W86" s="370"/>
      <c r="X86" s="370" t="s">
        <v>293</v>
      </c>
      <c r="Y86" s="370" t="s">
        <v>294</v>
      </c>
      <c r="Z86" s="370" t="s">
        <v>42</v>
      </c>
      <c r="AA86" s="370" t="s">
        <v>228</v>
      </c>
      <c r="AB86" s="370" t="s">
        <v>235</v>
      </c>
      <c r="AC86" s="370" t="s">
        <v>331</v>
      </c>
      <c r="AD86" s="370" t="s">
        <v>231</v>
      </c>
      <c r="AE86" s="370" t="s">
        <v>232</v>
      </c>
      <c r="AF86" s="370" t="s">
        <v>231</v>
      </c>
      <c r="AG86" s="370" t="s">
        <v>232</v>
      </c>
      <c r="AH86" s="370"/>
      <c r="AI86" s="370"/>
      <c r="AJ86" s="370"/>
      <c r="AK86" s="370" t="s">
        <v>519</v>
      </c>
      <c r="AL86" s="371">
        <v>1</v>
      </c>
      <c r="AM86" s="371">
        <v>0</v>
      </c>
      <c r="AN86" s="372">
        <v>45848</v>
      </c>
      <c r="AO86" s="372">
        <v>45848</v>
      </c>
      <c r="AP86" s="373">
        <v>29.67</v>
      </c>
      <c r="AQ86" s="372">
        <v>45847</v>
      </c>
      <c r="AR86" s="368"/>
      <c r="AS86" s="368"/>
      <c r="AT86" s="368"/>
      <c r="AU86" s="368"/>
      <c r="AV86" s="368"/>
      <c r="AW86" s="368"/>
      <c r="AX86" s="368"/>
      <c r="AY86" s="368"/>
      <c r="AZ86" s="368"/>
      <c r="BA86" s="368"/>
      <c r="BB86" s="368"/>
      <c r="BC86" s="368"/>
      <c r="BD86" s="368"/>
      <c r="BE86" s="368"/>
      <c r="BF86" s="368"/>
      <c r="BG86" s="368"/>
      <c r="BH86" s="368"/>
      <c r="BI86" s="368"/>
      <c r="BJ86" s="368"/>
      <c r="BK86" s="368"/>
      <c r="BL86" s="368"/>
      <c r="BM86" s="368"/>
      <c r="BN86" s="368"/>
      <c r="BO86" s="368"/>
      <c r="BP86" s="368"/>
      <c r="BQ86" s="368"/>
      <c r="BR86" s="368"/>
      <c r="BS86" s="368"/>
      <c r="BT86" s="368"/>
      <c r="BU86" s="368"/>
      <c r="BV86" s="368"/>
      <c r="BW86" s="368"/>
      <c r="BX86" s="368"/>
      <c r="BY86" s="368"/>
      <c r="BZ86" s="368"/>
      <c r="CA86" s="368"/>
      <c r="CB86" s="368"/>
      <c r="CC86" s="368"/>
      <c r="CD86" s="368"/>
      <c r="CE86" s="368"/>
      <c r="CF86" s="368"/>
      <c r="CG86" s="368"/>
      <c r="CH86" s="368"/>
      <c r="CI86" s="368"/>
      <c r="CJ86" s="368"/>
      <c r="CK86" s="368"/>
      <c r="CL86" s="368"/>
      <c r="CM86" s="368"/>
      <c r="CN86" s="368"/>
      <c r="CO86" s="368"/>
      <c r="CP86" s="368"/>
      <c r="CQ86" s="368"/>
      <c r="CR86" s="368"/>
      <c r="CS86" s="368"/>
      <c r="CT86" s="368"/>
      <c r="CU86" s="368"/>
      <c r="CV86" s="368"/>
      <c r="CW86" s="368"/>
      <c r="CX86" s="368"/>
      <c r="CY86" s="368"/>
      <c r="CZ86" s="368"/>
      <c r="DA86" s="368"/>
      <c r="DB86" s="368"/>
      <c r="DC86" s="368"/>
      <c r="DD86" s="368"/>
      <c r="DE86" s="368"/>
      <c r="DF86" s="368"/>
      <c r="DG86" s="368"/>
      <c r="DH86" s="368"/>
      <c r="DI86" s="368"/>
      <c r="DJ86" s="368"/>
      <c r="DK86" s="368"/>
      <c r="DL86" s="368"/>
      <c r="DM86" s="368"/>
      <c r="DN86" s="368"/>
      <c r="DO86" s="368"/>
      <c r="DP86" s="368"/>
      <c r="DQ86" s="368"/>
      <c r="DR86" s="368"/>
      <c r="DS86" s="368"/>
      <c r="DT86" s="368"/>
      <c r="DU86" s="368"/>
      <c r="DV86" s="368"/>
      <c r="DW86" s="368"/>
      <c r="DX86" s="368"/>
      <c r="DY86" s="368"/>
      <c r="DZ86" s="368"/>
      <c r="EA86" s="368"/>
      <c r="EB86" s="368"/>
      <c r="EC86" s="368"/>
      <c r="ED86" s="368"/>
      <c r="EE86" s="368"/>
      <c r="EF86" s="368"/>
      <c r="EG86" s="368"/>
      <c r="EH86" s="368"/>
      <c r="EI86" s="368"/>
      <c r="EJ86" s="368"/>
      <c r="EK86" s="368"/>
      <c r="EL86" s="368"/>
      <c r="EM86" s="368"/>
      <c r="EN86" s="368"/>
      <c r="EO86" s="368"/>
      <c r="EP86" s="368"/>
      <c r="EQ86" s="368"/>
      <c r="ER86" s="368"/>
      <c r="ES86" s="368"/>
      <c r="ET86" s="368"/>
      <c r="EU86" s="368"/>
      <c r="EV86" s="368"/>
      <c r="EW86" s="368"/>
      <c r="EX86" s="368"/>
      <c r="EY86" s="368"/>
      <c r="EZ86" s="368"/>
      <c r="FA86" s="368"/>
      <c r="FB86" s="368"/>
      <c r="FC86" s="368"/>
      <c r="FD86" s="368"/>
      <c r="FE86" s="368"/>
      <c r="FF86" s="368"/>
      <c r="FG86" s="368"/>
      <c r="FH86" s="368"/>
      <c r="FI86" s="368"/>
      <c r="FJ86" s="368"/>
      <c r="FK86" s="368"/>
      <c r="FL86" s="368"/>
      <c r="FM86" s="368"/>
      <c r="FN86" s="368"/>
      <c r="FO86" s="368"/>
      <c r="FP86" s="368"/>
      <c r="FQ86" s="368"/>
      <c r="FR86" s="368"/>
      <c r="FS86" s="368"/>
      <c r="FT86" s="368"/>
      <c r="FU86" s="368"/>
      <c r="FV86" s="368"/>
      <c r="FW86" s="368"/>
      <c r="FX86" s="368"/>
      <c r="FY86" s="368"/>
      <c r="FZ86" s="368"/>
      <c r="GA86" s="368"/>
      <c r="GB86" s="368"/>
      <c r="GC86" s="368"/>
      <c r="GD86" s="368"/>
      <c r="GE86" s="368"/>
      <c r="GF86" s="368"/>
      <c r="GG86" s="368"/>
      <c r="GH86" s="368"/>
      <c r="GI86" s="368"/>
      <c r="GJ86" s="368"/>
      <c r="GK86" s="368"/>
      <c r="GL86" s="368"/>
      <c r="GM86" s="368"/>
      <c r="GN86" s="368"/>
      <c r="GO86" s="368"/>
      <c r="GP86" s="368"/>
      <c r="GQ86" s="368"/>
      <c r="GR86" s="368"/>
      <c r="GS86" s="368"/>
      <c r="GT86" s="368"/>
      <c r="GU86" s="368"/>
      <c r="GV86" s="368"/>
      <c r="GW86" s="368"/>
      <c r="GX86" s="368"/>
      <c r="GY86" s="368"/>
      <c r="GZ86" s="368"/>
      <c r="HA86" s="368"/>
      <c r="HB86" s="368"/>
      <c r="HC86" s="368"/>
      <c r="HD86" s="368"/>
      <c r="HE86" s="368"/>
      <c r="HF86" s="368"/>
      <c r="HG86" s="368"/>
      <c r="HH86" s="368"/>
      <c r="HI86" s="368"/>
      <c r="HJ86" s="368"/>
      <c r="HK86" s="368"/>
      <c r="HL86" s="368"/>
      <c r="HM86" s="368"/>
      <c r="HN86" s="368"/>
      <c r="HO86" s="368"/>
      <c r="HP86" s="368"/>
      <c r="HQ86" s="368"/>
      <c r="HR86" s="368"/>
      <c r="HS86" s="368"/>
      <c r="HT86" s="368"/>
      <c r="HU86" s="368"/>
      <c r="HV86" s="368"/>
      <c r="HW86" s="368"/>
      <c r="HX86" s="368"/>
      <c r="HY86" s="368"/>
      <c r="HZ86" s="368"/>
      <c r="IA86" s="368"/>
      <c r="IB86" s="368"/>
      <c r="IC86" s="368"/>
      <c r="ID86" s="368"/>
      <c r="IE86" s="368"/>
      <c r="IF86" s="368"/>
      <c r="IG86" s="368"/>
      <c r="IH86" s="368"/>
      <c r="II86" s="368"/>
      <c r="IJ86" s="368"/>
      <c r="IK86" s="368"/>
      <c r="IL86" s="368"/>
      <c r="IM86" s="368"/>
      <c r="IN86" s="368"/>
      <c r="IO86" s="368"/>
      <c r="IP86" s="368"/>
      <c r="IQ86" s="368"/>
      <c r="IR86" s="368"/>
      <c r="IS86" s="368"/>
      <c r="IT86" s="368"/>
      <c r="IU86" s="368"/>
      <c r="IV86" s="368"/>
      <c r="IW86" s="368"/>
      <c r="IX86" s="368"/>
      <c r="IY86" s="368"/>
      <c r="IZ86" s="368"/>
      <c r="JA86" s="368"/>
      <c r="JB86" s="368"/>
      <c r="JC86" s="368"/>
      <c r="JD86" s="368"/>
      <c r="JE86" s="368"/>
      <c r="JF86" s="368"/>
      <c r="JG86" s="368"/>
      <c r="JH86" s="368"/>
      <c r="JI86" s="368"/>
      <c r="JJ86" s="368"/>
      <c r="JK86" s="368"/>
      <c r="JL86" s="368"/>
      <c r="JM86" s="368"/>
      <c r="JN86" s="368"/>
      <c r="JO86" s="368"/>
      <c r="JP86" s="368"/>
      <c r="JQ86" s="368"/>
      <c r="JR86" s="368"/>
      <c r="JS86" s="368"/>
      <c r="JT86" s="368"/>
      <c r="JU86" s="368"/>
      <c r="JV86" s="368"/>
      <c r="JW86" s="368"/>
      <c r="JX86" s="368"/>
      <c r="JY86" s="368"/>
      <c r="JZ86" s="368"/>
      <c r="KA86" s="368"/>
      <c r="KB86" s="368"/>
      <c r="KC86" s="368"/>
      <c r="KD86" s="368"/>
      <c r="KE86" s="368"/>
      <c r="KF86" s="368"/>
      <c r="KG86" s="368"/>
      <c r="KH86" s="368"/>
      <c r="KI86" s="368"/>
      <c r="KJ86" s="368"/>
      <c r="KK86" s="368"/>
      <c r="KL86" s="368"/>
      <c r="KM86" s="368"/>
      <c r="KN86" s="368"/>
      <c r="KO86" s="368"/>
      <c r="KP86" s="368"/>
      <c r="KQ86" s="368"/>
      <c r="KR86" s="368"/>
      <c r="KS86" s="368"/>
      <c r="KT86" s="368"/>
      <c r="KU86" s="368"/>
      <c r="KV86" s="368"/>
      <c r="KW86" s="368"/>
      <c r="KX86" s="368"/>
      <c r="KY86" s="368"/>
      <c r="KZ86" s="368"/>
      <c r="LA86" s="368"/>
      <c r="LB86" s="368"/>
      <c r="LC86" s="368"/>
      <c r="LD86" s="368"/>
      <c r="LE86" s="368"/>
      <c r="LF86" s="368"/>
      <c r="LG86" s="368"/>
      <c r="LH86" s="368"/>
      <c r="LI86" s="368"/>
      <c r="LJ86" s="368"/>
      <c r="LK86" s="368"/>
      <c r="LL86" s="368"/>
      <c r="LM86" s="368"/>
      <c r="LN86" s="368"/>
      <c r="LO86" s="368"/>
      <c r="LP86" s="368"/>
      <c r="LQ86" s="368"/>
      <c r="LR86" s="368"/>
      <c r="LS86" s="368"/>
      <c r="LT86" s="368"/>
      <c r="LU86" s="368"/>
      <c r="LV86" s="368"/>
      <c r="LW86" s="368"/>
      <c r="LX86" s="368"/>
      <c r="LY86" s="368"/>
      <c r="LZ86" s="368"/>
      <c r="MA86" s="368"/>
      <c r="MB86" s="368"/>
      <c r="MC86" s="368"/>
      <c r="MD86" s="368"/>
      <c r="ME86" s="368"/>
      <c r="MF86" s="368"/>
      <c r="MG86" s="368"/>
      <c r="MH86" s="368"/>
      <c r="MI86" s="368"/>
      <c r="MJ86" s="368"/>
      <c r="MK86" s="368"/>
      <c r="ML86" s="368"/>
      <c r="MM86" s="368"/>
      <c r="MN86" s="368"/>
      <c r="MO86" s="368"/>
      <c r="MP86" s="368"/>
      <c r="MQ86" s="368"/>
      <c r="MR86" s="368"/>
      <c r="MS86" s="368"/>
      <c r="MT86" s="368"/>
      <c r="MU86" s="368"/>
      <c r="MV86" s="368"/>
      <c r="MW86" s="368"/>
      <c r="MX86" s="368"/>
      <c r="MY86" s="368"/>
      <c r="MZ86" s="368"/>
      <c r="NA86" s="368"/>
      <c r="NB86" s="368"/>
      <c r="NC86" s="368"/>
      <c r="ND86" s="368"/>
      <c r="NE86" s="368"/>
      <c r="NF86" s="368"/>
      <c r="NG86" s="368"/>
      <c r="NH86" s="368"/>
      <c r="NI86" s="368"/>
      <c r="NJ86" s="368"/>
      <c r="NK86" s="368"/>
      <c r="NL86" s="368"/>
      <c r="NM86" s="368"/>
      <c r="NN86" s="368"/>
      <c r="NO86" s="368"/>
      <c r="NP86" s="368"/>
      <c r="NQ86" s="368"/>
      <c r="NR86" s="368"/>
      <c r="NS86" s="368"/>
      <c r="NT86" s="368"/>
      <c r="NU86" s="368"/>
      <c r="NV86" s="368"/>
      <c r="NW86" s="368"/>
      <c r="NX86" s="368"/>
      <c r="NY86" s="368"/>
      <c r="NZ86" s="368"/>
      <c r="OA86" s="368"/>
      <c r="OB86" s="368"/>
      <c r="OC86" s="368"/>
      <c r="OD86" s="368"/>
      <c r="OE86" s="368"/>
      <c r="OF86" s="368"/>
      <c r="OG86" s="368"/>
      <c r="OH86" s="368"/>
      <c r="OI86" s="368"/>
      <c r="OJ86" s="368"/>
      <c r="OK86" s="368"/>
      <c r="OL86" s="368"/>
      <c r="OM86" s="368"/>
      <c r="ON86" s="368"/>
      <c r="OO86" s="368"/>
      <c r="OP86" s="368"/>
      <c r="OQ86" s="368"/>
      <c r="OR86" s="368"/>
      <c r="OS86" s="368"/>
      <c r="OT86" s="368"/>
      <c r="OU86" s="368"/>
      <c r="OV86" s="368"/>
      <c r="OW86" s="368"/>
      <c r="OX86" s="368"/>
      <c r="OY86" s="368"/>
      <c r="OZ86" s="368"/>
      <c r="PA86" s="368"/>
      <c r="PB86" s="368"/>
      <c r="PC86" s="368"/>
      <c r="PD86" s="368"/>
      <c r="PE86" s="368"/>
      <c r="PF86" s="368"/>
      <c r="PG86" s="368"/>
      <c r="PH86" s="368"/>
      <c r="PI86" s="368"/>
      <c r="PJ86" s="368"/>
      <c r="PK86" s="368"/>
      <c r="PL86" s="368"/>
      <c r="PM86" s="368"/>
      <c r="PN86" s="368"/>
      <c r="PO86" s="368"/>
      <c r="PP86" s="368"/>
      <c r="PQ86" s="368"/>
      <c r="PR86" s="368"/>
      <c r="PS86" s="368"/>
      <c r="PT86" s="368"/>
      <c r="PU86" s="368"/>
      <c r="PV86" s="368"/>
      <c r="PW86" s="368"/>
      <c r="PX86" s="368"/>
      <c r="PY86" s="368"/>
      <c r="PZ86" s="368"/>
      <c r="QA86" s="368"/>
      <c r="QB86" s="368"/>
      <c r="QC86" s="368"/>
      <c r="QD86" s="368"/>
      <c r="QE86" s="368"/>
      <c r="QF86" s="368"/>
      <c r="QG86" s="368"/>
      <c r="QH86" s="368"/>
      <c r="QI86" s="368"/>
      <c r="QJ86" s="368"/>
      <c r="QK86" s="368"/>
      <c r="QL86" s="368"/>
      <c r="QM86" s="368"/>
      <c r="QN86" s="368"/>
      <c r="QO86" s="368"/>
      <c r="QP86" s="368"/>
      <c r="QQ86" s="368"/>
      <c r="QR86" s="368"/>
      <c r="QS86" s="368"/>
      <c r="QT86" s="368"/>
      <c r="QU86" s="368"/>
      <c r="QV86" s="368"/>
      <c r="QW86" s="368"/>
      <c r="QX86" s="368"/>
      <c r="QY86" s="368"/>
      <c r="QZ86" s="368"/>
      <c r="RA86" s="368"/>
      <c r="RB86" s="368"/>
      <c r="RC86" s="368"/>
      <c r="RD86" s="368"/>
      <c r="RE86" s="368"/>
      <c r="RF86" s="368"/>
      <c r="RG86" s="368"/>
      <c r="RH86" s="368"/>
      <c r="RI86" s="368"/>
      <c r="RJ86" s="368"/>
      <c r="RK86" s="368"/>
      <c r="RL86" s="368"/>
      <c r="RM86" s="368"/>
      <c r="RN86" s="368"/>
      <c r="RO86" s="368"/>
      <c r="RP86" s="368"/>
      <c r="RQ86" s="368"/>
      <c r="RR86" s="368"/>
      <c r="RS86" s="368"/>
      <c r="RT86" s="368"/>
      <c r="RU86" s="368"/>
      <c r="RV86" s="368"/>
      <c r="RW86" s="368"/>
      <c r="RX86" s="368"/>
      <c r="RY86" s="368"/>
      <c r="RZ86" s="368"/>
      <c r="SA86" s="368"/>
      <c r="SB86" s="368"/>
      <c r="SC86" s="368"/>
      <c r="SD86" s="368"/>
      <c r="SE86" s="368"/>
      <c r="SF86" s="368"/>
      <c r="SG86" s="368"/>
      <c r="SH86" s="368"/>
      <c r="SI86" s="368"/>
      <c r="SJ86" s="368"/>
      <c r="SK86" s="368"/>
      <c r="SL86" s="368"/>
      <c r="SM86" s="368"/>
      <c r="SN86" s="368"/>
      <c r="SO86" s="368"/>
      <c r="SP86" s="368"/>
      <c r="SQ86" s="368"/>
      <c r="SR86" s="368"/>
      <c r="SS86" s="368"/>
      <c r="ST86" s="368"/>
      <c r="SU86" s="368"/>
      <c r="SV86" s="368"/>
      <c r="SW86" s="368"/>
      <c r="SX86" s="368"/>
      <c r="SY86" s="368"/>
      <c r="SZ86" s="368"/>
      <c r="TA86" s="368"/>
      <c r="TB86" s="368"/>
      <c r="TC86" s="368"/>
      <c r="TD86" s="368"/>
      <c r="TE86" s="368"/>
      <c r="TF86" s="368"/>
      <c r="TG86" s="368"/>
      <c r="TH86" s="368"/>
      <c r="TI86" s="368"/>
      <c r="TJ86" s="368"/>
      <c r="TK86" s="368"/>
      <c r="TL86" s="368"/>
      <c r="TM86" s="368"/>
      <c r="TN86" s="368"/>
      <c r="TO86" s="368"/>
      <c r="TP86" s="368"/>
      <c r="TQ86" s="368"/>
      <c r="TR86" s="368"/>
      <c r="TS86" s="368"/>
      <c r="TT86" s="368"/>
      <c r="TU86" s="368"/>
      <c r="TV86" s="368"/>
      <c r="TW86" s="368"/>
      <c r="TX86" s="368"/>
      <c r="TY86" s="368"/>
      <c r="TZ86" s="368"/>
      <c r="UA86" s="368"/>
      <c r="UB86" s="368"/>
      <c r="UC86" s="368"/>
      <c r="UD86" s="368"/>
      <c r="UE86" s="368"/>
      <c r="UF86" s="368"/>
      <c r="UG86" s="368"/>
      <c r="UH86" s="368"/>
      <c r="UI86" s="368"/>
      <c r="UJ86" s="368"/>
      <c r="UK86" s="368"/>
      <c r="UL86" s="368"/>
      <c r="UM86" s="368"/>
      <c r="UN86" s="368"/>
      <c r="UO86" s="368"/>
      <c r="UP86" s="368"/>
      <c r="UQ86" s="368"/>
      <c r="UR86" s="368"/>
      <c r="US86" s="368"/>
      <c r="UT86" s="368"/>
      <c r="UU86" s="368"/>
      <c r="UV86" s="368"/>
      <c r="UW86" s="368"/>
      <c r="UX86" s="368"/>
      <c r="UY86" s="368"/>
      <c r="UZ86" s="368"/>
      <c r="VA86" s="368"/>
      <c r="VB86" s="368"/>
      <c r="VC86" s="368"/>
      <c r="VD86" s="368"/>
      <c r="VE86" s="368"/>
      <c r="VF86" s="368"/>
      <c r="VG86" s="368"/>
      <c r="VH86" s="368"/>
      <c r="VI86" s="368"/>
      <c r="VJ86" s="368"/>
      <c r="VK86" s="368"/>
      <c r="VL86" s="368"/>
      <c r="VM86" s="368"/>
      <c r="VN86" s="368"/>
      <c r="VO86" s="368"/>
      <c r="VP86" s="368"/>
      <c r="VQ86" s="368"/>
      <c r="VR86" s="368"/>
      <c r="VS86" s="368"/>
      <c r="VT86" s="368"/>
      <c r="VU86" s="368"/>
      <c r="VV86" s="368"/>
      <c r="VW86" s="368"/>
      <c r="VX86" s="368"/>
      <c r="VY86" s="368"/>
      <c r="VZ86" s="368"/>
      <c r="WA86" s="368"/>
      <c r="WB86" s="368"/>
      <c r="WC86" s="368"/>
      <c r="WD86" s="368"/>
      <c r="WE86" s="368"/>
      <c r="WF86" s="368"/>
      <c r="WG86" s="368"/>
      <c r="WH86" s="368"/>
      <c r="WI86" s="368"/>
      <c r="WJ86" s="368"/>
      <c r="WK86" s="368"/>
      <c r="WL86" s="368"/>
      <c r="WM86" s="368"/>
      <c r="WN86" s="368"/>
      <c r="WO86" s="368"/>
      <c r="WP86" s="368"/>
      <c r="WQ86" s="368"/>
      <c r="WR86" s="368"/>
      <c r="WS86" s="368"/>
      <c r="WT86" s="368"/>
      <c r="WU86" s="368"/>
      <c r="WV86" s="368"/>
      <c r="WW86" s="368"/>
      <c r="WX86" s="368"/>
      <c r="WY86" s="368"/>
      <c r="WZ86" s="368"/>
      <c r="XA86" s="368"/>
      <c r="XB86" s="368"/>
      <c r="XC86" s="368"/>
      <c r="XD86" s="368"/>
      <c r="XE86" s="368"/>
      <c r="XF86" s="368"/>
      <c r="XG86" s="368"/>
      <c r="XH86" s="368"/>
      <c r="XI86" s="368"/>
      <c r="XJ86" s="368"/>
      <c r="XK86" s="368"/>
      <c r="XL86" s="368"/>
      <c r="XM86" s="368"/>
      <c r="XN86" s="368"/>
      <c r="XO86" s="368"/>
      <c r="XP86" s="368"/>
      <c r="XQ86" s="368"/>
      <c r="XR86" s="368"/>
      <c r="XS86" s="368"/>
      <c r="XT86" s="368"/>
      <c r="XU86" s="368"/>
      <c r="XV86" s="368"/>
      <c r="XW86" s="368"/>
      <c r="XX86" s="368"/>
      <c r="XY86" s="368"/>
      <c r="XZ86" s="368"/>
      <c r="YA86" s="368"/>
      <c r="YB86" s="368"/>
      <c r="YC86" s="368"/>
      <c r="YD86" s="368"/>
      <c r="YE86" s="368"/>
      <c r="YF86" s="368"/>
      <c r="YG86" s="368"/>
      <c r="YH86" s="368"/>
      <c r="YI86" s="368"/>
      <c r="YJ86" s="368"/>
      <c r="YK86" s="368"/>
      <c r="YL86" s="368"/>
      <c r="YM86" s="368"/>
      <c r="YN86" s="368"/>
      <c r="YO86" s="368"/>
      <c r="YP86" s="368"/>
      <c r="YQ86" s="368"/>
      <c r="YR86" s="368"/>
      <c r="YS86" s="368"/>
      <c r="YT86" s="368"/>
      <c r="YU86" s="368"/>
      <c r="YV86" s="368"/>
      <c r="YW86" s="368"/>
      <c r="YX86" s="368"/>
      <c r="YY86" s="368"/>
      <c r="YZ86" s="368"/>
      <c r="ZA86" s="368"/>
      <c r="ZB86" s="368"/>
      <c r="ZC86" s="368"/>
      <c r="ZD86" s="368"/>
      <c r="ZE86" s="368"/>
      <c r="ZF86" s="368"/>
      <c r="ZG86" s="368"/>
      <c r="ZH86" s="368"/>
      <c r="ZI86" s="368"/>
      <c r="ZJ86" s="368"/>
      <c r="ZK86" s="368"/>
      <c r="ZL86" s="368"/>
      <c r="ZM86" s="368"/>
      <c r="ZN86" s="368"/>
      <c r="ZO86" s="368"/>
      <c r="ZP86" s="368"/>
      <c r="ZQ86" s="368"/>
      <c r="ZR86" s="368"/>
      <c r="ZS86" s="368"/>
      <c r="ZT86" s="368"/>
      <c r="ZU86" s="368"/>
      <c r="ZV86" s="368"/>
      <c r="ZW86" s="368"/>
      <c r="ZX86" s="368"/>
      <c r="ZY86" s="368"/>
      <c r="ZZ86" s="368"/>
      <c r="AAA86" s="368"/>
      <c r="AAB86" s="368"/>
      <c r="AAC86" s="368"/>
      <c r="AAD86" s="368"/>
      <c r="AAE86" s="368"/>
      <c r="AAF86" s="368"/>
      <c r="AAG86" s="368"/>
      <c r="AAH86" s="368"/>
      <c r="AAI86" s="368"/>
      <c r="AAJ86" s="368"/>
      <c r="AAK86" s="368"/>
      <c r="AAL86" s="368"/>
      <c r="AAM86" s="368"/>
      <c r="AAN86" s="368"/>
      <c r="AAO86" s="368"/>
      <c r="AAP86" s="368"/>
      <c r="AAQ86" s="368"/>
      <c r="AAR86" s="368"/>
      <c r="AAS86" s="368"/>
      <c r="AAT86" s="368"/>
      <c r="AAU86" s="368"/>
      <c r="AAV86" s="368"/>
      <c r="AAW86" s="368"/>
      <c r="AAX86" s="368"/>
      <c r="AAY86" s="368"/>
      <c r="AAZ86" s="368"/>
      <c r="ABA86" s="368"/>
      <c r="ABB86" s="368"/>
      <c r="ABC86" s="368"/>
      <c r="ABD86" s="368"/>
      <c r="ABE86" s="368"/>
      <c r="ABF86" s="368"/>
      <c r="ABG86" s="368"/>
      <c r="ABH86" s="368"/>
      <c r="ABI86" s="368"/>
      <c r="ABJ86" s="368"/>
      <c r="ABK86" s="368"/>
      <c r="ABL86" s="368"/>
      <c r="ABM86" s="368"/>
      <c r="ABN86" s="368"/>
      <c r="ABO86" s="368"/>
      <c r="ABP86" s="368"/>
      <c r="ABQ86" s="368"/>
      <c r="ABR86" s="368"/>
      <c r="ABS86" s="368"/>
      <c r="ABT86" s="368"/>
      <c r="ABU86" s="368"/>
      <c r="ABV86" s="368"/>
      <c r="ABW86" s="368"/>
      <c r="ABX86" s="368"/>
      <c r="ABY86" s="368"/>
      <c r="ABZ86" s="368"/>
      <c r="ACA86" s="368"/>
      <c r="ACB86" s="368"/>
      <c r="ACC86" s="368"/>
      <c r="ACD86" s="368"/>
      <c r="ACE86" s="368"/>
      <c r="ACF86" s="368"/>
      <c r="ACG86" s="368"/>
      <c r="ACH86" s="368"/>
      <c r="ACI86" s="368"/>
      <c r="ACJ86" s="368"/>
      <c r="ACK86" s="368"/>
      <c r="ACL86" s="368"/>
      <c r="ACM86" s="368"/>
      <c r="ACN86" s="368"/>
      <c r="ACO86" s="368"/>
      <c r="ACP86" s="368"/>
      <c r="ACQ86" s="368"/>
      <c r="ACR86" s="368"/>
      <c r="ACS86" s="368"/>
      <c r="ACT86" s="368"/>
      <c r="ACU86" s="368"/>
      <c r="ACV86" s="368"/>
      <c r="ACW86" s="368"/>
      <c r="ACX86" s="368"/>
      <c r="ACY86" s="368"/>
      <c r="ACZ86" s="368"/>
      <c r="ADA86" s="368"/>
      <c r="ADB86" s="368"/>
      <c r="ADC86" s="368"/>
      <c r="ADD86" s="368"/>
      <c r="ADE86" s="368"/>
      <c r="ADF86" s="368"/>
      <c r="ADG86" s="368"/>
      <c r="ADH86" s="368"/>
      <c r="ADI86" s="368"/>
      <c r="ADJ86" s="368"/>
      <c r="ADK86" s="368"/>
      <c r="ADL86" s="368"/>
      <c r="ADM86" s="368"/>
      <c r="ADN86" s="368"/>
      <c r="ADO86" s="368"/>
      <c r="ADP86" s="368"/>
      <c r="ADQ86" s="368"/>
      <c r="ADR86" s="368"/>
      <c r="ADS86" s="368"/>
      <c r="ADT86" s="368"/>
      <c r="ADU86" s="368"/>
      <c r="ADV86" s="368"/>
      <c r="ADW86" s="368"/>
      <c r="ADX86" s="368"/>
      <c r="ADY86" s="368"/>
      <c r="ADZ86" s="368"/>
      <c r="AEA86" s="368"/>
      <c r="AEB86" s="368"/>
      <c r="AEC86" s="368"/>
      <c r="AED86" s="368"/>
      <c r="AEE86" s="368"/>
      <c r="AEF86" s="368"/>
      <c r="AEG86" s="368"/>
      <c r="AEH86" s="368"/>
      <c r="AEI86" s="368"/>
      <c r="AEJ86" s="368"/>
      <c r="AEK86" s="368"/>
      <c r="AEL86" s="368"/>
      <c r="AEM86" s="368"/>
      <c r="AEN86" s="368"/>
      <c r="AEO86" s="368"/>
      <c r="AEP86" s="368"/>
      <c r="AEQ86" s="368"/>
      <c r="AER86" s="368"/>
      <c r="AES86" s="368"/>
      <c r="AET86" s="368"/>
      <c r="AEU86" s="368"/>
      <c r="AEV86" s="368"/>
      <c r="AEW86" s="368"/>
      <c r="AEX86" s="368"/>
      <c r="AEY86" s="368"/>
      <c r="AEZ86" s="368"/>
      <c r="AFA86" s="368"/>
      <c r="AFB86" s="368"/>
      <c r="AFC86" s="368"/>
      <c r="AFD86" s="368"/>
      <c r="AFE86" s="368"/>
      <c r="AFF86" s="368"/>
      <c r="AFG86" s="368"/>
      <c r="AFH86" s="368"/>
      <c r="AFI86" s="368"/>
      <c r="AFJ86" s="368"/>
      <c r="AFK86" s="368"/>
      <c r="AFL86" s="368"/>
      <c r="AFM86" s="368"/>
      <c r="AFN86" s="368"/>
      <c r="AFO86" s="368"/>
      <c r="AFP86" s="368"/>
      <c r="AFQ86" s="368"/>
      <c r="AFR86" s="368"/>
      <c r="AFS86" s="368"/>
      <c r="AFT86" s="368"/>
      <c r="AFU86" s="368"/>
      <c r="AFV86" s="368"/>
      <c r="AFW86" s="368"/>
      <c r="AFX86" s="368"/>
      <c r="AFY86" s="368"/>
      <c r="AFZ86" s="368"/>
      <c r="AGA86" s="368"/>
      <c r="AGB86" s="368"/>
      <c r="AGC86" s="368"/>
      <c r="AGD86" s="368"/>
      <c r="AGE86" s="368"/>
      <c r="AGF86" s="368"/>
      <c r="AGG86" s="368"/>
      <c r="AGH86" s="368"/>
      <c r="AGI86" s="368"/>
      <c r="AGJ86" s="368"/>
      <c r="AGK86" s="368"/>
      <c r="AGL86" s="368"/>
      <c r="AGM86" s="368"/>
      <c r="AGN86" s="368"/>
      <c r="AGO86" s="368"/>
      <c r="AGP86" s="368"/>
      <c r="AGQ86" s="368"/>
      <c r="AGR86" s="368"/>
      <c r="AGS86" s="368"/>
      <c r="AGT86" s="368"/>
      <c r="AGU86" s="368"/>
      <c r="AGV86" s="368"/>
      <c r="AGW86" s="368"/>
      <c r="AGX86" s="368"/>
      <c r="AGY86" s="368"/>
      <c r="AGZ86" s="368"/>
      <c r="AHA86" s="368"/>
      <c r="AHB86" s="368"/>
      <c r="AHC86" s="368"/>
      <c r="AHD86" s="368"/>
      <c r="AHE86" s="368"/>
      <c r="AHF86" s="368"/>
      <c r="AHG86" s="368"/>
      <c r="AHH86" s="368"/>
      <c r="AHI86" s="368"/>
      <c r="AHJ86" s="368"/>
      <c r="AHK86" s="368"/>
      <c r="AHL86" s="368"/>
      <c r="AHM86" s="368"/>
      <c r="AHN86" s="368"/>
      <c r="AHO86" s="368"/>
      <c r="AHP86" s="368"/>
      <c r="AHQ86" s="368"/>
      <c r="AHR86" s="368"/>
      <c r="AHS86" s="368"/>
      <c r="AHT86" s="368"/>
      <c r="AHU86" s="368"/>
      <c r="AHV86" s="368"/>
      <c r="AHW86" s="368"/>
      <c r="AHX86" s="368"/>
      <c r="AHY86" s="368"/>
      <c r="AHZ86" s="368"/>
      <c r="AIA86" s="368"/>
      <c r="AIB86" s="368"/>
      <c r="AIC86" s="368"/>
      <c r="AID86" s="368"/>
      <c r="AIE86" s="368"/>
      <c r="AIF86" s="368"/>
      <c r="AIG86" s="368"/>
      <c r="AIH86" s="368"/>
      <c r="AII86" s="368"/>
      <c r="AIJ86" s="368"/>
      <c r="AIK86" s="368"/>
      <c r="AIL86" s="368"/>
      <c r="AIM86" s="368"/>
      <c r="AIN86" s="368"/>
      <c r="AIO86" s="368"/>
      <c r="AIP86" s="368"/>
      <c r="AIQ86" s="368"/>
      <c r="AIR86" s="368"/>
      <c r="AIS86" s="368"/>
      <c r="AIT86" s="368"/>
      <c r="AIU86" s="368"/>
      <c r="AIV86" s="368"/>
      <c r="AIW86" s="368"/>
      <c r="AIX86" s="368"/>
      <c r="AIY86" s="368"/>
      <c r="AIZ86" s="368"/>
      <c r="AJA86" s="368"/>
      <c r="AJB86" s="368"/>
      <c r="AJC86" s="368"/>
      <c r="AJD86" s="368"/>
      <c r="AJE86" s="368"/>
      <c r="AJF86" s="368"/>
      <c r="AJG86" s="368"/>
      <c r="AJH86" s="368"/>
      <c r="AJI86" s="368"/>
      <c r="AJJ86" s="368"/>
      <c r="AJK86" s="368"/>
      <c r="AJL86" s="368"/>
      <c r="AJM86" s="368"/>
      <c r="AJN86" s="368"/>
      <c r="AJO86" s="368"/>
      <c r="AJP86" s="368"/>
      <c r="AJQ86" s="368"/>
      <c r="AJR86" s="368"/>
      <c r="AJS86" s="368"/>
      <c r="AJT86" s="368"/>
      <c r="AJU86" s="368"/>
      <c r="AJV86" s="368"/>
      <c r="AJW86" s="368"/>
      <c r="AJX86" s="368"/>
      <c r="AJY86" s="368"/>
      <c r="AJZ86" s="368"/>
      <c r="AKA86" s="368"/>
      <c r="AKB86" s="368"/>
      <c r="AKC86" s="368"/>
      <c r="AKD86" s="368"/>
      <c r="AKE86" s="368"/>
      <c r="AKF86" s="368"/>
      <c r="AKG86" s="368"/>
      <c r="AKH86" s="368"/>
      <c r="AKI86" s="368"/>
      <c r="AKJ86" s="368"/>
      <c r="AKK86" s="368"/>
      <c r="AKL86" s="368"/>
      <c r="AKM86" s="368"/>
      <c r="AKN86" s="368"/>
    </row>
    <row r="87" spans="1:976" s="346" customFormat="1" ht="22.5" customHeight="1" x14ac:dyDescent="0.2">
      <c r="A87" s="370" t="s">
        <v>262</v>
      </c>
      <c r="B87" s="370"/>
      <c r="C87" s="370" t="s">
        <v>221</v>
      </c>
      <c r="D87" s="370" t="s">
        <v>222</v>
      </c>
      <c r="E87" s="371">
        <v>411356</v>
      </c>
      <c r="F87" s="371">
        <v>1352</v>
      </c>
      <c r="G87" s="371">
        <v>204</v>
      </c>
      <c r="H87" s="371">
        <v>0</v>
      </c>
      <c r="I87" s="372">
        <v>45846</v>
      </c>
      <c r="J87" s="370" t="s">
        <v>395</v>
      </c>
      <c r="K87" s="370" t="s">
        <v>520</v>
      </c>
      <c r="L87" s="373">
        <v>91.98</v>
      </c>
      <c r="M87" s="373">
        <v>7.3</v>
      </c>
      <c r="N87" s="444">
        <v>99.28</v>
      </c>
      <c r="O87" s="370"/>
      <c r="P87" s="374">
        <v>45848</v>
      </c>
      <c r="Q87" s="373">
        <v>99.28</v>
      </c>
      <c r="R87" s="370" t="s">
        <v>521</v>
      </c>
      <c r="S87" s="373">
        <v>0</v>
      </c>
      <c r="T87" s="373">
        <v>0</v>
      </c>
      <c r="U87" s="373">
        <v>0</v>
      </c>
      <c r="V87" s="373">
        <v>0</v>
      </c>
      <c r="W87" s="370"/>
      <c r="X87" s="370" t="s">
        <v>293</v>
      </c>
      <c r="Y87" s="370" t="s">
        <v>294</v>
      </c>
      <c r="Z87" s="370" t="s">
        <v>42</v>
      </c>
      <c r="AA87" s="370" t="s">
        <v>228</v>
      </c>
      <c r="AB87" s="370" t="s">
        <v>235</v>
      </c>
      <c r="AC87" s="370" t="s">
        <v>331</v>
      </c>
      <c r="AD87" s="370" t="s">
        <v>231</v>
      </c>
      <c r="AE87" s="370" t="s">
        <v>232</v>
      </c>
      <c r="AF87" s="370" t="s">
        <v>231</v>
      </c>
      <c r="AG87" s="370" t="s">
        <v>232</v>
      </c>
      <c r="AH87" s="370"/>
      <c r="AI87" s="370"/>
      <c r="AJ87" s="370"/>
      <c r="AK87" s="370" t="s">
        <v>522</v>
      </c>
      <c r="AL87" s="371">
        <v>1</v>
      </c>
      <c r="AM87" s="371">
        <v>0</v>
      </c>
      <c r="AN87" s="372">
        <v>45848</v>
      </c>
      <c r="AO87" s="372">
        <v>45848</v>
      </c>
      <c r="AP87" s="373">
        <v>99.28</v>
      </c>
      <c r="AQ87" s="372">
        <v>45847</v>
      </c>
      <c r="AR87" s="368"/>
      <c r="AS87" s="368"/>
      <c r="AT87" s="368"/>
      <c r="AU87" s="368"/>
      <c r="AV87" s="368"/>
      <c r="AW87" s="368"/>
      <c r="AX87" s="368"/>
      <c r="AY87" s="368"/>
      <c r="AZ87" s="368"/>
      <c r="BA87" s="368"/>
      <c r="BB87" s="368"/>
      <c r="BC87" s="368"/>
      <c r="BD87" s="368"/>
      <c r="BE87" s="368"/>
      <c r="BF87" s="368"/>
      <c r="BG87" s="368"/>
      <c r="BH87" s="368"/>
      <c r="BI87" s="368"/>
      <c r="BJ87" s="368"/>
      <c r="BK87" s="368"/>
      <c r="BL87" s="368"/>
      <c r="BM87" s="368"/>
      <c r="BN87" s="368"/>
      <c r="BO87" s="368"/>
      <c r="BP87" s="368"/>
      <c r="BQ87" s="368"/>
      <c r="BR87" s="368"/>
      <c r="BS87" s="368"/>
      <c r="BT87" s="368"/>
      <c r="BU87" s="368"/>
      <c r="BV87" s="368"/>
      <c r="BW87" s="368"/>
      <c r="BX87" s="368"/>
      <c r="BY87" s="368"/>
      <c r="BZ87" s="368"/>
      <c r="CA87" s="368"/>
      <c r="CB87" s="368"/>
      <c r="CC87" s="368"/>
      <c r="CD87" s="368"/>
      <c r="CE87" s="368"/>
      <c r="CF87" s="368"/>
      <c r="CG87" s="368"/>
      <c r="CH87" s="368"/>
      <c r="CI87" s="368"/>
      <c r="CJ87" s="368"/>
      <c r="CK87" s="368"/>
      <c r="CL87" s="368"/>
      <c r="CM87" s="368"/>
      <c r="CN87" s="368"/>
      <c r="CO87" s="368"/>
      <c r="CP87" s="368"/>
      <c r="CQ87" s="368"/>
      <c r="CR87" s="368"/>
      <c r="CS87" s="368"/>
      <c r="CT87" s="368"/>
      <c r="CU87" s="368"/>
      <c r="CV87" s="368"/>
      <c r="CW87" s="368"/>
      <c r="CX87" s="368"/>
      <c r="CY87" s="368"/>
      <c r="CZ87" s="368"/>
      <c r="DA87" s="368"/>
      <c r="DB87" s="368"/>
      <c r="DC87" s="368"/>
      <c r="DD87" s="368"/>
      <c r="DE87" s="368"/>
      <c r="DF87" s="368"/>
      <c r="DG87" s="368"/>
      <c r="DH87" s="368"/>
      <c r="DI87" s="368"/>
      <c r="DJ87" s="368"/>
      <c r="DK87" s="368"/>
      <c r="DL87" s="368"/>
      <c r="DM87" s="368"/>
      <c r="DN87" s="368"/>
      <c r="DO87" s="368"/>
      <c r="DP87" s="368"/>
      <c r="DQ87" s="368"/>
      <c r="DR87" s="368"/>
      <c r="DS87" s="368"/>
      <c r="DT87" s="368"/>
      <c r="DU87" s="368"/>
      <c r="DV87" s="368"/>
      <c r="DW87" s="368"/>
      <c r="DX87" s="368"/>
      <c r="DY87" s="368"/>
      <c r="DZ87" s="368"/>
      <c r="EA87" s="368"/>
      <c r="EB87" s="368"/>
      <c r="EC87" s="368"/>
      <c r="ED87" s="368"/>
      <c r="EE87" s="368"/>
      <c r="EF87" s="368"/>
      <c r="EG87" s="368"/>
      <c r="EH87" s="368"/>
      <c r="EI87" s="368"/>
      <c r="EJ87" s="368"/>
      <c r="EK87" s="368"/>
      <c r="EL87" s="368"/>
      <c r="EM87" s="368"/>
      <c r="EN87" s="368"/>
      <c r="EO87" s="368"/>
      <c r="EP87" s="368"/>
      <c r="EQ87" s="368"/>
      <c r="ER87" s="368"/>
      <c r="ES87" s="368"/>
      <c r="ET87" s="368"/>
      <c r="EU87" s="368"/>
      <c r="EV87" s="368"/>
      <c r="EW87" s="368"/>
      <c r="EX87" s="368"/>
      <c r="EY87" s="368"/>
      <c r="EZ87" s="368"/>
      <c r="FA87" s="368"/>
      <c r="FB87" s="368"/>
      <c r="FC87" s="368"/>
      <c r="FD87" s="368"/>
      <c r="FE87" s="368"/>
      <c r="FF87" s="368"/>
      <c r="FG87" s="368"/>
      <c r="FH87" s="368"/>
      <c r="FI87" s="368"/>
      <c r="FJ87" s="368"/>
      <c r="FK87" s="368"/>
      <c r="FL87" s="368"/>
      <c r="FM87" s="368"/>
      <c r="FN87" s="368"/>
      <c r="FO87" s="368"/>
      <c r="FP87" s="368"/>
      <c r="FQ87" s="368"/>
      <c r="FR87" s="368"/>
      <c r="FS87" s="368"/>
      <c r="FT87" s="368"/>
      <c r="FU87" s="368"/>
      <c r="FV87" s="368"/>
      <c r="FW87" s="368"/>
      <c r="FX87" s="368"/>
      <c r="FY87" s="368"/>
      <c r="FZ87" s="368"/>
      <c r="GA87" s="368"/>
      <c r="GB87" s="368"/>
      <c r="GC87" s="368"/>
      <c r="GD87" s="368"/>
      <c r="GE87" s="368"/>
      <c r="GF87" s="368"/>
      <c r="GG87" s="368"/>
      <c r="GH87" s="368"/>
      <c r="GI87" s="368"/>
      <c r="GJ87" s="368"/>
      <c r="GK87" s="368"/>
      <c r="GL87" s="368"/>
      <c r="GM87" s="368"/>
      <c r="GN87" s="368"/>
      <c r="GO87" s="368"/>
      <c r="GP87" s="368"/>
      <c r="GQ87" s="368"/>
      <c r="GR87" s="368"/>
      <c r="GS87" s="368"/>
      <c r="GT87" s="368"/>
      <c r="GU87" s="368"/>
      <c r="GV87" s="368"/>
      <c r="GW87" s="368"/>
      <c r="GX87" s="368"/>
      <c r="GY87" s="368"/>
      <c r="GZ87" s="368"/>
      <c r="HA87" s="368"/>
      <c r="HB87" s="368"/>
      <c r="HC87" s="368"/>
      <c r="HD87" s="368"/>
      <c r="HE87" s="368"/>
      <c r="HF87" s="368"/>
      <c r="HG87" s="368"/>
      <c r="HH87" s="368"/>
      <c r="HI87" s="368"/>
      <c r="HJ87" s="368"/>
      <c r="HK87" s="368"/>
      <c r="HL87" s="368"/>
      <c r="HM87" s="368"/>
      <c r="HN87" s="368"/>
      <c r="HO87" s="368"/>
      <c r="HP87" s="368"/>
      <c r="HQ87" s="368"/>
      <c r="HR87" s="368"/>
      <c r="HS87" s="368"/>
      <c r="HT87" s="368"/>
      <c r="HU87" s="368"/>
      <c r="HV87" s="368"/>
      <c r="HW87" s="368"/>
      <c r="HX87" s="368"/>
      <c r="HY87" s="368"/>
      <c r="HZ87" s="368"/>
      <c r="IA87" s="368"/>
      <c r="IB87" s="368"/>
      <c r="IC87" s="368"/>
      <c r="ID87" s="368"/>
      <c r="IE87" s="368"/>
      <c r="IF87" s="368"/>
      <c r="IG87" s="368"/>
      <c r="IH87" s="368"/>
      <c r="II87" s="368"/>
      <c r="IJ87" s="368"/>
      <c r="IK87" s="368"/>
      <c r="IL87" s="368"/>
      <c r="IM87" s="368"/>
      <c r="IN87" s="368"/>
      <c r="IO87" s="368"/>
      <c r="IP87" s="368"/>
      <c r="IQ87" s="368"/>
      <c r="IR87" s="368"/>
      <c r="IS87" s="368"/>
      <c r="IT87" s="368"/>
      <c r="IU87" s="368"/>
      <c r="IV87" s="368"/>
      <c r="IW87" s="368"/>
      <c r="IX87" s="368"/>
      <c r="IY87" s="368"/>
      <c r="IZ87" s="368"/>
      <c r="JA87" s="368"/>
      <c r="JB87" s="368"/>
      <c r="JC87" s="368"/>
      <c r="JD87" s="368"/>
      <c r="JE87" s="368"/>
      <c r="JF87" s="368"/>
      <c r="JG87" s="368"/>
      <c r="JH87" s="368"/>
      <c r="JI87" s="368"/>
      <c r="JJ87" s="368"/>
      <c r="JK87" s="368"/>
      <c r="JL87" s="368"/>
      <c r="JM87" s="368"/>
      <c r="JN87" s="368"/>
      <c r="JO87" s="368"/>
      <c r="JP87" s="368"/>
      <c r="JQ87" s="368"/>
      <c r="JR87" s="368"/>
      <c r="JS87" s="368"/>
      <c r="JT87" s="368"/>
      <c r="JU87" s="368"/>
      <c r="JV87" s="368"/>
      <c r="JW87" s="368"/>
      <c r="JX87" s="368"/>
      <c r="JY87" s="368"/>
      <c r="JZ87" s="368"/>
      <c r="KA87" s="368"/>
      <c r="KB87" s="368"/>
      <c r="KC87" s="368"/>
      <c r="KD87" s="368"/>
      <c r="KE87" s="368"/>
      <c r="KF87" s="368"/>
      <c r="KG87" s="368"/>
      <c r="KH87" s="368"/>
      <c r="KI87" s="368"/>
      <c r="KJ87" s="368"/>
      <c r="KK87" s="368"/>
      <c r="KL87" s="368"/>
      <c r="KM87" s="368"/>
      <c r="KN87" s="368"/>
      <c r="KO87" s="368"/>
      <c r="KP87" s="368"/>
      <c r="KQ87" s="368"/>
      <c r="KR87" s="368"/>
      <c r="KS87" s="368"/>
      <c r="KT87" s="368"/>
      <c r="KU87" s="368"/>
      <c r="KV87" s="368"/>
      <c r="KW87" s="368"/>
      <c r="KX87" s="368"/>
      <c r="KY87" s="368"/>
      <c r="KZ87" s="368"/>
      <c r="LA87" s="368"/>
      <c r="LB87" s="368"/>
      <c r="LC87" s="368"/>
      <c r="LD87" s="368"/>
      <c r="LE87" s="368"/>
      <c r="LF87" s="368"/>
      <c r="LG87" s="368"/>
      <c r="LH87" s="368"/>
      <c r="LI87" s="368"/>
      <c r="LJ87" s="368"/>
      <c r="LK87" s="368"/>
      <c r="LL87" s="368"/>
      <c r="LM87" s="368"/>
      <c r="LN87" s="368"/>
      <c r="LO87" s="368"/>
      <c r="LP87" s="368"/>
      <c r="LQ87" s="368"/>
      <c r="LR87" s="368"/>
      <c r="LS87" s="368"/>
      <c r="LT87" s="368"/>
      <c r="LU87" s="368"/>
      <c r="LV87" s="368"/>
      <c r="LW87" s="368"/>
      <c r="LX87" s="368"/>
      <c r="LY87" s="368"/>
      <c r="LZ87" s="368"/>
      <c r="MA87" s="368"/>
      <c r="MB87" s="368"/>
      <c r="MC87" s="368"/>
      <c r="MD87" s="368"/>
      <c r="ME87" s="368"/>
      <c r="MF87" s="368"/>
      <c r="MG87" s="368"/>
      <c r="MH87" s="368"/>
      <c r="MI87" s="368"/>
      <c r="MJ87" s="368"/>
      <c r="MK87" s="368"/>
      <c r="ML87" s="368"/>
      <c r="MM87" s="368"/>
      <c r="MN87" s="368"/>
      <c r="MO87" s="368"/>
      <c r="MP87" s="368"/>
      <c r="MQ87" s="368"/>
      <c r="MR87" s="368"/>
      <c r="MS87" s="368"/>
      <c r="MT87" s="368"/>
      <c r="MU87" s="368"/>
      <c r="MV87" s="368"/>
      <c r="MW87" s="368"/>
      <c r="MX87" s="368"/>
      <c r="MY87" s="368"/>
      <c r="MZ87" s="368"/>
      <c r="NA87" s="368"/>
      <c r="NB87" s="368"/>
      <c r="NC87" s="368"/>
      <c r="ND87" s="368"/>
      <c r="NE87" s="368"/>
      <c r="NF87" s="368"/>
      <c r="NG87" s="368"/>
      <c r="NH87" s="368"/>
      <c r="NI87" s="368"/>
      <c r="NJ87" s="368"/>
      <c r="NK87" s="368"/>
      <c r="NL87" s="368"/>
      <c r="NM87" s="368"/>
      <c r="NN87" s="368"/>
      <c r="NO87" s="368"/>
      <c r="NP87" s="368"/>
      <c r="NQ87" s="368"/>
      <c r="NR87" s="368"/>
      <c r="NS87" s="368"/>
      <c r="NT87" s="368"/>
      <c r="NU87" s="368"/>
      <c r="NV87" s="368"/>
      <c r="NW87" s="368"/>
      <c r="NX87" s="368"/>
      <c r="NY87" s="368"/>
      <c r="NZ87" s="368"/>
      <c r="OA87" s="368"/>
      <c r="OB87" s="368"/>
      <c r="OC87" s="368"/>
      <c r="OD87" s="368"/>
      <c r="OE87" s="368"/>
      <c r="OF87" s="368"/>
      <c r="OG87" s="368"/>
      <c r="OH87" s="368"/>
      <c r="OI87" s="368"/>
      <c r="OJ87" s="368"/>
      <c r="OK87" s="368"/>
      <c r="OL87" s="368"/>
      <c r="OM87" s="368"/>
      <c r="ON87" s="368"/>
      <c r="OO87" s="368"/>
      <c r="OP87" s="368"/>
      <c r="OQ87" s="368"/>
      <c r="OR87" s="368"/>
      <c r="OS87" s="368"/>
      <c r="OT87" s="368"/>
      <c r="OU87" s="368"/>
      <c r="OV87" s="368"/>
      <c r="OW87" s="368"/>
      <c r="OX87" s="368"/>
      <c r="OY87" s="368"/>
      <c r="OZ87" s="368"/>
      <c r="PA87" s="368"/>
      <c r="PB87" s="368"/>
      <c r="PC87" s="368"/>
      <c r="PD87" s="368"/>
      <c r="PE87" s="368"/>
      <c r="PF87" s="368"/>
      <c r="PG87" s="368"/>
      <c r="PH87" s="368"/>
      <c r="PI87" s="368"/>
      <c r="PJ87" s="368"/>
      <c r="PK87" s="368"/>
      <c r="PL87" s="368"/>
      <c r="PM87" s="368"/>
      <c r="PN87" s="368"/>
      <c r="PO87" s="368"/>
      <c r="PP87" s="368"/>
      <c r="PQ87" s="368"/>
      <c r="PR87" s="368"/>
      <c r="PS87" s="368"/>
      <c r="PT87" s="368"/>
      <c r="PU87" s="368"/>
      <c r="PV87" s="368"/>
      <c r="PW87" s="368"/>
      <c r="PX87" s="368"/>
      <c r="PY87" s="368"/>
      <c r="PZ87" s="368"/>
      <c r="QA87" s="368"/>
      <c r="QB87" s="368"/>
      <c r="QC87" s="368"/>
      <c r="QD87" s="368"/>
      <c r="QE87" s="368"/>
      <c r="QF87" s="368"/>
      <c r="QG87" s="368"/>
      <c r="QH87" s="368"/>
      <c r="QI87" s="368"/>
      <c r="QJ87" s="368"/>
      <c r="QK87" s="368"/>
      <c r="QL87" s="368"/>
      <c r="QM87" s="368"/>
      <c r="QN87" s="368"/>
      <c r="QO87" s="368"/>
      <c r="QP87" s="368"/>
      <c r="QQ87" s="368"/>
      <c r="QR87" s="368"/>
      <c r="QS87" s="368"/>
      <c r="QT87" s="368"/>
      <c r="QU87" s="368"/>
      <c r="QV87" s="368"/>
      <c r="QW87" s="368"/>
      <c r="QX87" s="368"/>
      <c r="QY87" s="368"/>
      <c r="QZ87" s="368"/>
      <c r="RA87" s="368"/>
      <c r="RB87" s="368"/>
      <c r="RC87" s="368"/>
      <c r="RD87" s="368"/>
      <c r="RE87" s="368"/>
      <c r="RF87" s="368"/>
      <c r="RG87" s="368"/>
      <c r="RH87" s="368"/>
      <c r="RI87" s="368"/>
      <c r="RJ87" s="368"/>
      <c r="RK87" s="368"/>
      <c r="RL87" s="368"/>
      <c r="RM87" s="368"/>
      <c r="RN87" s="368"/>
      <c r="RO87" s="368"/>
      <c r="RP87" s="368"/>
      <c r="RQ87" s="368"/>
      <c r="RR87" s="368"/>
      <c r="RS87" s="368"/>
      <c r="RT87" s="368"/>
      <c r="RU87" s="368"/>
      <c r="RV87" s="368"/>
      <c r="RW87" s="368"/>
      <c r="RX87" s="368"/>
      <c r="RY87" s="368"/>
      <c r="RZ87" s="368"/>
      <c r="SA87" s="368"/>
      <c r="SB87" s="368"/>
      <c r="SC87" s="368"/>
      <c r="SD87" s="368"/>
      <c r="SE87" s="368"/>
      <c r="SF87" s="368"/>
      <c r="SG87" s="368"/>
      <c r="SH87" s="368"/>
      <c r="SI87" s="368"/>
      <c r="SJ87" s="368"/>
      <c r="SK87" s="368"/>
      <c r="SL87" s="368"/>
      <c r="SM87" s="368"/>
      <c r="SN87" s="368"/>
      <c r="SO87" s="368"/>
      <c r="SP87" s="368"/>
      <c r="SQ87" s="368"/>
      <c r="SR87" s="368"/>
      <c r="SS87" s="368"/>
      <c r="ST87" s="368"/>
      <c r="SU87" s="368"/>
      <c r="SV87" s="368"/>
      <c r="SW87" s="368"/>
      <c r="SX87" s="368"/>
      <c r="SY87" s="368"/>
      <c r="SZ87" s="368"/>
      <c r="TA87" s="368"/>
      <c r="TB87" s="368"/>
      <c r="TC87" s="368"/>
      <c r="TD87" s="368"/>
      <c r="TE87" s="368"/>
      <c r="TF87" s="368"/>
      <c r="TG87" s="368"/>
      <c r="TH87" s="368"/>
      <c r="TI87" s="368"/>
      <c r="TJ87" s="368"/>
      <c r="TK87" s="368"/>
      <c r="TL87" s="368"/>
      <c r="TM87" s="368"/>
      <c r="TN87" s="368"/>
      <c r="TO87" s="368"/>
      <c r="TP87" s="368"/>
      <c r="TQ87" s="368"/>
      <c r="TR87" s="368"/>
      <c r="TS87" s="368"/>
      <c r="TT87" s="368"/>
      <c r="TU87" s="368"/>
      <c r="TV87" s="368"/>
      <c r="TW87" s="368"/>
      <c r="TX87" s="368"/>
      <c r="TY87" s="368"/>
      <c r="TZ87" s="368"/>
      <c r="UA87" s="368"/>
      <c r="UB87" s="368"/>
      <c r="UC87" s="368"/>
      <c r="UD87" s="368"/>
      <c r="UE87" s="368"/>
      <c r="UF87" s="368"/>
      <c r="UG87" s="368"/>
      <c r="UH87" s="368"/>
      <c r="UI87" s="368"/>
      <c r="UJ87" s="368"/>
      <c r="UK87" s="368"/>
      <c r="UL87" s="368"/>
      <c r="UM87" s="368"/>
      <c r="UN87" s="368"/>
      <c r="UO87" s="368"/>
      <c r="UP87" s="368"/>
      <c r="UQ87" s="368"/>
      <c r="UR87" s="368"/>
      <c r="US87" s="368"/>
      <c r="UT87" s="368"/>
      <c r="UU87" s="368"/>
      <c r="UV87" s="368"/>
      <c r="UW87" s="368"/>
      <c r="UX87" s="368"/>
      <c r="UY87" s="368"/>
      <c r="UZ87" s="368"/>
      <c r="VA87" s="368"/>
      <c r="VB87" s="368"/>
      <c r="VC87" s="368"/>
      <c r="VD87" s="368"/>
      <c r="VE87" s="368"/>
      <c r="VF87" s="368"/>
      <c r="VG87" s="368"/>
      <c r="VH87" s="368"/>
      <c r="VI87" s="368"/>
      <c r="VJ87" s="368"/>
      <c r="VK87" s="368"/>
      <c r="VL87" s="368"/>
      <c r="VM87" s="368"/>
      <c r="VN87" s="368"/>
      <c r="VO87" s="368"/>
      <c r="VP87" s="368"/>
      <c r="VQ87" s="368"/>
      <c r="VR87" s="368"/>
      <c r="VS87" s="368"/>
      <c r="VT87" s="368"/>
      <c r="VU87" s="368"/>
      <c r="VV87" s="368"/>
      <c r="VW87" s="368"/>
      <c r="VX87" s="368"/>
      <c r="VY87" s="368"/>
      <c r="VZ87" s="368"/>
      <c r="WA87" s="368"/>
      <c r="WB87" s="368"/>
      <c r="WC87" s="368"/>
      <c r="WD87" s="368"/>
      <c r="WE87" s="368"/>
      <c r="WF87" s="368"/>
      <c r="WG87" s="368"/>
      <c r="WH87" s="368"/>
      <c r="WI87" s="368"/>
      <c r="WJ87" s="368"/>
      <c r="WK87" s="368"/>
      <c r="WL87" s="368"/>
      <c r="WM87" s="368"/>
      <c r="WN87" s="368"/>
      <c r="WO87" s="368"/>
      <c r="WP87" s="368"/>
      <c r="WQ87" s="368"/>
      <c r="WR87" s="368"/>
      <c r="WS87" s="368"/>
      <c r="WT87" s="368"/>
      <c r="WU87" s="368"/>
      <c r="WV87" s="368"/>
      <c r="WW87" s="368"/>
      <c r="WX87" s="368"/>
      <c r="WY87" s="368"/>
      <c r="WZ87" s="368"/>
      <c r="XA87" s="368"/>
      <c r="XB87" s="368"/>
      <c r="XC87" s="368"/>
      <c r="XD87" s="368"/>
      <c r="XE87" s="368"/>
      <c r="XF87" s="368"/>
      <c r="XG87" s="368"/>
      <c r="XH87" s="368"/>
      <c r="XI87" s="368"/>
      <c r="XJ87" s="368"/>
      <c r="XK87" s="368"/>
      <c r="XL87" s="368"/>
      <c r="XM87" s="368"/>
      <c r="XN87" s="368"/>
      <c r="XO87" s="368"/>
      <c r="XP87" s="368"/>
      <c r="XQ87" s="368"/>
      <c r="XR87" s="368"/>
      <c r="XS87" s="368"/>
      <c r="XT87" s="368"/>
      <c r="XU87" s="368"/>
      <c r="XV87" s="368"/>
      <c r="XW87" s="368"/>
      <c r="XX87" s="368"/>
      <c r="XY87" s="368"/>
      <c r="XZ87" s="368"/>
      <c r="YA87" s="368"/>
      <c r="YB87" s="368"/>
      <c r="YC87" s="368"/>
      <c r="YD87" s="368"/>
      <c r="YE87" s="368"/>
      <c r="YF87" s="368"/>
      <c r="YG87" s="368"/>
      <c r="YH87" s="368"/>
      <c r="YI87" s="368"/>
      <c r="YJ87" s="368"/>
      <c r="YK87" s="368"/>
      <c r="YL87" s="368"/>
      <c r="YM87" s="368"/>
      <c r="YN87" s="368"/>
      <c r="YO87" s="368"/>
      <c r="YP87" s="368"/>
      <c r="YQ87" s="368"/>
      <c r="YR87" s="368"/>
      <c r="YS87" s="368"/>
      <c r="YT87" s="368"/>
      <c r="YU87" s="368"/>
      <c r="YV87" s="368"/>
      <c r="YW87" s="368"/>
      <c r="YX87" s="368"/>
      <c r="YY87" s="368"/>
      <c r="YZ87" s="368"/>
      <c r="ZA87" s="368"/>
      <c r="ZB87" s="368"/>
      <c r="ZC87" s="368"/>
      <c r="ZD87" s="368"/>
      <c r="ZE87" s="368"/>
      <c r="ZF87" s="368"/>
      <c r="ZG87" s="368"/>
      <c r="ZH87" s="368"/>
      <c r="ZI87" s="368"/>
      <c r="ZJ87" s="368"/>
      <c r="ZK87" s="368"/>
      <c r="ZL87" s="368"/>
      <c r="ZM87" s="368"/>
      <c r="ZN87" s="368"/>
      <c r="ZO87" s="368"/>
      <c r="ZP87" s="368"/>
      <c r="ZQ87" s="368"/>
      <c r="ZR87" s="368"/>
      <c r="ZS87" s="368"/>
      <c r="ZT87" s="368"/>
      <c r="ZU87" s="368"/>
      <c r="ZV87" s="368"/>
      <c r="ZW87" s="368"/>
      <c r="ZX87" s="368"/>
      <c r="ZY87" s="368"/>
      <c r="ZZ87" s="368"/>
      <c r="AAA87" s="368"/>
      <c r="AAB87" s="368"/>
      <c r="AAC87" s="368"/>
      <c r="AAD87" s="368"/>
      <c r="AAE87" s="368"/>
      <c r="AAF87" s="368"/>
      <c r="AAG87" s="368"/>
      <c r="AAH87" s="368"/>
      <c r="AAI87" s="368"/>
      <c r="AAJ87" s="368"/>
      <c r="AAK87" s="368"/>
      <c r="AAL87" s="368"/>
      <c r="AAM87" s="368"/>
      <c r="AAN87" s="368"/>
      <c r="AAO87" s="368"/>
      <c r="AAP87" s="368"/>
      <c r="AAQ87" s="368"/>
      <c r="AAR87" s="368"/>
      <c r="AAS87" s="368"/>
      <c r="AAT87" s="368"/>
      <c r="AAU87" s="368"/>
      <c r="AAV87" s="368"/>
      <c r="AAW87" s="368"/>
      <c r="AAX87" s="368"/>
      <c r="AAY87" s="368"/>
      <c r="AAZ87" s="368"/>
      <c r="ABA87" s="368"/>
      <c r="ABB87" s="368"/>
      <c r="ABC87" s="368"/>
      <c r="ABD87" s="368"/>
      <c r="ABE87" s="368"/>
      <c r="ABF87" s="368"/>
      <c r="ABG87" s="368"/>
      <c r="ABH87" s="368"/>
      <c r="ABI87" s="368"/>
      <c r="ABJ87" s="368"/>
      <c r="ABK87" s="368"/>
      <c r="ABL87" s="368"/>
      <c r="ABM87" s="368"/>
      <c r="ABN87" s="368"/>
      <c r="ABO87" s="368"/>
      <c r="ABP87" s="368"/>
      <c r="ABQ87" s="368"/>
      <c r="ABR87" s="368"/>
      <c r="ABS87" s="368"/>
      <c r="ABT87" s="368"/>
      <c r="ABU87" s="368"/>
      <c r="ABV87" s="368"/>
      <c r="ABW87" s="368"/>
      <c r="ABX87" s="368"/>
      <c r="ABY87" s="368"/>
      <c r="ABZ87" s="368"/>
      <c r="ACA87" s="368"/>
      <c r="ACB87" s="368"/>
      <c r="ACC87" s="368"/>
      <c r="ACD87" s="368"/>
      <c r="ACE87" s="368"/>
      <c r="ACF87" s="368"/>
      <c r="ACG87" s="368"/>
      <c r="ACH87" s="368"/>
      <c r="ACI87" s="368"/>
      <c r="ACJ87" s="368"/>
      <c r="ACK87" s="368"/>
      <c r="ACL87" s="368"/>
      <c r="ACM87" s="368"/>
      <c r="ACN87" s="368"/>
      <c r="ACO87" s="368"/>
      <c r="ACP87" s="368"/>
      <c r="ACQ87" s="368"/>
      <c r="ACR87" s="368"/>
      <c r="ACS87" s="368"/>
      <c r="ACT87" s="368"/>
      <c r="ACU87" s="368"/>
      <c r="ACV87" s="368"/>
      <c r="ACW87" s="368"/>
      <c r="ACX87" s="368"/>
      <c r="ACY87" s="368"/>
      <c r="ACZ87" s="368"/>
      <c r="ADA87" s="368"/>
      <c r="ADB87" s="368"/>
      <c r="ADC87" s="368"/>
      <c r="ADD87" s="368"/>
      <c r="ADE87" s="368"/>
      <c r="ADF87" s="368"/>
      <c r="ADG87" s="368"/>
      <c r="ADH87" s="368"/>
      <c r="ADI87" s="368"/>
      <c r="ADJ87" s="368"/>
      <c r="ADK87" s="368"/>
      <c r="ADL87" s="368"/>
      <c r="ADM87" s="368"/>
      <c r="ADN87" s="368"/>
      <c r="ADO87" s="368"/>
      <c r="ADP87" s="368"/>
      <c r="ADQ87" s="368"/>
      <c r="ADR87" s="368"/>
      <c r="ADS87" s="368"/>
      <c r="ADT87" s="368"/>
      <c r="ADU87" s="368"/>
      <c r="ADV87" s="368"/>
      <c r="ADW87" s="368"/>
      <c r="ADX87" s="368"/>
      <c r="ADY87" s="368"/>
      <c r="ADZ87" s="368"/>
      <c r="AEA87" s="368"/>
      <c r="AEB87" s="368"/>
      <c r="AEC87" s="368"/>
      <c r="AED87" s="368"/>
      <c r="AEE87" s="368"/>
      <c r="AEF87" s="368"/>
      <c r="AEG87" s="368"/>
      <c r="AEH87" s="368"/>
      <c r="AEI87" s="368"/>
      <c r="AEJ87" s="368"/>
      <c r="AEK87" s="368"/>
      <c r="AEL87" s="368"/>
      <c r="AEM87" s="368"/>
      <c r="AEN87" s="368"/>
      <c r="AEO87" s="368"/>
      <c r="AEP87" s="368"/>
      <c r="AEQ87" s="368"/>
      <c r="AER87" s="368"/>
      <c r="AES87" s="368"/>
      <c r="AET87" s="368"/>
      <c r="AEU87" s="368"/>
      <c r="AEV87" s="368"/>
      <c r="AEW87" s="368"/>
      <c r="AEX87" s="368"/>
      <c r="AEY87" s="368"/>
      <c r="AEZ87" s="368"/>
      <c r="AFA87" s="368"/>
      <c r="AFB87" s="368"/>
      <c r="AFC87" s="368"/>
      <c r="AFD87" s="368"/>
      <c r="AFE87" s="368"/>
      <c r="AFF87" s="368"/>
      <c r="AFG87" s="368"/>
      <c r="AFH87" s="368"/>
      <c r="AFI87" s="368"/>
      <c r="AFJ87" s="368"/>
      <c r="AFK87" s="368"/>
      <c r="AFL87" s="368"/>
      <c r="AFM87" s="368"/>
      <c r="AFN87" s="368"/>
      <c r="AFO87" s="368"/>
      <c r="AFP87" s="368"/>
      <c r="AFQ87" s="368"/>
      <c r="AFR87" s="368"/>
      <c r="AFS87" s="368"/>
      <c r="AFT87" s="368"/>
      <c r="AFU87" s="368"/>
      <c r="AFV87" s="368"/>
      <c r="AFW87" s="368"/>
      <c r="AFX87" s="368"/>
      <c r="AFY87" s="368"/>
      <c r="AFZ87" s="368"/>
      <c r="AGA87" s="368"/>
      <c r="AGB87" s="368"/>
      <c r="AGC87" s="368"/>
      <c r="AGD87" s="368"/>
      <c r="AGE87" s="368"/>
      <c r="AGF87" s="368"/>
      <c r="AGG87" s="368"/>
      <c r="AGH87" s="368"/>
      <c r="AGI87" s="368"/>
      <c r="AGJ87" s="368"/>
      <c r="AGK87" s="368"/>
      <c r="AGL87" s="368"/>
      <c r="AGM87" s="368"/>
      <c r="AGN87" s="368"/>
      <c r="AGO87" s="368"/>
      <c r="AGP87" s="368"/>
      <c r="AGQ87" s="368"/>
      <c r="AGR87" s="368"/>
      <c r="AGS87" s="368"/>
      <c r="AGT87" s="368"/>
      <c r="AGU87" s="368"/>
      <c r="AGV87" s="368"/>
      <c r="AGW87" s="368"/>
      <c r="AGX87" s="368"/>
      <c r="AGY87" s="368"/>
      <c r="AGZ87" s="368"/>
      <c r="AHA87" s="368"/>
      <c r="AHB87" s="368"/>
      <c r="AHC87" s="368"/>
      <c r="AHD87" s="368"/>
      <c r="AHE87" s="368"/>
      <c r="AHF87" s="368"/>
      <c r="AHG87" s="368"/>
      <c r="AHH87" s="368"/>
      <c r="AHI87" s="368"/>
      <c r="AHJ87" s="368"/>
      <c r="AHK87" s="368"/>
      <c r="AHL87" s="368"/>
      <c r="AHM87" s="368"/>
      <c r="AHN87" s="368"/>
      <c r="AHO87" s="368"/>
      <c r="AHP87" s="368"/>
      <c r="AHQ87" s="368"/>
      <c r="AHR87" s="368"/>
      <c r="AHS87" s="368"/>
      <c r="AHT87" s="368"/>
      <c r="AHU87" s="368"/>
      <c r="AHV87" s="368"/>
      <c r="AHW87" s="368"/>
      <c r="AHX87" s="368"/>
      <c r="AHY87" s="368"/>
      <c r="AHZ87" s="368"/>
      <c r="AIA87" s="368"/>
      <c r="AIB87" s="368"/>
      <c r="AIC87" s="368"/>
      <c r="AID87" s="368"/>
      <c r="AIE87" s="368"/>
      <c r="AIF87" s="368"/>
      <c r="AIG87" s="368"/>
      <c r="AIH87" s="368"/>
      <c r="AII87" s="368"/>
      <c r="AIJ87" s="368"/>
      <c r="AIK87" s="368"/>
      <c r="AIL87" s="368"/>
      <c r="AIM87" s="368"/>
      <c r="AIN87" s="368"/>
      <c r="AIO87" s="368"/>
      <c r="AIP87" s="368"/>
      <c r="AIQ87" s="368"/>
      <c r="AIR87" s="368"/>
      <c r="AIS87" s="368"/>
      <c r="AIT87" s="368"/>
      <c r="AIU87" s="368"/>
      <c r="AIV87" s="368"/>
      <c r="AIW87" s="368"/>
      <c r="AIX87" s="368"/>
      <c r="AIY87" s="368"/>
      <c r="AIZ87" s="368"/>
      <c r="AJA87" s="368"/>
      <c r="AJB87" s="368"/>
      <c r="AJC87" s="368"/>
      <c r="AJD87" s="368"/>
      <c r="AJE87" s="368"/>
      <c r="AJF87" s="368"/>
      <c r="AJG87" s="368"/>
      <c r="AJH87" s="368"/>
      <c r="AJI87" s="368"/>
      <c r="AJJ87" s="368"/>
      <c r="AJK87" s="368"/>
      <c r="AJL87" s="368"/>
      <c r="AJM87" s="368"/>
      <c r="AJN87" s="368"/>
      <c r="AJO87" s="368"/>
      <c r="AJP87" s="368"/>
      <c r="AJQ87" s="368"/>
      <c r="AJR87" s="368"/>
      <c r="AJS87" s="368"/>
      <c r="AJT87" s="368"/>
      <c r="AJU87" s="368"/>
      <c r="AJV87" s="368"/>
      <c r="AJW87" s="368"/>
      <c r="AJX87" s="368"/>
      <c r="AJY87" s="368"/>
      <c r="AJZ87" s="368"/>
      <c r="AKA87" s="368"/>
      <c r="AKB87" s="368"/>
      <c r="AKC87" s="368"/>
      <c r="AKD87" s="368"/>
      <c r="AKE87" s="368"/>
      <c r="AKF87" s="368"/>
      <c r="AKG87" s="368"/>
      <c r="AKH87" s="368"/>
      <c r="AKI87" s="368"/>
      <c r="AKJ87" s="368"/>
      <c r="AKK87" s="368"/>
      <c r="AKL87" s="368"/>
      <c r="AKM87" s="368"/>
      <c r="AKN87" s="368"/>
    </row>
    <row r="88" spans="1:976" s="346" customFormat="1" ht="22.5" customHeight="1" x14ac:dyDescent="0.2">
      <c r="A88" s="370" t="s">
        <v>262</v>
      </c>
      <c r="B88" s="370"/>
      <c r="C88" s="370" t="s">
        <v>221</v>
      </c>
      <c r="D88" s="370" t="s">
        <v>222</v>
      </c>
      <c r="E88" s="371">
        <v>411357</v>
      </c>
      <c r="F88" s="371">
        <v>1353</v>
      </c>
      <c r="G88" s="371">
        <v>204</v>
      </c>
      <c r="H88" s="371">
        <v>0</v>
      </c>
      <c r="I88" s="372">
        <v>45846</v>
      </c>
      <c r="J88" s="370" t="s">
        <v>395</v>
      </c>
      <c r="K88" s="370" t="s">
        <v>523</v>
      </c>
      <c r="L88" s="373">
        <v>27.75</v>
      </c>
      <c r="M88" s="373">
        <v>1.65</v>
      </c>
      <c r="N88" s="444">
        <v>29.4</v>
      </c>
      <c r="O88" s="370"/>
      <c r="P88" s="374">
        <v>45848</v>
      </c>
      <c r="Q88" s="373">
        <v>29.4</v>
      </c>
      <c r="R88" s="370" t="s">
        <v>524</v>
      </c>
      <c r="S88" s="373">
        <v>0</v>
      </c>
      <c r="T88" s="373">
        <v>0</v>
      </c>
      <c r="U88" s="373">
        <v>0</v>
      </c>
      <c r="V88" s="373">
        <v>0</v>
      </c>
      <c r="W88" s="370"/>
      <c r="X88" s="370" t="s">
        <v>293</v>
      </c>
      <c r="Y88" s="370" t="s">
        <v>294</v>
      </c>
      <c r="Z88" s="370" t="s">
        <v>42</v>
      </c>
      <c r="AA88" s="370" t="s">
        <v>228</v>
      </c>
      <c r="AB88" s="370" t="s">
        <v>235</v>
      </c>
      <c r="AC88" s="370" t="s">
        <v>331</v>
      </c>
      <c r="AD88" s="370" t="s">
        <v>231</v>
      </c>
      <c r="AE88" s="370" t="s">
        <v>232</v>
      </c>
      <c r="AF88" s="370" t="s">
        <v>231</v>
      </c>
      <c r="AG88" s="370" t="s">
        <v>232</v>
      </c>
      <c r="AH88" s="370"/>
      <c r="AI88" s="370"/>
      <c r="AJ88" s="370"/>
      <c r="AK88" s="370" t="s">
        <v>525</v>
      </c>
      <c r="AL88" s="371">
        <v>1</v>
      </c>
      <c r="AM88" s="371">
        <v>0</v>
      </c>
      <c r="AN88" s="372">
        <v>45848</v>
      </c>
      <c r="AO88" s="372">
        <v>45848</v>
      </c>
      <c r="AP88" s="373">
        <v>29.4</v>
      </c>
      <c r="AQ88" s="372">
        <v>45847</v>
      </c>
      <c r="AR88" s="368"/>
      <c r="AS88" s="368"/>
      <c r="AT88" s="368"/>
      <c r="AU88" s="368"/>
      <c r="AV88" s="368"/>
      <c r="AW88" s="368"/>
      <c r="AX88" s="368"/>
      <c r="AY88" s="368"/>
      <c r="AZ88" s="368"/>
      <c r="BA88" s="368"/>
      <c r="BB88" s="368"/>
      <c r="BC88" s="368"/>
      <c r="BD88" s="368"/>
      <c r="BE88" s="368"/>
      <c r="BF88" s="368"/>
      <c r="BG88" s="368"/>
      <c r="BH88" s="368"/>
      <c r="BI88" s="368"/>
      <c r="BJ88" s="368"/>
      <c r="BK88" s="368"/>
      <c r="BL88" s="368"/>
      <c r="BM88" s="368"/>
      <c r="BN88" s="368"/>
      <c r="BO88" s="368"/>
      <c r="BP88" s="368"/>
      <c r="BQ88" s="368"/>
      <c r="BR88" s="368"/>
      <c r="BS88" s="368"/>
      <c r="BT88" s="368"/>
      <c r="BU88" s="368"/>
      <c r="BV88" s="368"/>
      <c r="BW88" s="368"/>
      <c r="BX88" s="368"/>
      <c r="BY88" s="368"/>
      <c r="BZ88" s="368"/>
      <c r="CA88" s="368"/>
      <c r="CB88" s="368"/>
      <c r="CC88" s="368"/>
      <c r="CD88" s="368"/>
      <c r="CE88" s="368"/>
      <c r="CF88" s="368"/>
      <c r="CG88" s="368"/>
      <c r="CH88" s="368"/>
      <c r="CI88" s="368"/>
      <c r="CJ88" s="368"/>
      <c r="CK88" s="368"/>
      <c r="CL88" s="368"/>
      <c r="CM88" s="368"/>
      <c r="CN88" s="368"/>
      <c r="CO88" s="368"/>
      <c r="CP88" s="368"/>
      <c r="CQ88" s="368"/>
      <c r="CR88" s="368"/>
      <c r="CS88" s="368"/>
      <c r="CT88" s="368"/>
      <c r="CU88" s="368"/>
      <c r="CV88" s="368"/>
      <c r="CW88" s="368"/>
      <c r="CX88" s="368"/>
      <c r="CY88" s="368"/>
      <c r="CZ88" s="368"/>
      <c r="DA88" s="368"/>
      <c r="DB88" s="368"/>
      <c r="DC88" s="368"/>
      <c r="DD88" s="368"/>
      <c r="DE88" s="368"/>
      <c r="DF88" s="368"/>
      <c r="DG88" s="368"/>
      <c r="DH88" s="368"/>
      <c r="DI88" s="368"/>
      <c r="DJ88" s="368"/>
      <c r="DK88" s="368"/>
      <c r="DL88" s="368"/>
      <c r="DM88" s="368"/>
      <c r="DN88" s="368"/>
      <c r="DO88" s="368"/>
      <c r="DP88" s="368"/>
      <c r="DQ88" s="368"/>
      <c r="DR88" s="368"/>
      <c r="DS88" s="368"/>
      <c r="DT88" s="368"/>
      <c r="DU88" s="368"/>
      <c r="DV88" s="368"/>
      <c r="DW88" s="368"/>
      <c r="DX88" s="368"/>
      <c r="DY88" s="368"/>
      <c r="DZ88" s="368"/>
      <c r="EA88" s="368"/>
      <c r="EB88" s="368"/>
      <c r="EC88" s="368"/>
      <c r="ED88" s="368"/>
      <c r="EE88" s="368"/>
      <c r="EF88" s="368"/>
      <c r="EG88" s="368"/>
      <c r="EH88" s="368"/>
      <c r="EI88" s="368"/>
      <c r="EJ88" s="368"/>
      <c r="EK88" s="368"/>
      <c r="EL88" s="368"/>
      <c r="EM88" s="368"/>
      <c r="EN88" s="368"/>
      <c r="EO88" s="368"/>
      <c r="EP88" s="368"/>
      <c r="EQ88" s="368"/>
      <c r="ER88" s="368"/>
      <c r="ES88" s="368"/>
      <c r="ET88" s="368"/>
      <c r="EU88" s="368"/>
      <c r="EV88" s="368"/>
      <c r="EW88" s="368"/>
      <c r="EX88" s="368"/>
      <c r="EY88" s="368"/>
      <c r="EZ88" s="368"/>
      <c r="FA88" s="368"/>
      <c r="FB88" s="368"/>
      <c r="FC88" s="368"/>
      <c r="FD88" s="368"/>
      <c r="FE88" s="368"/>
      <c r="FF88" s="368"/>
      <c r="FG88" s="368"/>
      <c r="FH88" s="368"/>
      <c r="FI88" s="368"/>
      <c r="FJ88" s="368"/>
      <c r="FK88" s="368"/>
      <c r="FL88" s="368"/>
      <c r="FM88" s="368"/>
      <c r="FN88" s="368"/>
      <c r="FO88" s="368"/>
      <c r="FP88" s="368"/>
      <c r="FQ88" s="368"/>
      <c r="FR88" s="368"/>
      <c r="FS88" s="368"/>
      <c r="FT88" s="368"/>
      <c r="FU88" s="368"/>
      <c r="FV88" s="368"/>
      <c r="FW88" s="368"/>
      <c r="FX88" s="368"/>
      <c r="FY88" s="368"/>
      <c r="FZ88" s="368"/>
      <c r="GA88" s="368"/>
      <c r="GB88" s="368"/>
      <c r="GC88" s="368"/>
      <c r="GD88" s="368"/>
      <c r="GE88" s="368"/>
      <c r="GF88" s="368"/>
      <c r="GG88" s="368"/>
      <c r="GH88" s="368"/>
      <c r="GI88" s="368"/>
      <c r="GJ88" s="368"/>
      <c r="GK88" s="368"/>
      <c r="GL88" s="368"/>
      <c r="GM88" s="368"/>
      <c r="GN88" s="368"/>
      <c r="GO88" s="368"/>
      <c r="GP88" s="368"/>
      <c r="GQ88" s="368"/>
      <c r="GR88" s="368"/>
      <c r="GS88" s="368"/>
      <c r="GT88" s="368"/>
      <c r="GU88" s="368"/>
      <c r="GV88" s="368"/>
      <c r="GW88" s="368"/>
      <c r="GX88" s="368"/>
      <c r="GY88" s="368"/>
      <c r="GZ88" s="368"/>
      <c r="HA88" s="368"/>
      <c r="HB88" s="368"/>
      <c r="HC88" s="368"/>
      <c r="HD88" s="368"/>
      <c r="HE88" s="368"/>
      <c r="HF88" s="368"/>
      <c r="HG88" s="368"/>
      <c r="HH88" s="368"/>
      <c r="HI88" s="368"/>
      <c r="HJ88" s="368"/>
      <c r="HK88" s="368"/>
      <c r="HL88" s="368"/>
      <c r="HM88" s="368"/>
      <c r="HN88" s="368"/>
      <c r="HO88" s="368"/>
      <c r="HP88" s="368"/>
      <c r="HQ88" s="368"/>
      <c r="HR88" s="368"/>
      <c r="HS88" s="368"/>
      <c r="HT88" s="368"/>
      <c r="HU88" s="368"/>
      <c r="HV88" s="368"/>
      <c r="HW88" s="368"/>
      <c r="HX88" s="368"/>
      <c r="HY88" s="368"/>
      <c r="HZ88" s="368"/>
      <c r="IA88" s="368"/>
      <c r="IB88" s="368"/>
      <c r="IC88" s="368"/>
      <c r="ID88" s="368"/>
      <c r="IE88" s="368"/>
      <c r="IF88" s="368"/>
      <c r="IG88" s="368"/>
      <c r="IH88" s="368"/>
      <c r="II88" s="368"/>
      <c r="IJ88" s="368"/>
      <c r="IK88" s="368"/>
      <c r="IL88" s="368"/>
      <c r="IM88" s="368"/>
      <c r="IN88" s="368"/>
      <c r="IO88" s="368"/>
      <c r="IP88" s="368"/>
      <c r="IQ88" s="368"/>
      <c r="IR88" s="368"/>
      <c r="IS88" s="368"/>
      <c r="IT88" s="368"/>
      <c r="IU88" s="368"/>
      <c r="IV88" s="368"/>
      <c r="IW88" s="368"/>
      <c r="IX88" s="368"/>
      <c r="IY88" s="368"/>
      <c r="IZ88" s="368"/>
      <c r="JA88" s="368"/>
      <c r="JB88" s="368"/>
      <c r="JC88" s="368"/>
      <c r="JD88" s="368"/>
      <c r="JE88" s="368"/>
      <c r="JF88" s="368"/>
      <c r="JG88" s="368"/>
      <c r="JH88" s="368"/>
      <c r="JI88" s="368"/>
      <c r="JJ88" s="368"/>
      <c r="JK88" s="368"/>
      <c r="JL88" s="368"/>
      <c r="JM88" s="368"/>
      <c r="JN88" s="368"/>
      <c r="JO88" s="368"/>
      <c r="JP88" s="368"/>
      <c r="JQ88" s="368"/>
      <c r="JR88" s="368"/>
      <c r="JS88" s="368"/>
      <c r="JT88" s="368"/>
      <c r="JU88" s="368"/>
      <c r="JV88" s="368"/>
      <c r="JW88" s="368"/>
      <c r="JX88" s="368"/>
      <c r="JY88" s="368"/>
      <c r="JZ88" s="368"/>
      <c r="KA88" s="368"/>
      <c r="KB88" s="368"/>
      <c r="KC88" s="368"/>
      <c r="KD88" s="368"/>
      <c r="KE88" s="368"/>
      <c r="KF88" s="368"/>
      <c r="KG88" s="368"/>
      <c r="KH88" s="368"/>
      <c r="KI88" s="368"/>
      <c r="KJ88" s="368"/>
      <c r="KK88" s="368"/>
      <c r="KL88" s="368"/>
      <c r="KM88" s="368"/>
      <c r="KN88" s="368"/>
      <c r="KO88" s="368"/>
      <c r="KP88" s="368"/>
      <c r="KQ88" s="368"/>
      <c r="KR88" s="368"/>
      <c r="KS88" s="368"/>
      <c r="KT88" s="368"/>
      <c r="KU88" s="368"/>
      <c r="KV88" s="368"/>
      <c r="KW88" s="368"/>
      <c r="KX88" s="368"/>
      <c r="KY88" s="368"/>
      <c r="KZ88" s="368"/>
      <c r="LA88" s="368"/>
      <c r="LB88" s="368"/>
      <c r="LC88" s="368"/>
      <c r="LD88" s="368"/>
      <c r="LE88" s="368"/>
      <c r="LF88" s="368"/>
      <c r="LG88" s="368"/>
      <c r="LH88" s="368"/>
      <c r="LI88" s="368"/>
      <c r="LJ88" s="368"/>
      <c r="LK88" s="368"/>
      <c r="LL88" s="368"/>
      <c r="LM88" s="368"/>
      <c r="LN88" s="368"/>
      <c r="LO88" s="368"/>
      <c r="LP88" s="368"/>
      <c r="LQ88" s="368"/>
      <c r="LR88" s="368"/>
      <c r="LS88" s="368"/>
      <c r="LT88" s="368"/>
      <c r="LU88" s="368"/>
      <c r="LV88" s="368"/>
      <c r="LW88" s="368"/>
      <c r="LX88" s="368"/>
      <c r="LY88" s="368"/>
      <c r="LZ88" s="368"/>
      <c r="MA88" s="368"/>
      <c r="MB88" s="368"/>
      <c r="MC88" s="368"/>
      <c r="MD88" s="368"/>
      <c r="ME88" s="368"/>
      <c r="MF88" s="368"/>
      <c r="MG88" s="368"/>
      <c r="MH88" s="368"/>
      <c r="MI88" s="368"/>
      <c r="MJ88" s="368"/>
      <c r="MK88" s="368"/>
      <c r="ML88" s="368"/>
      <c r="MM88" s="368"/>
      <c r="MN88" s="368"/>
      <c r="MO88" s="368"/>
      <c r="MP88" s="368"/>
      <c r="MQ88" s="368"/>
      <c r="MR88" s="368"/>
      <c r="MS88" s="368"/>
      <c r="MT88" s="368"/>
      <c r="MU88" s="368"/>
      <c r="MV88" s="368"/>
      <c r="MW88" s="368"/>
      <c r="MX88" s="368"/>
      <c r="MY88" s="368"/>
      <c r="MZ88" s="368"/>
      <c r="NA88" s="368"/>
      <c r="NB88" s="368"/>
      <c r="NC88" s="368"/>
      <c r="ND88" s="368"/>
      <c r="NE88" s="368"/>
      <c r="NF88" s="368"/>
      <c r="NG88" s="368"/>
      <c r="NH88" s="368"/>
      <c r="NI88" s="368"/>
      <c r="NJ88" s="368"/>
      <c r="NK88" s="368"/>
      <c r="NL88" s="368"/>
      <c r="NM88" s="368"/>
      <c r="NN88" s="368"/>
      <c r="NO88" s="368"/>
      <c r="NP88" s="368"/>
      <c r="NQ88" s="368"/>
      <c r="NR88" s="368"/>
      <c r="NS88" s="368"/>
      <c r="NT88" s="368"/>
      <c r="NU88" s="368"/>
      <c r="NV88" s="368"/>
      <c r="NW88" s="368"/>
      <c r="NX88" s="368"/>
      <c r="NY88" s="368"/>
      <c r="NZ88" s="368"/>
      <c r="OA88" s="368"/>
      <c r="OB88" s="368"/>
      <c r="OC88" s="368"/>
      <c r="OD88" s="368"/>
      <c r="OE88" s="368"/>
      <c r="OF88" s="368"/>
      <c r="OG88" s="368"/>
      <c r="OH88" s="368"/>
      <c r="OI88" s="368"/>
      <c r="OJ88" s="368"/>
      <c r="OK88" s="368"/>
      <c r="OL88" s="368"/>
      <c r="OM88" s="368"/>
      <c r="ON88" s="368"/>
      <c r="OO88" s="368"/>
      <c r="OP88" s="368"/>
      <c r="OQ88" s="368"/>
      <c r="OR88" s="368"/>
      <c r="OS88" s="368"/>
      <c r="OT88" s="368"/>
      <c r="OU88" s="368"/>
      <c r="OV88" s="368"/>
      <c r="OW88" s="368"/>
      <c r="OX88" s="368"/>
      <c r="OY88" s="368"/>
      <c r="OZ88" s="368"/>
      <c r="PA88" s="368"/>
      <c r="PB88" s="368"/>
      <c r="PC88" s="368"/>
      <c r="PD88" s="368"/>
      <c r="PE88" s="368"/>
      <c r="PF88" s="368"/>
      <c r="PG88" s="368"/>
      <c r="PH88" s="368"/>
      <c r="PI88" s="368"/>
      <c r="PJ88" s="368"/>
      <c r="PK88" s="368"/>
      <c r="PL88" s="368"/>
      <c r="PM88" s="368"/>
      <c r="PN88" s="368"/>
      <c r="PO88" s="368"/>
      <c r="PP88" s="368"/>
      <c r="PQ88" s="368"/>
      <c r="PR88" s="368"/>
      <c r="PS88" s="368"/>
      <c r="PT88" s="368"/>
      <c r="PU88" s="368"/>
      <c r="PV88" s="368"/>
      <c r="PW88" s="368"/>
      <c r="PX88" s="368"/>
      <c r="PY88" s="368"/>
      <c r="PZ88" s="368"/>
      <c r="QA88" s="368"/>
      <c r="QB88" s="368"/>
      <c r="QC88" s="368"/>
      <c r="QD88" s="368"/>
      <c r="QE88" s="368"/>
      <c r="QF88" s="368"/>
      <c r="QG88" s="368"/>
      <c r="QH88" s="368"/>
      <c r="QI88" s="368"/>
      <c r="QJ88" s="368"/>
      <c r="QK88" s="368"/>
      <c r="QL88" s="368"/>
      <c r="QM88" s="368"/>
      <c r="QN88" s="368"/>
      <c r="QO88" s="368"/>
      <c r="QP88" s="368"/>
      <c r="QQ88" s="368"/>
      <c r="QR88" s="368"/>
      <c r="QS88" s="368"/>
      <c r="QT88" s="368"/>
      <c r="QU88" s="368"/>
      <c r="QV88" s="368"/>
      <c r="QW88" s="368"/>
      <c r="QX88" s="368"/>
      <c r="QY88" s="368"/>
      <c r="QZ88" s="368"/>
      <c r="RA88" s="368"/>
      <c r="RB88" s="368"/>
      <c r="RC88" s="368"/>
      <c r="RD88" s="368"/>
      <c r="RE88" s="368"/>
      <c r="RF88" s="368"/>
      <c r="RG88" s="368"/>
      <c r="RH88" s="368"/>
      <c r="RI88" s="368"/>
      <c r="RJ88" s="368"/>
      <c r="RK88" s="368"/>
      <c r="RL88" s="368"/>
      <c r="RM88" s="368"/>
      <c r="RN88" s="368"/>
      <c r="RO88" s="368"/>
      <c r="RP88" s="368"/>
      <c r="RQ88" s="368"/>
      <c r="RR88" s="368"/>
      <c r="RS88" s="368"/>
      <c r="RT88" s="368"/>
      <c r="RU88" s="368"/>
      <c r="RV88" s="368"/>
      <c r="RW88" s="368"/>
      <c r="RX88" s="368"/>
      <c r="RY88" s="368"/>
      <c r="RZ88" s="368"/>
      <c r="SA88" s="368"/>
      <c r="SB88" s="368"/>
      <c r="SC88" s="368"/>
      <c r="SD88" s="368"/>
      <c r="SE88" s="368"/>
      <c r="SF88" s="368"/>
      <c r="SG88" s="368"/>
      <c r="SH88" s="368"/>
      <c r="SI88" s="368"/>
      <c r="SJ88" s="368"/>
      <c r="SK88" s="368"/>
      <c r="SL88" s="368"/>
      <c r="SM88" s="368"/>
      <c r="SN88" s="368"/>
      <c r="SO88" s="368"/>
      <c r="SP88" s="368"/>
      <c r="SQ88" s="368"/>
      <c r="SR88" s="368"/>
      <c r="SS88" s="368"/>
      <c r="ST88" s="368"/>
      <c r="SU88" s="368"/>
      <c r="SV88" s="368"/>
      <c r="SW88" s="368"/>
      <c r="SX88" s="368"/>
      <c r="SY88" s="368"/>
      <c r="SZ88" s="368"/>
      <c r="TA88" s="368"/>
      <c r="TB88" s="368"/>
      <c r="TC88" s="368"/>
      <c r="TD88" s="368"/>
      <c r="TE88" s="368"/>
      <c r="TF88" s="368"/>
      <c r="TG88" s="368"/>
      <c r="TH88" s="368"/>
      <c r="TI88" s="368"/>
      <c r="TJ88" s="368"/>
      <c r="TK88" s="368"/>
      <c r="TL88" s="368"/>
      <c r="TM88" s="368"/>
      <c r="TN88" s="368"/>
      <c r="TO88" s="368"/>
      <c r="TP88" s="368"/>
      <c r="TQ88" s="368"/>
      <c r="TR88" s="368"/>
      <c r="TS88" s="368"/>
      <c r="TT88" s="368"/>
      <c r="TU88" s="368"/>
      <c r="TV88" s="368"/>
      <c r="TW88" s="368"/>
      <c r="TX88" s="368"/>
      <c r="TY88" s="368"/>
      <c r="TZ88" s="368"/>
      <c r="UA88" s="368"/>
      <c r="UB88" s="368"/>
      <c r="UC88" s="368"/>
      <c r="UD88" s="368"/>
      <c r="UE88" s="368"/>
      <c r="UF88" s="368"/>
      <c r="UG88" s="368"/>
      <c r="UH88" s="368"/>
      <c r="UI88" s="368"/>
      <c r="UJ88" s="368"/>
      <c r="UK88" s="368"/>
      <c r="UL88" s="368"/>
      <c r="UM88" s="368"/>
      <c r="UN88" s="368"/>
      <c r="UO88" s="368"/>
      <c r="UP88" s="368"/>
      <c r="UQ88" s="368"/>
      <c r="UR88" s="368"/>
      <c r="US88" s="368"/>
      <c r="UT88" s="368"/>
      <c r="UU88" s="368"/>
      <c r="UV88" s="368"/>
      <c r="UW88" s="368"/>
      <c r="UX88" s="368"/>
      <c r="UY88" s="368"/>
      <c r="UZ88" s="368"/>
      <c r="VA88" s="368"/>
      <c r="VB88" s="368"/>
      <c r="VC88" s="368"/>
      <c r="VD88" s="368"/>
      <c r="VE88" s="368"/>
      <c r="VF88" s="368"/>
      <c r="VG88" s="368"/>
      <c r="VH88" s="368"/>
      <c r="VI88" s="368"/>
      <c r="VJ88" s="368"/>
      <c r="VK88" s="368"/>
      <c r="VL88" s="368"/>
      <c r="VM88" s="368"/>
      <c r="VN88" s="368"/>
      <c r="VO88" s="368"/>
      <c r="VP88" s="368"/>
      <c r="VQ88" s="368"/>
      <c r="VR88" s="368"/>
      <c r="VS88" s="368"/>
      <c r="VT88" s="368"/>
      <c r="VU88" s="368"/>
      <c r="VV88" s="368"/>
      <c r="VW88" s="368"/>
      <c r="VX88" s="368"/>
      <c r="VY88" s="368"/>
      <c r="VZ88" s="368"/>
      <c r="WA88" s="368"/>
      <c r="WB88" s="368"/>
      <c r="WC88" s="368"/>
      <c r="WD88" s="368"/>
      <c r="WE88" s="368"/>
      <c r="WF88" s="368"/>
      <c r="WG88" s="368"/>
      <c r="WH88" s="368"/>
      <c r="WI88" s="368"/>
      <c r="WJ88" s="368"/>
      <c r="WK88" s="368"/>
      <c r="WL88" s="368"/>
      <c r="WM88" s="368"/>
      <c r="WN88" s="368"/>
      <c r="WO88" s="368"/>
      <c r="WP88" s="368"/>
      <c r="WQ88" s="368"/>
      <c r="WR88" s="368"/>
      <c r="WS88" s="368"/>
      <c r="WT88" s="368"/>
      <c r="WU88" s="368"/>
      <c r="WV88" s="368"/>
      <c r="WW88" s="368"/>
      <c r="WX88" s="368"/>
      <c r="WY88" s="368"/>
      <c r="WZ88" s="368"/>
      <c r="XA88" s="368"/>
      <c r="XB88" s="368"/>
      <c r="XC88" s="368"/>
      <c r="XD88" s="368"/>
      <c r="XE88" s="368"/>
      <c r="XF88" s="368"/>
      <c r="XG88" s="368"/>
      <c r="XH88" s="368"/>
      <c r="XI88" s="368"/>
      <c r="XJ88" s="368"/>
      <c r="XK88" s="368"/>
      <c r="XL88" s="368"/>
      <c r="XM88" s="368"/>
      <c r="XN88" s="368"/>
      <c r="XO88" s="368"/>
      <c r="XP88" s="368"/>
      <c r="XQ88" s="368"/>
      <c r="XR88" s="368"/>
      <c r="XS88" s="368"/>
      <c r="XT88" s="368"/>
      <c r="XU88" s="368"/>
      <c r="XV88" s="368"/>
      <c r="XW88" s="368"/>
      <c r="XX88" s="368"/>
      <c r="XY88" s="368"/>
      <c r="XZ88" s="368"/>
      <c r="YA88" s="368"/>
      <c r="YB88" s="368"/>
      <c r="YC88" s="368"/>
      <c r="YD88" s="368"/>
      <c r="YE88" s="368"/>
      <c r="YF88" s="368"/>
      <c r="YG88" s="368"/>
      <c r="YH88" s="368"/>
      <c r="YI88" s="368"/>
      <c r="YJ88" s="368"/>
      <c r="YK88" s="368"/>
      <c r="YL88" s="368"/>
      <c r="YM88" s="368"/>
      <c r="YN88" s="368"/>
      <c r="YO88" s="368"/>
      <c r="YP88" s="368"/>
      <c r="YQ88" s="368"/>
      <c r="YR88" s="368"/>
      <c r="YS88" s="368"/>
      <c r="YT88" s="368"/>
      <c r="YU88" s="368"/>
      <c r="YV88" s="368"/>
      <c r="YW88" s="368"/>
      <c r="YX88" s="368"/>
      <c r="YY88" s="368"/>
      <c r="YZ88" s="368"/>
      <c r="ZA88" s="368"/>
      <c r="ZB88" s="368"/>
      <c r="ZC88" s="368"/>
      <c r="ZD88" s="368"/>
      <c r="ZE88" s="368"/>
      <c r="ZF88" s="368"/>
      <c r="ZG88" s="368"/>
      <c r="ZH88" s="368"/>
      <c r="ZI88" s="368"/>
      <c r="ZJ88" s="368"/>
      <c r="ZK88" s="368"/>
      <c r="ZL88" s="368"/>
      <c r="ZM88" s="368"/>
      <c r="ZN88" s="368"/>
      <c r="ZO88" s="368"/>
      <c r="ZP88" s="368"/>
      <c r="ZQ88" s="368"/>
      <c r="ZR88" s="368"/>
      <c r="ZS88" s="368"/>
      <c r="ZT88" s="368"/>
      <c r="ZU88" s="368"/>
      <c r="ZV88" s="368"/>
      <c r="ZW88" s="368"/>
      <c r="ZX88" s="368"/>
      <c r="ZY88" s="368"/>
      <c r="ZZ88" s="368"/>
      <c r="AAA88" s="368"/>
      <c r="AAB88" s="368"/>
      <c r="AAC88" s="368"/>
      <c r="AAD88" s="368"/>
      <c r="AAE88" s="368"/>
      <c r="AAF88" s="368"/>
      <c r="AAG88" s="368"/>
      <c r="AAH88" s="368"/>
      <c r="AAI88" s="368"/>
      <c r="AAJ88" s="368"/>
      <c r="AAK88" s="368"/>
      <c r="AAL88" s="368"/>
      <c r="AAM88" s="368"/>
      <c r="AAN88" s="368"/>
      <c r="AAO88" s="368"/>
      <c r="AAP88" s="368"/>
      <c r="AAQ88" s="368"/>
      <c r="AAR88" s="368"/>
      <c r="AAS88" s="368"/>
      <c r="AAT88" s="368"/>
      <c r="AAU88" s="368"/>
      <c r="AAV88" s="368"/>
      <c r="AAW88" s="368"/>
      <c r="AAX88" s="368"/>
      <c r="AAY88" s="368"/>
      <c r="AAZ88" s="368"/>
      <c r="ABA88" s="368"/>
      <c r="ABB88" s="368"/>
      <c r="ABC88" s="368"/>
      <c r="ABD88" s="368"/>
      <c r="ABE88" s="368"/>
      <c r="ABF88" s="368"/>
      <c r="ABG88" s="368"/>
      <c r="ABH88" s="368"/>
      <c r="ABI88" s="368"/>
      <c r="ABJ88" s="368"/>
      <c r="ABK88" s="368"/>
      <c r="ABL88" s="368"/>
      <c r="ABM88" s="368"/>
      <c r="ABN88" s="368"/>
      <c r="ABO88" s="368"/>
      <c r="ABP88" s="368"/>
      <c r="ABQ88" s="368"/>
      <c r="ABR88" s="368"/>
      <c r="ABS88" s="368"/>
      <c r="ABT88" s="368"/>
      <c r="ABU88" s="368"/>
      <c r="ABV88" s="368"/>
      <c r="ABW88" s="368"/>
      <c r="ABX88" s="368"/>
      <c r="ABY88" s="368"/>
      <c r="ABZ88" s="368"/>
      <c r="ACA88" s="368"/>
      <c r="ACB88" s="368"/>
      <c r="ACC88" s="368"/>
      <c r="ACD88" s="368"/>
      <c r="ACE88" s="368"/>
      <c r="ACF88" s="368"/>
      <c r="ACG88" s="368"/>
      <c r="ACH88" s="368"/>
      <c r="ACI88" s="368"/>
      <c r="ACJ88" s="368"/>
      <c r="ACK88" s="368"/>
      <c r="ACL88" s="368"/>
      <c r="ACM88" s="368"/>
      <c r="ACN88" s="368"/>
      <c r="ACO88" s="368"/>
      <c r="ACP88" s="368"/>
      <c r="ACQ88" s="368"/>
      <c r="ACR88" s="368"/>
      <c r="ACS88" s="368"/>
      <c r="ACT88" s="368"/>
      <c r="ACU88" s="368"/>
      <c r="ACV88" s="368"/>
      <c r="ACW88" s="368"/>
      <c r="ACX88" s="368"/>
      <c r="ACY88" s="368"/>
      <c r="ACZ88" s="368"/>
      <c r="ADA88" s="368"/>
      <c r="ADB88" s="368"/>
      <c r="ADC88" s="368"/>
      <c r="ADD88" s="368"/>
      <c r="ADE88" s="368"/>
      <c r="ADF88" s="368"/>
      <c r="ADG88" s="368"/>
      <c r="ADH88" s="368"/>
      <c r="ADI88" s="368"/>
      <c r="ADJ88" s="368"/>
      <c r="ADK88" s="368"/>
      <c r="ADL88" s="368"/>
      <c r="ADM88" s="368"/>
      <c r="ADN88" s="368"/>
      <c r="ADO88" s="368"/>
      <c r="ADP88" s="368"/>
      <c r="ADQ88" s="368"/>
      <c r="ADR88" s="368"/>
      <c r="ADS88" s="368"/>
      <c r="ADT88" s="368"/>
      <c r="ADU88" s="368"/>
      <c r="ADV88" s="368"/>
      <c r="ADW88" s="368"/>
      <c r="ADX88" s="368"/>
      <c r="ADY88" s="368"/>
      <c r="ADZ88" s="368"/>
      <c r="AEA88" s="368"/>
      <c r="AEB88" s="368"/>
      <c r="AEC88" s="368"/>
      <c r="AED88" s="368"/>
      <c r="AEE88" s="368"/>
      <c r="AEF88" s="368"/>
      <c r="AEG88" s="368"/>
      <c r="AEH88" s="368"/>
      <c r="AEI88" s="368"/>
      <c r="AEJ88" s="368"/>
      <c r="AEK88" s="368"/>
      <c r="AEL88" s="368"/>
      <c r="AEM88" s="368"/>
      <c r="AEN88" s="368"/>
      <c r="AEO88" s="368"/>
      <c r="AEP88" s="368"/>
      <c r="AEQ88" s="368"/>
      <c r="AER88" s="368"/>
      <c r="AES88" s="368"/>
      <c r="AET88" s="368"/>
      <c r="AEU88" s="368"/>
      <c r="AEV88" s="368"/>
      <c r="AEW88" s="368"/>
      <c r="AEX88" s="368"/>
      <c r="AEY88" s="368"/>
      <c r="AEZ88" s="368"/>
      <c r="AFA88" s="368"/>
      <c r="AFB88" s="368"/>
      <c r="AFC88" s="368"/>
      <c r="AFD88" s="368"/>
      <c r="AFE88" s="368"/>
      <c r="AFF88" s="368"/>
      <c r="AFG88" s="368"/>
      <c r="AFH88" s="368"/>
      <c r="AFI88" s="368"/>
      <c r="AFJ88" s="368"/>
      <c r="AFK88" s="368"/>
      <c r="AFL88" s="368"/>
      <c r="AFM88" s="368"/>
      <c r="AFN88" s="368"/>
      <c r="AFO88" s="368"/>
      <c r="AFP88" s="368"/>
      <c r="AFQ88" s="368"/>
      <c r="AFR88" s="368"/>
      <c r="AFS88" s="368"/>
      <c r="AFT88" s="368"/>
      <c r="AFU88" s="368"/>
      <c r="AFV88" s="368"/>
      <c r="AFW88" s="368"/>
      <c r="AFX88" s="368"/>
      <c r="AFY88" s="368"/>
      <c r="AFZ88" s="368"/>
      <c r="AGA88" s="368"/>
      <c r="AGB88" s="368"/>
      <c r="AGC88" s="368"/>
      <c r="AGD88" s="368"/>
      <c r="AGE88" s="368"/>
      <c r="AGF88" s="368"/>
      <c r="AGG88" s="368"/>
      <c r="AGH88" s="368"/>
      <c r="AGI88" s="368"/>
      <c r="AGJ88" s="368"/>
      <c r="AGK88" s="368"/>
      <c r="AGL88" s="368"/>
      <c r="AGM88" s="368"/>
      <c r="AGN88" s="368"/>
      <c r="AGO88" s="368"/>
      <c r="AGP88" s="368"/>
      <c r="AGQ88" s="368"/>
      <c r="AGR88" s="368"/>
      <c r="AGS88" s="368"/>
      <c r="AGT88" s="368"/>
      <c r="AGU88" s="368"/>
      <c r="AGV88" s="368"/>
      <c r="AGW88" s="368"/>
      <c r="AGX88" s="368"/>
      <c r="AGY88" s="368"/>
      <c r="AGZ88" s="368"/>
      <c r="AHA88" s="368"/>
      <c r="AHB88" s="368"/>
      <c r="AHC88" s="368"/>
      <c r="AHD88" s="368"/>
      <c r="AHE88" s="368"/>
      <c r="AHF88" s="368"/>
      <c r="AHG88" s="368"/>
      <c r="AHH88" s="368"/>
      <c r="AHI88" s="368"/>
      <c r="AHJ88" s="368"/>
      <c r="AHK88" s="368"/>
      <c r="AHL88" s="368"/>
      <c r="AHM88" s="368"/>
      <c r="AHN88" s="368"/>
      <c r="AHO88" s="368"/>
      <c r="AHP88" s="368"/>
      <c r="AHQ88" s="368"/>
      <c r="AHR88" s="368"/>
      <c r="AHS88" s="368"/>
      <c r="AHT88" s="368"/>
      <c r="AHU88" s="368"/>
      <c r="AHV88" s="368"/>
      <c r="AHW88" s="368"/>
      <c r="AHX88" s="368"/>
      <c r="AHY88" s="368"/>
      <c r="AHZ88" s="368"/>
      <c r="AIA88" s="368"/>
      <c r="AIB88" s="368"/>
      <c r="AIC88" s="368"/>
      <c r="AID88" s="368"/>
      <c r="AIE88" s="368"/>
      <c r="AIF88" s="368"/>
      <c r="AIG88" s="368"/>
      <c r="AIH88" s="368"/>
      <c r="AII88" s="368"/>
      <c r="AIJ88" s="368"/>
      <c r="AIK88" s="368"/>
      <c r="AIL88" s="368"/>
      <c r="AIM88" s="368"/>
      <c r="AIN88" s="368"/>
      <c r="AIO88" s="368"/>
      <c r="AIP88" s="368"/>
      <c r="AIQ88" s="368"/>
      <c r="AIR88" s="368"/>
      <c r="AIS88" s="368"/>
      <c r="AIT88" s="368"/>
      <c r="AIU88" s="368"/>
      <c r="AIV88" s="368"/>
      <c r="AIW88" s="368"/>
      <c r="AIX88" s="368"/>
      <c r="AIY88" s="368"/>
      <c r="AIZ88" s="368"/>
      <c r="AJA88" s="368"/>
      <c r="AJB88" s="368"/>
      <c r="AJC88" s="368"/>
      <c r="AJD88" s="368"/>
      <c r="AJE88" s="368"/>
      <c r="AJF88" s="368"/>
      <c r="AJG88" s="368"/>
      <c r="AJH88" s="368"/>
      <c r="AJI88" s="368"/>
      <c r="AJJ88" s="368"/>
      <c r="AJK88" s="368"/>
      <c r="AJL88" s="368"/>
      <c r="AJM88" s="368"/>
      <c r="AJN88" s="368"/>
      <c r="AJO88" s="368"/>
      <c r="AJP88" s="368"/>
      <c r="AJQ88" s="368"/>
      <c r="AJR88" s="368"/>
      <c r="AJS88" s="368"/>
      <c r="AJT88" s="368"/>
      <c r="AJU88" s="368"/>
      <c r="AJV88" s="368"/>
      <c r="AJW88" s="368"/>
      <c r="AJX88" s="368"/>
      <c r="AJY88" s="368"/>
      <c r="AJZ88" s="368"/>
      <c r="AKA88" s="368"/>
      <c r="AKB88" s="368"/>
      <c r="AKC88" s="368"/>
      <c r="AKD88" s="368"/>
      <c r="AKE88" s="368"/>
      <c r="AKF88" s="368"/>
      <c r="AKG88" s="368"/>
      <c r="AKH88" s="368"/>
      <c r="AKI88" s="368"/>
      <c r="AKJ88" s="368"/>
      <c r="AKK88" s="368"/>
      <c r="AKL88" s="368"/>
      <c r="AKM88" s="368"/>
      <c r="AKN88" s="368"/>
    </row>
    <row r="89" spans="1:976" s="346" customFormat="1" ht="22.5" customHeight="1" x14ac:dyDescent="0.2">
      <c r="A89" s="370" t="s">
        <v>262</v>
      </c>
      <c r="B89" s="370"/>
      <c r="C89" s="370" t="s">
        <v>221</v>
      </c>
      <c r="D89" s="370" t="s">
        <v>222</v>
      </c>
      <c r="E89" s="371">
        <v>411359</v>
      </c>
      <c r="F89" s="371">
        <v>1355</v>
      </c>
      <c r="G89" s="371">
        <v>204</v>
      </c>
      <c r="H89" s="371">
        <v>0</v>
      </c>
      <c r="I89" s="372">
        <v>45846</v>
      </c>
      <c r="J89" s="370" t="s">
        <v>395</v>
      </c>
      <c r="K89" s="370" t="s">
        <v>526</v>
      </c>
      <c r="L89" s="373">
        <v>27.76</v>
      </c>
      <c r="M89" s="373">
        <v>1.7</v>
      </c>
      <c r="N89" s="444">
        <v>29.46</v>
      </c>
      <c r="O89" s="370"/>
      <c r="P89" s="374">
        <v>45848</v>
      </c>
      <c r="Q89" s="373">
        <v>29.46</v>
      </c>
      <c r="R89" s="370" t="s">
        <v>527</v>
      </c>
      <c r="S89" s="373">
        <v>0</v>
      </c>
      <c r="T89" s="373">
        <v>0</v>
      </c>
      <c r="U89" s="373">
        <v>0</v>
      </c>
      <c r="V89" s="373">
        <v>0</v>
      </c>
      <c r="W89" s="370"/>
      <c r="X89" s="370" t="s">
        <v>293</v>
      </c>
      <c r="Y89" s="370" t="s">
        <v>294</v>
      </c>
      <c r="Z89" s="370" t="s">
        <v>42</v>
      </c>
      <c r="AA89" s="370" t="s">
        <v>228</v>
      </c>
      <c r="AB89" s="370" t="s">
        <v>235</v>
      </c>
      <c r="AC89" s="370" t="s">
        <v>331</v>
      </c>
      <c r="AD89" s="370" t="s">
        <v>231</v>
      </c>
      <c r="AE89" s="370" t="s">
        <v>232</v>
      </c>
      <c r="AF89" s="370" t="s">
        <v>231</v>
      </c>
      <c r="AG89" s="370" t="s">
        <v>232</v>
      </c>
      <c r="AH89" s="370"/>
      <c r="AI89" s="370"/>
      <c r="AJ89" s="370"/>
      <c r="AK89" s="370" t="s">
        <v>528</v>
      </c>
      <c r="AL89" s="371">
        <v>1</v>
      </c>
      <c r="AM89" s="371">
        <v>0</v>
      </c>
      <c r="AN89" s="372">
        <v>45848</v>
      </c>
      <c r="AO89" s="372">
        <v>45848</v>
      </c>
      <c r="AP89" s="373">
        <v>29.46</v>
      </c>
      <c r="AQ89" s="372">
        <v>45847</v>
      </c>
      <c r="AR89" s="368"/>
      <c r="AS89" s="368"/>
      <c r="AT89" s="368"/>
      <c r="AU89" s="368"/>
      <c r="AV89" s="368"/>
      <c r="AW89" s="368"/>
      <c r="AX89" s="368"/>
      <c r="AY89" s="368"/>
      <c r="AZ89" s="368"/>
      <c r="BA89" s="368"/>
      <c r="BB89" s="368"/>
      <c r="BC89" s="368"/>
      <c r="BD89" s="368"/>
      <c r="BE89" s="368"/>
      <c r="BF89" s="368"/>
      <c r="BG89" s="368"/>
      <c r="BH89" s="368"/>
      <c r="BI89" s="368"/>
      <c r="BJ89" s="368"/>
      <c r="BK89" s="368"/>
      <c r="BL89" s="368"/>
      <c r="BM89" s="368"/>
      <c r="BN89" s="368"/>
      <c r="BO89" s="368"/>
      <c r="BP89" s="368"/>
      <c r="BQ89" s="368"/>
      <c r="BR89" s="368"/>
      <c r="BS89" s="368"/>
      <c r="BT89" s="368"/>
      <c r="BU89" s="368"/>
      <c r="BV89" s="368"/>
      <c r="BW89" s="368"/>
      <c r="BX89" s="368"/>
      <c r="BY89" s="368"/>
      <c r="BZ89" s="368"/>
      <c r="CA89" s="368"/>
      <c r="CB89" s="368"/>
      <c r="CC89" s="368"/>
      <c r="CD89" s="368"/>
      <c r="CE89" s="368"/>
      <c r="CF89" s="368"/>
      <c r="CG89" s="368"/>
      <c r="CH89" s="368"/>
      <c r="CI89" s="368"/>
      <c r="CJ89" s="368"/>
      <c r="CK89" s="368"/>
      <c r="CL89" s="368"/>
      <c r="CM89" s="368"/>
      <c r="CN89" s="368"/>
      <c r="CO89" s="368"/>
      <c r="CP89" s="368"/>
      <c r="CQ89" s="368"/>
      <c r="CR89" s="368"/>
      <c r="CS89" s="368"/>
      <c r="CT89" s="368"/>
      <c r="CU89" s="368"/>
      <c r="CV89" s="368"/>
      <c r="CW89" s="368"/>
      <c r="CX89" s="368"/>
      <c r="CY89" s="368"/>
      <c r="CZ89" s="368"/>
      <c r="DA89" s="368"/>
      <c r="DB89" s="368"/>
      <c r="DC89" s="368"/>
      <c r="DD89" s="368"/>
      <c r="DE89" s="368"/>
      <c r="DF89" s="368"/>
      <c r="DG89" s="368"/>
      <c r="DH89" s="368"/>
      <c r="DI89" s="368"/>
      <c r="DJ89" s="368"/>
      <c r="DK89" s="368"/>
      <c r="DL89" s="368"/>
      <c r="DM89" s="368"/>
      <c r="DN89" s="368"/>
      <c r="DO89" s="368"/>
      <c r="DP89" s="368"/>
      <c r="DQ89" s="368"/>
      <c r="DR89" s="368"/>
      <c r="DS89" s="368"/>
      <c r="DT89" s="368"/>
      <c r="DU89" s="368"/>
      <c r="DV89" s="368"/>
      <c r="DW89" s="368"/>
      <c r="DX89" s="368"/>
      <c r="DY89" s="368"/>
      <c r="DZ89" s="368"/>
      <c r="EA89" s="368"/>
      <c r="EB89" s="368"/>
      <c r="EC89" s="368"/>
      <c r="ED89" s="368"/>
      <c r="EE89" s="368"/>
      <c r="EF89" s="368"/>
      <c r="EG89" s="368"/>
      <c r="EH89" s="368"/>
      <c r="EI89" s="368"/>
      <c r="EJ89" s="368"/>
      <c r="EK89" s="368"/>
      <c r="EL89" s="368"/>
      <c r="EM89" s="368"/>
      <c r="EN89" s="368"/>
      <c r="EO89" s="368"/>
      <c r="EP89" s="368"/>
      <c r="EQ89" s="368"/>
      <c r="ER89" s="368"/>
      <c r="ES89" s="368"/>
      <c r="ET89" s="368"/>
      <c r="EU89" s="368"/>
      <c r="EV89" s="368"/>
      <c r="EW89" s="368"/>
      <c r="EX89" s="368"/>
      <c r="EY89" s="368"/>
      <c r="EZ89" s="368"/>
      <c r="FA89" s="368"/>
      <c r="FB89" s="368"/>
      <c r="FC89" s="368"/>
      <c r="FD89" s="368"/>
      <c r="FE89" s="368"/>
      <c r="FF89" s="368"/>
      <c r="FG89" s="368"/>
      <c r="FH89" s="368"/>
      <c r="FI89" s="368"/>
      <c r="FJ89" s="368"/>
      <c r="FK89" s="368"/>
      <c r="FL89" s="368"/>
      <c r="FM89" s="368"/>
      <c r="FN89" s="368"/>
      <c r="FO89" s="368"/>
      <c r="FP89" s="368"/>
      <c r="FQ89" s="368"/>
      <c r="FR89" s="368"/>
      <c r="FS89" s="368"/>
      <c r="FT89" s="368"/>
      <c r="FU89" s="368"/>
      <c r="FV89" s="368"/>
      <c r="FW89" s="368"/>
      <c r="FX89" s="368"/>
      <c r="FY89" s="368"/>
      <c r="FZ89" s="368"/>
      <c r="GA89" s="368"/>
      <c r="GB89" s="368"/>
      <c r="GC89" s="368"/>
      <c r="GD89" s="368"/>
      <c r="GE89" s="368"/>
      <c r="GF89" s="368"/>
      <c r="GG89" s="368"/>
      <c r="GH89" s="368"/>
      <c r="GI89" s="368"/>
      <c r="GJ89" s="368"/>
      <c r="GK89" s="368"/>
      <c r="GL89" s="368"/>
      <c r="GM89" s="368"/>
      <c r="GN89" s="368"/>
      <c r="GO89" s="368"/>
      <c r="GP89" s="368"/>
      <c r="GQ89" s="368"/>
      <c r="GR89" s="368"/>
      <c r="GS89" s="368"/>
      <c r="GT89" s="368"/>
      <c r="GU89" s="368"/>
      <c r="GV89" s="368"/>
      <c r="GW89" s="368"/>
      <c r="GX89" s="368"/>
      <c r="GY89" s="368"/>
      <c r="GZ89" s="368"/>
      <c r="HA89" s="368"/>
      <c r="HB89" s="368"/>
      <c r="HC89" s="368"/>
      <c r="HD89" s="368"/>
      <c r="HE89" s="368"/>
      <c r="HF89" s="368"/>
      <c r="HG89" s="368"/>
      <c r="HH89" s="368"/>
      <c r="HI89" s="368"/>
      <c r="HJ89" s="368"/>
      <c r="HK89" s="368"/>
      <c r="HL89" s="368"/>
      <c r="HM89" s="368"/>
      <c r="HN89" s="368"/>
      <c r="HO89" s="368"/>
      <c r="HP89" s="368"/>
      <c r="HQ89" s="368"/>
      <c r="HR89" s="368"/>
      <c r="HS89" s="368"/>
      <c r="HT89" s="368"/>
      <c r="HU89" s="368"/>
      <c r="HV89" s="368"/>
      <c r="HW89" s="368"/>
      <c r="HX89" s="368"/>
      <c r="HY89" s="368"/>
      <c r="HZ89" s="368"/>
      <c r="IA89" s="368"/>
      <c r="IB89" s="368"/>
      <c r="IC89" s="368"/>
      <c r="ID89" s="368"/>
      <c r="IE89" s="368"/>
      <c r="IF89" s="368"/>
      <c r="IG89" s="368"/>
      <c r="IH89" s="368"/>
      <c r="II89" s="368"/>
      <c r="IJ89" s="368"/>
      <c r="IK89" s="368"/>
      <c r="IL89" s="368"/>
      <c r="IM89" s="368"/>
      <c r="IN89" s="368"/>
      <c r="IO89" s="368"/>
      <c r="IP89" s="368"/>
      <c r="IQ89" s="368"/>
      <c r="IR89" s="368"/>
      <c r="IS89" s="368"/>
      <c r="IT89" s="368"/>
      <c r="IU89" s="368"/>
      <c r="IV89" s="368"/>
      <c r="IW89" s="368"/>
      <c r="IX89" s="368"/>
      <c r="IY89" s="368"/>
      <c r="IZ89" s="368"/>
      <c r="JA89" s="368"/>
      <c r="JB89" s="368"/>
      <c r="JC89" s="368"/>
      <c r="JD89" s="368"/>
      <c r="JE89" s="368"/>
      <c r="JF89" s="368"/>
      <c r="JG89" s="368"/>
      <c r="JH89" s="368"/>
      <c r="JI89" s="368"/>
      <c r="JJ89" s="368"/>
      <c r="JK89" s="368"/>
      <c r="JL89" s="368"/>
      <c r="JM89" s="368"/>
      <c r="JN89" s="368"/>
      <c r="JO89" s="368"/>
      <c r="JP89" s="368"/>
      <c r="JQ89" s="368"/>
      <c r="JR89" s="368"/>
      <c r="JS89" s="368"/>
      <c r="JT89" s="368"/>
      <c r="JU89" s="368"/>
      <c r="JV89" s="368"/>
      <c r="JW89" s="368"/>
      <c r="JX89" s="368"/>
      <c r="JY89" s="368"/>
      <c r="JZ89" s="368"/>
      <c r="KA89" s="368"/>
      <c r="KB89" s="368"/>
      <c r="KC89" s="368"/>
      <c r="KD89" s="368"/>
      <c r="KE89" s="368"/>
      <c r="KF89" s="368"/>
      <c r="KG89" s="368"/>
      <c r="KH89" s="368"/>
      <c r="KI89" s="368"/>
      <c r="KJ89" s="368"/>
      <c r="KK89" s="368"/>
      <c r="KL89" s="368"/>
      <c r="KM89" s="368"/>
      <c r="KN89" s="368"/>
      <c r="KO89" s="368"/>
      <c r="KP89" s="368"/>
      <c r="KQ89" s="368"/>
      <c r="KR89" s="368"/>
      <c r="KS89" s="368"/>
      <c r="KT89" s="368"/>
      <c r="KU89" s="368"/>
      <c r="KV89" s="368"/>
      <c r="KW89" s="368"/>
      <c r="KX89" s="368"/>
      <c r="KY89" s="368"/>
      <c r="KZ89" s="368"/>
      <c r="LA89" s="368"/>
      <c r="LB89" s="368"/>
      <c r="LC89" s="368"/>
      <c r="LD89" s="368"/>
      <c r="LE89" s="368"/>
      <c r="LF89" s="368"/>
      <c r="LG89" s="368"/>
      <c r="LH89" s="368"/>
      <c r="LI89" s="368"/>
      <c r="LJ89" s="368"/>
      <c r="LK89" s="368"/>
      <c r="LL89" s="368"/>
      <c r="LM89" s="368"/>
      <c r="LN89" s="368"/>
      <c r="LO89" s="368"/>
      <c r="LP89" s="368"/>
      <c r="LQ89" s="368"/>
      <c r="LR89" s="368"/>
      <c r="LS89" s="368"/>
      <c r="LT89" s="368"/>
      <c r="LU89" s="368"/>
      <c r="LV89" s="368"/>
      <c r="LW89" s="368"/>
      <c r="LX89" s="368"/>
      <c r="LY89" s="368"/>
      <c r="LZ89" s="368"/>
      <c r="MA89" s="368"/>
      <c r="MB89" s="368"/>
      <c r="MC89" s="368"/>
      <c r="MD89" s="368"/>
      <c r="ME89" s="368"/>
      <c r="MF89" s="368"/>
      <c r="MG89" s="368"/>
      <c r="MH89" s="368"/>
      <c r="MI89" s="368"/>
      <c r="MJ89" s="368"/>
      <c r="MK89" s="368"/>
      <c r="ML89" s="368"/>
      <c r="MM89" s="368"/>
      <c r="MN89" s="368"/>
      <c r="MO89" s="368"/>
      <c r="MP89" s="368"/>
      <c r="MQ89" s="368"/>
      <c r="MR89" s="368"/>
      <c r="MS89" s="368"/>
      <c r="MT89" s="368"/>
      <c r="MU89" s="368"/>
      <c r="MV89" s="368"/>
      <c r="MW89" s="368"/>
      <c r="MX89" s="368"/>
      <c r="MY89" s="368"/>
      <c r="MZ89" s="368"/>
      <c r="NA89" s="368"/>
      <c r="NB89" s="368"/>
      <c r="NC89" s="368"/>
      <c r="ND89" s="368"/>
      <c r="NE89" s="368"/>
      <c r="NF89" s="368"/>
      <c r="NG89" s="368"/>
      <c r="NH89" s="368"/>
      <c r="NI89" s="368"/>
      <c r="NJ89" s="368"/>
      <c r="NK89" s="368"/>
      <c r="NL89" s="368"/>
      <c r="NM89" s="368"/>
      <c r="NN89" s="368"/>
      <c r="NO89" s="368"/>
      <c r="NP89" s="368"/>
      <c r="NQ89" s="368"/>
      <c r="NR89" s="368"/>
      <c r="NS89" s="368"/>
      <c r="NT89" s="368"/>
      <c r="NU89" s="368"/>
      <c r="NV89" s="368"/>
      <c r="NW89" s="368"/>
      <c r="NX89" s="368"/>
      <c r="NY89" s="368"/>
      <c r="NZ89" s="368"/>
      <c r="OA89" s="368"/>
      <c r="OB89" s="368"/>
      <c r="OC89" s="368"/>
      <c r="OD89" s="368"/>
      <c r="OE89" s="368"/>
      <c r="OF89" s="368"/>
      <c r="OG89" s="368"/>
      <c r="OH89" s="368"/>
      <c r="OI89" s="368"/>
      <c r="OJ89" s="368"/>
      <c r="OK89" s="368"/>
      <c r="OL89" s="368"/>
      <c r="OM89" s="368"/>
      <c r="ON89" s="368"/>
      <c r="OO89" s="368"/>
      <c r="OP89" s="368"/>
      <c r="OQ89" s="368"/>
      <c r="OR89" s="368"/>
      <c r="OS89" s="368"/>
      <c r="OT89" s="368"/>
      <c r="OU89" s="368"/>
      <c r="OV89" s="368"/>
      <c r="OW89" s="368"/>
      <c r="OX89" s="368"/>
      <c r="OY89" s="368"/>
      <c r="OZ89" s="368"/>
      <c r="PA89" s="368"/>
      <c r="PB89" s="368"/>
      <c r="PC89" s="368"/>
      <c r="PD89" s="368"/>
      <c r="PE89" s="368"/>
      <c r="PF89" s="368"/>
      <c r="PG89" s="368"/>
      <c r="PH89" s="368"/>
      <c r="PI89" s="368"/>
      <c r="PJ89" s="368"/>
      <c r="PK89" s="368"/>
      <c r="PL89" s="368"/>
      <c r="PM89" s="368"/>
      <c r="PN89" s="368"/>
      <c r="PO89" s="368"/>
      <c r="PP89" s="368"/>
      <c r="PQ89" s="368"/>
      <c r="PR89" s="368"/>
      <c r="PS89" s="368"/>
      <c r="PT89" s="368"/>
      <c r="PU89" s="368"/>
      <c r="PV89" s="368"/>
      <c r="PW89" s="368"/>
      <c r="PX89" s="368"/>
      <c r="PY89" s="368"/>
      <c r="PZ89" s="368"/>
      <c r="QA89" s="368"/>
      <c r="QB89" s="368"/>
      <c r="QC89" s="368"/>
      <c r="QD89" s="368"/>
      <c r="QE89" s="368"/>
      <c r="QF89" s="368"/>
      <c r="QG89" s="368"/>
      <c r="QH89" s="368"/>
      <c r="QI89" s="368"/>
      <c r="QJ89" s="368"/>
      <c r="QK89" s="368"/>
      <c r="QL89" s="368"/>
      <c r="QM89" s="368"/>
      <c r="QN89" s="368"/>
      <c r="QO89" s="368"/>
      <c r="QP89" s="368"/>
      <c r="QQ89" s="368"/>
      <c r="QR89" s="368"/>
      <c r="QS89" s="368"/>
      <c r="QT89" s="368"/>
      <c r="QU89" s="368"/>
      <c r="QV89" s="368"/>
      <c r="QW89" s="368"/>
      <c r="QX89" s="368"/>
      <c r="QY89" s="368"/>
      <c r="QZ89" s="368"/>
      <c r="RA89" s="368"/>
      <c r="RB89" s="368"/>
      <c r="RC89" s="368"/>
      <c r="RD89" s="368"/>
      <c r="RE89" s="368"/>
      <c r="RF89" s="368"/>
      <c r="RG89" s="368"/>
      <c r="RH89" s="368"/>
      <c r="RI89" s="368"/>
      <c r="RJ89" s="368"/>
      <c r="RK89" s="368"/>
      <c r="RL89" s="368"/>
      <c r="RM89" s="368"/>
      <c r="RN89" s="368"/>
      <c r="RO89" s="368"/>
      <c r="RP89" s="368"/>
      <c r="RQ89" s="368"/>
      <c r="RR89" s="368"/>
      <c r="RS89" s="368"/>
      <c r="RT89" s="368"/>
      <c r="RU89" s="368"/>
      <c r="RV89" s="368"/>
      <c r="RW89" s="368"/>
      <c r="RX89" s="368"/>
      <c r="RY89" s="368"/>
      <c r="RZ89" s="368"/>
      <c r="SA89" s="368"/>
      <c r="SB89" s="368"/>
      <c r="SC89" s="368"/>
      <c r="SD89" s="368"/>
      <c r="SE89" s="368"/>
      <c r="SF89" s="368"/>
      <c r="SG89" s="368"/>
      <c r="SH89" s="368"/>
      <c r="SI89" s="368"/>
      <c r="SJ89" s="368"/>
      <c r="SK89" s="368"/>
      <c r="SL89" s="368"/>
      <c r="SM89" s="368"/>
      <c r="SN89" s="368"/>
      <c r="SO89" s="368"/>
      <c r="SP89" s="368"/>
      <c r="SQ89" s="368"/>
      <c r="SR89" s="368"/>
      <c r="SS89" s="368"/>
      <c r="ST89" s="368"/>
      <c r="SU89" s="368"/>
      <c r="SV89" s="368"/>
      <c r="SW89" s="368"/>
      <c r="SX89" s="368"/>
      <c r="SY89" s="368"/>
      <c r="SZ89" s="368"/>
      <c r="TA89" s="368"/>
      <c r="TB89" s="368"/>
      <c r="TC89" s="368"/>
      <c r="TD89" s="368"/>
      <c r="TE89" s="368"/>
      <c r="TF89" s="368"/>
      <c r="TG89" s="368"/>
      <c r="TH89" s="368"/>
      <c r="TI89" s="368"/>
      <c r="TJ89" s="368"/>
      <c r="TK89" s="368"/>
      <c r="TL89" s="368"/>
      <c r="TM89" s="368"/>
      <c r="TN89" s="368"/>
      <c r="TO89" s="368"/>
      <c r="TP89" s="368"/>
      <c r="TQ89" s="368"/>
      <c r="TR89" s="368"/>
      <c r="TS89" s="368"/>
      <c r="TT89" s="368"/>
      <c r="TU89" s="368"/>
      <c r="TV89" s="368"/>
      <c r="TW89" s="368"/>
      <c r="TX89" s="368"/>
      <c r="TY89" s="368"/>
      <c r="TZ89" s="368"/>
      <c r="UA89" s="368"/>
      <c r="UB89" s="368"/>
      <c r="UC89" s="368"/>
      <c r="UD89" s="368"/>
      <c r="UE89" s="368"/>
      <c r="UF89" s="368"/>
      <c r="UG89" s="368"/>
      <c r="UH89" s="368"/>
      <c r="UI89" s="368"/>
      <c r="UJ89" s="368"/>
      <c r="UK89" s="368"/>
      <c r="UL89" s="368"/>
      <c r="UM89" s="368"/>
      <c r="UN89" s="368"/>
      <c r="UO89" s="368"/>
      <c r="UP89" s="368"/>
      <c r="UQ89" s="368"/>
      <c r="UR89" s="368"/>
      <c r="US89" s="368"/>
      <c r="UT89" s="368"/>
      <c r="UU89" s="368"/>
      <c r="UV89" s="368"/>
      <c r="UW89" s="368"/>
      <c r="UX89" s="368"/>
      <c r="UY89" s="368"/>
      <c r="UZ89" s="368"/>
      <c r="VA89" s="368"/>
      <c r="VB89" s="368"/>
      <c r="VC89" s="368"/>
      <c r="VD89" s="368"/>
      <c r="VE89" s="368"/>
      <c r="VF89" s="368"/>
      <c r="VG89" s="368"/>
      <c r="VH89" s="368"/>
      <c r="VI89" s="368"/>
      <c r="VJ89" s="368"/>
      <c r="VK89" s="368"/>
      <c r="VL89" s="368"/>
      <c r="VM89" s="368"/>
      <c r="VN89" s="368"/>
      <c r="VO89" s="368"/>
      <c r="VP89" s="368"/>
      <c r="VQ89" s="368"/>
      <c r="VR89" s="368"/>
      <c r="VS89" s="368"/>
      <c r="VT89" s="368"/>
      <c r="VU89" s="368"/>
      <c r="VV89" s="368"/>
      <c r="VW89" s="368"/>
      <c r="VX89" s="368"/>
      <c r="VY89" s="368"/>
      <c r="VZ89" s="368"/>
      <c r="WA89" s="368"/>
      <c r="WB89" s="368"/>
      <c r="WC89" s="368"/>
      <c r="WD89" s="368"/>
      <c r="WE89" s="368"/>
      <c r="WF89" s="368"/>
      <c r="WG89" s="368"/>
      <c r="WH89" s="368"/>
      <c r="WI89" s="368"/>
      <c r="WJ89" s="368"/>
      <c r="WK89" s="368"/>
      <c r="WL89" s="368"/>
      <c r="WM89" s="368"/>
      <c r="WN89" s="368"/>
      <c r="WO89" s="368"/>
      <c r="WP89" s="368"/>
      <c r="WQ89" s="368"/>
      <c r="WR89" s="368"/>
      <c r="WS89" s="368"/>
      <c r="WT89" s="368"/>
      <c r="WU89" s="368"/>
      <c r="WV89" s="368"/>
      <c r="WW89" s="368"/>
      <c r="WX89" s="368"/>
      <c r="WY89" s="368"/>
      <c r="WZ89" s="368"/>
      <c r="XA89" s="368"/>
      <c r="XB89" s="368"/>
      <c r="XC89" s="368"/>
      <c r="XD89" s="368"/>
      <c r="XE89" s="368"/>
      <c r="XF89" s="368"/>
      <c r="XG89" s="368"/>
      <c r="XH89" s="368"/>
      <c r="XI89" s="368"/>
      <c r="XJ89" s="368"/>
      <c r="XK89" s="368"/>
      <c r="XL89" s="368"/>
      <c r="XM89" s="368"/>
      <c r="XN89" s="368"/>
      <c r="XO89" s="368"/>
      <c r="XP89" s="368"/>
      <c r="XQ89" s="368"/>
      <c r="XR89" s="368"/>
      <c r="XS89" s="368"/>
      <c r="XT89" s="368"/>
      <c r="XU89" s="368"/>
      <c r="XV89" s="368"/>
      <c r="XW89" s="368"/>
      <c r="XX89" s="368"/>
      <c r="XY89" s="368"/>
      <c r="XZ89" s="368"/>
      <c r="YA89" s="368"/>
      <c r="YB89" s="368"/>
      <c r="YC89" s="368"/>
      <c r="YD89" s="368"/>
      <c r="YE89" s="368"/>
      <c r="YF89" s="368"/>
      <c r="YG89" s="368"/>
      <c r="YH89" s="368"/>
      <c r="YI89" s="368"/>
      <c r="YJ89" s="368"/>
      <c r="YK89" s="368"/>
      <c r="YL89" s="368"/>
      <c r="YM89" s="368"/>
      <c r="YN89" s="368"/>
      <c r="YO89" s="368"/>
      <c r="YP89" s="368"/>
      <c r="YQ89" s="368"/>
      <c r="YR89" s="368"/>
      <c r="YS89" s="368"/>
      <c r="YT89" s="368"/>
      <c r="YU89" s="368"/>
      <c r="YV89" s="368"/>
      <c r="YW89" s="368"/>
      <c r="YX89" s="368"/>
      <c r="YY89" s="368"/>
      <c r="YZ89" s="368"/>
      <c r="ZA89" s="368"/>
      <c r="ZB89" s="368"/>
      <c r="ZC89" s="368"/>
      <c r="ZD89" s="368"/>
      <c r="ZE89" s="368"/>
      <c r="ZF89" s="368"/>
      <c r="ZG89" s="368"/>
      <c r="ZH89" s="368"/>
      <c r="ZI89" s="368"/>
      <c r="ZJ89" s="368"/>
      <c r="ZK89" s="368"/>
      <c r="ZL89" s="368"/>
      <c r="ZM89" s="368"/>
      <c r="ZN89" s="368"/>
      <c r="ZO89" s="368"/>
      <c r="ZP89" s="368"/>
      <c r="ZQ89" s="368"/>
      <c r="ZR89" s="368"/>
      <c r="ZS89" s="368"/>
      <c r="ZT89" s="368"/>
      <c r="ZU89" s="368"/>
      <c r="ZV89" s="368"/>
      <c r="ZW89" s="368"/>
      <c r="ZX89" s="368"/>
      <c r="ZY89" s="368"/>
      <c r="ZZ89" s="368"/>
      <c r="AAA89" s="368"/>
      <c r="AAB89" s="368"/>
      <c r="AAC89" s="368"/>
      <c r="AAD89" s="368"/>
      <c r="AAE89" s="368"/>
      <c r="AAF89" s="368"/>
      <c r="AAG89" s="368"/>
      <c r="AAH89" s="368"/>
      <c r="AAI89" s="368"/>
      <c r="AAJ89" s="368"/>
      <c r="AAK89" s="368"/>
      <c r="AAL89" s="368"/>
      <c r="AAM89" s="368"/>
      <c r="AAN89" s="368"/>
      <c r="AAO89" s="368"/>
      <c r="AAP89" s="368"/>
      <c r="AAQ89" s="368"/>
      <c r="AAR89" s="368"/>
      <c r="AAS89" s="368"/>
      <c r="AAT89" s="368"/>
      <c r="AAU89" s="368"/>
      <c r="AAV89" s="368"/>
      <c r="AAW89" s="368"/>
      <c r="AAX89" s="368"/>
      <c r="AAY89" s="368"/>
      <c r="AAZ89" s="368"/>
      <c r="ABA89" s="368"/>
      <c r="ABB89" s="368"/>
      <c r="ABC89" s="368"/>
      <c r="ABD89" s="368"/>
      <c r="ABE89" s="368"/>
      <c r="ABF89" s="368"/>
      <c r="ABG89" s="368"/>
      <c r="ABH89" s="368"/>
      <c r="ABI89" s="368"/>
      <c r="ABJ89" s="368"/>
      <c r="ABK89" s="368"/>
      <c r="ABL89" s="368"/>
      <c r="ABM89" s="368"/>
      <c r="ABN89" s="368"/>
      <c r="ABO89" s="368"/>
      <c r="ABP89" s="368"/>
      <c r="ABQ89" s="368"/>
      <c r="ABR89" s="368"/>
      <c r="ABS89" s="368"/>
      <c r="ABT89" s="368"/>
      <c r="ABU89" s="368"/>
      <c r="ABV89" s="368"/>
      <c r="ABW89" s="368"/>
      <c r="ABX89" s="368"/>
      <c r="ABY89" s="368"/>
      <c r="ABZ89" s="368"/>
      <c r="ACA89" s="368"/>
      <c r="ACB89" s="368"/>
      <c r="ACC89" s="368"/>
      <c r="ACD89" s="368"/>
      <c r="ACE89" s="368"/>
      <c r="ACF89" s="368"/>
      <c r="ACG89" s="368"/>
      <c r="ACH89" s="368"/>
      <c r="ACI89" s="368"/>
      <c r="ACJ89" s="368"/>
      <c r="ACK89" s="368"/>
      <c r="ACL89" s="368"/>
      <c r="ACM89" s="368"/>
      <c r="ACN89" s="368"/>
      <c r="ACO89" s="368"/>
      <c r="ACP89" s="368"/>
      <c r="ACQ89" s="368"/>
      <c r="ACR89" s="368"/>
      <c r="ACS89" s="368"/>
      <c r="ACT89" s="368"/>
      <c r="ACU89" s="368"/>
      <c r="ACV89" s="368"/>
      <c r="ACW89" s="368"/>
      <c r="ACX89" s="368"/>
      <c r="ACY89" s="368"/>
      <c r="ACZ89" s="368"/>
      <c r="ADA89" s="368"/>
      <c r="ADB89" s="368"/>
      <c r="ADC89" s="368"/>
      <c r="ADD89" s="368"/>
      <c r="ADE89" s="368"/>
      <c r="ADF89" s="368"/>
      <c r="ADG89" s="368"/>
      <c r="ADH89" s="368"/>
      <c r="ADI89" s="368"/>
      <c r="ADJ89" s="368"/>
      <c r="ADK89" s="368"/>
      <c r="ADL89" s="368"/>
      <c r="ADM89" s="368"/>
      <c r="ADN89" s="368"/>
      <c r="ADO89" s="368"/>
      <c r="ADP89" s="368"/>
      <c r="ADQ89" s="368"/>
      <c r="ADR89" s="368"/>
      <c r="ADS89" s="368"/>
      <c r="ADT89" s="368"/>
      <c r="ADU89" s="368"/>
      <c r="ADV89" s="368"/>
      <c r="ADW89" s="368"/>
      <c r="ADX89" s="368"/>
      <c r="ADY89" s="368"/>
      <c r="ADZ89" s="368"/>
      <c r="AEA89" s="368"/>
      <c r="AEB89" s="368"/>
      <c r="AEC89" s="368"/>
      <c r="AED89" s="368"/>
      <c r="AEE89" s="368"/>
      <c r="AEF89" s="368"/>
      <c r="AEG89" s="368"/>
      <c r="AEH89" s="368"/>
      <c r="AEI89" s="368"/>
      <c r="AEJ89" s="368"/>
      <c r="AEK89" s="368"/>
      <c r="AEL89" s="368"/>
      <c r="AEM89" s="368"/>
      <c r="AEN89" s="368"/>
      <c r="AEO89" s="368"/>
      <c r="AEP89" s="368"/>
      <c r="AEQ89" s="368"/>
      <c r="AER89" s="368"/>
      <c r="AES89" s="368"/>
      <c r="AET89" s="368"/>
      <c r="AEU89" s="368"/>
      <c r="AEV89" s="368"/>
      <c r="AEW89" s="368"/>
      <c r="AEX89" s="368"/>
      <c r="AEY89" s="368"/>
      <c r="AEZ89" s="368"/>
      <c r="AFA89" s="368"/>
      <c r="AFB89" s="368"/>
      <c r="AFC89" s="368"/>
      <c r="AFD89" s="368"/>
      <c r="AFE89" s="368"/>
      <c r="AFF89" s="368"/>
      <c r="AFG89" s="368"/>
      <c r="AFH89" s="368"/>
      <c r="AFI89" s="368"/>
      <c r="AFJ89" s="368"/>
      <c r="AFK89" s="368"/>
      <c r="AFL89" s="368"/>
      <c r="AFM89" s="368"/>
      <c r="AFN89" s="368"/>
      <c r="AFO89" s="368"/>
      <c r="AFP89" s="368"/>
      <c r="AFQ89" s="368"/>
      <c r="AFR89" s="368"/>
      <c r="AFS89" s="368"/>
      <c r="AFT89" s="368"/>
      <c r="AFU89" s="368"/>
      <c r="AFV89" s="368"/>
      <c r="AFW89" s="368"/>
      <c r="AFX89" s="368"/>
      <c r="AFY89" s="368"/>
      <c r="AFZ89" s="368"/>
      <c r="AGA89" s="368"/>
      <c r="AGB89" s="368"/>
      <c r="AGC89" s="368"/>
      <c r="AGD89" s="368"/>
      <c r="AGE89" s="368"/>
      <c r="AGF89" s="368"/>
      <c r="AGG89" s="368"/>
      <c r="AGH89" s="368"/>
      <c r="AGI89" s="368"/>
      <c r="AGJ89" s="368"/>
      <c r="AGK89" s="368"/>
      <c r="AGL89" s="368"/>
      <c r="AGM89" s="368"/>
      <c r="AGN89" s="368"/>
      <c r="AGO89" s="368"/>
      <c r="AGP89" s="368"/>
      <c r="AGQ89" s="368"/>
      <c r="AGR89" s="368"/>
      <c r="AGS89" s="368"/>
      <c r="AGT89" s="368"/>
      <c r="AGU89" s="368"/>
      <c r="AGV89" s="368"/>
      <c r="AGW89" s="368"/>
      <c r="AGX89" s="368"/>
      <c r="AGY89" s="368"/>
      <c r="AGZ89" s="368"/>
      <c r="AHA89" s="368"/>
      <c r="AHB89" s="368"/>
      <c r="AHC89" s="368"/>
      <c r="AHD89" s="368"/>
      <c r="AHE89" s="368"/>
      <c r="AHF89" s="368"/>
      <c r="AHG89" s="368"/>
      <c r="AHH89" s="368"/>
      <c r="AHI89" s="368"/>
      <c r="AHJ89" s="368"/>
      <c r="AHK89" s="368"/>
      <c r="AHL89" s="368"/>
      <c r="AHM89" s="368"/>
      <c r="AHN89" s="368"/>
      <c r="AHO89" s="368"/>
      <c r="AHP89" s="368"/>
      <c r="AHQ89" s="368"/>
      <c r="AHR89" s="368"/>
      <c r="AHS89" s="368"/>
      <c r="AHT89" s="368"/>
      <c r="AHU89" s="368"/>
      <c r="AHV89" s="368"/>
      <c r="AHW89" s="368"/>
      <c r="AHX89" s="368"/>
      <c r="AHY89" s="368"/>
      <c r="AHZ89" s="368"/>
      <c r="AIA89" s="368"/>
      <c r="AIB89" s="368"/>
      <c r="AIC89" s="368"/>
      <c r="AID89" s="368"/>
      <c r="AIE89" s="368"/>
      <c r="AIF89" s="368"/>
      <c r="AIG89" s="368"/>
      <c r="AIH89" s="368"/>
      <c r="AII89" s="368"/>
      <c r="AIJ89" s="368"/>
      <c r="AIK89" s="368"/>
      <c r="AIL89" s="368"/>
      <c r="AIM89" s="368"/>
      <c r="AIN89" s="368"/>
      <c r="AIO89" s="368"/>
      <c r="AIP89" s="368"/>
      <c r="AIQ89" s="368"/>
      <c r="AIR89" s="368"/>
      <c r="AIS89" s="368"/>
      <c r="AIT89" s="368"/>
      <c r="AIU89" s="368"/>
      <c r="AIV89" s="368"/>
      <c r="AIW89" s="368"/>
      <c r="AIX89" s="368"/>
      <c r="AIY89" s="368"/>
      <c r="AIZ89" s="368"/>
      <c r="AJA89" s="368"/>
      <c r="AJB89" s="368"/>
      <c r="AJC89" s="368"/>
      <c r="AJD89" s="368"/>
      <c r="AJE89" s="368"/>
      <c r="AJF89" s="368"/>
      <c r="AJG89" s="368"/>
      <c r="AJH89" s="368"/>
      <c r="AJI89" s="368"/>
      <c r="AJJ89" s="368"/>
      <c r="AJK89" s="368"/>
      <c r="AJL89" s="368"/>
      <c r="AJM89" s="368"/>
      <c r="AJN89" s="368"/>
      <c r="AJO89" s="368"/>
      <c r="AJP89" s="368"/>
      <c r="AJQ89" s="368"/>
      <c r="AJR89" s="368"/>
      <c r="AJS89" s="368"/>
      <c r="AJT89" s="368"/>
      <c r="AJU89" s="368"/>
      <c r="AJV89" s="368"/>
      <c r="AJW89" s="368"/>
      <c r="AJX89" s="368"/>
      <c r="AJY89" s="368"/>
      <c r="AJZ89" s="368"/>
      <c r="AKA89" s="368"/>
      <c r="AKB89" s="368"/>
      <c r="AKC89" s="368"/>
      <c r="AKD89" s="368"/>
      <c r="AKE89" s="368"/>
      <c r="AKF89" s="368"/>
      <c r="AKG89" s="368"/>
      <c r="AKH89" s="368"/>
      <c r="AKI89" s="368"/>
      <c r="AKJ89" s="368"/>
      <c r="AKK89" s="368"/>
      <c r="AKL89" s="368"/>
      <c r="AKM89" s="368"/>
      <c r="AKN89" s="368"/>
    </row>
    <row r="90" spans="1:976" s="346" customFormat="1" ht="22.5" customHeight="1" x14ac:dyDescent="0.2">
      <c r="A90" s="370" t="s">
        <v>262</v>
      </c>
      <c r="B90" s="370"/>
      <c r="C90" s="370" t="s">
        <v>221</v>
      </c>
      <c r="D90" s="370" t="s">
        <v>222</v>
      </c>
      <c r="E90" s="371">
        <v>411360</v>
      </c>
      <c r="F90" s="371">
        <v>1356</v>
      </c>
      <c r="G90" s="371">
        <v>204</v>
      </c>
      <c r="H90" s="371">
        <v>0</v>
      </c>
      <c r="I90" s="372">
        <v>45846</v>
      </c>
      <c r="J90" s="370" t="s">
        <v>395</v>
      </c>
      <c r="K90" s="370" t="s">
        <v>529</v>
      </c>
      <c r="L90" s="373">
        <v>93.22</v>
      </c>
      <c r="M90" s="373">
        <v>6.02</v>
      </c>
      <c r="N90" s="444">
        <v>99.24</v>
      </c>
      <c r="O90" s="370"/>
      <c r="P90" s="374">
        <v>45848</v>
      </c>
      <c r="Q90" s="373">
        <v>99.24</v>
      </c>
      <c r="R90" s="370" t="s">
        <v>530</v>
      </c>
      <c r="S90" s="373">
        <v>0</v>
      </c>
      <c r="T90" s="373">
        <v>0</v>
      </c>
      <c r="U90" s="373">
        <v>0</v>
      </c>
      <c r="V90" s="373">
        <v>0</v>
      </c>
      <c r="W90" s="370"/>
      <c r="X90" s="370" t="s">
        <v>293</v>
      </c>
      <c r="Y90" s="370" t="s">
        <v>294</v>
      </c>
      <c r="Z90" s="370" t="s">
        <v>42</v>
      </c>
      <c r="AA90" s="370" t="s">
        <v>228</v>
      </c>
      <c r="AB90" s="370" t="s">
        <v>235</v>
      </c>
      <c r="AC90" s="370" t="s">
        <v>331</v>
      </c>
      <c r="AD90" s="370" t="s">
        <v>231</v>
      </c>
      <c r="AE90" s="370" t="s">
        <v>232</v>
      </c>
      <c r="AF90" s="370" t="s">
        <v>231</v>
      </c>
      <c r="AG90" s="370" t="s">
        <v>232</v>
      </c>
      <c r="AH90" s="370"/>
      <c r="AI90" s="370"/>
      <c r="AJ90" s="370"/>
      <c r="AK90" s="370" t="s">
        <v>531</v>
      </c>
      <c r="AL90" s="371">
        <v>1</v>
      </c>
      <c r="AM90" s="371">
        <v>0</v>
      </c>
      <c r="AN90" s="372">
        <v>45848</v>
      </c>
      <c r="AO90" s="372">
        <v>45848</v>
      </c>
      <c r="AP90" s="373">
        <v>99.24</v>
      </c>
      <c r="AQ90" s="372">
        <v>45847</v>
      </c>
      <c r="AR90" s="368"/>
      <c r="AS90" s="368"/>
      <c r="AT90" s="368"/>
      <c r="AU90" s="368"/>
      <c r="AV90" s="368"/>
      <c r="AW90" s="368"/>
      <c r="AX90" s="368"/>
      <c r="AY90" s="368"/>
      <c r="AZ90" s="368"/>
      <c r="BA90" s="368"/>
      <c r="BB90" s="368"/>
      <c r="BC90" s="368"/>
      <c r="BD90" s="368"/>
      <c r="BE90" s="368"/>
      <c r="BF90" s="368"/>
      <c r="BG90" s="368"/>
      <c r="BH90" s="368"/>
      <c r="BI90" s="368"/>
      <c r="BJ90" s="368"/>
      <c r="BK90" s="368"/>
      <c r="BL90" s="368"/>
      <c r="BM90" s="368"/>
      <c r="BN90" s="368"/>
      <c r="BO90" s="368"/>
      <c r="BP90" s="368"/>
      <c r="BQ90" s="368"/>
      <c r="BR90" s="368"/>
      <c r="BS90" s="368"/>
      <c r="BT90" s="368"/>
      <c r="BU90" s="368"/>
      <c r="BV90" s="368"/>
      <c r="BW90" s="368"/>
      <c r="BX90" s="368"/>
      <c r="BY90" s="368"/>
      <c r="BZ90" s="368"/>
      <c r="CA90" s="368"/>
      <c r="CB90" s="368"/>
      <c r="CC90" s="368"/>
      <c r="CD90" s="368"/>
      <c r="CE90" s="368"/>
      <c r="CF90" s="368"/>
      <c r="CG90" s="368"/>
      <c r="CH90" s="368"/>
      <c r="CI90" s="368"/>
      <c r="CJ90" s="368"/>
      <c r="CK90" s="368"/>
      <c r="CL90" s="368"/>
      <c r="CM90" s="368"/>
      <c r="CN90" s="368"/>
      <c r="CO90" s="368"/>
      <c r="CP90" s="368"/>
      <c r="CQ90" s="368"/>
      <c r="CR90" s="368"/>
      <c r="CS90" s="368"/>
      <c r="CT90" s="368"/>
      <c r="CU90" s="368"/>
      <c r="CV90" s="368"/>
      <c r="CW90" s="368"/>
      <c r="CX90" s="368"/>
      <c r="CY90" s="368"/>
      <c r="CZ90" s="368"/>
      <c r="DA90" s="368"/>
      <c r="DB90" s="368"/>
      <c r="DC90" s="368"/>
      <c r="DD90" s="368"/>
      <c r="DE90" s="368"/>
      <c r="DF90" s="368"/>
      <c r="DG90" s="368"/>
      <c r="DH90" s="368"/>
      <c r="DI90" s="368"/>
      <c r="DJ90" s="368"/>
      <c r="DK90" s="368"/>
      <c r="DL90" s="368"/>
      <c r="DM90" s="368"/>
      <c r="DN90" s="368"/>
      <c r="DO90" s="368"/>
      <c r="DP90" s="368"/>
      <c r="DQ90" s="368"/>
      <c r="DR90" s="368"/>
      <c r="DS90" s="368"/>
      <c r="DT90" s="368"/>
      <c r="DU90" s="368"/>
      <c r="DV90" s="368"/>
      <c r="DW90" s="368"/>
      <c r="DX90" s="368"/>
      <c r="DY90" s="368"/>
      <c r="DZ90" s="368"/>
      <c r="EA90" s="368"/>
      <c r="EB90" s="368"/>
      <c r="EC90" s="368"/>
      <c r="ED90" s="368"/>
      <c r="EE90" s="368"/>
      <c r="EF90" s="368"/>
      <c r="EG90" s="368"/>
      <c r="EH90" s="368"/>
      <c r="EI90" s="368"/>
      <c r="EJ90" s="368"/>
      <c r="EK90" s="368"/>
      <c r="EL90" s="368"/>
      <c r="EM90" s="368"/>
      <c r="EN90" s="368"/>
      <c r="EO90" s="368"/>
      <c r="EP90" s="368"/>
      <c r="EQ90" s="368"/>
      <c r="ER90" s="368"/>
      <c r="ES90" s="368"/>
      <c r="ET90" s="368"/>
      <c r="EU90" s="368"/>
      <c r="EV90" s="368"/>
      <c r="EW90" s="368"/>
      <c r="EX90" s="368"/>
      <c r="EY90" s="368"/>
      <c r="EZ90" s="368"/>
      <c r="FA90" s="368"/>
      <c r="FB90" s="368"/>
      <c r="FC90" s="368"/>
      <c r="FD90" s="368"/>
      <c r="FE90" s="368"/>
      <c r="FF90" s="368"/>
      <c r="FG90" s="368"/>
      <c r="FH90" s="368"/>
      <c r="FI90" s="368"/>
      <c r="FJ90" s="368"/>
      <c r="FK90" s="368"/>
      <c r="FL90" s="368"/>
      <c r="FM90" s="368"/>
      <c r="FN90" s="368"/>
      <c r="FO90" s="368"/>
      <c r="FP90" s="368"/>
      <c r="FQ90" s="368"/>
      <c r="FR90" s="368"/>
      <c r="FS90" s="368"/>
      <c r="FT90" s="368"/>
      <c r="FU90" s="368"/>
      <c r="FV90" s="368"/>
      <c r="FW90" s="368"/>
      <c r="FX90" s="368"/>
      <c r="FY90" s="368"/>
      <c r="FZ90" s="368"/>
      <c r="GA90" s="368"/>
      <c r="GB90" s="368"/>
      <c r="GC90" s="368"/>
      <c r="GD90" s="368"/>
      <c r="GE90" s="368"/>
      <c r="GF90" s="368"/>
      <c r="GG90" s="368"/>
      <c r="GH90" s="368"/>
      <c r="GI90" s="368"/>
      <c r="GJ90" s="368"/>
      <c r="GK90" s="368"/>
      <c r="GL90" s="368"/>
      <c r="GM90" s="368"/>
      <c r="GN90" s="368"/>
      <c r="GO90" s="368"/>
      <c r="GP90" s="368"/>
      <c r="GQ90" s="368"/>
      <c r="GR90" s="368"/>
      <c r="GS90" s="368"/>
      <c r="GT90" s="368"/>
      <c r="GU90" s="368"/>
      <c r="GV90" s="368"/>
      <c r="GW90" s="368"/>
      <c r="GX90" s="368"/>
      <c r="GY90" s="368"/>
      <c r="GZ90" s="368"/>
      <c r="HA90" s="368"/>
      <c r="HB90" s="368"/>
      <c r="HC90" s="368"/>
      <c r="HD90" s="368"/>
      <c r="HE90" s="368"/>
      <c r="HF90" s="368"/>
      <c r="HG90" s="368"/>
      <c r="HH90" s="368"/>
      <c r="HI90" s="368"/>
      <c r="HJ90" s="368"/>
      <c r="HK90" s="368"/>
      <c r="HL90" s="368"/>
      <c r="HM90" s="368"/>
      <c r="HN90" s="368"/>
      <c r="HO90" s="368"/>
      <c r="HP90" s="368"/>
      <c r="HQ90" s="368"/>
      <c r="HR90" s="368"/>
      <c r="HS90" s="368"/>
      <c r="HT90" s="368"/>
      <c r="HU90" s="368"/>
      <c r="HV90" s="368"/>
      <c r="HW90" s="368"/>
      <c r="HX90" s="368"/>
      <c r="HY90" s="368"/>
      <c r="HZ90" s="368"/>
      <c r="IA90" s="368"/>
      <c r="IB90" s="368"/>
      <c r="IC90" s="368"/>
      <c r="ID90" s="368"/>
      <c r="IE90" s="368"/>
      <c r="IF90" s="368"/>
      <c r="IG90" s="368"/>
      <c r="IH90" s="368"/>
      <c r="II90" s="368"/>
      <c r="IJ90" s="368"/>
      <c r="IK90" s="368"/>
      <c r="IL90" s="368"/>
      <c r="IM90" s="368"/>
      <c r="IN90" s="368"/>
      <c r="IO90" s="368"/>
      <c r="IP90" s="368"/>
      <c r="IQ90" s="368"/>
      <c r="IR90" s="368"/>
      <c r="IS90" s="368"/>
      <c r="IT90" s="368"/>
      <c r="IU90" s="368"/>
      <c r="IV90" s="368"/>
      <c r="IW90" s="368"/>
      <c r="IX90" s="368"/>
      <c r="IY90" s="368"/>
      <c r="IZ90" s="368"/>
      <c r="JA90" s="368"/>
      <c r="JB90" s="368"/>
      <c r="JC90" s="368"/>
      <c r="JD90" s="368"/>
      <c r="JE90" s="368"/>
      <c r="JF90" s="368"/>
      <c r="JG90" s="368"/>
      <c r="JH90" s="368"/>
      <c r="JI90" s="368"/>
      <c r="JJ90" s="368"/>
      <c r="JK90" s="368"/>
      <c r="JL90" s="368"/>
      <c r="JM90" s="368"/>
      <c r="JN90" s="368"/>
      <c r="JO90" s="368"/>
      <c r="JP90" s="368"/>
      <c r="JQ90" s="368"/>
      <c r="JR90" s="368"/>
      <c r="JS90" s="368"/>
      <c r="JT90" s="368"/>
      <c r="JU90" s="368"/>
      <c r="JV90" s="368"/>
      <c r="JW90" s="368"/>
      <c r="JX90" s="368"/>
      <c r="JY90" s="368"/>
      <c r="JZ90" s="368"/>
      <c r="KA90" s="368"/>
      <c r="KB90" s="368"/>
      <c r="KC90" s="368"/>
      <c r="KD90" s="368"/>
      <c r="KE90" s="368"/>
      <c r="KF90" s="368"/>
      <c r="KG90" s="368"/>
      <c r="KH90" s="368"/>
      <c r="KI90" s="368"/>
      <c r="KJ90" s="368"/>
      <c r="KK90" s="368"/>
      <c r="KL90" s="368"/>
      <c r="KM90" s="368"/>
      <c r="KN90" s="368"/>
      <c r="KO90" s="368"/>
      <c r="KP90" s="368"/>
      <c r="KQ90" s="368"/>
      <c r="KR90" s="368"/>
      <c r="KS90" s="368"/>
      <c r="KT90" s="368"/>
      <c r="KU90" s="368"/>
      <c r="KV90" s="368"/>
      <c r="KW90" s="368"/>
      <c r="KX90" s="368"/>
      <c r="KY90" s="368"/>
      <c r="KZ90" s="368"/>
      <c r="LA90" s="368"/>
      <c r="LB90" s="368"/>
      <c r="LC90" s="368"/>
      <c r="LD90" s="368"/>
      <c r="LE90" s="368"/>
      <c r="LF90" s="368"/>
      <c r="LG90" s="368"/>
      <c r="LH90" s="368"/>
      <c r="LI90" s="368"/>
      <c r="LJ90" s="368"/>
      <c r="LK90" s="368"/>
      <c r="LL90" s="368"/>
      <c r="LM90" s="368"/>
      <c r="LN90" s="368"/>
      <c r="LO90" s="368"/>
      <c r="LP90" s="368"/>
      <c r="LQ90" s="368"/>
      <c r="LR90" s="368"/>
      <c r="LS90" s="368"/>
      <c r="LT90" s="368"/>
      <c r="LU90" s="368"/>
      <c r="LV90" s="368"/>
      <c r="LW90" s="368"/>
      <c r="LX90" s="368"/>
      <c r="LY90" s="368"/>
      <c r="LZ90" s="368"/>
      <c r="MA90" s="368"/>
      <c r="MB90" s="368"/>
      <c r="MC90" s="368"/>
      <c r="MD90" s="368"/>
      <c r="ME90" s="368"/>
      <c r="MF90" s="368"/>
      <c r="MG90" s="368"/>
      <c r="MH90" s="368"/>
      <c r="MI90" s="368"/>
      <c r="MJ90" s="368"/>
      <c r="MK90" s="368"/>
      <c r="ML90" s="368"/>
      <c r="MM90" s="368"/>
      <c r="MN90" s="368"/>
      <c r="MO90" s="368"/>
      <c r="MP90" s="368"/>
      <c r="MQ90" s="368"/>
      <c r="MR90" s="368"/>
      <c r="MS90" s="368"/>
      <c r="MT90" s="368"/>
      <c r="MU90" s="368"/>
      <c r="MV90" s="368"/>
      <c r="MW90" s="368"/>
      <c r="MX90" s="368"/>
      <c r="MY90" s="368"/>
      <c r="MZ90" s="368"/>
      <c r="NA90" s="368"/>
      <c r="NB90" s="368"/>
      <c r="NC90" s="368"/>
      <c r="ND90" s="368"/>
      <c r="NE90" s="368"/>
      <c r="NF90" s="368"/>
      <c r="NG90" s="368"/>
      <c r="NH90" s="368"/>
      <c r="NI90" s="368"/>
      <c r="NJ90" s="368"/>
      <c r="NK90" s="368"/>
      <c r="NL90" s="368"/>
      <c r="NM90" s="368"/>
      <c r="NN90" s="368"/>
      <c r="NO90" s="368"/>
      <c r="NP90" s="368"/>
      <c r="NQ90" s="368"/>
      <c r="NR90" s="368"/>
      <c r="NS90" s="368"/>
      <c r="NT90" s="368"/>
      <c r="NU90" s="368"/>
      <c r="NV90" s="368"/>
      <c r="NW90" s="368"/>
      <c r="NX90" s="368"/>
      <c r="NY90" s="368"/>
      <c r="NZ90" s="368"/>
      <c r="OA90" s="368"/>
      <c r="OB90" s="368"/>
      <c r="OC90" s="368"/>
      <c r="OD90" s="368"/>
      <c r="OE90" s="368"/>
      <c r="OF90" s="368"/>
      <c r="OG90" s="368"/>
      <c r="OH90" s="368"/>
      <c r="OI90" s="368"/>
      <c r="OJ90" s="368"/>
      <c r="OK90" s="368"/>
      <c r="OL90" s="368"/>
      <c r="OM90" s="368"/>
      <c r="ON90" s="368"/>
      <c r="OO90" s="368"/>
      <c r="OP90" s="368"/>
      <c r="OQ90" s="368"/>
      <c r="OR90" s="368"/>
      <c r="OS90" s="368"/>
      <c r="OT90" s="368"/>
      <c r="OU90" s="368"/>
      <c r="OV90" s="368"/>
      <c r="OW90" s="368"/>
      <c r="OX90" s="368"/>
      <c r="OY90" s="368"/>
      <c r="OZ90" s="368"/>
      <c r="PA90" s="368"/>
      <c r="PB90" s="368"/>
      <c r="PC90" s="368"/>
      <c r="PD90" s="368"/>
      <c r="PE90" s="368"/>
      <c r="PF90" s="368"/>
      <c r="PG90" s="368"/>
      <c r="PH90" s="368"/>
      <c r="PI90" s="368"/>
      <c r="PJ90" s="368"/>
      <c r="PK90" s="368"/>
      <c r="PL90" s="368"/>
      <c r="PM90" s="368"/>
      <c r="PN90" s="368"/>
      <c r="PO90" s="368"/>
      <c r="PP90" s="368"/>
      <c r="PQ90" s="368"/>
      <c r="PR90" s="368"/>
      <c r="PS90" s="368"/>
      <c r="PT90" s="368"/>
      <c r="PU90" s="368"/>
      <c r="PV90" s="368"/>
      <c r="PW90" s="368"/>
      <c r="PX90" s="368"/>
      <c r="PY90" s="368"/>
      <c r="PZ90" s="368"/>
      <c r="QA90" s="368"/>
      <c r="QB90" s="368"/>
      <c r="QC90" s="368"/>
      <c r="QD90" s="368"/>
      <c r="QE90" s="368"/>
      <c r="QF90" s="368"/>
      <c r="QG90" s="368"/>
      <c r="QH90" s="368"/>
      <c r="QI90" s="368"/>
      <c r="QJ90" s="368"/>
      <c r="QK90" s="368"/>
      <c r="QL90" s="368"/>
      <c r="QM90" s="368"/>
      <c r="QN90" s="368"/>
      <c r="QO90" s="368"/>
      <c r="QP90" s="368"/>
      <c r="QQ90" s="368"/>
      <c r="QR90" s="368"/>
      <c r="QS90" s="368"/>
      <c r="QT90" s="368"/>
      <c r="QU90" s="368"/>
      <c r="QV90" s="368"/>
      <c r="QW90" s="368"/>
      <c r="QX90" s="368"/>
      <c r="QY90" s="368"/>
      <c r="QZ90" s="368"/>
      <c r="RA90" s="368"/>
      <c r="RB90" s="368"/>
      <c r="RC90" s="368"/>
      <c r="RD90" s="368"/>
      <c r="RE90" s="368"/>
      <c r="RF90" s="368"/>
      <c r="RG90" s="368"/>
      <c r="RH90" s="368"/>
      <c r="RI90" s="368"/>
      <c r="RJ90" s="368"/>
      <c r="RK90" s="368"/>
      <c r="RL90" s="368"/>
      <c r="RM90" s="368"/>
      <c r="RN90" s="368"/>
      <c r="RO90" s="368"/>
      <c r="RP90" s="368"/>
      <c r="RQ90" s="368"/>
      <c r="RR90" s="368"/>
      <c r="RS90" s="368"/>
      <c r="RT90" s="368"/>
      <c r="RU90" s="368"/>
      <c r="RV90" s="368"/>
      <c r="RW90" s="368"/>
      <c r="RX90" s="368"/>
      <c r="RY90" s="368"/>
      <c r="RZ90" s="368"/>
      <c r="SA90" s="368"/>
      <c r="SB90" s="368"/>
      <c r="SC90" s="368"/>
      <c r="SD90" s="368"/>
      <c r="SE90" s="368"/>
      <c r="SF90" s="368"/>
      <c r="SG90" s="368"/>
      <c r="SH90" s="368"/>
      <c r="SI90" s="368"/>
      <c r="SJ90" s="368"/>
      <c r="SK90" s="368"/>
      <c r="SL90" s="368"/>
      <c r="SM90" s="368"/>
      <c r="SN90" s="368"/>
      <c r="SO90" s="368"/>
      <c r="SP90" s="368"/>
      <c r="SQ90" s="368"/>
      <c r="SR90" s="368"/>
      <c r="SS90" s="368"/>
      <c r="ST90" s="368"/>
      <c r="SU90" s="368"/>
      <c r="SV90" s="368"/>
      <c r="SW90" s="368"/>
      <c r="SX90" s="368"/>
      <c r="SY90" s="368"/>
      <c r="SZ90" s="368"/>
      <c r="TA90" s="368"/>
      <c r="TB90" s="368"/>
      <c r="TC90" s="368"/>
      <c r="TD90" s="368"/>
      <c r="TE90" s="368"/>
      <c r="TF90" s="368"/>
      <c r="TG90" s="368"/>
      <c r="TH90" s="368"/>
      <c r="TI90" s="368"/>
      <c r="TJ90" s="368"/>
      <c r="TK90" s="368"/>
      <c r="TL90" s="368"/>
      <c r="TM90" s="368"/>
      <c r="TN90" s="368"/>
      <c r="TO90" s="368"/>
      <c r="TP90" s="368"/>
      <c r="TQ90" s="368"/>
      <c r="TR90" s="368"/>
      <c r="TS90" s="368"/>
      <c r="TT90" s="368"/>
      <c r="TU90" s="368"/>
      <c r="TV90" s="368"/>
      <c r="TW90" s="368"/>
      <c r="TX90" s="368"/>
      <c r="TY90" s="368"/>
      <c r="TZ90" s="368"/>
      <c r="UA90" s="368"/>
      <c r="UB90" s="368"/>
      <c r="UC90" s="368"/>
      <c r="UD90" s="368"/>
      <c r="UE90" s="368"/>
      <c r="UF90" s="368"/>
      <c r="UG90" s="368"/>
      <c r="UH90" s="368"/>
      <c r="UI90" s="368"/>
      <c r="UJ90" s="368"/>
      <c r="UK90" s="368"/>
      <c r="UL90" s="368"/>
      <c r="UM90" s="368"/>
      <c r="UN90" s="368"/>
      <c r="UO90" s="368"/>
      <c r="UP90" s="368"/>
      <c r="UQ90" s="368"/>
      <c r="UR90" s="368"/>
      <c r="US90" s="368"/>
      <c r="UT90" s="368"/>
      <c r="UU90" s="368"/>
      <c r="UV90" s="368"/>
      <c r="UW90" s="368"/>
      <c r="UX90" s="368"/>
      <c r="UY90" s="368"/>
      <c r="UZ90" s="368"/>
      <c r="VA90" s="368"/>
      <c r="VB90" s="368"/>
      <c r="VC90" s="368"/>
      <c r="VD90" s="368"/>
      <c r="VE90" s="368"/>
      <c r="VF90" s="368"/>
      <c r="VG90" s="368"/>
      <c r="VH90" s="368"/>
      <c r="VI90" s="368"/>
      <c r="VJ90" s="368"/>
      <c r="VK90" s="368"/>
      <c r="VL90" s="368"/>
      <c r="VM90" s="368"/>
      <c r="VN90" s="368"/>
      <c r="VO90" s="368"/>
      <c r="VP90" s="368"/>
      <c r="VQ90" s="368"/>
      <c r="VR90" s="368"/>
      <c r="VS90" s="368"/>
      <c r="VT90" s="368"/>
      <c r="VU90" s="368"/>
      <c r="VV90" s="368"/>
      <c r="VW90" s="368"/>
      <c r="VX90" s="368"/>
      <c r="VY90" s="368"/>
      <c r="VZ90" s="368"/>
      <c r="WA90" s="368"/>
      <c r="WB90" s="368"/>
      <c r="WC90" s="368"/>
      <c r="WD90" s="368"/>
      <c r="WE90" s="368"/>
      <c r="WF90" s="368"/>
      <c r="WG90" s="368"/>
      <c r="WH90" s="368"/>
      <c r="WI90" s="368"/>
      <c r="WJ90" s="368"/>
      <c r="WK90" s="368"/>
      <c r="WL90" s="368"/>
      <c r="WM90" s="368"/>
      <c r="WN90" s="368"/>
      <c r="WO90" s="368"/>
      <c r="WP90" s="368"/>
      <c r="WQ90" s="368"/>
      <c r="WR90" s="368"/>
      <c r="WS90" s="368"/>
      <c r="WT90" s="368"/>
      <c r="WU90" s="368"/>
      <c r="WV90" s="368"/>
      <c r="WW90" s="368"/>
      <c r="WX90" s="368"/>
      <c r="WY90" s="368"/>
      <c r="WZ90" s="368"/>
      <c r="XA90" s="368"/>
      <c r="XB90" s="368"/>
      <c r="XC90" s="368"/>
      <c r="XD90" s="368"/>
      <c r="XE90" s="368"/>
      <c r="XF90" s="368"/>
      <c r="XG90" s="368"/>
      <c r="XH90" s="368"/>
      <c r="XI90" s="368"/>
      <c r="XJ90" s="368"/>
      <c r="XK90" s="368"/>
      <c r="XL90" s="368"/>
      <c r="XM90" s="368"/>
      <c r="XN90" s="368"/>
      <c r="XO90" s="368"/>
      <c r="XP90" s="368"/>
      <c r="XQ90" s="368"/>
      <c r="XR90" s="368"/>
      <c r="XS90" s="368"/>
      <c r="XT90" s="368"/>
      <c r="XU90" s="368"/>
      <c r="XV90" s="368"/>
      <c r="XW90" s="368"/>
      <c r="XX90" s="368"/>
      <c r="XY90" s="368"/>
      <c r="XZ90" s="368"/>
      <c r="YA90" s="368"/>
      <c r="YB90" s="368"/>
      <c r="YC90" s="368"/>
      <c r="YD90" s="368"/>
      <c r="YE90" s="368"/>
      <c r="YF90" s="368"/>
      <c r="YG90" s="368"/>
      <c r="YH90" s="368"/>
      <c r="YI90" s="368"/>
      <c r="YJ90" s="368"/>
      <c r="YK90" s="368"/>
      <c r="YL90" s="368"/>
      <c r="YM90" s="368"/>
      <c r="YN90" s="368"/>
      <c r="YO90" s="368"/>
      <c r="YP90" s="368"/>
      <c r="YQ90" s="368"/>
      <c r="YR90" s="368"/>
      <c r="YS90" s="368"/>
      <c r="YT90" s="368"/>
      <c r="YU90" s="368"/>
      <c r="YV90" s="368"/>
      <c r="YW90" s="368"/>
      <c r="YX90" s="368"/>
      <c r="YY90" s="368"/>
      <c r="YZ90" s="368"/>
      <c r="ZA90" s="368"/>
      <c r="ZB90" s="368"/>
      <c r="ZC90" s="368"/>
      <c r="ZD90" s="368"/>
      <c r="ZE90" s="368"/>
      <c r="ZF90" s="368"/>
      <c r="ZG90" s="368"/>
      <c r="ZH90" s="368"/>
      <c r="ZI90" s="368"/>
      <c r="ZJ90" s="368"/>
      <c r="ZK90" s="368"/>
      <c r="ZL90" s="368"/>
      <c r="ZM90" s="368"/>
      <c r="ZN90" s="368"/>
      <c r="ZO90" s="368"/>
      <c r="ZP90" s="368"/>
      <c r="ZQ90" s="368"/>
      <c r="ZR90" s="368"/>
      <c r="ZS90" s="368"/>
      <c r="ZT90" s="368"/>
      <c r="ZU90" s="368"/>
      <c r="ZV90" s="368"/>
      <c r="ZW90" s="368"/>
      <c r="ZX90" s="368"/>
      <c r="ZY90" s="368"/>
      <c r="ZZ90" s="368"/>
      <c r="AAA90" s="368"/>
      <c r="AAB90" s="368"/>
      <c r="AAC90" s="368"/>
      <c r="AAD90" s="368"/>
      <c r="AAE90" s="368"/>
      <c r="AAF90" s="368"/>
      <c r="AAG90" s="368"/>
      <c r="AAH90" s="368"/>
      <c r="AAI90" s="368"/>
      <c r="AAJ90" s="368"/>
      <c r="AAK90" s="368"/>
      <c r="AAL90" s="368"/>
      <c r="AAM90" s="368"/>
      <c r="AAN90" s="368"/>
      <c r="AAO90" s="368"/>
      <c r="AAP90" s="368"/>
      <c r="AAQ90" s="368"/>
      <c r="AAR90" s="368"/>
      <c r="AAS90" s="368"/>
      <c r="AAT90" s="368"/>
      <c r="AAU90" s="368"/>
      <c r="AAV90" s="368"/>
      <c r="AAW90" s="368"/>
      <c r="AAX90" s="368"/>
      <c r="AAY90" s="368"/>
      <c r="AAZ90" s="368"/>
      <c r="ABA90" s="368"/>
      <c r="ABB90" s="368"/>
      <c r="ABC90" s="368"/>
      <c r="ABD90" s="368"/>
      <c r="ABE90" s="368"/>
      <c r="ABF90" s="368"/>
      <c r="ABG90" s="368"/>
      <c r="ABH90" s="368"/>
      <c r="ABI90" s="368"/>
      <c r="ABJ90" s="368"/>
      <c r="ABK90" s="368"/>
      <c r="ABL90" s="368"/>
      <c r="ABM90" s="368"/>
      <c r="ABN90" s="368"/>
      <c r="ABO90" s="368"/>
      <c r="ABP90" s="368"/>
      <c r="ABQ90" s="368"/>
      <c r="ABR90" s="368"/>
      <c r="ABS90" s="368"/>
      <c r="ABT90" s="368"/>
      <c r="ABU90" s="368"/>
      <c r="ABV90" s="368"/>
      <c r="ABW90" s="368"/>
      <c r="ABX90" s="368"/>
      <c r="ABY90" s="368"/>
      <c r="ABZ90" s="368"/>
      <c r="ACA90" s="368"/>
      <c r="ACB90" s="368"/>
      <c r="ACC90" s="368"/>
      <c r="ACD90" s="368"/>
      <c r="ACE90" s="368"/>
      <c r="ACF90" s="368"/>
      <c r="ACG90" s="368"/>
      <c r="ACH90" s="368"/>
      <c r="ACI90" s="368"/>
      <c r="ACJ90" s="368"/>
      <c r="ACK90" s="368"/>
      <c r="ACL90" s="368"/>
      <c r="ACM90" s="368"/>
      <c r="ACN90" s="368"/>
      <c r="ACO90" s="368"/>
      <c r="ACP90" s="368"/>
      <c r="ACQ90" s="368"/>
      <c r="ACR90" s="368"/>
      <c r="ACS90" s="368"/>
      <c r="ACT90" s="368"/>
      <c r="ACU90" s="368"/>
      <c r="ACV90" s="368"/>
      <c r="ACW90" s="368"/>
      <c r="ACX90" s="368"/>
      <c r="ACY90" s="368"/>
      <c r="ACZ90" s="368"/>
      <c r="ADA90" s="368"/>
      <c r="ADB90" s="368"/>
      <c r="ADC90" s="368"/>
      <c r="ADD90" s="368"/>
      <c r="ADE90" s="368"/>
      <c r="ADF90" s="368"/>
      <c r="ADG90" s="368"/>
      <c r="ADH90" s="368"/>
      <c r="ADI90" s="368"/>
      <c r="ADJ90" s="368"/>
      <c r="ADK90" s="368"/>
      <c r="ADL90" s="368"/>
      <c r="ADM90" s="368"/>
      <c r="ADN90" s="368"/>
      <c r="ADO90" s="368"/>
      <c r="ADP90" s="368"/>
      <c r="ADQ90" s="368"/>
      <c r="ADR90" s="368"/>
      <c r="ADS90" s="368"/>
      <c r="ADT90" s="368"/>
      <c r="ADU90" s="368"/>
      <c r="ADV90" s="368"/>
      <c r="ADW90" s="368"/>
      <c r="ADX90" s="368"/>
      <c r="ADY90" s="368"/>
      <c r="ADZ90" s="368"/>
      <c r="AEA90" s="368"/>
      <c r="AEB90" s="368"/>
      <c r="AEC90" s="368"/>
      <c r="AED90" s="368"/>
      <c r="AEE90" s="368"/>
      <c r="AEF90" s="368"/>
      <c r="AEG90" s="368"/>
      <c r="AEH90" s="368"/>
      <c r="AEI90" s="368"/>
      <c r="AEJ90" s="368"/>
      <c r="AEK90" s="368"/>
      <c r="AEL90" s="368"/>
      <c r="AEM90" s="368"/>
      <c r="AEN90" s="368"/>
      <c r="AEO90" s="368"/>
      <c r="AEP90" s="368"/>
      <c r="AEQ90" s="368"/>
      <c r="AER90" s="368"/>
      <c r="AES90" s="368"/>
      <c r="AET90" s="368"/>
      <c r="AEU90" s="368"/>
      <c r="AEV90" s="368"/>
      <c r="AEW90" s="368"/>
      <c r="AEX90" s="368"/>
      <c r="AEY90" s="368"/>
      <c r="AEZ90" s="368"/>
      <c r="AFA90" s="368"/>
      <c r="AFB90" s="368"/>
      <c r="AFC90" s="368"/>
      <c r="AFD90" s="368"/>
      <c r="AFE90" s="368"/>
      <c r="AFF90" s="368"/>
      <c r="AFG90" s="368"/>
      <c r="AFH90" s="368"/>
      <c r="AFI90" s="368"/>
      <c r="AFJ90" s="368"/>
      <c r="AFK90" s="368"/>
      <c r="AFL90" s="368"/>
      <c r="AFM90" s="368"/>
      <c r="AFN90" s="368"/>
      <c r="AFO90" s="368"/>
      <c r="AFP90" s="368"/>
      <c r="AFQ90" s="368"/>
      <c r="AFR90" s="368"/>
      <c r="AFS90" s="368"/>
      <c r="AFT90" s="368"/>
      <c r="AFU90" s="368"/>
      <c r="AFV90" s="368"/>
      <c r="AFW90" s="368"/>
      <c r="AFX90" s="368"/>
      <c r="AFY90" s="368"/>
      <c r="AFZ90" s="368"/>
      <c r="AGA90" s="368"/>
      <c r="AGB90" s="368"/>
      <c r="AGC90" s="368"/>
      <c r="AGD90" s="368"/>
      <c r="AGE90" s="368"/>
      <c r="AGF90" s="368"/>
      <c r="AGG90" s="368"/>
      <c r="AGH90" s="368"/>
      <c r="AGI90" s="368"/>
      <c r="AGJ90" s="368"/>
      <c r="AGK90" s="368"/>
      <c r="AGL90" s="368"/>
      <c r="AGM90" s="368"/>
      <c r="AGN90" s="368"/>
      <c r="AGO90" s="368"/>
      <c r="AGP90" s="368"/>
      <c r="AGQ90" s="368"/>
      <c r="AGR90" s="368"/>
      <c r="AGS90" s="368"/>
      <c r="AGT90" s="368"/>
      <c r="AGU90" s="368"/>
      <c r="AGV90" s="368"/>
      <c r="AGW90" s="368"/>
      <c r="AGX90" s="368"/>
      <c r="AGY90" s="368"/>
      <c r="AGZ90" s="368"/>
      <c r="AHA90" s="368"/>
      <c r="AHB90" s="368"/>
      <c r="AHC90" s="368"/>
      <c r="AHD90" s="368"/>
      <c r="AHE90" s="368"/>
      <c r="AHF90" s="368"/>
      <c r="AHG90" s="368"/>
      <c r="AHH90" s="368"/>
      <c r="AHI90" s="368"/>
      <c r="AHJ90" s="368"/>
      <c r="AHK90" s="368"/>
      <c r="AHL90" s="368"/>
      <c r="AHM90" s="368"/>
      <c r="AHN90" s="368"/>
      <c r="AHO90" s="368"/>
      <c r="AHP90" s="368"/>
      <c r="AHQ90" s="368"/>
      <c r="AHR90" s="368"/>
      <c r="AHS90" s="368"/>
      <c r="AHT90" s="368"/>
      <c r="AHU90" s="368"/>
      <c r="AHV90" s="368"/>
      <c r="AHW90" s="368"/>
      <c r="AHX90" s="368"/>
      <c r="AHY90" s="368"/>
      <c r="AHZ90" s="368"/>
      <c r="AIA90" s="368"/>
      <c r="AIB90" s="368"/>
      <c r="AIC90" s="368"/>
      <c r="AID90" s="368"/>
      <c r="AIE90" s="368"/>
      <c r="AIF90" s="368"/>
      <c r="AIG90" s="368"/>
      <c r="AIH90" s="368"/>
      <c r="AII90" s="368"/>
      <c r="AIJ90" s="368"/>
      <c r="AIK90" s="368"/>
      <c r="AIL90" s="368"/>
      <c r="AIM90" s="368"/>
      <c r="AIN90" s="368"/>
      <c r="AIO90" s="368"/>
      <c r="AIP90" s="368"/>
      <c r="AIQ90" s="368"/>
      <c r="AIR90" s="368"/>
      <c r="AIS90" s="368"/>
      <c r="AIT90" s="368"/>
      <c r="AIU90" s="368"/>
      <c r="AIV90" s="368"/>
      <c r="AIW90" s="368"/>
      <c r="AIX90" s="368"/>
      <c r="AIY90" s="368"/>
      <c r="AIZ90" s="368"/>
      <c r="AJA90" s="368"/>
      <c r="AJB90" s="368"/>
      <c r="AJC90" s="368"/>
      <c r="AJD90" s="368"/>
      <c r="AJE90" s="368"/>
      <c r="AJF90" s="368"/>
      <c r="AJG90" s="368"/>
      <c r="AJH90" s="368"/>
      <c r="AJI90" s="368"/>
      <c r="AJJ90" s="368"/>
      <c r="AJK90" s="368"/>
      <c r="AJL90" s="368"/>
      <c r="AJM90" s="368"/>
      <c r="AJN90" s="368"/>
      <c r="AJO90" s="368"/>
      <c r="AJP90" s="368"/>
      <c r="AJQ90" s="368"/>
      <c r="AJR90" s="368"/>
      <c r="AJS90" s="368"/>
      <c r="AJT90" s="368"/>
      <c r="AJU90" s="368"/>
      <c r="AJV90" s="368"/>
      <c r="AJW90" s="368"/>
      <c r="AJX90" s="368"/>
      <c r="AJY90" s="368"/>
      <c r="AJZ90" s="368"/>
      <c r="AKA90" s="368"/>
      <c r="AKB90" s="368"/>
      <c r="AKC90" s="368"/>
      <c r="AKD90" s="368"/>
      <c r="AKE90" s="368"/>
      <c r="AKF90" s="368"/>
      <c r="AKG90" s="368"/>
      <c r="AKH90" s="368"/>
      <c r="AKI90" s="368"/>
      <c r="AKJ90" s="368"/>
      <c r="AKK90" s="368"/>
      <c r="AKL90" s="368"/>
      <c r="AKM90" s="368"/>
      <c r="AKN90" s="368"/>
    </row>
    <row r="91" spans="1:976" s="346" customFormat="1" ht="22.5" customHeight="1" x14ac:dyDescent="0.2">
      <c r="A91" s="370" t="s">
        <v>262</v>
      </c>
      <c r="B91" s="370"/>
      <c r="C91" s="370" t="s">
        <v>221</v>
      </c>
      <c r="D91" s="370" t="s">
        <v>222</v>
      </c>
      <c r="E91" s="371">
        <v>411361</v>
      </c>
      <c r="F91" s="371">
        <v>1357</v>
      </c>
      <c r="G91" s="371">
        <v>204</v>
      </c>
      <c r="H91" s="371">
        <v>0</v>
      </c>
      <c r="I91" s="372">
        <v>45846</v>
      </c>
      <c r="J91" s="370" t="s">
        <v>395</v>
      </c>
      <c r="K91" s="370" t="s">
        <v>532</v>
      </c>
      <c r="L91" s="373">
        <v>27.07</v>
      </c>
      <c r="M91" s="373">
        <v>2.71</v>
      </c>
      <c r="N91" s="444">
        <v>29.78</v>
      </c>
      <c r="O91" s="370"/>
      <c r="P91" s="374">
        <v>45848</v>
      </c>
      <c r="Q91" s="373">
        <v>29.78</v>
      </c>
      <c r="R91" s="370" t="s">
        <v>533</v>
      </c>
      <c r="S91" s="373">
        <v>0</v>
      </c>
      <c r="T91" s="373">
        <v>0</v>
      </c>
      <c r="U91" s="373">
        <v>0</v>
      </c>
      <c r="V91" s="373">
        <v>0</v>
      </c>
      <c r="W91" s="370"/>
      <c r="X91" s="370" t="s">
        <v>293</v>
      </c>
      <c r="Y91" s="370" t="s">
        <v>294</v>
      </c>
      <c r="Z91" s="370" t="s">
        <v>42</v>
      </c>
      <c r="AA91" s="370" t="s">
        <v>228</v>
      </c>
      <c r="AB91" s="370" t="s">
        <v>235</v>
      </c>
      <c r="AC91" s="370" t="s">
        <v>331</v>
      </c>
      <c r="AD91" s="370" t="s">
        <v>231</v>
      </c>
      <c r="AE91" s="370" t="s">
        <v>232</v>
      </c>
      <c r="AF91" s="370" t="s">
        <v>231</v>
      </c>
      <c r="AG91" s="370" t="s">
        <v>232</v>
      </c>
      <c r="AH91" s="370"/>
      <c r="AI91" s="370"/>
      <c r="AJ91" s="370"/>
      <c r="AK91" s="370" t="s">
        <v>534</v>
      </c>
      <c r="AL91" s="371">
        <v>1</v>
      </c>
      <c r="AM91" s="371">
        <v>0</v>
      </c>
      <c r="AN91" s="372">
        <v>45848</v>
      </c>
      <c r="AO91" s="372">
        <v>45848</v>
      </c>
      <c r="AP91" s="373">
        <v>29.78</v>
      </c>
      <c r="AQ91" s="372">
        <v>45847</v>
      </c>
      <c r="AR91" s="368"/>
      <c r="AS91" s="368"/>
      <c r="AT91" s="368"/>
      <c r="AU91" s="368"/>
      <c r="AV91" s="368"/>
      <c r="AW91" s="368"/>
      <c r="AX91" s="368"/>
      <c r="AY91" s="368"/>
      <c r="AZ91" s="368"/>
      <c r="BA91" s="368"/>
      <c r="BB91" s="368"/>
      <c r="BC91" s="368"/>
      <c r="BD91" s="368"/>
      <c r="BE91" s="368"/>
      <c r="BF91" s="368"/>
      <c r="BG91" s="368"/>
      <c r="BH91" s="368"/>
      <c r="BI91" s="368"/>
      <c r="BJ91" s="368"/>
      <c r="BK91" s="368"/>
      <c r="BL91" s="368"/>
      <c r="BM91" s="368"/>
      <c r="BN91" s="368"/>
      <c r="BO91" s="368"/>
      <c r="BP91" s="368"/>
      <c r="BQ91" s="368"/>
      <c r="BR91" s="368"/>
      <c r="BS91" s="368"/>
      <c r="BT91" s="368"/>
      <c r="BU91" s="368"/>
      <c r="BV91" s="368"/>
      <c r="BW91" s="368"/>
      <c r="BX91" s="368"/>
      <c r="BY91" s="368"/>
      <c r="BZ91" s="368"/>
      <c r="CA91" s="368"/>
      <c r="CB91" s="368"/>
      <c r="CC91" s="368"/>
      <c r="CD91" s="368"/>
      <c r="CE91" s="368"/>
      <c r="CF91" s="368"/>
      <c r="CG91" s="368"/>
      <c r="CH91" s="368"/>
      <c r="CI91" s="368"/>
      <c r="CJ91" s="368"/>
      <c r="CK91" s="368"/>
      <c r="CL91" s="368"/>
      <c r="CM91" s="368"/>
      <c r="CN91" s="368"/>
      <c r="CO91" s="368"/>
      <c r="CP91" s="368"/>
      <c r="CQ91" s="368"/>
      <c r="CR91" s="368"/>
      <c r="CS91" s="368"/>
      <c r="CT91" s="368"/>
      <c r="CU91" s="368"/>
      <c r="CV91" s="368"/>
      <c r="CW91" s="368"/>
      <c r="CX91" s="368"/>
      <c r="CY91" s="368"/>
      <c r="CZ91" s="368"/>
      <c r="DA91" s="368"/>
      <c r="DB91" s="368"/>
      <c r="DC91" s="368"/>
      <c r="DD91" s="368"/>
      <c r="DE91" s="368"/>
      <c r="DF91" s="368"/>
      <c r="DG91" s="368"/>
      <c r="DH91" s="368"/>
      <c r="DI91" s="368"/>
      <c r="DJ91" s="368"/>
      <c r="DK91" s="368"/>
      <c r="DL91" s="368"/>
      <c r="DM91" s="368"/>
      <c r="DN91" s="368"/>
      <c r="DO91" s="368"/>
      <c r="DP91" s="368"/>
      <c r="DQ91" s="368"/>
      <c r="DR91" s="368"/>
      <c r="DS91" s="368"/>
      <c r="DT91" s="368"/>
      <c r="DU91" s="368"/>
      <c r="DV91" s="368"/>
      <c r="DW91" s="368"/>
      <c r="DX91" s="368"/>
      <c r="DY91" s="368"/>
      <c r="DZ91" s="368"/>
      <c r="EA91" s="368"/>
      <c r="EB91" s="368"/>
      <c r="EC91" s="368"/>
      <c r="ED91" s="368"/>
      <c r="EE91" s="368"/>
      <c r="EF91" s="368"/>
      <c r="EG91" s="368"/>
      <c r="EH91" s="368"/>
      <c r="EI91" s="368"/>
      <c r="EJ91" s="368"/>
      <c r="EK91" s="368"/>
      <c r="EL91" s="368"/>
      <c r="EM91" s="368"/>
      <c r="EN91" s="368"/>
      <c r="EO91" s="368"/>
      <c r="EP91" s="368"/>
      <c r="EQ91" s="368"/>
      <c r="ER91" s="368"/>
      <c r="ES91" s="368"/>
      <c r="ET91" s="368"/>
      <c r="EU91" s="368"/>
      <c r="EV91" s="368"/>
      <c r="EW91" s="368"/>
      <c r="EX91" s="368"/>
      <c r="EY91" s="368"/>
      <c r="EZ91" s="368"/>
      <c r="FA91" s="368"/>
      <c r="FB91" s="368"/>
      <c r="FC91" s="368"/>
      <c r="FD91" s="368"/>
      <c r="FE91" s="368"/>
      <c r="FF91" s="368"/>
      <c r="FG91" s="368"/>
      <c r="FH91" s="368"/>
      <c r="FI91" s="368"/>
      <c r="FJ91" s="368"/>
      <c r="FK91" s="368"/>
      <c r="FL91" s="368"/>
      <c r="FM91" s="368"/>
      <c r="FN91" s="368"/>
      <c r="FO91" s="368"/>
      <c r="FP91" s="368"/>
      <c r="FQ91" s="368"/>
      <c r="FR91" s="368"/>
      <c r="FS91" s="368"/>
      <c r="FT91" s="368"/>
      <c r="FU91" s="368"/>
      <c r="FV91" s="368"/>
      <c r="FW91" s="368"/>
      <c r="FX91" s="368"/>
      <c r="FY91" s="368"/>
      <c r="FZ91" s="368"/>
      <c r="GA91" s="368"/>
      <c r="GB91" s="368"/>
      <c r="GC91" s="368"/>
      <c r="GD91" s="368"/>
      <c r="GE91" s="368"/>
      <c r="GF91" s="368"/>
      <c r="GG91" s="368"/>
      <c r="GH91" s="368"/>
      <c r="GI91" s="368"/>
      <c r="GJ91" s="368"/>
      <c r="GK91" s="368"/>
      <c r="GL91" s="368"/>
      <c r="GM91" s="368"/>
      <c r="GN91" s="368"/>
      <c r="GO91" s="368"/>
      <c r="GP91" s="368"/>
      <c r="GQ91" s="368"/>
      <c r="GR91" s="368"/>
      <c r="GS91" s="368"/>
      <c r="GT91" s="368"/>
      <c r="GU91" s="368"/>
      <c r="GV91" s="368"/>
      <c r="GW91" s="368"/>
      <c r="GX91" s="368"/>
      <c r="GY91" s="368"/>
      <c r="GZ91" s="368"/>
      <c r="HA91" s="368"/>
      <c r="HB91" s="368"/>
      <c r="HC91" s="368"/>
      <c r="HD91" s="368"/>
      <c r="HE91" s="368"/>
      <c r="HF91" s="368"/>
      <c r="HG91" s="368"/>
      <c r="HH91" s="368"/>
      <c r="HI91" s="368"/>
      <c r="HJ91" s="368"/>
      <c r="HK91" s="368"/>
      <c r="HL91" s="368"/>
      <c r="HM91" s="368"/>
      <c r="HN91" s="368"/>
      <c r="HO91" s="368"/>
      <c r="HP91" s="368"/>
      <c r="HQ91" s="368"/>
      <c r="HR91" s="368"/>
      <c r="HS91" s="368"/>
      <c r="HT91" s="368"/>
      <c r="HU91" s="368"/>
      <c r="HV91" s="368"/>
      <c r="HW91" s="368"/>
      <c r="HX91" s="368"/>
      <c r="HY91" s="368"/>
      <c r="HZ91" s="368"/>
      <c r="IA91" s="368"/>
      <c r="IB91" s="368"/>
      <c r="IC91" s="368"/>
      <c r="ID91" s="368"/>
      <c r="IE91" s="368"/>
      <c r="IF91" s="368"/>
      <c r="IG91" s="368"/>
      <c r="IH91" s="368"/>
      <c r="II91" s="368"/>
      <c r="IJ91" s="368"/>
      <c r="IK91" s="368"/>
      <c r="IL91" s="368"/>
      <c r="IM91" s="368"/>
      <c r="IN91" s="368"/>
      <c r="IO91" s="368"/>
      <c r="IP91" s="368"/>
      <c r="IQ91" s="368"/>
      <c r="IR91" s="368"/>
      <c r="IS91" s="368"/>
      <c r="IT91" s="368"/>
      <c r="IU91" s="368"/>
      <c r="IV91" s="368"/>
      <c r="IW91" s="368"/>
      <c r="IX91" s="368"/>
      <c r="IY91" s="368"/>
      <c r="IZ91" s="368"/>
      <c r="JA91" s="368"/>
      <c r="JB91" s="368"/>
      <c r="JC91" s="368"/>
      <c r="JD91" s="368"/>
      <c r="JE91" s="368"/>
      <c r="JF91" s="368"/>
      <c r="JG91" s="368"/>
      <c r="JH91" s="368"/>
      <c r="JI91" s="368"/>
      <c r="JJ91" s="368"/>
      <c r="JK91" s="368"/>
      <c r="JL91" s="368"/>
      <c r="JM91" s="368"/>
      <c r="JN91" s="368"/>
      <c r="JO91" s="368"/>
      <c r="JP91" s="368"/>
      <c r="JQ91" s="368"/>
      <c r="JR91" s="368"/>
      <c r="JS91" s="368"/>
      <c r="JT91" s="368"/>
      <c r="JU91" s="368"/>
      <c r="JV91" s="368"/>
      <c r="JW91" s="368"/>
      <c r="JX91" s="368"/>
      <c r="JY91" s="368"/>
      <c r="JZ91" s="368"/>
      <c r="KA91" s="368"/>
      <c r="KB91" s="368"/>
      <c r="KC91" s="368"/>
      <c r="KD91" s="368"/>
      <c r="KE91" s="368"/>
      <c r="KF91" s="368"/>
      <c r="KG91" s="368"/>
      <c r="KH91" s="368"/>
      <c r="KI91" s="368"/>
      <c r="KJ91" s="368"/>
      <c r="KK91" s="368"/>
      <c r="KL91" s="368"/>
      <c r="KM91" s="368"/>
      <c r="KN91" s="368"/>
      <c r="KO91" s="368"/>
      <c r="KP91" s="368"/>
      <c r="KQ91" s="368"/>
      <c r="KR91" s="368"/>
      <c r="KS91" s="368"/>
      <c r="KT91" s="368"/>
      <c r="KU91" s="368"/>
      <c r="KV91" s="368"/>
      <c r="KW91" s="368"/>
      <c r="KX91" s="368"/>
      <c r="KY91" s="368"/>
      <c r="KZ91" s="368"/>
      <c r="LA91" s="368"/>
      <c r="LB91" s="368"/>
      <c r="LC91" s="368"/>
      <c r="LD91" s="368"/>
      <c r="LE91" s="368"/>
      <c r="LF91" s="368"/>
      <c r="LG91" s="368"/>
      <c r="LH91" s="368"/>
      <c r="LI91" s="368"/>
      <c r="LJ91" s="368"/>
      <c r="LK91" s="368"/>
      <c r="LL91" s="368"/>
      <c r="LM91" s="368"/>
      <c r="LN91" s="368"/>
      <c r="LO91" s="368"/>
      <c r="LP91" s="368"/>
      <c r="LQ91" s="368"/>
      <c r="LR91" s="368"/>
      <c r="LS91" s="368"/>
      <c r="LT91" s="368"/>
      <c r="LU91" s="368"/>
      <c r="LV91" s="368"/>
      <c r="LW91" s="368"/>
      <c r="LX91" s="368"/>
      <c r="LY91" s="368"/>
      <c r="LZ91" s="368"/>
      <c r="MA91" s="368"/>
      <c r="MB91" s="368"/>
      <c r="MC91" s="368"/>
      <c r="MD91" s="368"/>
      <c r="ME91" s="368"/>
      <c r="MF91" s="368"/>
      <c r="MG91" s="368"/>
      <c r="MH91" s="368"/>
      <c r="MI91" s="368"/>
      <c r="MJ91" s="368"/>
      <c r="MK91" s="368"/>
      <c r="ML91" s="368"/>
      <c r="MM91" s="368"/>
      <c r="MN91" s="368"/>
      <c r="MO91" s="368"/>
      <c r="MP91" s="368"/>
      <c r="MQ91" s="368"/>
      <c r="MR91" s="368"/>
      <c r="MS91" s="368"/>
      <c r="MT91" s="368"/>
      <c r="MU91" s="368"/>
      <c r="MV91" s="368"/>
      <c r="MW91" s="368"/>
      <c r="MX91" s="368"/>
      <c r="MY91" s="368"/>
      <c r="MZ91" s="368"/>
      <c r="NA91" s="368"/>
      <c r="NB91" s="368"/>
      <c r="NC91" s="368"/>
      <c r="ND91" s="368"/>
      <c r="NE91" s="368"/>
      <c r="NF91" s="368"/>
      <c r="NG91" s="368"/>
      <c r="NH91" s="368"/>
      <c r="NI91" s="368"/>
      <c r="NJ91" s="368"/>
      <c r="NK91" s="368"/>
      <c r="NL91" s="368"/>
      <c r="NM91" s="368"/>
      <c r="NN91" s="368"/>
      <c r="NO91" s="368"/>
      <c r="NP91" s="368"/>
      <c r="NQ91" s="368"/>
      <c r="NR91" s="368"/>
      <c r="NS91" s="368"/>
      <c r="NT91" s="368"/>
      <c r="NU91" s="368"/>
      <c r="NV91" s="368"/>
      <c r="NW91" s="368"/>
      <c r="NX91" s="368"/>
      <c r="NY91" s="368"/>
      <c r="NZ91" s="368"/>
      <c r="OA91" s="368"/>
      <c r="OB91" s="368"/>
      <c r="OC91" s="368"/>
      <c r="OD91" s="368"/>
      <c r="OE91" s="368"/>
      <c r="OF91" s="368"/>
      <c r="OG91" s="368"/>
      <c r="OH91" s="368"/>
      <c r="OI91" s="368"/>
      <c r="OJ91" s="368"/>
      <c r="OK91" s="368"/>
      <c r="OL91" s="368"/>
      <c r="OM91" s="368"/>
      <c r="ON91" s="368"/>
      <c r="OO91" s="368"/>
      <c r="OP91" s="368"/>
      <c r="OQ91" s="368"/>
      <c r="OR91" s="368"/>
      <c r="OS91" s="368"/>
      <c r="OT91" s="368"/>
      <c r="OU91" s="368"/>
      <c r="OV91" s="368"/>
      <c r="OW91" s="368"/>
      <c r="OX91" s="368"/>
      <c r="OY91" s="368"/>
      <c r="OZ91" s="368"/>
      <c r="PA91" s="368"/>
      <c r="PB91" s="368"/>
      <c r="PC91" s="368"/>
      <c r="PD91" s="368"/>
      <c r="PE91" s="368"/>
      <c r="PF91" s="368"/>
      <c r="PG91" s="368"/>
      <c r="PH91" s="368"/>
      <c r="PI91" s="368"/>
      <c r="PJ91" s="368"/>
      <c r="PK91" s="368"/>
      <c r="PL91" s="368"/>
      <c r="PM91" s="368"/>
      <c r="PN91" s="368"/>
      <c r="PO91" s="368"/>
      <c r="PP91" s="368"/>
      <c r="PQ91" s="368"/>
      <c r="PR91" s="368"/>
      <c r="PS91" s="368"/>
      <c r="PT91" s="368"/>
      <c r="PU91" s="368"/>
      <c r="PV91" s="368"/>
      <c r="PW91" s="368"/>
      <c r="PX91" s="368"/>
      <c r="PY91" s="368"/>
      <c r="PZ91" s="368"/>
      <c r="QA91" s="368"/>
      <c r="QB91" s="368"/>
      <c r="QC91" s="368"/>
      <c r="QD91" s="368"/>
      <c r="QE91" s="368"/>
      <c r="QF91" s="368"/>
      <c r="QG91" s="368"/>
      <c r="QH91" s="368"/>
      <c r="QI91" s="368"/>
      <c r="QJ91" s="368"/>
      <c r="QK91" s="368"/>
      <c r="QL91" s="368"/>
      <c r="QM91" s="368"/>
      <c r="QN91" s="368"/>
      <c r="QO91" s="368"/>
      <c r="QP91" s="368"/>
      <c r="QQ91" s="368"/>
      <c r="QR91" s="368"/>
      <c r="QS91" s="368"/>
      <c r="QT91" s="368"/>
      <c r="QU91" s="368"/>
      <c r="QV91" s="368"/>
      <c r="QW91" s="368"/>
      <c r="QX91" s="368"/>
      <c r="QY91" s="368"/>
      <c r="QZ91" s="368"/>
      <c r="RA91" s="368"/>
      <c r="RB91" s="368"/>
      <c r="RC91" s="368"/>
      <c r="RD91" s="368"/>
      <c r="RE91" s="368"/>
      <c r="RF91" s="368"/>
      <c r="RG91" s="368"/>
      <c r="RH91" s="368"/>
      <c r="RI91" s="368"/>
      <c r="RJ91" s="368"/>
      <c r="RK91" s="368"/>
      <c r="RL91" s="368"/>
      <c r="RM91" s="368"/>
      <c r="RN91" s="368"/>
      <c r="RO91" s="368"/>
      <c r="RP91" s="368"/>
      <c r="RQ91" s="368"/>
      <c r="RR91" s="368"/>
      <c r="RS91" s="368"/>
      <c r="RT91" s="368"/>
      <c r="RU91" s="368"/>
      <c r="RV91" s="368"/>
      <c r="RW91" s="368"/>
      <c r="RX91" s="368"/>
      <c r="RY91" s="368"/>
      <c r="RZ91" s="368"/>
      <c r="SA91" s="368"/>
      <c r="SB91" s="368"/>
      <c r="SC91" s="368"/>
      <c r="SD91" s="368"/>
      <c r="SE91" s="368"/>
      <c r="SF91" s="368"/>
      <c r="SG91" s="368"/>
      <c r="SH91" s="368"/>
      <c r="SI91" s="368"/>
      <c r="SJ91" s="368"/>
      <c r="SK91" s="368"/>
      <c r="SL91" s="368"/>
      <c r="SM91" s="368"/>
      <c r="SN91" s="368"/>
      <c r="SO91" s="368"/>
      <c r="SP91" s="368"/>
      <c r="SQ91" s="368"/>
      <c r="SR91" s="368"/>
      <c r="SS91" s="368"/>
      <c r="ST91" s="368"/>
      <c r="SU91" s="368"/>
      <c r="SV91" s="368"/>
      <c r="SW91" s="368"/>
      <c r="SX91" s="368"/>
      <c r="SY91" s="368"/>
      <c r="SZ91" s="368"/>
      <c r="TA91" s="368"/>
      <c r="TB91" s="368"/>
      <c r="TC91" s="368"/>
      <c r="TD91" s="368"/>
      <c r="TE91" s="368"/>
      <c r="TF91" s="368"/>
      <c r="TG91" s="368"/>
      <c r="TH91" s="368"/>
      <c r="TI91" s="368"/>
      <c r="TJ91" s="368"/>
      <c r="TK91" s="368"/>
      <c r="TL91" s="368"/>
      <c r="TM91" s="368"/>
      <c r="TN91" s="368"/>
      <c r="TO91" s="368"/>
      <c r="TP91" s="368"/>
      <c r="TQ91" s="368"/>
      <c r="TR91" s="368"/>
      <c r="TS91" s="368"/>
      <c r="TT91" s="368"/>
      <c r="TU91" s="368"/>
      <c r="TV91" s="368"/>
      <c r="TW91" s="368"/>
      <c r="TX91" s="368"/>
      <c r="TY91" s="368"/>
      <c r="TZ91" s="368"/>
      <c r="UA91" s="368"/>
      <c r="UB91" s="368"/>
      <c r="UC91" s="368"/>
      <c r="UD91" s="368"/>
      <c r="UE91" s="368"/>
      <c r="UF91" s="368"/>
      <c r="UG91" s="368"/>
      <c r="UH91" s="368"/>
      <c r="UI91" s="368"/>
      <c r="UJ91" s="368"/>
      <c r="UK91" s="368"/>
      <c r="UL91" s="368"/>
      <c r="UM91" s="368"/>
      <c r="UN91" s="368"/>
      <c r="UO91" s="368"/>
      <c r="UP91" s="368"/>
      <c r="UQ91" s="368"/>
      <c r="UR91" s="368"/>
      <c r="US91" s="368"/>
      <c r="UT91" s="368"/>
      <c r="UU91" s="368"/>
      <c r="UV91" s="368"/>
      <c r="UW91" s="368"/>
      <c r="UX91" s="368"/>
      <c r="UY91" s="368"/>
      <c r="UZ91" s="368"/>
      <c r="VA91" s="368"/>
      <c r="VB91" s="368"/>
      <c r="VC91" s="368"/>
      <c r="VD91" s="368"/>
      <c r="VE91" s="368"/>
      <c r="VF91" s="368"/>
      <c r="VG91" s="368"/>
      <c r="VH91" s="368"/>
      <c r="VI91" s="368"/>
      <c r="VJ91" s="368"/>
      <c r="VK91" s="368"/>
      <c r="VL91" s="368"/>
      <c r="VM91" s="368"/>
      <c r="VN91" s="368"/>
      <c r="VO91" s="368"/>
      <c r="VP91" s="368"/>
      <c r="VQ91" s="368"/>
      <c r="VR91" s="368"/>
      <c r="VS91" s="368"/>
      <c r="VT91" s="368"/>
      <c r="VU91" s="368"/>
      <c r="VV91" s="368"/>
      <c r="VW91" s="368"/>
      <c r="VX91" s="368"/>
      <c r="VY91" s="368"/>
      <c r="VZ91" s="368"/>
      <c r="WA91" s="368"/>
      <c r="WB91" s="368"/>
      <c r="WC91" s="368"/>
      <c r="WD91" s="368"/>
      <c r="WE91" s="368"/>
      <c r="WF91" s="368"/>
      <c r="WG91" s="368"/>
      <c r="WH91" s="368"/>
      <c r="WI91" s="368"/>
      <c r="WJ91" s="368"/>
      <c r="WK91" s="368"/>
      <c r="WL91" s="368"/>
      <c r="WM91" s="368"/>
      <c r="WN91" s="368"/>
      <c r="WO91" s="368"/>
      <c r="WP91" s="368"/>
      <c r="WQ91" s="368"/>
      <c r="WR91" s="368"/>
      <c r="WS91" s="368"/>
      <c r="WT91" s="368"/>
      <c r="WU91" s="368"/>
      <c r="WV91" s="368"/>
      <c r="WW91" s="368"/>
      <c r="WX91" s="368"/>
      <c r="WY91" s="368"/>
      <c r="WZ91" s="368"/>
      <c r="XA91" s="368"/>
      <c r="XB91" s="368"/>
      <c r="XC91" s="368"/>
      <c r="XD91" s="368"/>
      <c r="XE91" s="368"/>
      <c r="XF91" s="368"/>
      <c r="XG91" s="368"/>
      <c r="XH91" s="368"/>
      <c r="XI91" s="368"/>
      <c r="XJ91" s="368"/>
      <c r="XK91" s="368"/>
      <c r="XL91" s="368"/>
      <c r="XM91" s="368"/>
      <c r="XN91" s="368"/>
      <c r="XO91" s="368"/>
      <c r="XP91" s="368"/>
      <c r="XQ91" s="368"/>
      <c r="XR91" s="368"/>
      <c r="XS91" s="368"/>
      <c r="XT91" s="368"/>
      <c r="XU91" s="368"/>
      <c r="XV91" s="368"/>
      <c r="XW91" s="368"/>
      <c r="XX91" s="368"/>
      <c r="XY91" s="368"/>
      <c r="XZ91" s="368"/>
      <c r="YA91" s="368"/>
      <c r="YB91" s="368"/>
      <c r="YC91" s="368"/>
      <c r="YD91" s="368"/>
      <c r="YE91" s="368"/>
      <c r="YF91" s="368"/>
      <c r="YG91" s="368"/>
      <c r="YH91" s="368"/>
      <c r="YI91" s="368"/>
      <c r="YJ91" s="368"/>
      <c r="YK91" s="368"/>
      <c r="YL91" s="368"/>
      <c r="YM91" s="368"/>
      <c r="YN91" s="368"/>
      <c r="YO91" s="368"/>
      <c r="YP91" s="368"/>
      <c r="YQ91" s="368"/>
      <c r="YR91" s="368"/>
      <c r="YS91" s="368"/>
      <c r="YT91" s="368"/>
      <c r="YU91" s="368"/>
      <c r="YV91" s="368"/>
      <c r="YW91" s="368"/>
      <c r="YX91" s="368"/>
      <c r="YY91" s="368"/>
      <c r="YZ91" s="368"/>
      <c r="ZA91" s="368"/>
      <c r="ZB91" s="368"/>
      <c r="ZC91" s="368"/>
      <c r="ZD91" s="368"/>
      <c r="ZE91" s="368"/>
      <c r="ZF91" s="368"/>
      <c r="ZG91" s="368"/>
      <c r="ZH91" s="368"/>
      <c r="ZI91" s="368"/>
      <c r="ZJ91" s="368"/>
      <c r="ZK91" s="368"/>
      <c r="ZL91" s="368"/>
      <c r="ZM91" s="368"/>
      <c r="ZN91" s="368"/>
      <c r="ZO91" s="368"/>
      <c r="ZP91" s="368"/>
      <c r="ZQ91" s="368"/>
      <c r="ZR91" s="368"/>
      <c r="ZS91" s="368"/>
      <c r="ZT91" s="368"/>
      <c r="ZU91" s="368"/>
      <c r="ZV91" s="368"/>
      <c r="ZW91" s="368"/>
      <c r="ZX91" s="368"/>
      <c r="ZY91" s="368"/>
      <c r="ZZ91" s="368"/>
      <c r="AAA91" s="368"/>
      <c r="AAB91" s="368"/>
      <c r="AAC91" s="368"/>
      <c r="AAD91" s="368"/>
      <c r="AAE91" s="368"/>
      <c r="AAF91" s="368"/>
      <c r="AAG91" s="368"/>
      <c r="AAH91" s="368"/>
      <c r="AAI91" s="368"/>
      <c r="AAJ91" s="368"/>
      <c r="AAK91" s="368"/>
      <c r="AAL91" s="368"/>
      <c r="AAM91" s="368"/>
      <c r="AAN91" s="368"/>
      <c r="AAO91" s="368"/>
      <c r="AAP91" s="368"/>
      <c r="AAQ91" s="368"/>
      <c r="AAR91" s="368"/>
      <c r="AAS91" s="368"/>
      <c r="AAT91" s="368"/>
      <c r="AAU91" s="368"/>
      <c r="AAV91" s="368"/>
      <c r="AAW91" s="368"/>
      <c r="AAX91" s="368"/>
      <c r="AAY91" s="368"/>
      <c r="AAZ91" s="368"/>
      <c r="ABA91" s="368"/>
      <c r="ABB91" s="368"/>
      <c r="ABC91" s="368"/>
      <c r="ABD91" s="368"/>
      <c r="ABE91" s="368"/>
      <c r="ABF91" s="368"/>
      <c r="ABG91" s="368"/>
      <c r="ABH91" s="368"/>
      <c r="ABI91" s="368"/>
      <c r="ABJ91" s="368"/>
      <c r="ABK91" s="368"/>
      <c r="ABL91" s="368"/>
      <c r="ABM91" s="368"/>
      <c r="ABN91" s="368"/>
      <c r="ABO91" s="368"/>
      <c r="ABP91" s="368"/>
      <c r="ABQ91" s="368"/>
      <c r="ABR91" s="368"/>
      <c r="ABS91" s="368"/>
      <c r="ABT91" s="368"/>
      <c r="ABU91" s="368"/>
      <c r="ABV91" s="368"/>
      <c r="ABW91" s="368"/>
      <c r="ABX91" s="368"/>
      <c r="ABY91" s="368"/>
      <c r="ABZ91" s="368"/>
      <c r="ACA91" s="368"/>
      <c r="ACB91" s="368"/>
      <c r="ACC91" s="368"/>
      <c r="ACD91" s="368"/>
      <c r="ACE91" s="368"/>
      <c r="ACF91" s="368"/>
      <c r="ACG91" s="368"/>
      <c r="ACH91" s="368"/>
      <c r="ACI91" s="368"/>
      <c r="ACJ91" s="368"/>
      <c r="ACK91" s="368"/>
      <c r="ACL91" s="368"/>
      <c r="ACM91" s="368"/>
      <c r="ACN91" s="368"/>
      <c r="ACO91" s="368"/>
      <c r="ACP91" s="368"/>
      <c r="ACQ91" s="368"/>
      <c r="ACR91" s="368"/>
      <c r="ACS91" s="368"/>
      <c r="ACT91" s="368"/>
      <c r="ACU91" s="368"/>
      <c r="ACV91" s="368"/>
      <c r="ACW91" s="368"/>
      <c r="ACX91" s="368"/>
      <c r="ACY91" s="368"/>
      <c r="ACZ91" s="368"/>
      <c r="ADA91" s="368"/>
      <c r="ADB91" s="368"/>
      <c r="ADC91" s="368"/>
      <c r="ADD91" s="368"/>
      <c r="ADE91" s="368"/>
      <c r="ADF91" s="368"/>
      <c r="ADG91" s="368"/>
      <c r="ADH91" s="368"/>
      <c r="ADI91" s="368"/>
      <c r="ADJ91" s="368"/>
      <c r="ADK91" s="368"/>
      <c r="ADL91" s="368"/>
      <c r="ADM91" s="368"/>
      <c r="ADN91" s="368"/>
      <c r="ADO91" s="368"/>
      <c r="ADP91" s="368"/>
      <c r="ADQ91" s="368"/>
      <c r="ADR91" s="368"/>
      <c r="ADS91" s="368"/>
      <c r="ADT91" s="368"/>
      <c r="ADU91" s="368"/>
      <c r="ADV91" s="368"/>
      <c r="ADW91" s="368"/>
      <c r="ADX91" s="368"/>
      <c r="ADY91" s="368"/>
      <c r="ADZ91" s="368"/>
      <c r="AEA91" s="368"/>
      <c r="AEB91" s="368"/>
      <c r="AEC91" s="368"/>
      <c r="AED91" s="368"/>
      <c r="AEE91" s="368"/>
      <c r="AEF91" s="368"/>
      <c r="AEG91" s="368"/>
      <c r="AEH91" s="368"/>
      <c r="AEI91" s="368"/>
      <c r="AEJ91" s="368"/>
      <c r="AEK91" s="368"/>
      <c r="AEL91" s="368"/>
      <c r="AEM91" s="368"/>
      <c r="AEN91" s="368"/>
      <c r="AEO91" s="368"/>
      <c r="AEP91" s="368"/>
      <c r="AEQ91" s="368"/>
      <c r="AER91" s="368"/>
      <c r="AES91" s="368"/>
      <c r="AET91" s="368"/>
      <c r="AEU91" s="368"/>
      <c r="AEV91" s="368"/>
      <c r="AEW91" s="368"/>
      <c r="AEX91" s="368"/>
      <c r="AEY91" s="368"/>
      <c r="AEZ91" s="368"/>
      <c r="AFA91" s="368"/>
      <c r="AFB91" s="368"/>
      <c r="AFC91" s="368"/>
      <c r="AFD91" s="368"/>
      <c r="AFE91" s="368"/>
      <c r="AFF91" s="368"/>
      <c r="AFG91" s="368"/>
      <c r="AFH91" s="368"/>
      <c r="AFI91" s="368"/>
      <c r="AFJ91" s="368"/>
      <c r="AFK91" s="368"/>
      <c r="AFL91" s="368"/>
      <c r="AFM91" s="368"/>
      <c r="AFN91" s="368"/>
      <c r="AFO91" s="368"/>
      <c r="AFP91" s="368"/>
      <c r="AFQ91" s="368"/>
      <c r="AFR91" s="368"/>
      <c r="AFS91" s="368"/>
      <c r="AFT91" s="368"/>
      <c r="AFU91" s="368"/>
      <c r="AFV91" s="368"/>
      <c r="AFW91" s="368"/>
      <c r="AFX91" s="368"/>
      <c r="AFY91" s="368"/>
      <c r="AFZ91" s="368"/>
      <c r="AGA91" s="368"/>
      <c r="AGB91" s="368"/>
      <c r="AGC91" s="368"/>
      <c r="AGD91" s="368"/>
      <c r="AGE91" s="368"/>
      <c r="AGF91" s="368"/>
      <c r="AGG91" s="368"/>
      <c r="AGH91" s="368"/>
      <c r="AGI91" s="368"/>
      <c r="AGJ91" s="368"/>
      <c r="AGK91" s="368"/>
      <c r="AGL91" s="368"/>
      <c r="AGM91" s="368"/>
      <c r="AGN91" s="368"/>
      <c r="AGO91" s="368"/>
      <c r="AGP91" s="368"/>
      <c r="AGQ91" s="368"/>
      <c r="AGR91" s="368"/>
      <c r="AGS91" s="368"/>
      <c r="AGT91" s="368"/>
      <c r="AGU91" s="368"/>
      <c r="AGV91" s="368"/>
      <c r="AGW91" s="368"/>
      <c r="AGX91" s="368"/>
      <c r="AGY91" s="368"/>
      <c r="AGZ91" s="368"/>
      <c r="AHA91" s="368"/>
      <c r="AHB91" s="368"/>
      <c r="AHC91" s="368"/>
      <c r="AHD91" s="368"/>
      <c r="AHE91" s="368"/>
      <c r="AHF91" s="368"/>
      <c r="AHG91" s="368"/>
      <c r="AHH91" s="368"/>
      <c r="AHI91" s="368"/>
      <c r="AHJ91" s="368"/>
      <c r="AHK91" s="368"/>
      <c r="AHL91" s="368"/>
      <c r="AHM91" s="368"/>
      <c r="AHN91" s="368"/>
      <c r="AHO91" s="368"/>
      <c r="AHP91" s="368"/>
      <c r="AHQ91" s="368"/>
      <c r="AHR91" s="368"/>
      <c r="AHS91" s="368"/>
      <c r="AHT91" s="368"/>
      <c r="AHU91" s="368"/>
      <c r="AHV91" s="368"/>
      <c r="AHW91" s="368"/>
      <c r="AHX91" s="368"/>
      <c r="AHY91" s="368"/>
      <c r="AHZ91" s="368"/>
      <c r="AIA91" s="368"/>
      <c r="AIB91" s="368"/>
      <c r="AIC91" s="368"/>
      <c r="AID91" s="368"/>
      <c r="AIE91" s="368"/>
      <c r="AIF91" s="368"/>
      <c r="AIG91" s="368"/>
      <c r="AIH91" s="368"/>
      <c r="AII91" s="368"/>
      <c r="AIJ91" s="368"/>
      <c r="AIK91" s="368"/>
      <c r="AIL91" s="368"/>
      <c r="AIM91" s="368"/>
      <c r="AIN91" s="368"/>
      <c r="AIO91" s="368"/>
      <c r="AIP91" s="368"/>
      <c r="AIQ91" s="368"/>
      <c r="AIR91" s="368"/>
      <c r="AIS91" s="368"/>
      <c r="AIT91" s="368"/>
      <c r="AIU91" s="368"/>
      <c r="AIV91" s="368"/>
      <c r="AIW91" s="368"/>
      <c r="AIX91" s="368"/>
      <c r="AIY91" s="368"/>
      <c r="AIZ91" s="368"/>
      <c r="AJA91" s="368"/>
      <c r="AJB91" s="368"/>
      <c r="AJC91" s="368"/>
      <c r="AJD91" s="368"/>
      <c r="AJE91" s="368"/>
      <c r="AJF91" s="368"/>
      <c r="AJG91" s="368"/>
      <c r="AJH91" s="368"/>
      <c r="AJI91" s="368"/>
      <c r="AJJ91" s="368"/>
      <c r="AJK91" s="368"/>
      <c r="AJL91" s="368"/>
      <c r="AJM91" s="368"/>
      <c r="AJN91" s="368"/>
      <c r="AJO91" s="368"/>
      <c r="AJP91" s="368"/>
      <c r="AJQ91" s="368"/>
      <c r="AJR91" s="368"/>
      <c r="AJS91" s="368"/>
      <c r="AJT91" s="368"/>
      <c r="AJU91" s="368"/>
      <c r="AJV91" s="368"/>
      <c r="AJW91" s="368"/>
      <c r="AJX91" s="368"/>
      <c r="AJY91" s="368"/>
      <c r="AJZ91" s="368"/>
      <c r="AKA91" s="368"/>
      <c r="AKB91" s="368"/>
      <c r="AKC91" s="368"/>
      <c r="AKD91" s="368"/>
      <c r="AKE91" s="368"/>
      <c r="AKF91" s="368"/>
      <c r="AKG91" s="368"/>
      <c r="AKH91" s="368"/>
      <c r="AKI91" s="368"/>
      <c r="AKJ91" s="368"/>
      <c r="AKK91" s="368"/>
      <c r="AKL91" s="368"/>
      <c r="AKM91" s="368"/>
      <c r="AKN91" s="368"/>
    </row>
    <row r="92" spans="1:976" s="346" customFormat="1" ht="22.5" customHeight="1" x14ac:dyDescent="0.2">
      <c r="A92" s="370" t="s">
        <v>262</v>
      </c>
      <c r="B92" s="370"/>
      <c r="C92" s="370" t="s">
        <v>221</v>
      </c>
      <c r="D92" s="370" t="s">
        <v>222</v>
      </c>
      <c r="E92" s="371">
        <v>411362</v>
      </c>
      <c r="F92" s="371">
        <v>1358</v>
      </c>
      <c r="G92" s="371">
        <v>204</v>
      </c>
      <c r="H92" s="371">
        <v>0</v>
      </c>
      <c r="I92" s="372">
        <v>45846</v>
      </c>
      <c r="J92" s="370" t="s">
        <v>395</v>
      </c>
      <c r="K92" s="370" t="s">
        <v>535</v>
      </c>
      <c r="L92" s="373">
        <v>26.67</v>
      </c>
      <c r="M92" s="373">
        <v>2.94</v>
      </c>
      <c r="N92" s="444">
        <v>29.61</v>
      </c>
      <c r="O92" s="370"/>
      <c r="P92" s="374">
        <v>45848</v>
      </c>
      <c r="Q92" s="373">
        <v>29.61</v>
      </c>
      <c r="R92" s="370" t="s">
        <v>536</v>
      </c>
      <c r="S92" s="373">
        <v>0</v>
      </c>
      <c r="T92" s="373">
        <v>0</v>
      </c>
      <c r="U92" s="373">
        <v>0</v>
      </c>
      <c r="V92" s="373">
        <v>0</v>
      </c>
      <c r="W92" s="370"/>
      <c r="X92" s="370" t="s">
        <v>293</v>
      </c>
      <c r="Y92" s="370" t="s">
        <v>294</v>
      </c>
      <c r="Z92" s="370" t="s">
        <v>42</v>
      </c>
      <c r="AA92" s="370" t="s">
        <v>228</v>
      </c>
      <c r="AB92" s="370" t="s">
        <v>235</v>
      </c>
      <c r="AC92" s="370" t="s">
        <v>331</v>
      </c>
      <c r="AD92" s="370" t="s">
        <v>231</v>
      </c>
      <c r="AE92" s="370" t="s">
        <v>232</v>
      </c>
      <c r="AF92" s="370" t="s">
        <v>231</v>
      </c>
      <c r="AG92" s="370" t="s">
        <v>232</v>
      </c>
      <c r="AH92" s="370"/>
      <c r="AI92" s="370"/>
      <c r="AJ92" s="370"/>
      <c r="AK92" s="370" t="s">
        <v>537</v>
      </c>
      <c r="AL92" s="371">
        <v>1</v>
      </c>
      <c r="AM92" s="371">
        <v>0</v>
      </c>
      <c r="AN92" s="372">
        <v>45848</v>
      </c>
      <c r="AO92" s="372">
        <v>45848</v>
      </c>
      <c r="AP92" s="373">
        <v>29.61</v>
      </c>
      <c r="AQ92" s="372">
        <v>45847</v>
      </c>
      <c r="AR92" s="368"/>
      <c r="AS92" s="368"/>
      <c r="AT92" s="368"/>
      <c r="AU92" s="368"/>
      <c r="AV92" s="368"/>
      <c r="AW92" s="368"/>
      <c r="AX92" s="368"/>
      <c r="AY92" s="368"/>
      <c r="AZ92" s="368"/>
      <c r="BA92" s="368"/>
      <c r="BB92" s="368"/>
      <c r="BC92" s="368"/>
      <c r="BD92" s="368"/>
      <c r="BE92" s="368"/>
      <c r="BF92" s="368"/>
      <c r="BG92" s="368"/>
      <c r="BH92" s="368"/>
      <c r="BI92" s="368"/>
      <c r="BJ92" s="368"/>
      <c r="BK92" s="368"/>
      <c r="BL92" s="368"/>
      <c r="BM92" s="368"/>
      <c r="BN92" s="368"/>
      <c r="BO92" s="368"/>
      <c r="BP92" s="368"/>
      <c r="BQ92" s="368"/>
      <c r="BR92" s="368"/>
      <c r="BS92" s="368"/>
      <c r="BT92" s="368"/>
      <c r="BU92" s="368"/>
      <c r="BV92" s="368"/>
      <c r="BW92" s="368"/>
      <c r="BX92" s="368"/>
      <c r="BY92" s="368"/>
      <c r="BZ92" s="368"/>
      <c r="CA92" s="368"/>
      <c r="CB92" s="368"/>
      <c r="CC92" s="368"/>
      <c r="CD92" s="368"/>
      <c r="CE92" s="368"/>
      <c r="CF92" s="368"/>
      <c r="CG92" s="368"/>
      <c r="CH92" s="368"/>
      <c r="CI92" s="368"/>
      <c r="CJ92" s="368"/>
      <c r="CK92" s="368"/>
      <c r="CL92" s="368"/>
      <c r="CM92" s="368"/>
      <c r="CN92" s="368"/>
      <c r="CO92" s="368"/>
      <c r="CP92" s="368"/>
      <c r="CQ92" s="368"/>
      <c r="CR92" s="368"/>
      <c r="CS92" s="368"/>
      <c r="CT92" s="368"/>
      <c r="CU92" s="368"/>
      <c r="CV92" s="368"/>
      <c r="CW92" s="368"/>
      <c r="CX92" s="368"/>
      <c r="CY92" s="368"/>
      <c r="CZ92" s="368"/>
      <c r="DA92" s="368"/>
      <c r="DB92" s="368"/>
      <c r="DC92" s="368"/>
      <c r="DD92" s="368"/>
      <c r="DE92" s="368"/>
      <c r="DF92" s="368"/>
      <c r="DG92" s="368"/>
      <c r="DH92" s="368"/>
      <c r="DI92" s="368"/>
      <c r="DJ92" s="368"/>
      <c r="DK92" s="368"/>
      <c r="DL92" s="368"/>
      <c r="DM92" s="368"/>
      <c r="DN92" s="368"/>
      <c r="DO92" s="368"/>
      <c r="DP92" s="368"/>
      <c r="DQ92" s="368"/>
      <c r="DR92" s="368"/>
      <c r="DS92" s="368"/>
      <c r="DT92" s="368"/>
      <c r="DU92" s="368"/>
      <c r="DV92" s="368"/>
      <c r="DW92" s="368"/>
      <c r="DX92" s="368"/>
      <c r="DY92" s="368"/>
      <c r="DZ92" s="368"/>
      <c r="EA92" s="368"/>
      <c r="EB92" s="368"/>
      <c r="EC92" s="368"/>
      <c r="ED92" s="368"/>
      <c r="EE92" s="368"/>
      <c r="EF92" s="368"/>
      <c r="EG92" s="368"/>
      <c r="EH92" s="368"/>
      <c r="EI92" s="368"/>
      <c r="EJ92" s="368"/>
      <c r="EK92" s="368"/>
      <c r="EL92" s="368"/>
      <c r="EM92" s="368"/>
      <c r="EN92" s="368"/>
      <c r="EO92" s="368"/>
      <c r="EP92" s="368"/>
      <c r="EQ92" s="368"/>
      <c r="ER92" s="368"/>
      <c r="ES92" s="368"/>
      <c r="ET92" s="368"/>
      <c r="EU92" s="368"/>
      <c r="EV92" s="368"/>
      <c r="EW92" s="368"/>
      <c r="EX92" s="368"/>
      <c r="EY92" s="368"/>
      <c r="EZ92" s="368"/>
      <c r="FA92" s="368"/>
      <c r="FB92" s="368"/>
      <c r="FC92" s="368"/>
      <c r="FD92" s="368"/>
      <c r="FE92" s="368"/>
      <c r="FF92" s="368"/>
      <c r="FG92" s="368"/>
      <c r="FH92" s="368"/>
      <c r="FI92" s="368"/>
      <c r="FJ92" s="368"/>
      <c r="FK92" s="368"/>
      <c r="FL92" s="368"/>
      <c r="FM92" s="368"/>
      <c r="FN92" s="368"/>
      <c r="FO92" s="368"/>
      <c r="FP92" s="368"/>
      <c r="FQ92" s="368"/>
      <c r="FR92" s="368"/>
      <c r="FS92" s="368"/>
      <c r="FT92" s="368"/>
      <c r="FU92" s="368"/>
      <c r="FV92" s="368"/>
      <c r="FW92" s="368"/>
      <c r="FX92" s="368"/>
      <c r="FY92" s="368"/>
      <c r="FZ92" s="368"/>
      <c r="GA92" s="368"/>
      <c r="GB92" s="368"/>
      <c r="GC92" s="368"/>
      <c r="GD92" s="368"/>
      <c r="GE92" s="368"/>
      <c r="GF92" s="368"/>
      <c r="GG92" s="368"/>
      <c r="GH92" s="368"/>
      <c r="GI92" s="368"/>
      <c r="GJ92" s="368"/>
      <c r="GK92" s="368"/>
      <c r="GL92" s="368"/>
      <c r="GM92" s="368"/>
      <c r="GN92" s="368"/>
      <c r="GO92" s="368"/>
      <c r="GP92" s="368"/>
      <c r="GQ92" s="368"/>
      <c r="GR92" s="368"/>
      <c r="GS92" s="368"/>
      <c r="GT92" s="368"/>
      <c r="GU92" s="368"/>
      <c r="GV92" s="368"/>
      <c r="GW92" s="368"/>
      <c r="GX92" s="368"/>
      <c r="GY92" s="368"/>
      <c r="GZ92" s="368"/>
      <c r="HA92" s="368"/>
      <c r="HB92" s="368"/>
      <c r="HC92" s="368"/>
      <c r="HD92" s="368"/>
      <c r="HE92" s="368"/>
      <c r="HF92" s="368"/>
      <c r="HG92" s="368"/>
      <c r="HH92" s="368"/>
      <c r="HI92" s="368"/>
      <c r="HJ92" s="368"/>
      <c r="HK92" s="368"/>
      <c r="HL92" s="368"/>
      <c r="HM92" s="368"/>
      <c r="HN92" s="368"/>
      <c r="HO92" s="368"/>
      <c r="HP92" s="368"/>
      <c r="HQ92" s="368"/>
      <c r="HR92" s="368"/>
      <c r="HS92" s="368"/>
      <c r="HT92" s="368"/>
      <c r="HU92" s="368"/>
      <c r="HV92" s="368"/>
      <c r="HW92" s="368"/>
      <c r="HX92" s="368"/>
      <c r="HY92" s="368"/>
      <c r="HZ92" s="368"/>
      <c r="IA92" s="368"/>
      <c r="IB92" s="368"/>
      <c r="IC92" s="368"/>
      <c r="ID92" s="368"/>
      <c r="IE92" s="368"/>
      <c r="IF92" s="368"/>
      <c r="IG92" s="368"/>
      <c r="IH92" s="368"/>
      <c r="II92" s="368"/>
      <c r="IJ92" s="368"/>
      <c r="IK92" s="368"/>
      <c r="IL92" s="368"/>
      <c r="IM92" s="368"/>
      <c r="IN92" s="368"/>
      <c r="IO92" s="368"/>
      <c r="IP92" s="368"/>
      <c r="IQ92" s="368"/>
      <c r="IR92" s="368"/>
      <c r="IS92" s="368"/>
      <c r="IT92" s="368"/>
      <c r="IU92" s="368"/>
      <c r="IV92" s="368"/>
      <c r="IW92" s="368"/>
      <c r="IX92" s="368"/>
      <c r="IY92" s="368"/>
      <c r="IZ92" s="368"/>
      <c r="JA92" s="368"/>
      <c r="JB92" s="368"/>
      <c r="JC92" s="368"/>
      <c r="JD92" s="368"/>
      <c r="JE92" s="368"/>
      <c r="JF92" s="368"/>
      <c r="JG92" s="368"/>
      <c r="JH92" s="368"/>
      <c r="JI92" s="368"/>
      <c r="JJ92" s="368"/>
      <c r="JK92" s="368"/>
      <c r="JL92" s="368"/>
      <c r="JM92" s="368"/>
      <c r="JN92" s="368"/>
      <c r="JO92" s="368"/>
      <c r="JP92" s="368"/>
      <c r="JQ92" s="368"/>
      <c r="JR92" s="368"/>
      <c r="JS92" s="368"/>
      <c r="JT92" s="368"/>
      <c r="JU92" s="368"/>
      <c r="JV92" s="368"/>
      <c r="JW92" s="368"/>
      <c r="JX92" s="368"/>
      <c r="JY92" s="368"/>
      <c r="JZ92" s="368"/>
      <c r="KA92" s="368"/>
      <c r="KB92" s="368"/>
      <c r="KC92" s="368"/>
      <c r="KD92" s="368"/>
      <c r="KE92" s="368"/>
      <c r="KF92" s="368"/>
      <c r="KG92" s="368"/>
      <c r="KH92" s="368"/>
      <c r="KI92" s="368"/>
      <c r="KJ92" s="368"/>
      <c r="KK92" s="368"/>
      <c r="KL92" s="368"/>
      <c r="KM92" s="368"/>
      <c r="KN92" s="368"/>
      <c r="KO92" s="368"/>
      <c r="KP92" s="368"/>
      <c r="KQ92" s="368"/>
      <c r="KR92" s="368"/>
      <c r="KS92" s="368"/>
      <c r="KT92" s="368"/>
      <c r="KU92" s="368"/>
      <c r="KV92" s="368"/>
      <c r="KW92" s="368"/>
      <c r="KX92" s="368"/>
      <c r="KY92" s="368"/>
      <c r="KZ92" s="368"/>
      <c r="LA92" s="368"/>
      <c r="LB92" s="368"/>
      <c r="LC92" s="368"/>
      <c r="LD92" s="368"/>
      <c r="LE92" s="368"/>
      <c r="LF92" s="368"/>
      <c r="LG92" s="368"/>
      <c r="LH92" s="368"/>
      <c r="LI92" s="368"/>
      <c r="LJ92" s="368"/>
      <c r="LK92" s="368"/>
      <c r="LL92" s="368"/>
      <c r="LM92" s="368"/>
      <c r="LN92" s="368"/>
      <c r="LO92" s="368"/>
      <c r="LP92" s="368"/>
      <c r="LQ92" s="368"/>
      <c r="LR92" s="368"/>
      <c r="LS92" s="368"/>
      <c r="LT92" s="368"/>
      <c r="LU92" s="368"/>
      <c r="LV92" s="368"/>
      <c r="LW92" s="368"/>
      <c r="LX92" s="368"/>
      <c r="LY92" s="368"/>
      <c r="LZ92" s="368"/>
      <c r="MA92" s="368"/>
      <c r="MB92" s="368"/>
      <c r="MC92" s="368"/>
      <c r="MD92" s="368"/>
      <c r="ME92" s="368"/>
      <c r="MF92" s="368"/>
      <c r="MG92" s="368"/>
      <c r="MH92" s="368"/>
      <c r="MI92" s="368"/>
      <c r="MJ92" s="368"/>
      <c r="MK92" s="368"/>
      <c r="ML92" s="368"/>
      <c r="MM92" s="368"/>
      <c r="MN92" s="368"/>
      <c r="MO92" s="368"/>
      <c r="MP92" s="368"/>
      <c r="MQ92" s="368"/>
      <c r="MR92" s="368"/>
      <c r="MS92" s="368"/>
      <c r="MT92" s="368"/>
      <c r="MU92" s="368"/>
      <c r="MV92" s="368"/>
      <c r="MW92" s="368"/>
      <c r="MX92" s="368"/>
      <c r="MY92" s="368"/>
      <c r="MZ92" s="368"/>
      <c r="NA92" s="368"/>
      <c r="NB92" s="368"/>
      <c r="NC92" s="368"/>
      <c r="ND92" s="368"/>
      <c r="NE92" s="368"/>
      <c r="NF92" s="368"/>
      <c r="NG92" s="368"/>
      <c r="NH92" s="368"/>
      <c r="NI92" s="368"/>
      <c r="NJ92" s="368"/>
      <c r="NK92" s="368"/>
      <c r="NL92" s="368"/>
      <c r="NM92" s="368"/>
      <c r="NN92" s="368"/>
      <c r="NO92" s="368"/>
      <c r="NP92" s="368"/>
      <c r="NQ92" s="368"/>
      <c r="NR92" s="368"/>
      <c r="NS92" s="368"/>
      <c r="NT92" s="368"/>
      <c r="NU92" s="368"/>
      <c r="NV92" s="368"/>
      <c r="NW92" s="368"/>
      <c r="NX92" s="368"/>
      <c r="NY92" s="368"/>
      <c r="NZ92" s="368"/>
      <c r="OA92" s="368"/>
      <c r="OB92" s="368"/>
      <c r="OC92" s="368"/>
      <c r="OD92" s="368"/>
      <c r="OE92" s="368"/>
      <c r="OF92" s="368"/>
      <c r="OG92" s="368"/>
      <c r="OH92" s="368"/>
      <c r="OI92" s="368"/>
      <c r="OJ92" s="368"/>
      <c r="OK92" s="368"/>
      <c r="OL92" s="368"/>
      <c r="OM92" s="368"/>
      <c r="ON92" s="368"/>
      <c r="OO92" s="368"/>
      <c r="OP92" s="368"/>
      <c r="OQ92" s="368"/>
      <c r="OR92" s="368"/>
      <c r="OS92" s="368"/>
      <c r="OT92" s="368"/>
      <c r="OU92" s="368"/>
      <c r="OV92" s="368"/>
      <c r="OW92" s="368"/>
      <c r="OX92" s="368"/>
      <c r="OY92" s="368"/>
      <c r="OZ92" s="368"/>
      <c r="PA92" s="368"/>
      <c r="PB92" s="368"/>
      <c r="PC92" s="368"/>
      <c r="PD92" s="368"/>
      <c r="PE92" s="368"/>
      <c r="PF92" s="368"/>
      <c r="PG92" s="368"/>
      <c r="PH92" s="368"/>
      <c r="PI92" s="368"/>
      <c r="PJ92" s="368"/>
      <c r="PK92" s="368"/>
      <c r="PL92" s="368"/>
      <c r="PM92" s="368"/>
      <c r="PN92" s="368"/>
      <c r="PO92" s="368"/>
      <c r="PP92" s="368"/>
      <c r="PQ92" s="368"/>
      <c r="PR92" s="368"/>
      <c r="PS92" s="368"/>
      <c r="PT92" s="368"/>
      <c r="PU92" s="368"/>
      <c r="PV92" s="368"/>
      <c r="PW92" s="368"/>
      <c r="PX92" s="368"/>
      <c r="PY92" s="368"/>
      <c r="PZ92" s="368"/>
      <c r="QA92" s="368"/>
      <c r="QB92" s="368"/>
      <c r="QC92" s="368"/>
      <c r="QD92" s="368"/>
      <c r="QE92" s="368"/>
      <c r="QF92" s="368"/>
      <c r="QG92" s="368"/>
      <c r="QH92" s="368"/>
      <c r="QI92" s="368"/>
      <c r="QJ92" s="368"/>
      <c r="QK92" s="368"/>
      <c r="QL92" s="368"/>
      <c r="QM92" s="368"/>
      <c r="QN92" s="368"/>
      <c r="QO92" s="368"/>
      <c r="QP92" s="368"/>
      <c r="QQ92" s="368"/>
      <c r="QR92" s="368"/>
      <c r="QS92" s="368"/>
      <c r="QT92" s="368"/>
      <c r="QU92" s="368"/>
      <c r="QV92" s="368"/>
      <c r="QW92" s="368"/>
      <c r="QX92" s="368"/>
      <c r="QY92" s="368"/>
      <c r="QZ92" s="368"/>
      <c r="RA92" s="368"/>
      <c r="RB92" s="368"/>
      <c r="RC92" s="368"/>
      <c r="RD92" s="368"/>
      <c r="RE92" s="368"/>
      <c r="RF92" s="368"/>
      <c r="RG92" s="368"/>
      <c r="RH92" s="368"/>
      <c r="RI92" s="368"/>
      <c r="RJ92" s="368"/>
      <c r="RK92" s="368"/>
      <c r="RL92" s="368"/>
      <c r="RM92" s="368"/>
      <c r="RN92" s="368"/>
      <c r="RO92" s="368"/>
      <c r="RP92" s="368"/>
      <c r="RQ92" s="368"/>
      <c r="RR92" s="368"/>
      <c r="RS92" s="368"/>
      <c r="RT92" s="368"/>
      <c r="RU92" s="368"/>
      <c r="RV92" s="368"/>
      <c r="RW92" s="368"/>
      <c r="RX92" s="368"/>
      <c r="RY92" s="368"/>
      <c r="RZ92" s="368"/>
      <c r="SA92" s="368"/>
      <c r="SB92" s="368"/>
      <c r="SC92" s="368"/>
      <c r="SD92" s="368"/>
      <c r="SE92" s="368"/>
      <c r="SF92" s="368"/>
      <c r="SG92" s="368"/>
      <c r="SH92" s="368"/>
      <c r="SI92" s="368"/>
      <c r="SJ92" s="368"/>
      <c r="SK92" s="368"/>
      <c r="SL92" s="368"/>
      <c r="SM92" s="368"/>
      <c r="SN92" s="368"/>
      <c r="SO92" s="368"/>
      <c r="SP92" s="368"/>
      <c r="SQ92" s="368"/>
      <c r="SR92" s="368"/>
      <c r="SS92" s="368"/>
      <c r="ST92" s="368"/>
      <c r="SU92" s="368"/>
      <c r="SV92" s="368"/>
      <c r="SW92" s="368"/>
      <c r="SX92" s="368"/>
      <c r="SY92" s="368"/>
      <c r="SZ92" s="368"/>
      <c r="TA92" s="368"/>
      <c r="TB92" s="368"/>
      <c r="TC92" s="368"/>
      <c r="TD92" s="368"/>
      <c r="TE92" s="368"/>
      <c r="TF92" s="368"/>
      <c r="TG92" s="368"/>
      <c r="TH92" s="368"/>
      <c r="TI92" s="368"/>
      <c r="TJ92" s="368"/>
      <c r="TK92" s="368"/>
      <c r="TL92" s="368"/>
      <c r="TM92" s="368"/>
      <c r="TN92" s="368"/>
      <c r="TO92" s="368"/>
      <c r="TP92" s="368"/>
      <c r="TQ92" s="368"/>
      <c r="TR92" s="368"/>
      <c r="TS92" s="368"/>
      <c r="TT92" s="368"/>
      <c r="TU92" s="368"/>
      <c r="TV92" s="368"/>
      <c r="TW92" s="368"/>
      <c r="TX92" s="368"/>
      <c r="TY92" s="368"/>
      <c r="TZ92" s="368"/>
      <c r="UA92" s="368"/>
      <c r="UB92" s="368"/>
      <c r="UC92" s="368"/>
      <c r="UD92" s="368"/>
      <c r="UE92" s="368"/>
      <c r="UF92" s="368"/>
      <c r="UG92" s="368"/>
      <c r="UH92" s="368"/>
      <c r="UI92" s="368"/>
      <c r="UJ92" s="368"/>
      <c r="UK92" s="368"/>
      <c r="UL92" s="368"/>
      <c r="UM92" s="368"/>
      <c r="UN92" s="368"/>
      <c r="UO92" s="368"/>
      <c r="UP92" s="368"/>
      <c r="UQ92" s="368"/>
      <c r="UR92" s="368"/>
      <c r="US92" s="368"/>
      <c r="UT92" s="368"/>
      <c r="UU92" s="368"/>
      <c r="UV92" s="368"/>
      <c r="UW92" s="368"/>
      <c r="UX92" s="368"/>
      <c r="UY92" s="368"/>
      <c r="UZ92" s="368"/>
      <c r="VA92" s="368"/>
      <c r="VB92" s="368"/>
      <c r="VC92" s="368"/>
      <c r="VD92" s="368"/>
      <c r="VE92" s="368"/>
      <c r="VF92" s="368"/>
      <c r="VG92" s="368"/>
      <c r="VH92" s="368"/>
      <c r="VI92" s="368"/>
      <c r="VJ92" s="368"/>
      <c r="VK92" s="368"/>
      <c r="VL92" s="368"/>
      <c r="VM92" s="368"/>
      <c r="VN92" s="368"/>
      <c r="VO92" s="368"/>
      <c r="VP92" s="368"/>
      <c r="VQ92" s="368"/>
      <c r="VR92" s="368"/>
      <c r="VS92" s="368"/>
      <c r="VT92" s="368"/>
      <c r="VU92" s="368"/>
      <c r="VV92" s="368"/>
      <c r="VW92" s="368"/>
      <c r="VX92" s="368"/>
      <c r="VY92" s="368"/>
      <c r="VZ92" s="368"/>
      <c r="WA92" s="368"/>
      <c r="WB92" s="368"/>
      <c r="WC92" s="368"/>
      <c r="WD92" s="368"/>
      <c r="WE92" s="368"/>
      <c r="WF92" s="368"/>
      <c r="WG92" s="368"/>
      <c r="WH92" s="368"/>
      <c r="WI92" s="368"/>
      <c r="WJ92" s="368"/>
      <c r="WK92" s="368"/>
      <c r="WL92" s="368"/>
      <c r="WM92" s="368"/>
      <c r="WN92" s="368"/>
      <c r="WO92" s="368"/>
      <c r="WP92" s="368"/>
      <c r="WQ92" s="368"/>
      <c r="WR92" s="368"/>
      <c r="WS92" s="368"/>
      <c r="WT92" s="368"/>
      <c r="WU92" s="368"/>
      <c r="WV92" s="368"/>
      <c r="WW92" s="368"/>
      <c r="WX92" s="368"/>
      <c r="WY92" s="368"/>
      <c r="WZ92" s="368"/>
      <c r="XA92" s="368"/>
      <c r="XB92" s="368"/>
      <c r="XC92" s="368"/>
      <c r="XD92" s="368"/>
      <c r="XE92" s="368"/>
      <c r="XF92" s="368"/>
      <c r="XG92" s="368"/>
      <c r="XH92" s="368"/>
      <c r="XI92" s="368"/>
      <c r="XJ92" s="368"/>
      <c r="XK92" s="368"/>
      <c r="XL92" s="368"/>
      <c r="XM92" s="368"/>
      <c r="XN92" s="368"/>
      <c r="XO92" s="368"/>
      <c r="XP92" s="368"/>
      <c r="XQ92" s="368"/>
      <c r="XR92" s="368"/>
      <c r="XS92" s="368"/>
      <c r="XT92" s="368"/>
      <c r="XU92" s="368"/>
      <c r="XV92" s="368"/>
      <c r="XW92" s="368"/>
      <c r="XX92" s="368"/>
      <c r="XY92" s="368"/>
      <c r="XZ92" s="368"/>
      <c r="YA92" s="368"/>
      <c r="YB92" s="368"/>
      <c r="YC92" s="368"/>
      <c r="YD92" s="368"/>
      <c r="YE92" s="368"/>
      <c r="YF92" s="368"/>
      <c r="YG92" s="368"/>
      <c r="YH92" s="368"/>
      <c r="YI92" s="368"/>
      <c r="YJ92" s="368"/>
      <c r="YK92" s="368"/>
      <c r="YL92" s="368"/>
      <c r="YM92" s="368"/>
      <c r="YN92" s="368"/>
      <c r="YO92" s="368"/>
      <c r="YP92" s="368"/>
      <c r="YQ92" s="368"/>
      <c r="YR92" s="368"/>
      <c r="YS92" s="368"/>
      <c r="YT92" s="368"/>
      <c r="YU92" s="368"/>
      <c r="YV92" s="368"/>
      <c r="YW92" s="368"/>
      <c r="YX92" s="368"/>
      <c r="YY92" s="368"/>
      <c r="YZ92" s="368"/>
      <c r="ZA92" s="368"/>
      <c r="ZB92" s="368"/>
      <c r="ZC92" s="368"/>
      <c r="ZD92" s="368"/>
      <c r="ZE92" s="368"/>
      <c r="ZF92" s="368"/>
      <c r="ZG92" s="368"/>
      <c r="ZH92" s="368"/>
      <c r="ZI92" s="368"/>
      <c r="ZJ92" s="368"/>
      <c r="ZK92" s="368"/>
      <c r="ZL92" s="368"/>
      <c r="ZM92" s="368"/>
      <c r="ZN92" s="368"/>
      <c r="ZO92" s="368"/>
      <c r="ZP92" s="368"/>
      <c r="ZQ92" s="368"/>
      <c r="ZR92" s="368"/>
      <c r="ZS92" s="368"/>
      <c r="ZT92" s="368"/>
      <c r="ZU92" s="368"/>
      <c r="ZV92" s="368"/>
      <c r="ZW92" s="368"/>
      <c r="ZX92" s="368"/>
      <c r="ZY92" s="368"/>
      <c r="ZZ92" s="368"/>
      <c r="AAA92" s="368"/>
      <c r="AAB92" s="368"/>
      <c r="AAC92" s="368"/>
      <c r="AAD92" s="368"/>
      <c r="AAE92" s="368"/>
      <c r="AAF92" s="368"/>
      <c r="AAG92" s="368"/>
      <c r="AAH92" s="368"/>
      <c r="AAI92" s="368"/>
      <c r="AAJ92" s="368"/>
      <c r="AAK92" s="368"/>
      <c r="AAL92" s="368"/>
      <c r="AAM92" s="368"/>
      <c r="AAN92" s="368"/>
      <c r="AAO92" s="368"/>
      <c r="AAP92" s="368"/>
      <c r="AAQ92" s="368"/>
      <c r="AAR92" s="368"/>
      <c r="AAS92" s="368"/>
      <c r="AAT92" s="368"/>
      <c r="AAU92" s="368"/>
      <c r="AAV92" s="368"/>
      <c r="AAW92" s="368"/>
      <c r="AAX92" s="368"/>
      <c r="AAY92" s="368"/>
      <c r="AAZ92" s="368"/>
      <c r="ABA92" s="368"/>
      <c r="ABB92" s="368"/>
      <c r="ABC92" s="368"/>
      <c r="ABD92" s="368"/>
      <c r="ABE92" s="368"/>
      <c r="ABF92" s="368"/>
      <c r="ABG92" s="368"/>
      <c r="ABH92" s="368"/>
      <c r="ABI92" s="368"/>
      <c r="ABJ92" s="368"/>
      <c r="ABK92" s="368"/>
      <c r="ABL92" s="368"/>
      <c r="ABM92" s="368"/>
      <c r="ABN92" s="368"/>
      <c r="ABO92" s="368"/>
      <c r="ABP92" s="368"/>
      <c r="ABQ92" s="368"/>
      <c r="ABR92" s="368"/>
      <c r="ABS92" s="368"/>
      <c r="ABT92" s="368"/>
      <c r="ABU92" s="368"/>
      <c r="ABV92" s="368"/>
      <c r="ABW92" s="368"/>
      <c r="ABX92" s="368"/>
      <c r="ABY92" s="368"/>
      <c r="ABZ92" s="368"/>
      <c r="ACA92" s="368"/>
      <c r="ACB92" s="368"/>
      <c r="ACC92" s="368"/>
      <c r="ACD92" s="368"/>
      <c r="ACE92" s="368"/>
      <c r="ACF92" s="368"/>
      <c r="ACG92" s="368"/>
      <c r="ACH92" s="368"/>
      <c r="ACI92" s="368"/>
      <c r="ACJ92" s="368"/>
      <c r="ACK92" s="368"/>
      <c r="ACL92" s="368"/>
      <c r="ACM92" s="368"/>
      <c r="ACN92" s="368"/>
      <c r="ACO92" s="368"/>
      <c r="ACP92" s="368"/>
      <c r="ACQ92" s="368"/>
      <c r="ACR92" s="368"/>
      <c r="ACS92" s="368"/>
      <c r="ACT92" s="368"/>
      <c r="ACU92" s="368"/>
      <c r="ACV92" s="368"/>
      <c r="ACW92" s="368"/>
      <c r="ACX92" s="368"/>
      <c r="ACY92" s="368"/>
      <c r="ACZ92" s="368"/>
      <c r="ADA92" s="368"/>
      <c r="ADB92" s="368"/>
      <c r="ADC92" s="368"/>
      <c r="ADD92" s="368"/>
      <c r="ADE92" s="368"/>
      <c r="ADF92" s="368"/>
      <c r="ADG92" s="368"/>
      <c r="ADH92" s="368"/>
      <c r="ADI92" s="368"/>
      <c r="ADJ92" s="368"/>
      <c r="ADK92" s="368"/>
      <c r="ADL92" s="368"/>
      <c r="ADM92" s="368"/>
      <c r="ADN92" s="368"/>
      <c r="ADO92" s="368"/>
      <c r="ADP92" s="368"/>
      <c r="ADQ92" s="368"/>
      <c r="ADR92" s="368"/>
      <c r="ADS92" s="368"/>
      <c r="ADT92" s="368"/>
      <c r="ADU92" s="368"/>
      <c r="ADV92" s="368"/>
      <c r="ADW92" s="368"/>
      <c r="ADX92" s="368"/>
      <c r="ADY92" s="368"/>
      <c r="ADZ92" s="368"/>
      <c r="AEA92" s="368"/>
      <c r="AEB92" s="368"/>
      <c r="AEC92" s="368"/>
      <c r="AED92" s="368"/>
      <c r="AEE92" s="368"/>
      <c r="AEF92" s="368"/>
      <c r="AEG92" s="368"/>
      <c r="AEH92" s="368"/>
      <c r="AEI92" s="368"/>
      <c r="AEJ92" s="368"/>
      <c r="AEK92" s="368"/>
      <c r="AEL92" s="368"/>
      <c r="AEM92" s="368"/>
      <c r="AEN92" s="368"/>
      <c r="AEO92" s="368"/>
      <c r="AEP92" s="368"/>
      <c r="AEQ92" s="368"/>
      <c r="AER92" s="368"/>
      <c r="AES92" s="368"/>
      <c r="AET92" s="368"/>
      <c r="AEU92" s="368"/>
      <c r="AEV92" s="368"/>
      <c r="AEW92" s="368"/>
      <c r="AEX92" s="368"/>
      <c r="AEY92" s="368"/>
      <c r="AEZ92" s="368"/>
      <c r="AFA92" s="368"/>
      <c r="AFB92" s="368"/>
      <c r="AFC92" s="368"/>
      <c r="AFD92" s="368"/>
      <c r="AFE92" s="368"/>
      <c r="AFF92" s="368"/>
      <c r="AFG92" s="368"/>
      <c r="AFH92" s="368"/>
      <c r="AFI92" s="368"/>
      <c r="AFJ92" s="368"/>
      <c r="AFK92" s="368"/>
      <c r="AFL92" s="368"/>
      <c r="AFM92" s="368"/>
      <c r="AFN92" s="368"/>
      <c r="AFO92" s="368"/>
      <c r="AFP92" s="368"/>
      <c r="AFQ92" s="368"/>
      <c r="AFR92" s="368"/>
      <c r="AFS92" s="368"/>
      <c r="AFT92" s="368"/>
      <c r="AFU92" s="368"/>
      <c r="AFV92" s="368"/>
      <c r="AFW92" s="368"/>
      <c r="AFX92" s="368"/>
      <c r="AFY92" s="368"/>
      <c r="AFZ92" s="368"/>
      <c r="AGA92" s="368"/>
      <c r="AGB92" s="368"/>
      <c r="AGC92" s="368"/>
      <c r="AGD92" s="368"/>
      <c r="AGE92" s="368"/>
      <c r="AGF92" s="368"/>
      <c r="AGG92" s="368"/>
      <c r="AGH92" s="368"/>
      <c r="AGI92" s="368"/>
      <c r="AGJ92" s="368"/>
      <c r="AGK92" s="368"/>
      <c r="AGL92" s="368"/>
      <c r="AGM92" s="368"/>
      <c r="AGN92" s="368"/>
      <c r="AGO92" s="368"/>
      <c r="AGP92" s="368"/>
      <c r="AGQ92" s="368"/>
      <c r="AGR92" s="368"/>
      <c r="AGS92" s="368"/>
      <c r="AGT92" s="368"/>
      <c r="AGU92" s="368"/>
      <c r="AGV92" s="368"/>
      <c r="AGW92" s="368"/>
      <c r="AGX92" s="368"/>
      <c r="AGY92" s="368"/>
      <c r="AGZ92" s="368"/>
      <c r="AHA92" s="368"/>
      <c r="AHB92" s="368"/>
      <c r="AHC92" s="368"/>
      <c r="AHD92" s="368"/>
      <c r="AHE92" s="368"/>
      <c r="AHF92" s="368"/>
      <c r="AHG92" s="368"/>
      <c r="AHH92" s="368"/>
      <c r="AHI92" s="368"/>
      <c r="AHJ92" s="368"/>
      <c r="AHK92" s="368"/>
      <c r="AHL92" s="368"/>
      <c r="AHM92" s="368"/>
      <c r="AHN92" s="368"/>
      <c r="AHO92" s="368"/>
      <c r="AHP92" s="368"/>
      <c r="AHQ92" s="368"/>
      <c r="AHR92" s="368"/>
      <c r="AHS92" s="368"/>
      <c r="AHT92" s="368"/>
      <c r="AHU92" s="368"/>
      <c r="AHV92" s="368"/>
      <c r="AHW92" s="368"/>
      <c r="AHX92" s="368"/>
      <c r="AHY92" s="368"/>
      <c r="AHZ92" s="368"/>
      <c r="AIA92" s="368"/>
      <c r="AIB92" s="368"/>
      <c r="AIC92" s="368"/>
      <c r="AID92" s="368"/>
      <c r="AIE92" s="368"/>
      <c r="AIF92" s="368"/>
      <c r="AIG92" s="368"/>
      <c r="AIH92" s="368"/>
      <c r="AII92" s="368"/>
      <c r="AIJ92" s="368"/>
      <c r="AIK92" s="368"/>
      <c r="AIL92" s="368"/>
      <c r="AIM92" s="368"/>
      <c r="AIN92" s="368"/>
      <c r="AIO92" s="368"/>
      <c r="AIP92" s="368"/>
      <c r="AIQ92" s="368"/>
      <c r="AIR92" s="368"/>
      <c r="AIS92" s="368"/>
      <c r="AIT92" s="368"/>
      <c r="AIU92" s="368"/>
      <c r="AIV92" s="368"/>
      <c r="AIW92" s="368"/>
      <c r="AIX92" s="368"/>
      <c r="AIY92" s="368"/>
      <c r="AIZ92" s="368"/>
      <c r="AJA92" s="368"/>
      <c r="AJB92" s="368"/>
      <c r="AJC92" s="368"/>
      <c r="AJD92" s="368"/>
      <c r="AJE92" s="368"/>
      <c r="AJF92" s="368"/>
      <c r="AJG92" s="368"/>
      <c r="AJH92" s="368"/>
      <c r="AJI92" s="368"/>
      <c r="AJJ92" s="368"/>
      <c r="AJK92" s="368"/>
      <c r="AJL92" s="368"/>
      <c r="AJM92" s="368"/>
      <c r="AJN92" s="368"/>
      <c r="AJO92" s="368"/>
      <c r="AJP92" s="368"/>
      <c r="AJQ92" s="368"/>
      <c r="AJR92" s="368"/>
      <c r="AJS92" s="368"/>
      <c r="AJT92" s="368"/>
      <c r="AJU92" s="368"/>
      <c r="AJV92" s="368"/>
      <c r="AJW92" s="368"/>
      <c r="AJX92" s="368"/>
      <c r="AJY92" s="368"/>
      <c r="AJZ92" s="368"/>
      <c r="AKA92" s="368"/>
      <c r="AKB92" s="368"/>
      <c r="AKC92" s="368"/>
      <c r="AKD92" s="368"/>
      <c r="AKE92" s="368"/>
      <c r="AKF92" s="368"/>
      <c r="AKG92" s="368"/>
      <c r="AKH92" s="368"/>
      <c r="AKI92" s="368"/>
      <c r="AKJ92" s="368"/>
      <c r="AKK92" s="368"/>
      <c r="AKL92" s="368"/>
      <c r="AKM92" s="368"/>
      <c r="AKN92" s="368"/>
    </row>
    <row r="93" spans="1:976" s="346" customFormat="1" ht="22.5" customHeight="1" x14ac:dyDescent="0.2">
      <c r="A93" s="370" t="s">
        <v>262</v>
      </c>
      <c r="B93" s="370"/>
      <c r="C93" s="370" t="s">
        <v>221</v>
      </c>
      <c r="D93" s="370" t="s">
        <v>222</v>
      </c>
      <c r="E93" s="371">
        <v>411363</v>
      </c>
      <c r="F93" s="371">
        <v>1359</v>
      </c>
      <c r="G93" s="371">
        <v>204</v>
      </c>
      <c r="H93" s="371">
        <v>0</v>
      </c>
      <c r="I93" s="372">
        <v>45846</v>
      </c>
      <c r="J93" s="370" t="s">
        <v>395</v>
      </c>
      <c r="K93" s="370" t="s">
        <v>538</v>
      </c>
      <c r="L93" s="373">
        <v>111.15</v>
      </c>
      <c r="M93" s="373">
        <v>8.35</v>
      </c>
      <c r="N93" s="444">
        <v>119.5</v>
      </c>
      <c r="O93" s="370"/>
      <c r="P93" s="374">
        <v>45848</v>
      </c>
      <c r="Q93" s="373">
        <v>119.5</v>
      </c>
      <c r="R93" s="370" t="s">
        <v>539</v>
      </c>
      <c r="S93" s="373">
        <v>0</v>
      </c>
      <c r="T93" s="373">
        <v>0</v>
      </c>
      <c r="U93" s="373">
        <v>0</v>
      </c>
      <c r="V93" s="373">
        <v>0</v>
      </c>
      <c r="W93" s="370"/>
      <c r="X93" s="370" t="s">
        <v>293</v>
      </c>
      <c r="Y93" s="370" t="s">
        <v>294</v>
      </c>
      <c r="Z93" s="370" t="s">
        <v>42</v>
      </c>
      <c r="AA93" s="370" t="s">
        <v>228</v>
      </c>
      <c r="AB93" s="370" t="s">
        <v>235</v>
      </c>
      <c r="AC93" s="370" t="s">
        <v>331</v>
      </c>
      <c r="AD93" s="370" t="s">
        <v>231</v>
      </c>
      <c r="AE93" s="370" t="s">
        <v>232</v>
      </c>
      <c r="AF93" s="370" t="s">
        <v>231</v>
      </c>
      <c r="AG93" s="370" t="s">
        <v>232</v>
      </c>
      <c r="AH93" s="370"/>
      <c r="AI93" s="370"/>
      <c r="AJ93" s="370"/>
      <c r="AK93" s="370" t="s">
        <v>540</v>
      </c>
      <c r="AL93" s="371">
        <v>1</v>
      </c>
      <c r="AM93" s="371">
        <v>0</v>
      </c>
      <c r="AN93" s="372">
        <v>45848</v>
      </c>
      <c r="AO93" s="372">
        <v>45848</v>
      </c>
      <c r="AP93" s="373">
        <v>119.5</v>
      </c>
      <c r="AQ93" s="372">
        <v>45847</v>
      </c>
      <c r="AR93" s="368"/>
      <c r="AS93" s="368"/>
      <c r="AT93" s="368"/>
      <c r="AU93" s="368"/>
      <c r="AV93" s="368"/>
      <c r="AW93" s="368"/>
      <c r="AX93" s="368"/>
      <c r="AY93" s="368"/>
      <c r="AZ93" s="368"/>
      <c r="BA93" s="368"/>
      <c r="BB93" s="368"/>
      <c r="BC93" s="368"/>
      <c r="BD93" s="368"/>
      <c r="BE93" s="368"/>
      <c r="BF93" s="368"/>
      <c r="BG93" s="368"/>
      <c r="BH93" s="368"/>
      <c r="BI93" s="368"/>
      <c r="BJ93" s="368"/>
      <c r="BK93" s="368"/>
      <c r="BL93" s="368"/>
      <c r="BM93" s="368"/>
      <c r="BN93" s="368"/>
      <c r="BO93" s="368"/>
      <c r="BP93" s="368"/>
      <c r="BQ93" s="368"/>
      <c r="BR93" s="368"/>
      <c r="BS93" s="368"/>
      <c r="BT93" s="368"/>
      <c r="BU93" s="368"/>
      <c r="BV93" s="368"/>
      <c r="BW93" s="368"/>
      <c r="BX93" s="368"/>
      <c r="BY93" s="368"/>
      <c r="BZ93" s="368"/>
      <c r="CA93" s="368"/>
      <c r="CB93" s="368"/>
      <c r="CC93" s="368"/>
      <c r="CD93" s="368"/>
      <c r="CE93" s="368"/>
      <c r="CF93" s="368"/>
      <c r="CG93" s="368"/>
      <c r="CH93" s="368"/>
      <c r="CI93" s="368"/>
      <c r="CJ93" s="368"/>
      <c r="CK93" s="368"/>
      <c r="CL93" s="368"/>
      <c r="CM93" s="368"/>
      <c r="CN93" s="368"/>
      <c r="CO93" s="368"/>
      <c r="CP93" s="368"/>
      <c r="CQ93" s="368"/>
      <c r="CR93" s="368"/>
      <c r="CS93" s="368"/>
      <c r="CT93" s="368"/>
      <c r="CU93" s="368"/>
      <c r="CV93" s="368"/>
      <c r="CW93" s="368"/>
      <c r="CX93" s="368"/>
      <c r="CY93" s="368"/>
      <c r="CZ93" s="368"/>
      <c r="DA93" s="368"/>
      <c r="DB93" s="368"/>
      <c r="DC93" s="368"/>
      <c r="DD93" s="368"/>
      <c r="DE93" s="368"/>
      <c r="DF93" s="368"/>
      <c r="DG93" s="368"/>
      <c r="DH93" s="368"/>
      <c r="DI93" s="368"/>
      <c r="DJ93" s="368"/>
      <c r="DK93" s="368"/>
      <c r="DL93" s="368"/>
      <c r="DM93" s="368"/>
      <c r="DN93" s="368"/>
      <c r="DO93" s="368"/>
      <c r="DP93" s="368"/>
      <c r="DQ93" s="368"/>
      <c r="DR93" s="368"/>
      <c r="DS93" s="368"/>
      <c r="DT93" s="368"/>
      <c r="DU93" s="368"/>
      <c r="DV93" s="368"/>
      <c r="DW93" s="368"/>
      <c r="DX93" s="368"/>
      <c r="DY93" s="368"/>
      <c r="DZ93" s="368"/>
      <c r="EA93" s="368"/>
      <c r="EB93" s="368"/>
      <c r="EC93" s="368"/>
      <c r="ED93" s="368"/>
      <c r="EE93" s="368"/>
      <c r="EF93" s="368"/>
      <c r="EG93" s="368"/>
      <c r="EH93" s="368"/>
      <c r="EI93" s="368"/>
      <c r="EJ93" s="368"/>
      <c r="EK93" s="368"/>
      <c r="EL93" s="368"/>
      <c r="EM93" s="368"/>
      <c r="EN93" s="368"/>
      <c r="EO93" s="368"/>
      <c r="EP93" s="368"/>
      <c r="EQ93" s="368"/>
      <c r="ER93" s="368"/>
      <c r="ES93" s="368"/>
      <c r="ET93" s="368"/>
      <c r="EU93" s="368"/>
      <c r="EV93" s="368"/>
      <c r="EW93" s="368"/>
      <c r="EX93" s="368"/>
      <c r="EY93" s="368"/>
      <c r="EZ93" s="368"/>
      <c r="FA93" s="368"/>
      <c r="FB93" s="368"/>
      <c r="FC93" s="368"/>
      <c r="FD93" s="368"/>
      <c r="FE93" s="368"/>
      <c r="FF93" s="368"/>
      <c r="FG93" s="368"/>
      <c r="FH93" s="368"/>
      <c r="FI93" s="368"/>
      <c r="FJ93" s="368"/>
      <c r="FK93" s="368"/>
      <c r="FL93" s="368"/>
      <c r="FM93" s="368"/>
      <c r="FN93" s="368"/>
      <c r="FO93" s="368"/>
      <c r="FP93" s="368"/>
      <c r="FQ93" s="368"/>
      <c r="FR93" s="368"/>
      <c r="FS93" s="368"/>
      <c r="FT93" s="368"/>
      <c r="FU93" s="368"/>
      <c r="FV93" s="368"/>
      <c r="FW93" s="368"/>
      <c r="FX93" s="368"/>
      <c r="FY93" s="368"/>
      <c r="FZ93" s="368"/>
      <c r="GA93" s="368"/>
      <c r="GB93" s="368"/>
      <c r="GC93" s="368"/>
      <c r="GD93" s="368"/>
      <c r="GE93" s="368"/>
      <c r="GF93" s="368"/>
      <c r="GG93" s="368"/>
      <c r="GH93" s="368"/>
      <c r="GI93" s="368"/>
      <c r="GJ93" s="368"/>
      <c r="GK93" s="368"/>
      <c r="GL93" s="368"/>
      <c r="GM93" s="368"/>
      <c r="GN93" s="368"/>
      <c r="GO93" s="368"/>
      <c r="GP93" s="368"/>
      <c r="GQ93" s="368"/>
      <c r="GR93" s="368"/>
      <c r="GS93" s="368"/>
      <c r="GT93" s="368"/>
      <c r="GU93" s="368"/>
      <c r="GV93" s="368"/>
      <c r="GW93" s="368"/>
      <c r="GX93" s="368"/>
      <c r="GY93" s="368"/>
      <c r="GZ93" s="368"/>
      <c r="HA93" s="368"/>
      <c r="HB93" s="368"/>
      <c r="HC93" s="368"/>
      <c r="HD93" s="368"/>
      <c r="HE93" s="368"/>
      <c r="HF93" s="368"/>
      <c r="HG93" s="368"/>
      <c r="HH93" s="368"/>
      <c r="HI93" s="368"/>
      <c r="HJ93" s="368"/>
      <c r="HK93" s="368"/>
      <c r="HL93" s="368"/>
      <c r="HM93" s="368"/>
      <c r="HN93" s="368"/>
      <c r="HO93" s="368"/>
      <c r="HP93" s="368"/>
      <c r="HQ93" s="368"/>
      <c r="HR93" s="368"/>
      <c r="HS93" s="368"/>
      <c r="HT93" s="368"/>
      <c r="HU93" s="368"/>
      <c r="HV93" s="368"/>
      <c r="HW93" s="368"/>
      <c r="HX93" s="368"/>
      <c r="HY93" s="368"/>
      <c r="HZ93" s="368"/>
      <c r="IA93" s="368"/>
      <c r="IB93" s="368"/>
      <c r="IC93" s="368"/>
      <c r="ID93" s="368"/>
      <c r="IE93" s="368"/>
      <c r="IF93" s="368"/>
      <c r="IG93" s="368"/>
      <c r="IH93" s="368"/>
      <c r="II93" s="368"/>
      <c r="IJ93" s="368"/>
      <c r="IK93" s="368"/>
      <c r="IL93" s="368"/>
      <c r="IM93" s="368"/>
      <c r="IN93" s="368"/>
      <c r="IO93" s="368"/>
      <c r="IP93" s="368"/>
      <c r="IQ93" s="368"/>
      <c r="IR93" s="368"/>
      <c r="IS93" s="368"/>
      <c r="IT93" s="368"/>
      <c r="IU93" s="368"/>
      <c r="IV93" s="368"/>
      <c r="IW93" s="368"/>
      <c r="IX93" s="368"/>
      <c r="IY93" s="368"/>
      <c r="IZ93" s="368"/>
      <c r="JA93" s="368"/>
      <c r="JB93" s="368"/>
      <c r="JC93" s="368"/>
      <c r="JD93" s="368"/>
      <c r="JE93" s="368"/>
      <c r="JF93" s="368"/>
      <c r="JG93" s="368"/>
      <c r="JH93" s="368"/>
      <c r="JI93" s="368"/>
      <c r="JJ93" s="368"/>
      <c r="JK93" s="368"/>
      <c r="JL93" s="368"/>
      <c r="JM93" s="368"/>
      <c r="JN93" s="368"/>
      <c r="JO93" s="368"/>
      <c r="JP93" s="368"/>
      <c r="JQ93" s="368"/>
      <c r="JR93" s="368"/>
      <c r="JS93" s="368"/>
      <c r="JT93" s="368"/>
      <c r="JU93" s="368"/>
      <c r="JV93" s="368"/>
      <c r="JW93" s="368"/>
      <c r="JX93" s="368"/>
      <c r="JY93" s="368"/>
      <c r="JZ93" s="368"/>
      <c r="KA93" s="368"/>
      <c r="KB93" s="368"/>
      <c r="KC93" s="368"/>
      <c r="KD93" s="368"/>
      <c r="KE93" s="368"/>
      <c r="KF93" s="368"/>
      <c r="KG93" s="368"/>
      <c r="KH93" s="368"/>
      <c r="KI93" s="368"/>
      <c r="KJ93" s="368"/>
      <c r="KK93" s="368"/>
      <c r="KL93" s="368"/>
      <c r="KM93" s="368"/>
      <c r="KN93" s="368"/>
      <c r="KO93" s="368"/>
      <c r="KP93" s="368"/>
      <c r="KQ93" s="368"/>
      <c r="KR93" s="368"/>
      <c r="KS93" s="368"/>
      <c r="KT93" s="368"/>
      <c r="KU93" s="368"/>
      <c r="KV93" s="368"/>
      <c r="KW93" s="368"/>
      <c r="KX93" s="368"/>
      <c r="KY93" s="368"/>
      <c r="KZ93" s="368"/>
      <c r="LA93" s="368"/>
      <c r="LB93" s="368"/>
      <c r="LC93" s="368"/>
      <c r="LD93" s="368"/>
      <c r="LE93" s="368"/>
      <c r="LF93" s="368"/>
      <c r="LG93" s="368"/>
      <c r="LH93" s="368"/>
      <c r="LI93" s="368"/>
      <c r="LJ93" s="368"/>
      <c r="LK93" s="368"/>
      <c r="LL93" s="368"/>
      <c r="LM93" s="368"/>
      <c r="LN93" s="368"/>
      <c r="LO93" s="368"/>
      <c r="LP93" s="368"/>
      <c r="LQ93" s="368"/>
      <c r="LR93" s="368"/>
      <c r="LS93" s="368"/>
      <c r="LT93" s="368"/>
      <c r="LU93" s="368"/>
      <c r="LV93" s="368"/>
      <c r="LW93" s="368"/>
      <c r="LX93" s="368"/>
      <c r="LY93" s="368"/>
      <c r="LZ93" s="368"/>
      <c r="MA93" s="368"/>
      <c r="MB93" s="368"/>
      <c r="MC93" s="368"/>
      <c r="MD93" s="368"/>
      <c r="ME93" s="368"/>
      <c r="MF93" s="368"/>
      <c r="MG93" s="368"/>
      <c r="MH93" s="368"/>
      <c r="MI93" s="368"/>
      <c r="MJ93" s="368"/>
      <c r="MK93" s="368"/>
      <c r="ML93" s="368"/>
      <c r="MM93" s="368"/>
      <c r="MN93" s="368"/>
      <c r="MO93" s="368"/>
      <c r="MP93" s="368"/>
      <c r="MQ93" s="368"/>
      <c r="MR93" s="368"/>
      <c r="MS93" s="368"/>
      <c r="MT93" s="368"/>
      <c r="MU93" s="368"/>
      <c r="MV93" s="368"/>
      <c r="MW93" s="368"/>
      <c r="MX93" s="368"/>
      <c r="MY93" s="368"/>
      <c r="MZ93" s="368"/>
      <c r="NA93" s="368"/>
      <c r="NB93" s="368"/>
      <c r="NC93" s="368"/>
      <c r="ND93" s="368"/>
      <c r="NE93" s="368"/>
      <c r="NF93" s="368"/>
      <c r="NG93" s="368"/>
      <c r="NH93" s="368"/>
      <c r="NI93" s="368"/>
      <c r="NJ93" s="368"/>
      <c r="NK93" s="368"/>
      <c r="NL93" s="368"/>
      <c r="NM93" s="368"/>
      <c r="NN93" s="368"/>
      <c r="NO93" s="368"/>
      <c r="NP93" s="368"/>
      <c r="NQ93" s="368"/>
      <c r="NR93" s="368"/>
      <c r="NS93" s="368"/>
      <c r="NT93" s="368"/>
      <c r="NU93" s="368"/>
      <c r="NV93" s="368"/>
      <c r="NW93" s="368"/>
      <c r="NX93" s="368"/>
      <c r="NY93" s="368"/>
      <c r="NZ93" s="368"/>
      <c r="OA93" s="368"/>
      <c r="OB93" s="368"/>
      <c r="OC93" s="368"/>
      <c r="OD93" s="368"/>
      <c r="OE93" s="368"/>
      <c r="OF93" s="368"/>
      <c r="OG93" s="368"/>
      <c r="OH93" s="368"/>
      <c r="OI93" s="368"/>
      <c r="OJ93" s="368"/>
      <c r="OK93" s="368"/>
      <c r="OL93" s="368"/>
      <c r="OM93" s="368"/>
      <c r="ON93" s="368"/>
      <c r="OO93" s="368"/>
      <c r="OP93" s="368"/>
      <c r="OQ93" s="368"/>
      <c r="OR93" s="368"/>
      <c r="OS93" s="368"/>
      <c r="OT93" s="368"/>
      <c r="OU93" s="368"/>
      <c r="OV93" s="368"/>
      <c r="OW93" s="368"/>
      <c r="OX93" s="368"/>
      <c r="OY93" s="368"/>
      <c r="OZ93" s="368"/>
      <c r="PA93" s="368"/>
      <c r="PB93" s="368"/>
      <c r="PC93" s="368"/>
      <c r="PD93" s="368"/>
      <c r="PE93" s="368"/>
      <c r="PF93" s="368"/>
      <c r="PG93" s="368"/>
      <c r="PH93" s="368"/>
      <c r="PI93" s="368"/>
      <c r="PJ93" s="368"/>
      <c r="PK93" s="368"/>
      <c r="PL93" s="368"/>
      <c r="PM93" s="368"/>
      <c r="PN93" s="368"/>
      <c r="PO93" s="368"/>
      <c r="PP93" s="368"/>
      <c r="PQ93" s="368"/>
      <c r="PR93" s="368"/>
      <c r="PS93" s="368"/>
      <c r="PT93" s="368"/>
      <c r="PU93" s="368"/>
      <c r="PV93" s="368"/>
      <c r="PW93" s="368"/>
      <c r="PX93" s="368"/>
      <c r="PY93" s="368"/>
      <c r="PZ93" s="368"/>
      <c r="QA93" s="368"/>
      <c r="QB93" s="368"/>
      <c r="QC93" s="368"/>
      <c r="QD93" s="368"/>
      <c r="QE93" s="368"/>
      <c r="QF93" s="368"/>
      <c r="QG93" s="368"/>
      <c r="QH93" s="368"/>
      <c r="QI93" s="368"/>
      <c r="QJ93" s="368"/>
      <c r="QK93" s="368"/>
      <c r="QL93" s="368"/>
      <c r="QM93" s="368"/>
      <c r="QN93" s="368"/>
      <c r="QO93" s="368"/>
      <c r="QP93" s="368"/>
      <c r="QQ93" s="368"/>
      <c r="QR93" s="368"/>
      <c r="QS93" s="368"/>
      <c r="QT93" s="368"/>
      <c r="QU93" s="368"/>
      <c r="QV93" s="368"/>
      <c r="QW93" s="368"/>
      <c r="QX93" s="368"/>
      <c r="QY93" s="368"/>
      <c r="QZ93" s="368"/>
      <c r="RA93" s="368"/>
      <c r="RB93" s="368"/>
      <c r="RC93" s="368"/>
      <c r="RD93" s="368"/>
      <c r="RE93" s="368"/>
      <c r="RF93" s="368"/>
      <c r="RG93" s="368"/>
      <c r="RH93" s="368"/>
      <c r="RI93" s="368"/>
      <c r="RJ93" s="368"/>
      <c r="RK93" s="368"/>
      <c r="RL93" s="368"/>
      <c r="RM93" s="368"/>
      <c r="RN93" s="368"/>
      <c r="RO93" s="368"/>
      <c r="RP93" s="368"/>
      <c r="RQ93" s="368"/>
      <c r="RR93" s="368"/>
      <c r="RS93" s="368"/>
      <c r="RT93" s="368"/>
      <c r="RU93" s="368"/>
      <c r="RV93" s="368"/>
      <c r="RW93" s="368"/>
      <c r="RX93" s="368"/>
      <c r="RY93" s="368"/>
      <c r="RZ93" s="368"/>
      <c r="SA93" s="368"/>
      <c r="SB93" s="368"/>
      <c r="SC93" s="368"/>
      <c r="SD93" s="368"/>
      <c r="SE93" s="368"/>
      <c r="SF93" s="368"/>
      <c r="SG93" s="368"/>
      <c r="SH93" s="368"/>
      <c r="SI93" s="368"/>
      <c r="SJ93" s="368"/>
      <c r="SK93" s="368"/>
      <c r="SL93" s="368"/>
      <c r="SM93" s="368"/>
      <c r="SN93" s="368"/>
      <c r="SO93" s="368"/>
      <c r="SP93" s="368"/>
      <c r="SQ93" s="368"/>
      <c r="SR93" s="368"/>
      <c r="SS93" s="368"/>
      <c r="ST93" s="368"/>
      <c r="SU93" s="368"/>
      <c r="SV93" s="368"/>
      <c r="SW93" s="368"/>
      <c r="SX93" s="368"/>
      <c r="SY93" s="368"/>
      <c r="SZ93" s="368"/>
      <c r="TA93" s="368"/>
      <c r="TB93" s="368"/>
      <c r="TC93" s="368"/>
      <c r="TD93" s="368"/>
      <c r="TE93" s="368"/>
      <c r="TF93" s="368"/>
      <c r="TG93" s="368"/>
      <c r="TH93" s="368"/>
      <c r="TI93" s="368"/>
      <c r="TJ93" s="368"/>
      <c r="TK93" s="368"/>
      <c r="TL93" s="368"/>
      <c r="TM93" s="368"/>
      <c r="TN93" s="368"/>
      <c r="TO93" s="368"/>
      <c r="TP93" s="368"/>
      <c r="TQ93" s="368"/>
      <c r="TR93" s="368"/>
      <c r="TS93" s="368"/>
      <c r="TT93" s="368"/>
      <c r="TU93" s="368"/>
      <c r="TV93" s="368"/>
      <c r="TW93" s="368"/>
      <c r="TX93" s="368"/>
      <c r="TY93" s="368"/>
      <c r="TZ93" s="368"/>
      <c r="UA93" s="368"/>
      <c r="UB93" s="368"/>
      <c r="UC93" s="368"/>
      <c r="UD93" s="368"/>
      <c r="UE93" s="368"/>
      <c r="UF93" s="368"/>
      <c r="UG93" s="368"/>
      <c r="UH93" s="368"/>
      <c r="UI93" s="368"/>
      <c r="UJ93" s="368"/>
      <c r="UK93" s="368"/>
      <c r="UL93" s="368"/>
      <c r="UM93" s="368"/>
      <c r="UN93" s="368"/>
      <c r="UO93" s="368"/>
      <c r="UP93" s="368"/>
      <c r="UQ93" s="368"/>
      <c r="UR93" s="368"/>
      <c r="US93" s="368"/>
      <c r="UT93" s="368"/>
      <c r="UU93" s="368"/>
      <c r="UV93" s="368"/>
      <c r="UW93" s="368"/>
      <c r="UX93" s="368"/>
      <c r="UY93" s="368"/>
      <c r="UZ93" s="368"/>
      <c r="VA93" s="368"/>
      <c r="VB93" s="368"/>
      <c r="VC93" s="368"/>
      <c r="VD93" s="368"/>
      <c r="VE93" s="368"/>
      <c r="VF93" s="368"/>
      <c r="VG93" s="368"/>
      <c r="VH93" s="368"/>
      <c r="VI93" s="368"/>
      <c r="VJ93" s="368"/>
      <c r="VK93" s="368"/>
      <c r="VL93" s="368"/>
      <c r="VM93" s="368"/>
      <c r="VN93" s="368"/>
      <c r="VO93" s="368"/>
      <c r="VP93" s="368"/>
      <c r="VQ93" s="368"/>
      <c r="VR93" s="368"/>
      <c r="VS93" s="368"/>
      <c r="VT93" s="368"/>
      <c r="VU93" s="368"/>
      <c r="VV93" s="368"/>
      <c r="VW93" s="368"/>
      <c r="VX93" s="368"/>
      <c r="VY93" s="368"/>
      <c r="VZ93" s="368"/>
      <c r="WA93" s="368"/>
      <c r="WB93" s="368"/>
      <c r="WC93" s="368"/>
      <c r="WD93" s="368"/>
      <c r="WE93" s="368"/>
      <c r="WF93" s="368"/>
      <c r="WG93" s="368"/>
      <c r="WH93" s="368"/>
      <c r="WI93" s="368"/>
      <c r="WJ93" s="368"/>
      <c r="WK93" s="368"/>
      <c r="WL93" s="368"/>
      <c r="WM93" s="368"/>
      <c r="WN93" s="368"/>
      <c r="WO93" s="368"/>
      <c r="WP93" s="368"/>
      <c r="WQ93" s="368"/>
      <c r="WR93" s="368"/>
      <c r="WS93" s="368"/>
      <c r="WT93" s="368"/>
      <c r="WU93" s="368"/>
      <c r="WV93" s="368"/>
      <c r="WW93" s="368"/>
      <c r="WX93" s="368"/>
      <c r="WY93" s="368"/>
      <c r="WZ93" s="368"/>
      <c r="XA93" s="368"/>
      <c r="XB93" s="368"/>
      <c r="XC93" s="368"/>
      <c r="XD93" s="368"/>
      <c r="XE93" s="368"/>
      <c r="XF93" s="368"/>
      <c r="XG93" s="368"/>
      <c r="XH93" s="368"/>
      <c r="XI93" s="368"/>
      <c r="XJ93" s="368"/>
      <c r="XK93" s="368"/>
      <c r="XL93" s="368"/>
      <c r="XM93" s="368"/>
      <c r="XN93" s="368"/>
      <c r="XO93" s="368"/>
      <c r="XP93" s="368"/>
      <c r="XQ93" s="368"/>
      <c r="XR93" s="368"/>
      <c r="XS93" s="368"/>
      <c r="XT93" s="368"/>
      <c r="XU93" s="368"/>
      <c r="XV93" s="368"/>
      <c r="XW93" s="368"/>
      <c r="XX93" s="368"/>
      <c r="XY93" s="368"/>
      <c r="XZ93" s="368"/>
      <c r="YA93" s="368"/>
      <c r="YB93" s="368"/>
      <c r="YC93" s="368"/>
      <c r="YD93" s="368"/>
      <c r="YE93" s="368"/>
      <c r="YF93" s="368"/>
      <c r="YG93" s="368"/>
      <c r="YH93" s="368"/>
      <c r="YI93" s="368"/>
      <c r="YJ93" s="368"/>
      <c r="YK93" s="368"/>
      <c r="YL93" s="368"/>
      <c r="YM93" s="368"/>
      <c r="YN93" s="368"/>
      <c r="YO93" s="368"/>
      <c r="YP93" s="368"/>
      <c r="YQ93" s="368"/>
      <c r="YR93" s="368"/>
      <c r="YS93" s="368"/>
      <c r="YT93" s="368"/>
      <c r="YU93" s="368"/>
      <c r="YV93" s="368"/>
      <c r="YW93" s="368"/>
      <c r="YX93" s="368"/>
      <c r="YY93" s="368"/>
      <c r="YZ93" s="368"/>
      <c r="ZA93" s="368"/>
      <c r="ZB93" s="368"/>
      <c r="ZC93" s="368"/>
      <c r="ZD93" s="368"/>
      <c r="ZE93" s="368"/>
      <c r="ZF93" s="368"/>
      <c r="ZG93" s="368"/>
      <c r="ZH93" s="368"/>
      <c r="ZI93" s="368"/>
      <c r="ZJ93" s="368"/>
      <c r="ZK93" s="368"/>
      <c r="ZL93" s="368"/>
      <c r="ZM93" s="368"/>
      <c r="ZN93" s="368"/>
      <c r="ZO93" s="368"/>
      <c r="ZP93" s="368"/>
      <c r="ZQ93" s="368"/>
      <c r="ZR93" s="368"/>
      <c r="ZS93" s="368"/>
      <c r="ZT93" s="368"/>
      <c r="ZU93" s="368"/>
      <c r="ZV93" s="368"/>
      <c r="ZW93" s="368"/>
      <c r="ZX93" s="368"/>
      <c r="ZY93" s="368"/>
      <c r="ZZ93" s="368"/>
      <c r="AAA93" s="368"/>
      <c r="AAB93" s="368"/>
      <c r="AAC93" s="368"/>
      <c r="AAD93" s="368"/>
      <c r="AAE93" s="368"/>
      <c r="AAF93" s="368"/>
      <c r="AAG93" s="368"/>
      <c r="AAH93" s="368"/>
      <c r="AAI93" s="368"/>
      <c r="AAJ93" s="368"/>
      <c r="AAK93" s="368"/>
      <c r="AAL93" s="368"/>
      <c r="AAM93" s="368"/>
      <c r="AAN93" s="368"/>
      <c r="AAO93" s="368"/>
      <c r="AAP93" s="368"/>
      <c r="AAQ93" s="368"/>
      <c r="AAR93" s="368"/>
      <c r="AAS93" s="368"/>
      <c r="AAT93" s="368"/>
      <c r="AAU93" s="368"/>
      <c r="AAV93" s="368"/>
      <c r="AAW93" s="368"/>
      <c r="AAX93" s="368"/>
      <c r="AAY93" s="368"/>
      <c r="AAZ93" s="368"/>
      <c r="ABA93" s="368"/>
      <c r="ABB93" s="368"/>
      <c r="ABC93" s="368"/>
      <c r="ABD93" s="368"/>
      <c r="ABE93" s="368"/>
      <c r="ABF93" s="368"/>
      <c r="ABG93" s="368"/>
      <c r="ABH93" s="368"/>
      <c r="ABI93" s="368"/>
      <c r="ABJ93" s="368"/>
      <c r="ABK93" s="368"/>
      <c r="ABL93" s="368"/>
      <c r="ABM93" s="368"/>
      <c r="ABN93" s="368"/>
      <c r="ABO93" s="368"/>
      <c r="ABP93" s="368"/>
      <c r="ABQ93" s="368"/>
      <c r="ABR93" s="368"/>
      <c r="ABS93" s="368"/>
      <c r="ABT93" s="368"/>
      <c r="ABU93" s="368"/>
      <c r="ABV93" s="368"/>
      <c r="ABW93" s="368"/>
      <c r="ABX93" s="368"/>
      <c r="ABY93" s="368"/>
      <c r="ABZ93" s="368"/>
      <c r="ACA93" s="368"/>
      <c r="ACB93" s="368"/>
      <c r="ACC93" s="368"/>
      <c r="ACD93" s="368"/>
      <c r="ACE93" s="368"/>
      <c r="ACF93" s="368"/>
      <c r="ACG93" s="368"/>
      <c r="ACH93" s="368"/>
      <c r="ACI93" s="368"/>
      <c r="ACJ93" s="368"/>
      <c r="ACK93" s="368"/>
      <c r="ACL93" s="368"/>
      <c r="ACM93" s="368"/>
      <c r="ACN93" s="368"/>
      <c r="ACO93" s="368"/>
      <c r="ACP93" s="368"/>
      <c r="ACQ93" s="368"/>
      <c r="ACR93" s="368"/>
      <c r="ACS93" s="368"/>
      <c r="ACT93" s="368"/>
      <c r="ACU93" s="368"/>
      <c r="ACV93" s="368"/>
      <c r="ACW93" s="368"/>
      <c r="ACX93" s="368"/>
      <c r="ACY93" s="368"/>
      <c r="ACZ93" s="368"/>
      <c r="ADA93" s="368"/>
      <c r="ADB93" s="368"/>
      <c r="ADC93" s="368"/>
      <c r="ADD93" s="368"/>
      <c r="ADE93" s="368"/>
      <c r="ADF93" s="368"/>
      <c r="ADG93" s="368"/>
      <c r="ADH93" s="368"/>
      <c r="ADI93" s="368"/>
      <c r="ADJ93" s="368"/>
      <c r="ADK93" s="368"/>
      <c r="ADL93" s="368"/>
      <c r="ADM93" s="368"/>
      <c r="ADN93" s="368"/>
      <c r="ADO93" s="368"/>
      <c r="ADP93" s="368"/>
      <c r="ADQ93" s="368"/>
      <c r="ADR93" s="368"/>
      <c r="ADS93" s="368"/>
      <c r="ADT93" s="368"/>
      <c r="ADU93" s="368"/>
      <c r="ADV93" s="368"/>
      <c r="ADW93" s="368"/>
      <c r="ADX93" s="368"/>
      <c r="ADY93" s="368"/>
      <c r="ADZ93" s="368"/>
      <c r="AEA93" s="368"/>
      <c r="AEB93" s="368"/>
      <c r="AEC93" s="368"/>
      <c r="AED93" s="368"/>
      <c r="AEE93" s="368"/>
      <c r="AEF93" s="368"/>
      <c r="AEG93" s="368"/>
      <c r="AEH93" s="368"/>
      <c r="AEI93" s="368"/>
      <c r="AEJ93" s="368"/>
      <c r="AEK93" s="368"/>
      <c r="AEL93" s="368"/>
      <c r="AEM93" s="368"/>
      <c r="AEN93" s="368"/>
      <c r="AEO93" s="368"/>
      <c r="AEP93" s="368"/>
      <c r="AEQ93" s="368"/>
      <c r="AER93" s="368"/>
      <c r="AES93" s="368"/>
      <c r="AET93" s="368"/>
      <c r="AEU93" s="368"/>
      <c r="AEV93" s="368"/>
      <c r="AEW93" s="368"/>
      <c r="AEX93" s="368"/>
      <c r="AEY93" s="368"/>
      <c r="AEZ93" s="368"/>
      <c r="AFA93" s="368"/>
      <c r="AFB93" s="368"/>
      <c r="AFC93" s="368"/>
      <c r="AFD93" s="368"/>
      <c r="AFE93" s="368"/>
      <c r="AFF93" s="368"/>
      <c r="AFG93" s="368"/>
      <c r="AFH93" s="368"/>
      <c r="AFI93" s="368"/>
      <c r="AFJ93" s="368"/>
      <c r="AFK93" s="368"/>
      <c r="AFL93" s="368"/>
      <c r="AFM93" s="368"/>
      <c r="AFN93" s="368"/>
      <c r="AFO93" s="368"/>
      <c r="AFP93" s="368"/>
      <c r="AFQ93" s="368"/>
      <c r="AFR93" s="368"/>
      <c r="AFS93" s="368"/>
      <c r="AFT93" s="368"/>
      <c r="AFU93" s="368"/>
      <c r="AFV93" s="368"/>
      <c r="AFW93" s="368"/>
      <c r="AFX93" s="368"/>
      <c r="AFY93" s="368"/>
      <c r="AFZ93" s="368"/>
      <c r="AGA93" s="368"/>
      <c r="AGB93" s="368"/>
      <c r="AGC93" s="368"/>
      <c r="AGD93" s="368"/>
      <c r="AGE93" s="368"/>
      <c r="AGF93" s="368"/>
      <c r="AGG93" s="368"/>
      <c r="AGH93" s="368"/>
      <c r="AGI93" s="368"/>
      <c r="AGJ93" s="368"/>
      <c r="AGK93" s="368"/>
      <c r="AGL93" s="368"/>
      <c r="AGM93" s="368"/>
      <c r="AGN93" s="368"/>
      <c r="AGO93" s="368"/>
      <c r="AGP93" s="368"/>
      <c r="AGQ93" s="368"/>
      <c r="AGR93" s="368"/>
      <c r="AGS93" s="368"/>
      <c r="AGT93" s="368"/>
      <c r="AGU93" s="368"/>
      <c r="AGV93" s="368"/>
      <c r="AGW93" s="368"/>
      <c r="AGX93" s="368"/>
      <c r="AGY93" s="368"/>
      <c r="AGZ93" s="368"/>
      <c r="AHA93" s="368"/>
      <c r="AHB93" s="368"/>
      <c r="AHC93" s="368"/>
      <c r="AHD93" s="368"/>
      <c r="AHE93" s="368"/>
      <c r="AHF93" s="368"/>
      <c r="AHG93" s="368"/>
      <c r="AHH93" s="368"/>
      <c r="AHI93" s="368"/>
      <c r="AHJ93" s="368"/>
      <c r="AHK93" s="368"/>
      <c r="AHL93" s="368"/>
      <c r="AHM93" s="368"/>
      <c r="AHN93" s="368"/>
      <c r="AHO93" s="368"/>
      <c r="AHP93" s="368"/>
      <c r="AHQ93" s="368"/>
      <c r="AHR93" s="368"/>
      <c r="AHS93" s="368"/>
      <c r="AHT93" s="368"/>
      <c r="AHU93" s="368"/>
      <c r="AHV93" s="368"/>
      <c r="AHW93" s="368"/>
      <c r="AHX93" s="368"/>
      <c r="AHY93" s="368"/>
      <c r="AHZ93" s="368"/>
      <c r="AIA93" s="368"/>
      <c r="AIB93" s="368"/>
      <c r="AIC93" s="368"/>
      <c r="AID93" s="368"/>
      <c r="AIE93" s="368"/>
      <c r="AIF93" s="368"/>
      <c r="AIG93" s="368"/>
      <c r="AIH93" s="368"/>
      <c r="AII93" s="368"/>
      <c r="AIJ93" s="368"/>
      <c r="AIK93" s="368"/>
      <c r="AIL93" s="368"/>
      <c r="AIM93" s="368"/>
      <c r="AIN93" s="368"/>
      <c r="AIO93" s="368"/>
      <c r="AIP93" s="368"/>
      <c r="AIQ93" s="368"/>
      <c r="AIR93" s="368"/>
      <c r="AIS93" s="368"/>
      <c r="AIT93" s="368"/>
      <c r="AIU93" s="368"/>
      <c r="AIV93" s="368"/>
      <c r="AIW93" s="368"/>
      <c r="AIX93" s="368"/>
      <c r="AIY93" s="368"/>
      <c r="AIZ93" s="368"/>
      <c r="AJA93" s="368"/>
      <c r="AJB93" s="368"/>
      <c r="AJC93" s="368"/>
      <c r="AJD93" s="368"/>
      <c r="AJE93" s="368"/>
      <c r="AJF93" s="368"/>
      <c r="AJG93" s="368"/>
      <c r="AJH93" s="368"/>
      <c r="AJI93" s="368"/>
      <c r="AJJ93" s="368"/>
      <c r="AJK93" s="368"/>
      <c r="AJL93" s="368"/>
      <c r="AJM93" s="368"/>
      <c r="AJN93" s="368"/>
      <c r="AJO93" s="368"/>
      <c r="AJP93" s="368"/>
      <c r="AJQ93" s="368"/>
      <c r="AJR93" s="368"/>
      <c r="AJS93" s="368"/>
      <c r="AJT93" s="368"/>
      <c r="AJU93" s="368"/>
      <c r="AJV93" s="368"/>
      <c r="AJW93" s="368"/>
      <c r="AJX93" s="368"/>
      <c r="AJY93" s="368"/>
      <c r="AJZ93" s="368"/>
      <c r="AKA93" s="368"/>
      <c r="AKB93" s="368"/>
      <c r="AKC93" s="368"/>
      <c r="AKD93" s="368"/>
      <c r="AKE93" s="368"/>
      <c r="AKF93" s="368"/>
      <c r="AKG93" s="368"/>
      <c r="AKH93" s="368"/>
      <c r="AKI93" s="368"/>
      <c r="AKJ93" s="368"/>
      <c r="AKK93" s="368"/>
      <c r="AKL93" s="368"/>
      <c r="AKM93" s="368"/>
      <c r="AKN93" s="368"/>
    </row>
    <row r="94" spans="1:976" s="346" customFormat="1" ht="22.5" customHeight="1" x14ac:dyDescent="0.2">
      <c r="A94" s="370" t="s">
        <v>262</v>
      </c>
      <c r="B94" s="370"/>
      <c r="C94" s="370" t="s">
        <v>221</v>
      </c>
      <c r="D94" s="370" t="s">
        <v>222</v>
      </c>
      <c r="E94" s="371">
        <v>411364</v>
      </c>
      <c r="F94" s="371">
        <v>1360</v>
      </c>
      <c r="G94" s="371">
        <v>204</v>
      </c>
      <c r="H94" s="371">
        <v>0</v>
      </c>
      <c r="I94" s="372">
        <v>45846</v>
      </c>
      <c r="J94" s="370" t="s">
        <v>395</v>
      </c>
      <c r="K94" s="370" t="s">
        <v>541</v>
      </c>
      <c r="L94" s="373">
        <v>94.14</v>
      </c>
      <c r="M94" s="373">
        <v>5.18</v>
      </c>
      <c r="N94" s="444">
        <v>99.32</v>
      </c>
      <c r="O94" s="370"/>
      <c r="P94" s="374">
        <v>45848</v>
      </c>
      <c r="Q94" s="373">
        <v>99.32</v>
      </c>
      <c r="R94" s="370" t="s">
        <v>542</v>
      </c>
      <c r="S94" s="373">
        <v>0</v>
      </c>
      <c r="T94" s="373">
        <v>0</v>
      </c>
      <c r="U94" s="373">
        <v>0</v>
      </c>
      <c r="V94" s="373">
        <v>0</v>
      </c>
      <c r="W94" s="370"/>
      <c r="X94" s="370" t="s">
        <v>293</v>
      </c>
      <c r="Y94" s="370" t="s">
        <v>294</v>
      </c>
      <c r="Z94" s="370" t="s">
        <v>42</v>
      </c>
      <c r="AA94" s="370" t="s">
        <v>228</v>
      </c>
      <c r="AB94" s="370" t="s">
        <v>235</v>
      </c>
      <c r="AC94" s="370" t="s">
        <v>331</v>
      </c>
      <c r="AD94" s="370" t="s">
        <v>231</v>
      </c>
      <c r="AE94" s="370" t="s">
        <v>232</v>
      </c>
      <c r="AF94" s="370" t="s">
        <v>231</v>
      </c>
      <c r="AG94" s="370" t="s">
        <v>232</v>
      </c>
      <c r="AH94" s="370"/>
      <c r="AI94" s="370"/>
      <c r="AJ94" s="370"/>
      <c r="AK94" s="370" t="s">
        <v>543</v>
      </c>
      <c r="AL94" s="371">
        <v>1</v>
      </c>
      <c r="AM94" s="371">
        <v>0</v>
      </c>
      <c r="AN94" s="372">
        <v>45848</v>
      </c>
      <c r="AO94" s="372">
        <v>45848</v>
      </c>
      <c r="AP94" s="373">
        <v>99.32</v>
      </c>
      <c r="AQ94" s="372">
        <v>45847</v>
      </c>
      <c r="AR94" s="368"/>
      <c r="AS94" s="368"/>
      <c r="AT94" s="368"/>
      <c r="AU94" s="368"/>
      <c r="AV94" s="368"/>
      <c r="AW94" s="368"/>
      <c r="AX94" s="368"/>
      <c r="AY94" s="368"/>
      <c r="AZ94" s="368"/>
      <c r="BA94" s="368"/>
      <c r="BB94" s="368"/>
      <c r="BC94" s="368"/>
      <c r="BD94" s="368"/>
      <c r="BE94" s="368"/>
      <c r="BF94" s="368"/>
      <c r="BG94" s="368"/>
      <c r="BH94" s="368"/>
      <c r="BI94" s="368"/>
      <c r="BJ94" s="368"/>
      <c r="BK94" s="368"/>
      <c r="BL94" s="368"/>
      <c r="BM94" s="368"/>
      <c r="BN94" s="368"/>
      <c r="BO94" s="368"/>
      <c r="BP94" s="368"/>
      <c r="BQ94" s="368"/>
      <c r="BR94" s="368"/>
      <c r="BS94" s="368"/>
      <c r="BT94" s="368"/>
      <c r="BU94" s="368"/>
      <c r="BV94" s="368"/>
      <c r="BW94" s="368"/>
      <c r="BX94" s="368"/>
      <c r="BY94" s="368"/>
      <c r="BZ94" s="368"/>
      <c r="CA94" s="368"/>
      <c r="CB94" s="368"/>
      <c r="CC94" s="368"/>
      <c r="CD94" s="368"/>
      <c r="CE94" s="368"/>
      <c r="CF94" s="368"/>
      <c r="CG94" s="368"/>
      <c r="CH94" s="368"/>
      <c r="CI94" s="368"/>
      <c r="CJ94" s="368"/>
      <c r="CK94" s="368"/>
      <c r="CL94" s="368"/>
      <c r="CM94" s="368"/>
      <c r="CN94" s="368"/>
      <c r="CO94" s="368"/>
      <c r="CP94" s="368"/>
      <c r="CQ94" s="368"/>
      <c r="CR94" s="368"/>
      <c r="CS94" s="368"/>
      <c r="CT94" s="368"/>
      <c r="CU94" s="368"/>
      <c r="CV94" s="368"/>
      <c r="CW94" s="368"/>
      <c r="CX94" s="368"/>
      <c r="CY94" s="368"/>
      <c r="CZ94" s="368"/>
      <c r="DA94" s="368"/>
      <c r="DB94" s="368"/>
      <c r="DC94" s="368"/>
      <c r="DD94" s="368"/>
      <c r="DE94" s="368"/>
      <c r="DF94" s="368"/>
      <c r="DG94" s="368"/>
      <c r="DH94" s="368"/>
      <c r="DI94" s="368"/>
      <c r="DJ94" s="368"/>
      <c r="DK94" s="368"/>
      <c r="DL94" s="368"/>
      <c r="DM94" s="368"/>
      <c r="DN94" s="368"/>
      <c r="DO94" s="368"/>
      <c r="DP94" s="368"/>
      <c r="DQ94" s="368"/>
      <c r="DR94" s="368"/>
      <c r="DS94" s="368"/>
      <c r="DT94" s="368"/>
      <c r="DU94" s="368"/>
      <c r="DV94" s="368"/>
      <c r="DW94" s="368"/>
      <c r="DX94" s="368"/>
      <c r="DY94" s="368"/>
      <c r="DZ94" s="368"/>
      <c r="EA94" s="368"/>
      <c r="EB94" s="368"/>
      <c r="EC94" s="368"/>
      <c r="ED94" s="368"/>
      <c r="EE94" s="368"/>
      <c r="EF94" s="368"/>
      <c r="EG94" s="368"/>
      <c r="EH94" s="368"/>
      <c r="EI94" s="368"/>
      <c r="EJ94" s="368"/>
      <c r="EK94" s="368"/>
      <c r="EL94" s="368"/>
      <c r="EM94" s="368"/>
      <c r="EN94" s="368"/>
      <c r="EO94" s="368"/>
      <c r="EP94" s="368"/>
      <c r="EQ94" s="368"/>
      <c r="ER94" s="368"/>
      <c r="ES94" s="368"/>
      <c r="ET94" s="368"/>
      <c r="EU94" s="368"/>
      <c r="EV94" s="368"/>
      <c r="EW94" s="368"/>
      <c r="EX94" s="368"/>
      <c r="EY94" s="368"/>
      <c r="EZ94" s="368"/>
      <c r="FA94" s="368"/>
      <c r="FB94" s="368"/>
      <c r="FC94" s="368"/>
      <c r="FD94" s="368"/>
      <c r="FE94" s="368"/>
      <c r="FF94" s="368"/>
      <c r="FG94" s="368"/>
      <c r="FH94" s="368"/>
      <c r="FI94" s="368"/>
      <c r="FJ94" s="368"/>
      <c r="FK94" s="368"/>
      <c r="FL94" s="368"/>
      <c r="FM94" s="368"/>
      <c r="FN94" s="368"/>
      <c r="FO94" s="368"/>
      <c r="FP94" s="368"/>
      <c r="FQ94" s="368"/>
      <c r="FR94" s="368"/>
      <c r="FS94" s="368"/>
      <c r="FT94" s="368"/>
      <c r="FU94" s="368"/>
      <c r="FV94" s="368"/>
      <c r="FW94" s="368"/>
      <c r="FX94" s="368"/>
      <c r="FY94" s="368"/>
      <c r="FZ94" s="368"/>
      <c r="GA94" s="368"/>
      <c r="GB94" s="368"/>
      <c r="GC94" s="368"/>
      <c r="GD94" s="368"/>
      <c r="GE94" s="368"/>
      <c r="GF94" s="368"/>
      <c r="GG94" s="368"/>
      <c r="GH94" s="368"/>
      <c r="GI94" s="368"/>
      <c r="GJ94" s="368"/>
      <c r="GK94" s="368"/>
      <c r="GL94" s="368"/>
      <c r="GM94" s="368"/>
      <c r="GN94" s="368"/>
      <c r="GO94" s="368"/>
      <c r="GP94" s="368"/>
      <c r="GQ94" s="368"/>
      <c r="GR94" s="368"/>
      <c r="GS94" s="368"/>
      <c r="GT94" s="368"/>
      <c r="GU94" s="368"/>
      <c r="GV94" s="368"/>
      <c r="GW94" s="368"/>
      <c r="GX94" s="368"/>
      <c r="GY94" s="368"/>
      <c r="GZ94" s="368"/>
      <c r="HA94" s="368"/>
      <c r="HB94" s="368"/>
      <c r="HC94" s="368"/>
      <c r="HD94" s="368"/>
      <c r="HE94" s="368"/>
      <c r="HF94" s="368"/>
      <c r="HG94" s="368"/>
      <c r="HH94" s="368"/>
      <c r="HI94" s="368"/>
      <c r="HJ94" s="368"/>
      <c r="HK94" s="368"/>
      <c r="HL94" s="368"/>
      <c r="HM94" s="368"/>
      <c r="HN94" s="368"/>
      <c r="HO94" s="368"/>
      <c r="HP94" s="368"/>
      <c r="HQ94" s="368"/>
      <c r="HR94" s="368"/>
      <c r="HS94" s="368"/>
      <c r="HT94" s="368"/>
      <c r="HU94" s="368"/>
      <c r="HV94" s="368"/>
      <c r="HW94" s="368"/>
      <c r="HX94" s="368"/>
      <c r="HY94" s="368"/>
      <c r="HZ94" s="368"/>
      <c r="IA94" s="368"/>
      <c r="IB94" s="368"/>
      <c r="IC94" s="368"/>
      <c r="ID94" s="368"/>
      <c r="IE94" s="368"/>
      <c r="IF94" s="368"/>
      <c r="IG94" s="368"/>
      <c r="IH94" s="368"/>
      <c r="II94" s="368"/>
      <c r="IJ94" s="368"/>
      <c r="IK94" s="368"/>
      <c r="IL94" s="368"/>
      <c r="IM94" s="368"/>
      <c r="IN94" s="368"/>
      <c r="IO94" s="368"/>
      <c r="IP94" s="368"/>
      <c r="IQ94" s="368"/>
      <c r="IR94" s="368"/>
      <c r="IS94" s="368"/>
      <c r="IT94" s="368"/>
      <c r="IU94" s="368"/>
      <c r="IV94" s="368"/>
      <c r="IW94" s="368"/>
      <c r="IX94" s="368"/>
      <c r="IY94" s="368"/>
      <c r="IZ94" s="368"/>
      <c r="JA94" s="368"/>
      <c r="JB94" s="368"/>
      <c r="JC94" s="368"/>
      <c r="JD94" s="368"/>
      <c r="JE94" s="368"/>
      <c r="JF94" s="368"/>
      <c r="JG94" s="368"/>
      <c r="JH94" s="368"/>
      <c r="JI94" s="368"/>
      <c r="JJ94" s="368"/>
      <c r="JK94" s="368"/>
      <c r="JL94" s="368"/>
      <c r="JM94" s="368"/>
      <c r="JN94" s="368"/>
      <c r="JO94" s="368"/>
      <c r="JP94" s="368"/>
      <c r="JQ94" s="368"/>
      <c r="JR94" s="368"/>
      <c r="JS94" s="368"/>
      <c r="JT94" s="368"/>
      <c r="JU94" s="368"/>
      <c r="JV94" s="368"/>
      <c r="JW94" s="368"/>
      <c r="JX94" s="368"/>
      <c r="JY94" s="368"/>
      <c r="JZ94" s="368"/>
      <c r="KA94" s="368"/>
      <c r="KB94" s="368"/>
      <c r="KC94" s="368"/>
      <c r="KD94" s="368"/>
      <c r="KE94" s="368"/>
      <c r="KF94" s="368"/>
      <c r="KG94" s="368"/>
      <c r="KH94" s="368"/>
      <c r="KI94" s="368"/>
      <c r="KJ94" s="368"/>
      <c r="KK94" s="368"/>
      <c r="KL94" s="368"/>
      <c r="KM94" s="368"/>
      <c r="KN94" s="368"/>
      <c r="KO94" s="368"/>
      <c r="KP94" s="368"/>
      <c r="KQ94" s="368"/>
      <c r="KR94" s="368"/>
      <c r="KS94" s="368"/>
      <c r="KT94" s="368"/>
      <c r="KU94" s="368"/>
      <c r="KV94" s="368"/>
      <c r="KW94" s="368"/>
      <c r="KX94" s="368"/>
      <c r="KY94" s="368"/>
      <c r="KZ94" s="368"/>
      <c r="LA94" s="368"/>
      <c r="LB94" s="368"/>
      <c r="LC94" s="368"/>
      <c r="LD94" s="368"/>
      <c r="LE94" s="368"/>
      <c r="LF94" s="368"/>
      <c r="LG94" s="368"/>
      <c r="LH94" s="368"/>
      <c r="LI94" s="368"/>
      <c r="LJ94" s="368"/>
      <c r="LK94" s="368"/>
      <c r="LL94" s="368"/>
      <c r="LM94" s="368"/>
      <c r="LN94" s="368"/>
      <c r="LO94" s="368"/>
      <c r="LP94" s="368"/>
      <c r="LQ94" s="368"/>
      <c r="LR94" s="368"/>
      <c r="LS94" s="368"/>
      <c r="LT94" s="368"/>
      <c r="LU94" s="368"/>
      <c r="LV94" s="368"/>
      <c r="LW94" s="368"/>
      <c r="LX94" s="368"/>
      <c r="LY94" s="368"/>
      <c r="LZ94" s="368"/>
      <c r="MA94" s="368"/>
      <c r="MB94" s="368"/>
      <c r="MC94" s="368"/>
      <c r="MD94" s="368"/>
      <c r="ME94" s="368"/>
      <c r="MF94" s="368"/>
      <c r="MG94" s="368"/>
      <c r="MH94" s="368"/>
      <c r="MI94" s="368"/>
      <c r="MJ94" s="368"/>
      <c r="MK94" s="368"/>
      <c r="ML94" s="368"/>
      <c r="MM94" s="368"/>
      <c r="MN94" s="368"/>
      <c r="MO94" s="368"/>
      <c r="MP94" s="368"/>
      <c r="MQ94" s="368"/>
      <c r="MR94" s="368"/>
      <c r="MS94" s="368"/>
      <c r="MT94" s="368"/>
      <c r="MU94" s="368"/>
      <c r="MV94" s="368"/>
      <c r="MW94" s="368"/>
      <c r="MX94" s="368"/>
      <c r="MY94" s="368"/>
      <c r="MZ94" s="368"/>
      <c r="NA94" s="368"/>
      <c r="NB94" s="368"/>
      <c r="NC94" s="368"/>
      <c r="ND94" s="368"/>
      <c r="NE94" s="368"/>
      <c r="NF94" s="368"/>
      <c r="NG94" s="368"/>
      <c r="NH94" s="368"/>
      <c r="NI94" s="368"/>
      <c r="NJ94" s="368"/>
      <c r="NK94" s="368"/>
      <c r="NL94" s="368"/>
      <c r="NM94" s="368"/>
      <c r="NN94" s="368"/>
      <c r="NO94" s="368"/>
      <c r="NP94" s="368"/>
      <c r="NQ94" s="368"/>
      <c r="NR94" s="368"/>
      <c r="NS94" s="368"/>
      <c r="NT94" s="368"/>
      <c r="NU94" s="368"/>
      <c r="NV94" s="368"/>
      <c r="NW94" s="368"/>
      <c r="NX94" s="368"/>
      <c r="NY94" s="368"/>
      <c r="NZ94" s="368"/>
      <c r="OA94" s="368"/>
      <c r="OB94" s="368"/>
      <c r="OC94" s="368"/>
      <c r="OD94" s="368"/>
      <c r="OE94" s="368"/>
      <c r="OF94" s="368"/>
      <c r="OG94" s="368"/>
      <c r="OH94" s="368"/>
      <c r="OI94" s="368"/>
      <c r="OJ94" s="368"/>
      <c r="OK94" s="368"/>
      <c r="OL94" s="368"/>
      <c r="OM94" s="368"/>
      <c r="ON94" s="368"/>
      <c r="OO94" s="368"/>
      <c r="OP94" s="368"/>
      <c r="OQ94" s="368"/>
      <c r="OR94" s="368"/>
      <c r="OS94" s="368"/>
      <c r="OT94" s="368"/>
      <c r="OU94" s="368"/>
      <c r="OV94" s="368"/>
      <c r="OW94" s="368"/>
      <c r="OX94" s="368"/>
      <c r="OY94" s="368"/>
      <c r="OZ94" s="368"/>
      <c r="PA94" s="368"/>
      <c r="PB94" s="368"/>
      <c r="PC94" s="368"/>
      <c r="PD94" s="368"/>
      <c r="PE94" s="368"/>
      <c r="PF94" s="368"/>
      <c r="PG94" s="368"/>
      <c r="PH94" s="368"/>
      <c r="PI94" s="368"/>
      <c r="PJ94" s="368"/>
      <c r="PK94" s="368"/>
      <c r="PL94" s="368"/>
      <c r="PM94" s="368"/>
      <c r="PN94" s="368"/>
      <c r="PO94" s="368"/>
      <c r="PP94" s="368"/>
      <c r="PQ94" s="368"/>
      <c r="PR94" s="368"/>
      <c r="PS94" s="368"/>
      <c r="PT94" s="368"/>
      <c r="PU94" s="368"/>
      <c r="PV94" s="368"/>
      <c r="PW94" s="368"/>
      <c r="PX94" s="368"/>
      <c r="PY94" s="368"/>
      <c r="PZ94" s="368"/>
      <c r="QA94" s="368"/>
      <c r="QB94" s="368"/>
      <c r="QC94" s="368"/>
      <c r="QD94" s="368"/>
      <c r="QE94" s="368"/>
      <c r="QF94" s="368"/>
      <c r="QG94" s="368"/>
      <c r="QH94" s="368"/>
      <c r="QI94" s="368"/>
      <c r="QJ94" s="368"/>
      <c r="QK94" s="368"/>
      <c r="QL94" s="368"/>
      <c r="QM94" s="368"/>
      <c r="QN94" s="368"/>
      <c r="QO94" s="368"/>
      <c r="QP94" s="368"/>
      <c r="QQ94" s="368"/>
      <c r="QR94" s="368"/>
      <c r="QS94" s="368"/>
      <c r="QT94" s="368"/>
      <c r="QU94" s="368"/>
      <c r="QV94" s="368"/>
      <c r="QW94" s="368"/>
      <c r="QX94" s="368"/>
      <c r="QY94" s="368"/>
      <c r="QZ94" s="368"/>
      <c r="RA94" s="368"/>
      <c r="RB94" s="368"/>
      <c r="RC94" s="368"/>
      <c r="RD94" s="368"/>
      <c r="RE94" s="368"/>
      <c r="RF94" s="368"/>
      <c r="RG94" s="368"/>
      <c r="RH94" s="368"/>
      <c r="RI94" s="368"/>
      <c r="RJ94" s="368"/>
      <c r="RK94" s="368"/>
      <c r="RL94" s="368"/>
      <c r="RM94" s="368"/>
      <c r="RN94" s="368"/>
      <c r="RO94" s="368"/>
      <c r="RP94" s="368"/>
      <c r="RQ94" s="368"/>
      <c r="RR94" s="368"/>
      <c r="RS94" s="368"/>
      <c r="RT94" s="368"/>
      <c r="RU94" s="368"/>
      <c r="RV94" s="368"/>
      <c r="RW94" s="368"/>
      <c r="RX94" s="368"/>
      <c r="RY94" s="368"/>
      <c r="RZ94" s="368"/>
      <c r="SA94" s="368"/>
      <c r="SB94" s="368"/>
      <c r="SC94" s="368"/>
      <c r="SD94" s="368"/>
      <c r="SE94" s="368"/>
      <c r="SF94" s="368"/>
      <c r="SG94" s="368"/>
      <c r="SH94" s="368"/>
      <c r="SI94" s="368"/>
      <c r="SJ94" s="368"/>
      <c r="SK94" s="368"/>
      <c r="SL94" s="368"/>
      <c r="SM94" s="368"/>
      <c r="SN94" s="368"/>
      <c r="SO94" s="368"/>
      <c r="SP94" s="368"/>
      <c r="SQ94" s="368"/>
      <c r="SR94" s="368"/>
      <c r="SS94" s="368"/>
      <c r="ST94" s="368"/>
      <c r="SU94" s="368"/>
      <c r="SV94" s="368"/>
      <c r="SW94" s="368"/>
      <c r="SX94" s="368"/>
      <c r="SY94" s="368"/>
      <c r="SZ94" s="368"/>
      <c r="TA94" s="368"/>
      <c r="TB94" s="368"/>
      <c r="TC94" s="368"/>
      <c r="TD94" s="368"/>
      <c r="TE94" s="368"/>
      <c r="TF94" s="368"/>
      <c r="TG94" s="368"/>
      <c r="TH94" s="368"/>
      <c r="TI94" s="368"/>
      <c r="TJ94" s="368"/>
      <c r="TK94" s="368"/>
      <c r="TL94" s="368"/>
      <c r="TM94" s="368"/>
      <c r="TN94" s="368"/>
      <c r="TO94" s="368"/>
      <c r="TP94" s="368"/>
      <c r="TQ94" s="368"/>
      <c r="TR94" s="368"/>
      <c r="TS94" s="368"/>
      <c r="TT94" s="368"/>
      <c r="TU94" s="368"/>
      <c r="TV94" s="368"/>
      <c r="TW94" s="368"/>
      <c r="TX94" s="368"/>
      <c r="TY94" s="368"/>
      <c r="TZ94" s="368"/>
      <c r="UA94" s="368"/>
      <c r="UB94" s="368"/>
      <c r="UC94" s="368"/>
      <c r="UD94" s="368"/>
      <c r="UE94" s="368"/>
      <c r="UF94" s="368"/>
      <c r="UG94" s="368"/>
      <c r="UH94" s="368"/>
      <c r="UI94" s="368"/>
      <c r="UJ94" s="368"/>
      <c r="UK94" s="368"/>
      <c r="UL94" s="368"/>
      <c r="UM94" s="368"/>
      <c r="UN94" s="368"/>
      <c r="UO94" s="368"/>
      <c r="UP94" s="368"/>
      <c r="UQ94" s="368"/>
      <c r="UR94" s="368"/>
      <c r="US94" s="368"/>
      <c r="UT94" s="368"/>
      <c r="UU94" s="368"/>
      <c r="UV94" s="368"/>
      <c r="UW94" s="368"/>
      <c r="UX94" s="368"/>
      <c r="UY94" s="368"/>
      <c r="UZ94" s="368"/>
      <c r="VA94" s="368"/>
      <c r="VB94" s="368"/>
      <c r="VC94" s="368"/>
      <c r="VD94" s="368"/>
      <c r="VE94" s="368"/>
      <c r="VF94" s="368"/>
      <c r="VG94" s="368"/>
      <c r="VH94" s="368"/>
      <c r="VI94" s="368"/>
      <c r="VJ94" s="368"/>
      <c r="VK94" s="368"/>
      <c r="VL94" s="368"/>
      <c r="VM94" s="368"/>
      <c r="VN94" s="368"/>
      <c r="VO94" s="368"/>
      <c r="VP94" s="368"/>
      <c r="VQ94" s="368"/>
      <c r="VR94" s="368"/>
      <c r="VS94" s="368"/>
      <c r="VT94" s="368"/>
      <c r="VU94" s="368"/>
      <c r="VV94" s="368"/>
      <c r="VW94" s="368"/>
      <c r="VX94" s="368"/>
      <c r="VY94" s="368"/>
      <c r="VZ94" s="368"/>
      <c r="WA94" s="368"/>
      <c r="WB94" s="368"/>
      <c r="WC94" s="368"/>
      <c r="WD94" s="368"/>
      <c r="WE94" s="368"/>
      <c r="WF94" s="368"/>
      <c r="WG94" s="368"/>
      <c r="WH94" s="368"/>
      <c r="WI94" s="368"/>
      <c r="WJ94" s="368"/>
      <c r="WK94" s="368"/>
      <c r="WL94" s="368"/>
      <c r="WM94" s="368"/>
      <c r="WN94" s="368"/>
      <c r="WO94" s="368"/>
      <c r="WP94" s="368"/>
      <c r="WQ94" s="368"/>
      <c r="WR94" s="368"/>
      <c r="WS94" s="368"/>
      <c r="WT94" s="368"/>
      <c r="WU94" s="368"/>
      <c r="WV94" s="368"/>
      <c r="WW94" s="368"/>
      <c r="WX94" s="368"/>
      <c r="WY94" s="368"/>
      <c r="WZ94" s="368"/>
      <c r="XA94" s="368"/>
      <c r="XB94" s="368"/>
      <c r="XC94" s="368"/>
      <c r="XD94" s="368"/>
      <c r="XE94" s="368"/>
      <c r="XF94" s="368"/>
      <c r="XG94" s="368"/>
      <c r="XH94" s="368"/>
      <c r="XI94" s="368"/>
      <c r="XJ94" s="368"/>
      <c r="XK94" s="368"/>
      <c r="XL94" s="368"/>
      <c r="XM94" s="368"/>
      <c r="XN94" s="368"/>
      <c r="XO94" s="368"/>
      <c r="XP94" s="368"/>
      <c r="XQ94" s="368"/>
      <c r="XR94" s="368"/>
      <c r="XS94" s="368"/>
      <c r="XT94" s="368"/>
      <c r="XU94" s="368"/>
      <c r="XV94" s="368"/>
      <c r="XW94" s="368"/>
      <c r="XX94" s="368"/>
      <c r="XY94" s="368"/>
      <c r="XZ94" s="368"/>
      <c r="YA94" s="368"/>
      <c r="YB94" s="368"/>
      <c r="YC94" s="368"/>
      <c r="YD94" s="368"/>
      <c r="YE94" s="368"/>
      <c r="YF94" s="368"/>
      <c r="YG94" s="368"/>
      <c r="YH94" s="368"/>
      <c r="YI94" s="368"/>
      <c r="YJ94" s="368"/>
      <c r="YK94" s="368"/>
      <c r="YL94" s="368"/>
      <c r="YM94" s="368"/>
      <c r="YN94" s="368"/>
      <c r="YO94" s="368"/>
      <c r="YP94" s="368"/>
      <c r="YQ94" s="368"/>
      <c r="YR94" s="368"/>
      <c r="YS94" s="368"/>
      <c r="YT94" s="368"/>
      <c r="YU94" s="368"/>
      <c r="YV94" s="368"/>
      <c r="YW94" s="368"/>
      <c r="YX94" s="368"/>
      <c r="YY94" s="368"/>
      <c r="YZ94" s="368"/>
      <c r="ZA94" s="368"/>
      <c r="ZB94" s="368"/>
      <c r="ZC94" s="368"/>
      <c r="ZD94" s="368"/>
      <c r="ZE94" s="368"/>
      <c r="ZF94" s="368"/>
      <c r="ZG94" s="368"/>
      <c r="ZH94" s="368"/>
      <c r="ZI94" s="368"/>
      <c r="ZJ94" s="368"/>
      <c r="ZK94" s="368"/>
      <c r="ZL94" s="368"/>
      <c r="ZM94" s="368"/>
      <c r="ZN94" s="368"/>
      <c r="ZO94" s="368"/>
      <c r="ZP94" s="368"/>
      <c r="ZQ94" s="368"/>
      <c r="ZR94" s="368"/>
      <c r="ZS94" s="368"/>
      <c r="ZT94" s="368"/>
      <c r="ZU94" s="368"/>
      <c r="ZV94" s="368"/>
      <c r="ZW94" s="368"/>
      <c r="ZX94" s="368"/>
      <c r="ZY94" s="368"/>
      <c r="ZZ94" s="368"/>
      <c r="AAA94" s="368"/>
      <c r="AAB94" s="368"/>
      <c r="AAC94" s="368"/>
      <c r="AAD94" s="368"/>
      <c r="AAE94" s="368"/>
      <c r="AAF94" s="368"/>
      <c r="AAG94" s="368"/>
      <c r="AAH94" s="368"/>
      <c r="AAI94" s="368"/>
      <c r="AAJ94" s="368"/>
      <c r="AAK94" s="368"/>
      <c r="AAL94" s="368"/>
      <c r="AAM94" s="368"/>
      <c r="AAN94" s="368"/>
      <c r="AAO94" s="368"/>
      <c r="AAP94" s="368"/>
      <c r="AAQ94" s="368"/>
      <c r="AAR94" s="368"/>
      <c r="AAS94" s="368"/>
      <c r="AAT94" s="368"/>
      <c r="AAU94" s="368"/>
      <c r="AAV94" s="368"/>
      <c r="AAW94" s="368"/>
      <c r="AAX94" s="368"/>
      <c r="AAY94" s="368"/>
      <c r="AAZ94" s="368"/>
      <c r="ABA94" s="368"/>
      <c r="ABB94" s="368"/>
      <c r="ABC94" s="368"/>
      <c r="ABD94" s="368"/>
      <c r="ABE94" s="368"/>
      <c r="ABF94" s="368"/>
      <c r="ABG94" s="368"/>
      <c r="ABH94" s="368"/>
      <c r="ABI94" s="368"/>
      <c r="ABJ94" s="368"/>
      <c r="ABK94" s="368"/>
      <c r="ABL94" s="368"/>
      <c r="ABM94" s="368"/>
      <c r="ABN94" s="368"/>
      <c r="ABO94" s="368"/>
      <c r="ABP94" s="368"/>
      <c r="ABQ94" s="368"/>
      <c r="ABR94" s="368"/>
      <c r="ABS94" s="368"/>
      <c r="ABT94" s="368"/>
      <c r="ABU94" s="368"/>
      <c r="ABV94" s="368"/>
      <c r="ABW94" s="368"/>
      <c r="ABX94" s="368"/>
      <c r="ABY94" s="368"/>
      <c r="ABZ94" s="368"/>
      <c r="ACA94" s="368"/>
      <c r="ACB94" s="368"/>
      <c r="ACC94" s="368"/>
      <c r="ACD94" s="368"/>
      <c r="ACE94" s="368"/>
      <c r="ACF94" s="368"/>
      <c r="ACG94" s="368"/>
      <c r="ACH94" s="368"/>
      <c r="ACI94" s="368"/>
      <c r="ACJ94" s="368"/>
      <c r="ACK94" s="368"/>
      <c r="ACL94" s="368"/>
      <c r="ACM94" s="368"/>
      <c r="ACN94" s="368"/>
      <c r="ACO94" s="368"/>
      <c r="ACP94" s="368"/>
      <c r="ACQ94" s="368"/>
      <c r="ACR94" s="368"/>
      <c r="ACS94" s="368"/>
      <c r="ACT94" s="368"/>
      <c r="ACU94" s="368"/>
      <c r="ACV94" s="368"/>
      <c r="ACW94" s="368"/>
      <c r="ACX94" s="368"/>
      <c r="ACY94" s="368"/>
      <c r="ACZ94" s="368"/>
      <c r="ADA94" s="368"/>
      <c r="ADB94" s="368"/>
      <c r="ADC94" s="368"/>
      <c r="ADD94" s="368"/>
      <c r="ADE94" s="368"/>
      <c r="ADF94" s="368"/>
      <c r="ADG94" s="368"/>
      <c r="ADH94" s="368"/>
      <c r="ADI94" s="368"/>
      <c r="ADJ94" s="368"/>
      <c r="ADK94" s="368"/>
      <c r="ADL94" s="368"/>
      <c r="ADM94" s="368"/>
      <c r="ADN94" s="368"/>
      <c r="ADO94" s="368"/>
      <c r="ADP94" s="368"/>
      <c r="ADQ94" s="368"/>
      <c r="ADR94" s="368"/>
      <c r="ADS94" s="368"/>
      <c r="ADT94" s="368"/>
      <c r="ADU94" s="368"/>
      <c r="ADV94" s="368"/>
      <c r="ADW94" s="368"/>
      <c r="ADX94" s="368"/>
      <c r="ADY94" s="368"/>
      <c r="ADZ94" s="368"/>
      <c r="AEA94" s="368"/>
      <c r="AEB94" s="368"/>
      <c r="AEC94" s="368"/>
      <c r="AED94" s="368"/>
      <c r="AEE94" s="368"/>
      <c r="AEF94" s="368"/>
      <c r="AEG94" s="368"/>
      <c r="AEH94" s="368"/>
      <c r="AEI94" s="368"/>
      <c r="AEJ94" s="368"/>
      <c r="AEK94" s="368"/>
      <c r="AEL94" s="368"/>
      <c r="AEM94" s="368"/>
      <c r="AEN94" s="368"/>
      <c r="AEO94" s="368"/>
      <c r="AEP94" s="368"/>
      <c r="AEQ94" s="368"/>
      <c r="AER94" s="368"/>
      <c r="AES94" s="368"/>
      <c r="AET94" s="368"/>
      <c r="AEU94" s="368"/>
      <c r="AEV94" s="368"/>
      <c r="AEW94" s="368"/>
      <c r="AEX94" s="368"/>
      <c r="AEY94" s="368"/>
      <c r="AEZ94" s="368"/>
      <c r="AFA94" s="368"/>
      <c r="AFB94" s="368"/>
      <c r="AFC94" s="368"/>
      <c r="AFD94" s="368"/>
      <c r="AFE94" s="368"/>
      <c r="AFF94" s="368"/>
      <c r="AFG94" s="368"/>
      <c r="AFH94" s="368"/>
      <c r="AFI94" s="368"/>
      <c r="AFJ94" s="368"/>
      <c r="AFK94" s="368"/>
      <c r="AFL94" s="368"/>
      <c r="AFM94" s="368"/>
      <c r="AFN94" s="368"/>
      <c r="AFO94" s="368"/>
      <c r="AFP94" s="368"/>
      <c r="AFQ94" s="368"/>
      <c r="AFR94" s="368"/>
      <c r="AFS94" s="368"/>
      <c r="AFT94" s="368"/>
      <c r="AFU94" s="368"/>
      <c r="AFV94" s="368"/>
      <c r="AFW94" s="368"/>
      <c r="AFX94" s="368"/>
      <c r="AFY94" s="368"/>
      <c r="AFZ94" s="368"/>
      <c r="AGA94" s="368"/>
      <c r="AGB94" s="368"/>
      <c r="AGC94" s="368"/>
      <c r="AGD94" s="368"/>
      <c r="AGE94" s="368"/>
      <c r="AGF94" s="368"/>
      <c r="AGG94" s="368"/>
      <c r="AGH94" s="368"/>
      <c r="AGI94" s="368"/>
      <c r="AGJ94" s="368"/>
      <c r="AGK94" s="368"/>
      <c r="AGL94" s="368"/>
      <c r="AGM94" s="368"/>
      <c r="AGN94" s="368"/>
      <c r="AGO94" s="368"/>
      <c r="AGP94" s="368"/>
      <c r="AGQ94" s="368"/>
      <c r="AGR94" s="368"/>
      <c r="AGS94" s="368"/>
      <c r="AGT94" s="368"/>
      <c r="AGU94" s="368"/>
      <c r="AGV94" s="368"/>
      <c r="AGW94" s="368"/>
      <c r="AGX94" s="368"/>
      <c r="AGY94" s="368"/>
      <c r="AGZ94" s="368"/>
      <c r="AHA94" s="368"/>
      <c r="AHB94" s="368"/>
      <c r="AHC94" s="368"/>
      <c r="AHD94" s="368"/>
      <c r="AHE94" s="368"/>
      <c r="AHF94" s="368"/>
      <c r="AHG94" s="368"/>
      <c r="AHH94" s="368"/>
      <c r="AHI94" s="368"/>
      <c r="AHJ94" s="368"/>
      <c r="AHK94" s="368"/>
      <c r="AHL94" s="368"/>
      <c r="AHM94" s="368"/>
      <c r="AHN94" s="368"/>
      <c r="AHO94" s="368"/>
      <c r="AHP94" s="368"/>
      <c r="AHQ94" s="368"/>
      <c r="AHR94" s="368"/>
      <c r="AHS94" s="368"/>
      <c r="AHT94" s="368"/>
      <c r="AHU94" s="368"/>
      <c r="AHV94" s="368"/>
      <c r="AHW94" s="368"/>
      <c r="AHX94" s="368"/>
      <c r="AHY94" s="368"/>
      <c r="AHZ94" s="368"/>
      <c r="AIA94" s="368"/>
      <c r="AIB94" s="368"/>
      <c r="AIC94" s="368"/>
      <c r="AID94" s="368"/>
      <c r="AIE94" s="368"/>
      <c r="AIF94" s="368"/>
      <c r="AIG94" s="368"/>
      <c r="AIH94" s="368"/>
      <c r="AII94" s="368"/>
      <c r="AIJ94" s="368"/>
      <c r="AIK94" s="368"/>
      <c r="AIL94" s="368"/>
      <c r="AIM94" s="368"/>
      <c r="AIN94" s="368"/>
      <c r="AIO94" s="368"/>
      <c r="AIP94" s="368"/>
      <c r="AIQ94" s="368"/>
      <c r="AIR94" s="368"/>
      <c r="AIS94" s="368"/>
      <c r="AIT94" s="368"/>
      <c r="AIU94" s="368"/>
      <c r="AIV94" s="368"/>
      <c r="AIW94" s="368"/>
      <c r="AIX94" s="368"/>
      <c r="AIY94" s="368"/>
      <c r="AIZ94" s="368"/>
      <c r="AJA94" s="368"/>
      <c r="AJB94" s="368"/>
      <c r="AJC94" s="368"/>
      <c r="AJD94" s="368"/>
      <c r="AJE94" s="368"/>
      <c r="AJF94" s="368"/>
      <c r="AJG94" s="368"/>
      <c r="AJH94" s="368"/>
      <c r="AJI94" s="368"/>
      <c r="AJJ94" s="368"/>
      <c r="AJK94" s="368"/>
      <c r="AJL94" s="368"/>
      <c r="AJM94" s="368"/>
      <c r="AJN94" s="368"/>
      <c r="AJO94" s="368"/>
      <c r="AJP94" s="368"/>
      <c r="AJQ94" s="368"/>
      <c r="AJR94" s="368"/>
      <c r="AJS94" s="368"/>
      <c r="AJT94" s="368"/>
      <c r="AJU94" s="368"/>
      <c r="AJV94" s="368"/>
      <c r="AJW94" s="368"/>
      <c r="AJX94" s="368"/>
      <c r="AJY94" s="368"/>
      <c r="AJZ94" s="368"/>
      <c r="AKA94" s="368"/>
      <c r="AKB94" s="368"/>
      <c r="AKC94" s="368"/>
      <c r="AKD94" s="368"/>
      <c r="AKE94" s="368"/>
      <c r="AKF94" s="368"/>
      <c r="AKG94" s="368"/>
      <c r="AKH94" s="368"/>
      <c r="AKI94" s="368"/>
      <c r="AKJ94" s="368"/>
      <c r="AKK94" s="368"/>
      <c r="AKL94" s="368"/>
      <c r="AKM94" s="368"/>
      <c r="AKN94" s="368"/>
    </row>
    <row r="95" spans="1:976" s="346" customFormat="1" ht="22.5" customHeight="1" x14ac:dyDescent="0.2">
      <c r="A95" s="370" t="s">
        <v>262</v>
      </c>
      <c r="B95" s="370"/>
      <c r="C95" s="370" t="s">
        <v>221</v>
      </c>
      <c r="D95" s="370" t="s">
        <v>222</v>
      </c>
      <c r="E95" s="371">
        <v>411365</v>
      </c>
      <c r="F95" s="371">
        <v>1361</v>
      </c>
      <c r="G95" s="371">
        <v>204</v>
      </c>
      <c r="H95" s="371">
        <v>0</v>
      </c>
      <c r="I95" s="372">
        <v>45846</v>
      </c>
      <c r="J95" s="370" t="s">
        <v>395</v>
      </c>
      <c r="K95" s="370" t="s">
        <v>544</v>
      </c>
      <c r="L95" s="373">
        <v>141.97999999999999</v>
      </c>
      <c r="M95" s="373">
        <v>7.81</v>
      </c>
      <c r="N95" s="444">
        <v>149.79</v>
      </c>
      <c r="O95" s="370"/>
      <c r="P95" s="374">
        <v>45848</v>
      </c>
      <c r="Q95" s="373">
        <v>149.79</v>
      </c>
      <c r="R95" s="370" t="s">
        <v>545</v>
      </c>
      <c r="S95" s="373">
        <v>0</v>
      </c>
      <c r="T95" s="373">
        <v>0</v>
      </c>
      <c r="U95" s="373">
        <v>0</v>
      </c>
      <c r="V95" s="373">
        <v>0</v>
      </c>
      <c r="W95" s="370"/>
      <c r="X95" s="370" t="s">
        <v>293</v>
      </c>
      <c r="Y95" s="370" t="s">
        <v>294</v>
      </c>
      <c r="Z95" s="370" t="s">
        <v>42</v>
      </c>
      <c r="AA95" s="370" t="s">
        <v>228</v>
      </c>
      <c r="AB95" s="370" t="s">
        <v>235</v>
      </c>
      <c r="AC95" s="370" t="s">
        <v>331</v>
      </c>
      <c r="AD95" s="370" t="s">
        <v>231</v>
      </c>
      <c r="AE95" s="370" t="s">
        <v>232</v>
      </c>
      <c r="AF95" s="370" t="s">
        <v>231</v>
      </c>
      <c r="AG95" s="370" t="s">
        <v>232</v>
      </c>
      <c r="AH95" s="370"/>
      <c r="AI95" s="370"/>
      <c r="AJ95" s="370"/>
      <c r="AK95" s="370" t="s">
        <v>546</v>
      </c>
      <c r="AL95" s="371">
        <v>1</v>
      </c>
      <c r="AM95" s="371">
        <v>0</v>
      </c>
      <c r="AN95" s="372">
        <v>45848</v>
      </c>
      <c r="AO95" s="372">
        <v>45848</v>
      </c>
      <c r="AP95" s="373">
        <v>149.79</v>
      </c>
      <c r="AQ95" s="372">
        <v>45847</v>
      </c>
      <c r="AR95" s="368"/>
      <c r="AS95" s="368"/>
      <c r="AT95" s="368"/>
      <c r="AU95" s="368"/>
      <c r="AV95" s="368"/>
      <c r="AW95" s="368"/>
      <c r="AX95" s="368"/>
      <c r="AY95" s="368"/>
      <c r="AZ95" s="368"/>
      <c r="BA95" s="368"/>
      <c r="BB95" s="368"/>
      <c r="BC95" s="368"/>
      <c r="BD95" s="368"/>
      <c r="BE95" s="368"/>
      <c r="BF95" s="368"/>
      <c r="BG95" s="368"/>
      <c r="BH95" s="368"/>
      <c r="BI95" s="368"/>
      <c r="BJ95" s="368"/>
      <c r="BK95" s="368"/>
      <c r="BL95" s="368"/>
      <c r="BM95" s="368"/>
      <c r="BN95" s="368"/>
      <c r="BO95" s="368"/>
      <c r="BP95" s="368"/>
      <c r="BQ95" s="368"/>
      <c r="BR95" s="368"/>
      <c r="BS95" s="368"/>
      <c r="BT95" s="368"/>
      <c r="BU95" s="368"/>
      <c r="BV95" s="368"/>
      <c r="BW95" s="368"/>
      <c r="BX95" s="368"/>
      <c r="BY95" s="368"/>
      <c r="BZ95" s="368"/>
      <c r="CA95" s="368"/>
      <c r="CB95" s="368"/>
      <c r="CC95" s="368"/>
      <c r="CD95" s="368"/>
      <c r="CE95" s="368"/>
      <c r="CF95" s="368"/>
      <c r="CG95" s="368"/>
      <c r="CH95" s="368"/>
      <c r="CI95" s="368"/>
      <c r="CJ95" s="368"/>
      <c r="CK95" s="368"/>
      <c r="CL95" s="368"/>
      <c r="CM95" s="368"/>
      <c r="CN95" s="368"/>
      <c r="CO95" s="368"/>
      <c r="CP95" s="368"/>
      <c r="CQ95" s="368"/>
      <c r="CR95" s="368"/>
      <c r="CS95" s="368"/>
      <c r="CT95" s="368"/>
      <c r="CU95" s="368"/>
      <c r="CV95" s="368"/>
      <c r="CW95" s="368"/>
      <c r="CX95" s="368"/>
      <c r="CY95" s="368"/>
      <c r="CZ95" s="368"/>
      <c r="DA95" s="368"/>
      <c r="DB95" s="368"/>
      <c r="DC95" s="368"/>
      <c r="DD95" s="368"/>
      <c r="DE95" s="368"/>
      <c r="DF95" s="368"/>
      <c r="DG95" s="368"/>
      <c r="DH95" s="368"/>
      <c r="DI95" s="368"/>
      <c r="DJ95" s="368"/>
      <c r="DK95" s="368"/>
      <c r="DL95" s="368"/>
      <c r="DM95" s="368"/>
      <c r="DN95" s="368"/>
      <c r="DO95" s="368"/>
      <c r="DP95" s="368"/>
      <c r="DQ95" s="368"/>
      <c r="DR95" s="368"/>
      <c r="DS95" s="368"/>
      <c r="DT95" s="368"/>
      <c r="DU95" s="368"/>
      <c r="DV95" s="368"/>
      <c r="DW95" s="368"/>
      <c r="DX95" s="368"/>
      <c r="DY95" s="368"/>
      <c r="DZ95" s="368"/>
      <c r="EA95" s="368"/>
      <c r="EB95" s="368"/>
      <c r="EC95" s="368"/>
      <c r="ED95" s="368"/>
      <c r="EE95" s="368"/>
      <c r="EF95" s="368"/>
      <c r="EG95" s="368"/>
      <c r="EH95" s="368"/>
      <c r="EI95" s="368"/>
      <c r="EJ95" s="368"/>
      <c r="EK95" s="368"/>
      <c r="EL95" s="368"/>
      <c r="EM95" s="368"/>
      <c r="EN95" s="368"/>
      <c r="EO95" s="368"/>
      <c r="EP95" s="368"/>
      <c r="EQ95" s="368"/>
      <c r="ER95" s="368"/>
      <c r="ES95" s="368"/>
      <c r="ET95" s="368"/>
      <c r="EU95" s="368"/>
      <c r="EV95" s="368"/>
      <c r="EW95" s="368"/>
      <c r="EX95" s="368"/>
      <c r="EY95" s="368"/>
      <c r="EZ95" s="368"/>
      <c r="FA95" s="368"/>
      <c r="FB95" s="368"/>
      <c r="FC95" s="368"/>
      <c r="FD95" s="368"/>
      <c r="FE95" s="368"/>
      <c r="FF95" s="368"/>
      <c r="FG95" s="368"/>
      <c r="FH95" s="368"/>
      <c r="FI95" s="368"/>
      <c r="FJ95" s="368"/>
      <c r="FK95" s="368"/>
      <c r="FL95" s="368"/>
      <c r="FM95" s="368"/>
      <c r="FN95" s="368"/>
      <c r="FO95" s="368"/>
      <c r="FP95" s="368"/>
      <c r="FQ95" s="368"/>
      <c r="FR95" s="368"/>
      <c r="FS95" s="368"/>
      <c r="FT95" s="368"/>
      <c r="FU95" s="368"/>
      <c r="FV95" s="368"/>
      <c r="FW95" s="368"/>
      <c r="FX95" s="368"/>
      <c r="FY95" s="368"/>
      <c r="FZ95" s="368"/>
      <c r="GA95" s="368"/>
      <c r="GB95" s="368"/>
      <c r="GC95" s="368"/>
      <c r="GD95" s="368"/>
      <c r="GE95" s="368"/>
      <c r="GF95" s="368"/>
      <c r="GG95" s="368"/>
      <c r="GH95" s="368"/>
      <c r="GI95" s="368"/>
      <c r="GJ95" s="368"/>
      <c r="GK95" s="368"/>
      <c r="GL95" s="368"/>
      <c r="GM95" s="368"/>
      <c r="GN95" s="368"/>
      <c r="GO95" s="368"/>
      <c r="GP95" s="368"/>
      <c r="GQ95" s="368"/>
      <c r="GR95" s="368"/>
      <c r="GS95" s="368"/>
      <c r="GT95" s="368"/>
      <c r="GU95" s="368"/>
      <c r="GV95" s="368"/>
      <c r="GW95" s="368"/>
      <c r="GX95" s="368"/>
      <c r="GY95" s="368"/>
      <c r="GZ95" s="368"/>
      <c r="HA95" s="368"/>
      <c r="HB95" s="368"/>
      <c r="HC95" s="368"/>
      <c r="HD95" s="368"/>
      <c r="HE95" s="368"/>
      <c r="HF95" s="368"/>
      <c r="HG95" s="368"/>
      <c r="HH95" s="368"/>
      <c r="HI95" s="368"/>
      <c r="HJ95" s="368"/>
      <c r="HK95" s="368"/>
      <c r="HL95" s="368"/>
      <c r="HM95" s="368"/>
      <c r="HN95" s="368"/>
      <c r="HO95" s="368"/>
      <c r="HP95" s="368"/>
      <c r="HQ95" s="368"/>
      <c r="HR95" s="368"/>
      <c r="HS95" s="368"/>
      <c r="HT95" s="368"/>
      <c r="HU95" s="368"/>
      <c r="HV95" s="368"/>
      <c r="HW95" s="368"/>
      <c r="HX95" s="368"/>
      <c r="HY95" s="368"/>
      <c r="HZ95" s="368"/>
      <c r="IA95" s="368"/>
      <c r="IB95" s="368"/>
      <c r="IC95" s="368"/>
      <c r="ID95" s="368"/>
      <c r="IE95" s="368"/>
      <c r="IF95" s="368"/>
      <c r="IG95" s="368"/>
      <c r="IH95" s="368"/>
      <c r="II95" s="368"/>
      <c r="IJ95" s="368"/>
      <c r="IK95" s="368"/>
      <c r="IL95" s="368"/>
      <c r="IM95" s="368"/>
      <c r="IN95" s="368"/>
      <c r="IO95" s="368"/>
      <c r="IP95" s="368"/>
      <c r="IQ95" s="368"/>
      <c r="IR95" s="368"/>
      <c r="IS95" s="368"/>
      <c r="IT95" s="368"/>
      <c r="IU95" s="368"/>
      <c r="IV95" s="368"/>
      <c r="IW95" s="368"/>
      <c r="IX95" s="368"/>
      <c r="IY95" s="368"/>
      <c r="IZ95" s="368"/>
      <c r="JA95" s="368"/>
      <c r="JB95" s="368"/>
      <c r="JC95" s="368"/>
      <c r="JD95" s="368"/>
      <c r="JE95" s="368"/>
      <c r="JF95" s="368"/>
      <c r="JG95" s="368"/>
      <c r="JH95" s="368"/>
      <c r="JI95" s="368"/>
      <c r="JJ95" s="368"/>
      <c r="JK95" s="368"/>
      <c r="JL95" s="368"/>
      <c r="JM95" s="368"/>
      <c r="JN95" s="368"/>
      <c r="JO95" s="368"/>
      <c r="JP95" s="368"/>
      <c r="JQ95" s="368"/>
      <c r="JR95" s="368"/>
      <c r="JS95" s="368"/>
      <c r="JT95" s="368"/>
      <c r="JU95" s="368"/>
      <c r="JV95" s="368"/>
      <c r="JW95" s="368"/>
      <c r="JX95" s="368"/>
      <c r="JY95" s="368"/>
      <c r="JZ95" s="368"/>
      <c r="KA95" s="368"/>
      <c r="KB95" s="368"/>
      <c r="KC95" s="368"/>
      <c r="KD95" s="368"/>
      <c r="KE95" s="368"/>
      <c r="KF95" s="368"/>
      <c r="KG95" s="368"/>
      <c r="KH95" s="368"/>
      <c r="KI95" s="368"/>
      <c r="KJ95" s="368"/>
      <c r="KK95" s="368"/>
      <c r="KL95" s="368"/>
      <c r="KM95" s="368"/>
      <c r="KN95" s="368"/>
      <c r="KO95" s="368"/>
      <c r="KP95" s="368"/>
      <c r="KQ95" s="368"/>
      <c r="KR95" s="368"/>
      <c r="KS95" s="368"/>
      <c r="KT95" s="368"/>
      <c r="KU95" s="368"/>
      <c r="KV95" s="368"/>
      <c r="KW95" s="368"/>
      <c r="KX95" s="368"/>
      <c r="KY95" s="368"/>
      <c r="KZ95" s="368"/>
      <c r="LA95" s="368"/>
      <c r="LB95" s="368"/>
      <c r="LC95" s="368"/>
      <c r="LD95" s="368"/>
      <c r="LE95" s="368"/>
      <c r="LF95" s="368"/>
      <c r="LG95" s="368"/>
      <c r="LH95" s="368"/>
      <c r="LI95" s="368"/>
      <c r="LJ95" s="368"/>
      <c r="LK95" s="368"/>
      <c r="LL95" s="368"/>
      <c r="LM95" s="368"/>
      <c r="LN95" s="368"/>
      <c r="LO95" s="368"/>
      <c r="LP95" s="368"/>
      <c r="LQ95" s="368"/>
      <c r="LR95" s="368"/>
      <c r="LS95" s="368"/>
      <c r="LT95" s="368"/>
      <c r="LU95" s="368"/>
      <c r="LV95" s="368"/>
      <c r="LW95" s="368"/>
      <c r="LX95" s="368"/>
      <c r="LY95" s="368"/>
      <c r="LZ95" s="368"/>
      <c r="MA95" s="368"/>
      <c r="MB95" s="368"/>
      <c r="MC95" s="368"/>
      <c r="MD95" s="368"/>
      <c r="ME95" s="368"/>
      <c r="MF95" s="368"/>
      <c r="MG95" s="368"/>
      <c r="MH95" s="368"/>
      <c r="MI95" s="368"/>
      <c r="MJ95" s="368"/>
      <c r="MK95" s="368"/>
      <c r="ML95" s="368"/>
      <c r="MM95" s="368"/>
      <c r="MN95" s="368"/>
      <c r="MO95" s="368"/>
      <c r="MP95" s="368"/>
      <c r="MQ95" s="368"/>
      <c r="MR95" s="368"/>
      <c r="MS95" s="368"/>
      <c r="MT95" s="368"/>
      <c r="MU95" s="368"/>
      <c r="MV95" s="368"/>
      <c r="MW95" s="368"/>
      <c r="MX95" s="368"/>
      <c r="MY95" s="368"/>
      <c r="MZ95" s="368"/>
      <c r="NA95" s="368"/>
      <c r="NB95" s="368"/>
      <c r="NC95" s="368"/>
      <c r="ND95" s="368"/>
      <c r="NE95" s="368"/>
      <c r="NF95" s="368"/>
      <c r="NG95" s="368"/>
      <c r="NH95" s="368"/>
      <c r="NI95" s="368"/>
      <c r="NJ95" s="368"/>
      <c r="NK95" s="368"/>
      <c r="NL95" s="368"/>
      <c r="NM95" s="368"/>
      <c r="NN95" s="368"/>
      <c r="NO95" s="368"/>
      <c r="NP95" s="368"/>
      <c r="NQ95" s="368"/>
      <c r="NR95" s="368"/>
      <c r="NS95" s="368"/>
      <c r="NT95" s="368"/>
      <c r="NU95" s="368"/>
      <c r="NV95" s="368"/>
      <c r="NW95" s="368"/>
      <c r="NX95" s="368"/>
      <c r="NY95" s="368"/>
      <c r="NZ95" s="368"/>
      <c r="OA95" s="368"/>
      <c r="OB95" s="368"/>
      <c r="OC95" s="368"/>
      <c r="OD95" s="368"/>
      <c r="OE95" s="368"/>
      <c r="OF95" s="368"/>
      <c r="OG95" s="368"/>
      <c r="OH95" s="368"/>
      <c r="OI95" s="368"/>
      <c r="OJ95" s="368"/>
      <c r="OK95" s="368"/>
      <c r="OL95" s="368"/>
      <c r="OM95" s="368"/>
      <c r="ON95" s="368"/>
      <c r="OO95" s="368"/>
      <c r="OP95" s="368"/>
      <c r="OQ95" s="368"/>
      <c r="OR95" s="368"/>
      <c r="OS95" s="368"/>
      <c r="OT95" s="368"/>
      <c r="OU95" s="368"/>
      <c r="OV95" s="368"/>
      <c r="OW95" s="368"/>
      <c r="OX95" s="368"/>
      <c r="OY95" s="368"/>
      <c r="OZ95" s="368"/>
      <c r="PA95" s="368"/>
      <c r="PB95" s="368"/>
      <c r="PC95" s="368"/>
      <c r="PD95" s="368"/>
      <c r="PE95" s="368"/>
      <c r="PF95" s="368"/>
      <c r="PG95" s="368"/>
      <c r="PH95" s="368"/>
      <c r="PI95" s="368"/>
      <c r="PJ95" s="368"/>
      <c r="PK95" s="368"/>
      <c r="PL95" s="368"/>
      <c r="PM95" s="368"/>
      <c r="PN95" s="368"/>
      <c r="PO95" s="368"/>
      <c r="PP95" s="368"/>
      <c r="PQ95" s="368"/>
      <c r="PR95" s="368"/>
      <c r="PS95" s="368"/>
      <c r="PT95" s="368"/>
      <c r="PU95" s="368"/>
      <c r="PV95" s="368"/>
      <c r="PW95" s="368"/>
      <c r="PX95" s="368"/>
      <c r="PY95" s="368"/>
      <c r="PZ95" s="368"/>
      <c r="QA95" s="368"/>
      <c r="QB95" s="368"/>
      <c r="QC95" s="368"/>
      <c r="QD95" s="368"/>
      <c r="QE95" s="368"/>
      <c r="QF95" s="368"/>
      <c r="QG95" s="368"/>
      <c r="QH95" s="368"/>
      <c r="QI95" s="368"/>
      <c r="QJ95" s="368"/>
      <c r="QK95" s="368"/>
      <c r="QL95" s="368"/>
      <c r="QM95" s="368"/>
      <c r="QN95" s="368"/>
      <c r="QO95" s="368"/>
      <c r="QP95" s="368"/>
      <c r="QQ95" s="368"/>
      <c r="QR95" s="368"/>
      <c r="QS95" s="368"/>
      <c r="QT95" s="368"/>
      <c r="QU95" s="368"/>
      <c r="QV95" s="368"/>
      <c r="QW95" s="368"/>
      <c r="QX95" s="368"/>
      <c r="QY95" s="368"/>
      <c r="QZ95" s="368"/>
      <c r="RA95" s="368"/>
      <c r="RB95" s="368"/>
      <c r="RC95" s="368"/>
      <c r="RD95" s="368"/>
      <c r="RE95" s="368"/>
      <c r="RF95" s="368"/>
      <c r="RG95" s="368"/>
      <c r="RH95" s="368"/>
      <c r="RI95" s="368"/>
      <c r="RJ95" s="368"/>
      <c r="RK95" s="368"/>
      <c r="RL95" s="368"/>
      <c r="RM95" s="368"/>
      <c r="RN95" s="368"/>
      <c r="RO95" s="368"/>
      <c r="RP95" s="368"/>
      <c r="RQ95" s="368"/>
      <c r="RR95" s="368"/>
      <c r="RS95" s="368"/>
      <c r="RT95" s="368"/>
      <c r="RU95" s="368"/>
      <c r="RV95" s="368"/>
      <c r="RW95" s="368"/>
      <c r="RX95" s="368"/>
      <c r="RY95" s="368"/>
      <c r="RZ95" s="368"/>
      <c r="SA95" s="368"/>
      <c r="SB95" s="368"/>
      <c r="SC95" s="368"/>
      <c r="SD95" s="368"/>
      <c r="SE95" s="368"/>
      <c r="SF95" s="368"/>
      <c r="SG95" s="368"/>
      <c r="SH95" s="368"/>
      <c r="SI95" s="368"/>
      <c r="SJ95" s="368"/>
      <c r="SK95" s="368"/>
      <c r="SL95" s="368"/>
      <c r="SM95" s="368"/>
      <c r="SN95" s="368"/>
      <c r="SO95" s="368"/>
      <c r="SP95" s="368"/>
      <c r="SQ95" s="368"/>
      <c r="SR95" s="368"/>
      <c r="SS95" s="368"/>
      <c r="ST95" s="368"/>
      <c r="SU95" s="368"/>
      <c r="SV95" s="368"/>
      <c r="SW95" s="368"/>
      <c r="SX95" s="368"/>
      <c r="SY95" s="368"/>
      <c r="SZ95" s="368"/>
      <c r="TA95" s="368"/>
      <c r="TB95" s="368"/>
      <c r="TC95" s="368"/>
      <c r="TD95" s="368"/>
      <c r="TE95" s="368"/>
      <c r="TF95" s="368"/>
      <c r="TG95" s="368"/>
      <c r="TH95" s="368"/>
      <c r="TI95" s="368"/>
      <c r="TJ95" s="368"/>
      <c r="TK95" s="368"/>
      <c r="TL95" s="368"/>
      <c r="TM95" s="368"/>
      <c r="TN95" s="368"/>
      <c r="TO95" s="368"/>
      <c r="TP95" s="368"/>
      <c r="TQ95" s="368"/>
      <c r="TR95" s="368"/>
      <c r="TS95" s="368"/>
      <c r="TT95" s="368"/>
      <c r="TU95" s="368"/>
      <c r="TV95" s="368"/>
      <c r="TW95" s="368"/>
      <c r="TX95" s="368"/>
      <c r="TY95" s="368"/>
      <c r="TZ95" s="368"/>
      <c r="UA95" s="368"/>
      <c r="UB95" s="368"/>
      <c r="UC95" s="368"/>
      <c r="UD95" s="368"/>
      <c r="UE95" s="368"/>
      <c r="UF95" s="368"/>
      <c r="UG95" s="368"/>
      <c r="UH95" s="368"/>
      <c r="UI95" s="368"/>
      <c r="UJ95" s="368"/>
      <c r="UK95" s="368"/>
      <c r="UL95" s="368"/>
      <c r="UM95" s="368"/>
      <c r="UN95" s="368"/>
      <c r="UO95" s="368"/>
      <c r="UP95" s="368"/>
      <c r="UQ95" s="368"/>
      <c r="UR95" s="368"/>
      <c r="US95" s="368"/>
      <c r="UT95" s="368"/>
      <c r="UU95" s="368"/>
      <c r="UV95" s="368"/>
      <c r="UW95" s="368"/>
      <c r="UX95" s="368"/>
      <c r="UY95" s="368"/>
      <c r="UZ95" s="368"/>
      <c r="VA95" s="368"/>
      <c r="VB95" s="368"/>
      <c r="VC95" s="368"/>
      <c r="VD95" s="368"/>
      <c r="VE95" s="368"/>
      <c r="VF95" s="368"/>
      <c r="VG95" s="368"/>
      <c r="VH95" s="368"/>
      <c r="VI95" s="368"/>
      <c r="VJ95" s="368"/>
      <c r="VK95" s="368"/>
      <c r="VL95" s="368"/>
      <c r="VM95" s="368"/>
      <c r="VN95" s="368"/>
      <c r="VO95" s="368"/>
      <c r="VP95" s="368"/>
      <c r="VQ95" s="368"/>
      <c r="VR95" s="368"/>
      <c r="VS95" s="368"/>
      <c r="VT95" s="368"/>
      <c r="VU95" s="368"/>
      <c r="VV95" s="368"/>
      <c r="VW95" s="368"/>
      <c r="VX95" s="368"/>
      <c r="VY95" s="368"/>
      <c r="VZ95" s="368"/>
      <c r="WA95" s="368"/>
      <c r="WB95" s="368"/>
      <c r="WC95" s="368"/>
      <c r="WD95" s="368"/>
      <c r="WE95" s="368"/>
      <c r="WF95" s="368"/>
      <c r="WG95" s="368"/>
      <c r="WH95" s="368"/>
      <c r="WI95" s="368"/>
      <c r="WJ95" s="368"/>
      <c r="WK95" s="368"/>
      <c r="WL95" s="368"/>
      <c r="WM95" s="368"/>
      <c r="WN95" s="368"/>
      <c r="WO95" s="368"/>
      <c r="WP95" s="368"/>
      <c r="WQ95" s="368"/>
      <c r="WR95" s="368"/>
      <c r="WS95" s="368"/>
      <c r="WT95" s="368"/>
      <c r="WU95" s="368"/>
      <c r="WV95" s="368"/>
      <c r="WW95" s="368"/>
      <c r="WX95" s="368"/>
      <c r="WY95" s="368"/>
      <c r="WZ95" s="368"/>
      <c r="XA95" s="368"/>
      <c r="XB95" s="368"/>
      <c r="XC95" s="368"/>
      <c r="XD95" s="368"/>
      <c r="XE95" s="368"/>
      <c r="XF95" s="368"/>
      <c r="XG95" s="368"/>
      <c r="XH95" s="368"/>
      <c r="XI95" s="368"/>
      <c r="XJ95" s="368"/>
      <c r="XK95" s="368"/>
      <c r="XL95" s="368"/>
      <c r="XM95" s="368"/>
      <c r="XN95" s="368"/>
      <c r="XO95" s="368"/>
      <c r="XP95" s="368"/>
      <c r="XQ95" s="368"/>
      <c r="XR95" s="368"/>
      <c r="XS95" s="368"/>
      <c r="XT95" s="368"/>
      <c r="XU95" s="368"/>
      <c r="XV95" s="368"/>
      <c r="XW95" s="368"/>
      <c r="XX95" s="368"/>
      <c r="XY95" s="368"/>
      <c r="XZ95" s="368"/>
      <c r="YA95" s="368"/>
      <c r="YB95" s="368"/>
      <c r="YC95" s="368"/>
      <c r="YD95" s="368"/>
      <c r="YE95" s="368"/>
      <c r="YF95" s="368"/>
      <c r="YG95" s="368"/>
      <c r="YH95" s="368"/>
      <c r="YI95" s="368"/>
      <c r="YJ95" s="368"/>
      <c r="YK95" s="368"/>
      <c r="YL95" s="368"/>
      <c r="YM95" s="368"/>
      <c r="YN95" s="368"/>
      <c r="YO95" s="368"/>
      <c r="YP95" s="368"/>
      <c r="YQ95" s="368"/>
      <c r="YR95" s="368"/>
      <c r="YS95" s="368"/>
      <c r="YT95" s="368"/>
      <c r="YU95" s="368"/>
      <c r="YV95" s="368"/>
      <c r="YW95" s="368"/>
      <c r="YX95" s="368"/>
      <c r="YY95" s="368"/>
      <c r="YZ95" s="368"/>
      <c r="ZA95" s="368"/>
      <c r="ZB95" s="368"/>
      <c r="ZC95" s="368"/>
      <c r="ZD95" s="368"/>
      <c r="ZE95" s="368"/>
      <c r="ZF95" s="368"/>
      <c r="ZG95" s="368"/>
      <c r="ZH95" s="368"/>
      <c r="ZI95" s="368"/>
      <c r="ZJ95" s="368"/>
      <c r="ZK95" s="368"/>
      <c r="ZL95" s="368"/>
      <c r="ZM95" s="368"/>
      <c r="ZN95" s="368"/>
      <c r="ZO95" s="368"/>
      <c r="ZP95" s="368"/>
      <c r="ZQ95" s="368"/>
      <c r="ZR95" s="368"/>
      <c r="ZS95" s="368"/>
      <c r="ZT95" s="368"/>
      <c r="ZU95" s="368"/>
      <c r="ZV95" s="368"/>
      <c r="ZW95" s="368"/>
      <c r="ZX95" s="368"/>
      <c r="ZY95" s="368"/>
      <c r="ZZ95" s="368"/>
      <c r="AAA95" s="368"/>
      <c r="AAB95" s="368"/>
      <c r="AAC95" s="368"/>
      <c r="AAD95" s="368"/>
      <c r="AAE95" s="368"/>
      <c r="AAF95" s="368"/>
      <c r="AAG95" s="368"/>
      <c r="AAH95" s="368"/>
      <c r="AAI95" s="368"/>
      <c r="AAJ95" s="368"/>
      <c r="AAK95" s="368"/>
      <c r="AAL95" s="368"/>
      <c r="AAM95" s="368"/>
      <c r="AAN95" s="368"/>
      <c r="AAO95" s="368"/>
      <c r="AAP95" s="368"/>
      <c r="AAQ95" s="368"/>
      <c r="AAR95" s="368"/>
      <c r="AAS95" s="368"/>
      <c r="AAT95" s="368"/>
      <c r="AAU95" s="368"/>
      <c r="AAV95" s="368"/>
      <c r="AAW95" s="368"/>
      <c r="AAX95" s="368"/>
      <c r="AAY95" s="368"/>
      <c r="AAZ95" s="368"/>
      <c r="ABA95" s="368"/>
      <c r="ABB95" s="368"/>
      <c r="ABC95" s="368"/>
      <c r="ABD95" s="368"/>
      <c r="ABE95" s="368"/>
      <c r="ABF95" s="368"/>
      <c r="ABG95" s="368"/>
      <c r="ABH95" s="368"/>
      <c r="ABI95" s="368"/>
      <c r="ABJ95" s="368"/>
      <c r="ABK95" s="368"/>
      <c r="ABL95" s="368"/>
      <c r="ABM95" s="368"/>
      <c r="ABN95" s="368"/>
      <c r="ABO95" s="368"/>
      <c r="ABP95" s="368"/>
      <c r="ABQ95" s="368"/>
      <c r="ABR95" s="368"/>
      <c r="ABS95" s="368"/>
      <c r="ABT95" s="368"/>
      <c r="ABU95" s="368"/>
      <c r="ABV95" s="368"/>
      <c r="ABW95" s="368"/>
      <c r="ABX95" s="368"/>
      <c r="ABY95" s="368"/>
      <c r="ABZ95" s="368"/>
      <c r="ACA95" s="368"/>
      <c r="ACB95" s="368"/>
      <c r="ACC95" s="368"/>
      <c r="ACD95" s="368"/>
      <c r="ACE95" s="368"/>
      <c r="ACF95" s="368"/>
      <c r="ACG95" s="368"/>
      <c r="ACH95" s="368"/>
      <c r="ACI95" s="368"/>
      <c r="ACJ95" s="368"/>
      <c r="ACK95" s="368"/>
      <c r="ACL95" s="368"/>
      <c r="ACM95" s="368"/>
      <c r="ACN95" s="368"/>
      <c r="ACO95" s="368"/>
      <c r="ACP95" s="368"/>
      <c r="ACQ95" s="368"/>
      <c r="ACR95" s="368"/>
      <c r="ACS95" s="368"/>
      <c r="ACT95" s="368"/>
      <c r="ACU95" s="368"/>
      <c r="ACV95" s="368"/>
      <c r="ACW95" s="368"/>
      <c r="ACX95" s="368"/>
      <c r="ACY95" s="368"/>
      <c r="ACZ95" s="368"/>
      <c r="ADA95" s="368"/>
      <c r="ADB95" s="368"/>
      <c r="ADC95" s="368"/>
      <c r="ADD95" s="368"/>
      <c r="ADE95" s="368"/>
      <c r="ADF95" s="368"/>
      <c r="ADG95" s="368"/>
      <c r="ADH95" s="368"/>
      <c r="ADI95" s="368"/>
      <c r="ADJ95" s="368"/>
      <c r="ADK95" s="368"/>
      <c r="ADL95" s="368"/>
      <c r="ADM95" s="368"/>
      <c r="ADN95" s="368"/>
      <c r="ADO95" s="368"/>
      <c r="ADP95" s="368"/>
      <c r="ADQ95" s="368"/>
      <c r="ADR95" s="368"/>
      <c r="ADS95" s="368"/>
      <c r="ADT95" s="368"/>
      <c r="ADU95" s="368"/>
      <c r="ADV95" s="368"/>
      <c r="ADW95" s="368"/>
      <c r="ADX95" s="368"/>
      <c r="ADY95" s="368"/>
      <c r="ADZ95" s="368"/>
      <c r="AEA95" s="368"/>
      <c r="AEB95" s="368"/>
      <c r="AEC95" s="368"/>
      <c r="AED95" s="368"/>
      <c r="AEE95" s="368"/>
      <c r="AEF95" s="368"/>
      <c r="AEG95" s="368"/>
      <c r="AEH95" s="368"/>
      <c r="AEI95" s="368"/>
      <c r="AEJ95" s="368"/>
      <c r="AEK95" s="368"/>
      <c r="AEL95" s="368"/>
      <c r="AEM95" s="368"/>
      <c r="AEN95" s="368"/>
      <c r="AEO95" s="368"/>
      <c r="AEP95" s="368"/>
      <c r="AEQ95" s="368"/>
      <c r="AER95" s="368"/>
      <c r="AES95" s="368"/>
      <c r="AET95" s="368"/>
      <c r="AEU95" s="368"/>
      <c r="AEV95" s="368"/>
      <c r="AEW95" s="368"/>
      <c r="AEX95" s="368"/>
      <c r="AEY95" s="368"/>
      <c r="AEZ95" s="368"/>
      <c r="AFA95" s="368"/>
      <c r="AFB95" s="368"/>
      <c r="AFC95" s="368"/>
      <c r="AFD95" s="368"/>
      <c r="AFE95" s="368"/>
      <c r="AFF95" s="368"/>
      <c r="AFG95" s="368"/>
      <c r="AFH95" s="368"/>
      <c r="AFI95" s="368"/>
      <c r="AFJ95" s="368"/>
      <c r="AFK95" s="368"/>
      <c r="AFL95" s="368"/>
      <c r="AFM95" s="368"/>
      <c r="AFN95" s="368"/>
      <c r="AFO95" s="368"/>
      <c r="AFP95" s="368"/>
      <c r="AFQ95" s="368"/>
      <c r="AFR95" s="368"/>
      <c r="AFS95" s="368"/>
      <c r="AFT95" s="368"/>
      <c r="AFU95" s="368"/>
      <c r="AFV95" s="368"/>
      <c r="AFW95" s="368"/>
      <c r="AFX95" s="368"/>
      <c r="AFY95" s="368"/>
      <c r="AFZ95" s="368"/>
      <c r="AGA95" s="368"/>
      <c r="AGB95" s="368"/>
      <c r="AGC95" s="368"/>
      <c r="AGD95" s="368"/>
      <c r="AGE95" s="368"/>
      <c r="AGF95" s="368"/>
      <c r="AGG95" s="368"/>
      <c r="AGH95" s="368"/>
      <c r="AGI95" s="368"/>
      <c r="AGJ95" s="368"/>
      <c r="AGK95" s="368"/>
      <c r="AGL95" s="368"/>
      <c r="AGM95" s="368"/>
      <c r="AGN95" s="368"/>
      <c r="AGO95" s="368"/>
      <c r="AGP95" s="368"/>
      <c r="AGQ95" s="368"/>
      <c r="AGR95" s="368"/>
      <c r="AGS95" s="368"/>
      <c r="AGT95" s="368"/>
      <c r="AGU95" s="368"/>
      <c r="AGV95" s="368"/>
      <c r="AGW95" s="368"/>
      <c r="AGX95" s="368"/>
      <c r="AGY95" s="368"/>
      <c r="AGZ95" s="368"/>
      <c r="AHA95" s="368"/>
      <c r="AHB95" s="368"/>
      <c r="AHC95" s="368"/>
      <c r="AHD95" s="368"/>
      <c r="AHE95" s="368"/>
      <c r="AHF95" s="368"/>
      <c r="AHG95" s="368"/>
      <c r="AHH95" s="368"/>
      <c r="AHI95" s="368"/>
      <c r="AHJ95" s="368"/>
      <c r="AHK95" s="368"/>
      <c r="AHL95" s="368"/>
      <c r="AHM95" s="368"/>
      <c r="AHN95" s="368"/>
      <c r="AHO95" s="368"/>
      <c r="AHP95" s="368"/>
      <c r="AHQ95" s="368"/>
      <c r="AHR95" s="368"/>
      <c r="AHS95" s="368"/>
      <c r="AHT95" s="368"/>
      <c r="AHU95" s="368"/>
      <c r="AHV95" s="368"/>
      <c r="AHW95" s="368"/>
      <c r="AHX95" s="368"/>
      <c r="AHY95" s="368"/>
      <c r="AHZ95" s="368"/>
      <c r="AIA95" s="368"/>
      <c r="AIB95" s="368"/>
      <c r="AIC95" s="368"/>
      <c r="AID95" s="368"/>
      <c r="AIE95" s="368"/>
      <c r="AIF95" s="368"/>
      <c r="AIG95" s="368"/>
      <c r="AIH95" s="368"/>
      <c r="AII95" s="368"/>
      <c r="AIJ95" s="368"/>
      <c r="AIK95" s="368"/>
      <c r="AIL95" s="368"/>
      <c r="AIM95" s="368"/>
      <c r="AIN95" s="368"/>
      <c r="AIO95" s="368"/>
      <c r="AIP95" s="368"/>
      <c r="AIQ95" s="368"/>
      <c r="AIR95" s="368"/>
      <c r="AIS95" s="368"/>
      <c r="AIT95" s="368"/>
      <c r="AIU95" s="368"/>
      <c r="AIV95" s="368"/>
      <c r="AIW95" s="368"/>
      <c r="AIX95" s="368"/>
      <c r="AIY95" s="368"/>
      <c r="AIZ95" s="368"/>
      <c r="AJA95" s="368"/>
      <c r="AJB95" s="368"/>
      <c r="AJC95" s="368"/>
      <c r="AJD95" s="368"/>
      <c r="AJE95" s="368"/>
      <c r="AJF95" s="368"/>
      <c r="AJG95" s="368"/>
      <c r="AJH95" s="368"/>
      <c r="AJI95" s="368"/>
      <c r="AJJ95" s="368"/>
      <c r="AJK95" s="368"/>
      <c r="AJL95" s="368"/>
      <c r="AJM95" s="368"/>
      <c r="AJN95" s="368"/>
      <c r="AJO95" s="368"/>
      <c r="AJP95" s="368"/>
      <c r="AJQ95" s="368"/>
      <c r="AJR95" s="368"/>
      <c r="AJS95" s="368"/>
      <c r="AJT95" s="368"/>
      <c r="AJU95" s="368"/>
      <c r="AJV95" s="368"/>
      <c r="AJW95" s="368"/>
      <c r="AJX95" s="368"/>
      <c r="AJY95" s="368"/>
      <c r="AJZ95" s="368"/>
      <c r="AKA95" s="368"/>
      <c r="AKB95" s="368"/>
      <c r="AKC95" s="368"/>
      <c r="AKD95" s="368"/>
      <c r="AKE95" s="368"/>
      <c r="AKF95" s="368"/>
      <c r="AKG95" s="368"/>
      <c r="AKH95" s="368"/>
      <c r="AKI95" s="368"/>
      <c r="AKJ95" s="368"/>
      <c r="AKK95" s="368"/>
      <c r="AKL95" s="368"/>
      <c r="AKM95" s="368"/>
      <c r="AKN95" s="368"/>
    </row>
    <row r="96" spans="1:976" s="346" customFormat="1" ht="22.5" customHeight="1" x14ac:dyDescent="0.2">
      <c r="A96" s="370" t="s">
        <v>262</v>
      </c>
      <c r="B96" s="370"/>
      <c r="C96" s="370" t="s">
        <v>221</v>
      </c>
      <c r="D96" s="370" t="s">
        <v>222</v>
      </c>
      <c r="E96" s="371">
        <v>411366</v>
      </c>
      <c r="F96" s="371">
        <v>1362</v>
      </c>
      <c r="G96" s="371">
        <v>204</v>
      </c>
      <c r="H96" s="371">
        <v>0</v>
      </c>
      <c r="I96" s="372">
        <v>45846</v>
      </c>
      <c r="J96" s="370" t="s">
        <v>395</v>
      </c>
      <c r="K96" s="370" t="s">
        <v>547</v>
      </c>
      <c r="L96" s="373">
        <v>141.85</v>
      </c>
      <c r="M96" s="373">
        <v>7.8</v>
      </c>
      <c r="N96" s="444">
        <v>149.65</v>
      </c>
      <c r="O96" s="370"/>
      <c r="P96" s="374">
        <v>45848</v>
      </c>
      <c r="Q96" s="373">
        <v>149.65</v>
      </c>
      <c r="R96" s="370" t="s">
        <v>548</v>
      </c>
      <c r="S96" s="373">
        <v>0</v>
      </c>
      <c r="T96" s="373">
        <v>0</v>
      </c>
      <c r="U96" s="373">
        <v>0</v>
      </c>
      <c r="V96" s="373">
        <v>0</v>
      </c>
      <c r="W96" s="370"/>
      <c r="X96" s="370" t="s">
        <v>293</v>
      </c>
      <c r="Y96" s="370" t="s">
        <v>294</v>
      </c>
      <c r="Z96" s="370" t="s">
        <v>42</v>
      </c>
      <c r="AA96" s="370" t="s">
        <v>228</v>
      </c>
      <c r="AB96" s="370" t="s">
        <v>235</v>
      </c>
      <c r="AC96" s="370" t="s">
        <v>331</v>
      </c>
      <c r="AD96" s="370" t="s">
        <v>231</v>
      </c>
      <c r="AE96" s="370" t="s">
        <v>232</v>
      </c>
      <c r="AF96" s="370" t="s">
        <v>231</v>
      </c>
      <c r="AG96" s="370" t="s">
        <v>232</v>
      </c>
      <c r="AH96" s="370"/>
      <c r="AI96" s="370"/>
      <c r="AJ96" s="370"/>
      <c r="AK96" s="370" t="s">
        <v>549</v>
      </c>
      <c r="AL96" s="371">
        <v>1</v>
      </c>
      <c r="AM96" s="371">
        <v>0</v>
      </c>
      <c r="AN96" s="372">
        <v>45848</v>
      </c>
      <c r="AO96" s="372">
        <v>45848</v>
      </c>
      <c r="AP96" s="373">
        <v>149.65</v>
      </c>
      <c r="AQ96" s="372">
        <v>45847</v>
      </c>
      <c r="AR96" s="368"/>
      <c r="AS96" s="368"/>
      <c r="AT96" s="368"/>
      <c r="AU96" s="368"/>
      <c r="AV96" s="368"/>
      <c r="AW96" s="368"/>
      <c r="AX96" s="368"/>
      <c r="AY96" s="368"/>
      <c r="AZ96" s="368"/>
      <c r="BA96" s="368"/>
      <c r="BB96" s="368"/>
      <c r="BC96" s="368"/>
      <c r="BD96" s="368"/>
      <c r="BE96" s="368"/>
      <c r="BF96" s="368"/>
      <c r="BG96" s="368"/>
      <c r="BH96" s="368"/>
      <c r="BI96" s="368"/>
      <c r="BJ96" s="368"/>
      <c r="BK96" s="368"/>
      <c r="BL96" s="368"/>
      <c r="BM96" s="368"/>
      <c r="BN96" s="368"/>
      <c r="BO96" s="368"/>
      <c r="BP96" s="368"/>
      <c r="BQ96" s="368"/>
      <c r="BR96" s="368"/>
      <c r="BS96" s="368"/>
      <c r="BT96" s="368"/>
      <c r="BU96" s="368"/>
      <c r="BV96" s="368"/>
      <c r="BW96" s="368"/>
      <c r="BX96" s="368"/>
      <c r="BY96" s="368"/>
      <c r="BZ96" s="368"/>
      <c r="CA96" s="368"/>
      <c r="CB96" s="368"/>
      <c r="CC96" s="368"/>
      <c r="CD96" s="368"/>
      <c r="CE96" s="368"/>
      <c r="CF96" s="368"/>
      <c r="CG96" s="368"/>
      <c r="CH96" s="368"/>
      <c r="CI96" s="368"/>
      <c r="CJ96" s="368"/>
      <c r="CK96" s="368"/>
      <c r="CL96" s="368"/>
      <c r="CM96" s="368"/>
      <c r="CN96" s="368"/>
      <c r="CO96" s="368"/>
      <c r="CP96" s="368"/>
      <c r="CQ96" s="368"/>
      <c r="CR96" s="368"/>
      <c r="CS96" s="368"/>
      <c r="CT96" s="368"/>
      <c r="CU96" s="368"/>
      <c r="CV96" s="368"/>
      <c r="CW96" s="368"/>
      <c r="CX96" s="368"/>
      <c r="CY96" s="368"/>
      <c r="CZ96" s="368"/>
      <c r="DA96" s="368"/>
      <c r="DB96" s="368"/>
      <c r="DC96" s="368"/>
      <c r="DD96" s="368"/>
      <c r="DE96" s="368"/>
      <c r="DF96" s="368"/>
      <c r="DG96" s="368"/>
      <c r="DH96" s="368"/>
      <c r="DI96" s="368"/>
      <c r="DJ96" s="368"/>
      <c r="DK96" s="368"/>
      <c r="DL96" s="368"/>
      <c r="DM96" s="368"/>
      <c r="DN96" s="368"/>
      <c r="DO96" s="368"/>
      <c r="DP96" s="368"/>
      <c r="DQ96" s="368"/>
      <c r="DR96" s="368"/>
      <c r="DS96" s="368"/>
      <c r="DT96" s="368"/>
      <c r="DU96" s="368"/>
      <c r="DV96" s="368"/>
      <c r="DW96" s="368"/>
      <c r="DX96" s="368"/>
      <c r="DY96" s="368"/>
      <c r="DZ96" s="368"/>
      <c r="EA96" s="368"/>
      <c r="EB96" s="368"/>
      <c r="EC96" s="368"/>
      <c r="ED96" s="368"/>
      <c r="EE96" s="368"/>
      <c r="EF96" s="368"/>
      <c r="EG96" s="368"/>
      <c r="EH96" s="368"/>
      <c r="EI96" s="368"/>
      <c r="EJ96" s="368"/>
      <c r="EK96" s="368"/>
      <c r="EL96" s="368"/>
      <c r="EM96" s="368"/>
      <c r="EN96" s="368"/>
      <c r="EO96" s="368"/>
      <c r="EP96" s="368"/>
      <c r="EQ96" s="368"/>
      <c r="ER96" s="368"/>
      <c r="ES96" s="368"/>
      <c r="ET96" s="368"/>
      <c r="EU96" s="368"/>
      <c r="EV96" s="368"/>
      <c r="EW96" s="368"/>
      <c r="EX96" s="368"/>
      <c r="EY96" s="368"/>
      <c r="EZ96" s="368"/>
      <c r="FA96" s="368"/>
      <c r="FB96" s="368"/>
      <c r="FC96" s="368"/>
      <c r="FD96" s="368"/>
      <c r="FE96" s="368"/>
      <c r="FF96" s="368"/>
      <c r="FG96" s="368"/>
      <c r="FH96" s="368"/>
      <c r="FI96" s="368"/>
      <c r="FJ96" s="368"/>
      <c r="FK96" s="368"/>
      <c r="FL96" s="368"/>
      <c r="FM96" s="368"/>
      <c r="FN96" s="368"/>
      <c r="FO96" s="368"/>
      <c r="FP96" s="368"/>
      <c r="FQ96" s="368"/>
      <c r="FR96" s="368"/>
      <c r="FS96" s="368"/>
      <c r="FT96" s="368"/>
      <c r="FU96" s="368"/>
      <c r="FV96" s="368"/>
      <c r="FW96" s="368"/>
      <c r="FX96" s="368"/>
      <c r="FY96" s="368"/>
      <c r="FZ96" s="368"/>
      <c r="GA96" s="368"/>
      <c r="GB96" s="368"/>
      <c r="GC96" s="368"/>
      <c r="GD96" s="368"/>
      <c r="GE96" s="368"/>
      <c r="GF96" s="368"/>
      <c r="GG96" s="368"/>
      <c r="GH96" s="368"/>
      <c r="GI96" s="368"/>
      <c r="GJ96" s="368"/>
      <c r="GK96" s="368"/>
      <c r="GL96" s="368"/>
      <c r="GM96" s="368"/>
      <c r="GN96" s="368"/>
      <c r="GO96" s="368"/>
      <c r="GP96" s="368"/>
      <c r="GQ96" s="368"/>
      <c r="GR96" s="368"/>
      <c r="GS96" s="368"/>
      <c r="GT96" s="368"/>
      <c r="GU96" s="368"/>
      <c r="GV96" s="368"/>
      <c r="GW96" s="368"/>
      <c r="GX96" s="368"/>
      <c r="GY96" s="368"/>
      <c r="GZ96" s="368"/>
      <c r="HA96" s="368"/>
      <c r="HB96" s="368"/>
      <c r="HC96" s="368"/>
      <c r="HD96" s="368"/>
      <c r="HE96" s="368"/>
      <c r="HF96" s="368"/>
      <c r="HG96" s="368"/>
      <c r="HH96" s="368"/>
      <c r="HI96" s="368"/>
      <c r="HJ96" s="368"/>
      <c r="HK96" s="368"/>
      <c r="HL96" s="368"/>
      <c r="HM96" s="368"/>
      <c r="HN96" s="368"/>
      <c r="HO96" s="368"/>
      <c r="HP96" s="368"/>
      <c r="HQ96" s="368"/>
      <c r="HR96" s="368"/>
      <c r="HS96" s="368"/>
      <c r="HT96" s="368"/>
      <c r="HU96" s="368"/>
      <c r="HV96" s="368"/>
      <c r="HW96" s="368"/>
      <c r="HX96" s="368"/>
      <c r="HY96" s="368"/>
      <c r="HZ96" s="368"/>
      <c r="IA96" s="368"/>
      <c r="IB96" s="368"/>
      <c r="IC96" s="368"/>
      <c r="ID96" s="368"/>
      <c r="IE96" s="368"/>
      <c r="IF96" s="368"/>
      <c r="IG96" s="368"/>
      <c r="IH96" s="368"/>
      <c r="II96" s="368"/>
      <c r="IJ96" s="368"/>
      <c r="IK96" s="368"/>
      <c r="IL96" s="368"/>
      <c r="IM96" s="368"/>
      <c r="IN96" s="368"/>
      <c r="IO96" s="368"/>
      <c r="IP96" s="368"/>
      <c r="IQ96" s="368"/>
      <c r="IR96" s="368"/>
      <c r="IS96" s="368"/>
      <c r="IT96" s="368"/>
      <c r="IU96" s="368"/>
      <c r="IV96" s="368"/>
      <c r="IW96" s="368"/>
      <c r="IX96" s="368"/>
      <c r="IY96" s="368"/>
      <c r="IZ96" s="368"/>
      <c r="JA96" s="368"/>
      <c r="JB96" s="368"/>
      <c r="JC96" s="368"/>
      <c r="JD96" s="368"/>
      <c r="JE96" s="368"/>
      <c r="JF96" s="368"/>
      <c r="JG96" s="368"/>
      <c r="JH96" s="368"/>
      <c r="JI96" s="368"/>
      <c r="JJ96" s="368"/>
      <c r="JK96" s="368"/>
      <c r="JL96" s="368"/>
      <c r="JM96" s="368"/>
      <c r="JN96" s="368"/>
      <c r="JO96" s="368"/>
      <c r="JP96" s="368"/>
      <c r="JQ96" s="368"/>
      <c r="JR96" s="368"/>
      <c r="JS96" s="368"/>
      <c r="JT96" s="368"/>
      <c r="JU96" s="368"/>
      <c r="JV96" s="368"/>
      <c r="JW96" s="368"/>
      <c r="JX96" s="368"/>
      <c r="JY96" s="368"/>
      <c r="JZ96" s="368"/>
      <c r="KA96" s="368"/>
      <c r="KB96" s="368"/>
      <c r="KC96" s="368"/>
      <c r="KD96" s="368"/>
      <c r="KE96" s="368"/>
      <c r="KF96" s="368"/>
      <c r="KG96" s="368"/>
      <c r="KH96" s="368"/>
      <c r="KI96" s="368"/>
      <c r="KJ96" s="368"/>
      <c r="KK96" s="368"/>
      <c r="KL96" s="368"/>
      <c r="KM96" s="368"/>
      <c r="KN96" s="368"/>
      <c r="KO96" s="368"/>
      <c r="KP96" s="368"/>
      <c r="KQ96" s="368"/>
      <c r="KR96" s="368"/>
      <c r="KS96" s="368"/>
      <c r="KT96" s="368"/>
      <c r="KU96" s="368"/>
      <c r="KV96" s="368"/>
      <c r="KW96" s="368"/>
      <c r="KX96" s="368"/>
      <c r="KY96" s="368"/>
      <c r="KZ96" s="368"/>
      <c r="LA96" s="368"/>
      <c r="LB96" s="368"/>
      <c r="LC96" s="368"/>
      <c r="LD96" s="368"/>
      <c r="LE96" s="368"/>
      <c r="LF96" s="368"/>
      <c r="LG96" s="368"/>
      <c r="LH96" s="368"/>
      <c r="LI96" s="368"/>
      <c r="LJ96" s="368"/>
      <c r="LK96" s="368"/>
      <c r="LL96" s="368"/>
      <c r="LM96" s="368"/>
      <c r="LN96" s="368"/>
      <c r="LO96" s="368"/>
      <c r="LP96" s="368"/>
      <c r="LQ96" s="368"/>
      <c r="LR96" s="368"/>
      <c r="LS96" s="368"/>
      <c r="LT96" s="368"/>
      <c r="LU96" s="368"/>
      <c r="LV96" s="368"/>
      <c r="LW96" s="368"/>
      <c r="LX96" s="368"/>
      <c r="LY96" s="368"/>
      <c r="LZ96" s="368"/>
      <c r="MA96" s="368"/>
      <c r="MB96" s="368"/>
      <c r="MC96" s="368"/>
      <c r="MD96" s="368"/>
      <c r="ME96" s="368"/>
      <c r="MF96" s="368"/>
      <c r="MG96" s="368"/>
      <c r="MH96" s="368"/>
      <c r="MI96" s="368"/>
      <c r="MJ96" s="368"/>
      <c r="MK96" s="368"/>
      <c r="ML96" s="368"/>
      <c r="MM96" s="368"/>
      <c r="MN96" s="368"/>
      <c r="MO96" s="368"/>
      <c r="MP96" s="368"/>
      <c r="MQ96" s="368"/>
      <c r="MR96" s="368"/>
      <c r="MS96" s="368"/>
      <c r="MT96" s="368"/>
      <c r="MU96" s="368"/>
      <c r="MV96" s="368"/>
      <c r="MW96" s="368"/>
      <c r="MX96" s="368"/>
      <c r="MY96" s="368"/>
      <c r="MZ96" s="368"/>
      <c r="NA96" s="368"/>
      <c r="NB96" s="368"/>
      <c r="NC96" s="368"/>
      <c r="ND96" s="368"/>
      <c r="NE96" s="368"/>
      <c r="NF96" s="368"/>
      <c r="NG96" s="368"/>
      <c r="NH96" s="368"/>
      <c r="NI96" s="368"/>
      <c r="NJ96" s="368"/>
      <c r="NK96" s="368"/>
      <c r="NL96" s="368"/>
      <c r="NM96" s="368"/>
      <c r="NN96" s="368"/>
      <c r="NO96" s="368"/>
      <c r="NP96" s="368"/>
      <c r="NQ96" s="368"/>
      <c r="NR96" s="368"/>
      <c r="NS96" s="368"/>
      <c r="NT96" s="368"/>
      <c r="NU96" s="368"/>
      <c r="NV96" s="368"/>
      <c r="NW96" s="368"/>
      <c r="NX96" s="368"/>
      <c r="NY96" s="368"/>
      <c r="NZ96" s="368"/>
      <c r="OA96" s="368"/>
      <c r="OB96" s="368"/>
      <c r="OC96" s="368"/>
      <c r="OD96" s="368"/>
      <c r="OE96" s="368"/>
      <c r="OF96" s="368"/>
      <c r="OG96" s="368"/>
      <c r="OH96" s="368"/>
      <c r="OI96" s="368"/>
      <c r="OJ96" s="368"/>
      <c r="OK96" s="368"/>
      <c r="OL96" s="368"/>
      <c r="OM96" s="368"/>
      <c r="ON96" s="368"/>
      <c r="OO96" s="368"/>
      <c r="OP96" s="368"/>
      <c r="OQ96" s="368"/>
      <c r="OR96" s="368"/>
      <c r="OS96" s="368"/>
      <c r="OT96" s="368"/>
      <c r="OU96" s="368"/>
      <c r="OV96" s="368"/>
      <c r="OW96" s="368"/>
      <c r="OX96" s="368"/>
      <c r="OY96" s="368"/>
      <c r="OZ96" s="368"/>
      <c r="PA96" s="368"/>
      <c r="PB96" s="368"/>
      <c r="PC96" s="368"/>
      <c r="PD96" s="368"/>
      <c r="PE96" s="368"/>
      <c r="PF96" s="368"/>
      <c r="PG96" s="368"/>
      <c r="PH96" s="368"/>
      <c r="PI96" s="368"/>
      <c r="PJ96" s="368"/>
      <c r="PK96" s="368"/>
      <c r="PL96" s="368"/>
      <c r="PM96" s="368"/>
      <c r="PN96" s="368"/>
      <c r="PO96" s="368"/>
      <c r="PP96" s="368"/>
      <c r="PQ96" s="368"/>
      <c r="PR96" s="368"/>
      <c r="PS96" s="368"/>
      <c r="PT96" s="368"/>
      <c r="PU96" s="368"/>
      <c r="PV96" s="368"/>
      <c r="PW96" s="368"/>
      <c r="PX96" s="368"/>
      <c r="PY96" s="368"/>
      <c r="PZ96" s="368"/>
      <c r="QA96" s="368"/>
      <c r="QB96" s="368"/>
      <c r="QC96" s="368"/>
      <c r="QD96" s="368"/>
      <c r="QE96" s="368"/>
      <c r="QF96" s="368"/>
      <c r="QG96" s="368"/>
      <c r="QH96" s="368"/>
      <c r="QI96" s="368"/>
      <c r="QJ96" s="368"/>
      <c r="QK96" s="368"/>
      <c r="QL96" s="368"/>
      <c r="QM96" s="368"/>
      <c r="QN96" s="368"/>
      <c r="QO96" s="368"/>
      <c r="QP96" s="368"/>
      <c r="QQ96" s="368"/>
      <c r="QR96" s="368"/>
      <c r="QS96" s="368"/>
      <c r="QT96" s="368"/>
      <c r="QU96" s="368"/>
      <c r="QV96" s="368"/>
      <c r="QW96" s="368"/>
      <c r="QX96" s="368"/>
      <c r="QY96" s="368"/>
      <c r="QZ96" s="368"/>
      <c r="RA96" s="368"/>
      <c r="RB96" s="368"/>
      <c r="RC96" s="368"/>
      <c r="RD96" s="368"/>
      <c r="RE96" s="368"/>
      <c r="RF96" s="368"/>
      <c r="RG96" s="368"/>
      <c r="RH96" s="368"/>
      <c r="RI96" s="368"/>
      <c r="RJ96" s="368"/>
      <c r="RK96" s="368"/>
      <c r="RL96" s="368"/>
      <c r="RM96" s="368"/>
      <c r="RN96" s="368"/>
      <c r="RO96" s="368"/>
      <c r="RP96" s="368"/>
      <c r="RQ96" s="368"/>
      <c r="RR96" s="368"/>
      <c r="RS96" s="368"/>
      <c r="RT96" s="368"/>
      <c r="RU96" s="368"/>
      <c r="RV96" s="368"/>
      <c r="RW96" s="368"/>
      <c r="RX96" s="368"/>
      <c r="RY96" s="368"/>
      <c r="RZ96" s="368"/>
      <c r="SA96" s="368"/>
      <c r="SB96" s="368"/>
      <c r="SC96" s="368"/>
      <c r="SD96" s="368"/>
      <c r="SE96" s="368"/>
      <c r="SF96" s="368"/>
      <c r="SG96" s="368"/>
      <c r="SH96" s="368"/>
      <c r="SI96" s="368"/>
      <c r="SJ96" s="368"/>
      <c r="SK96" s="368"/>
      <c r="SL96" s="368"/>
      <c r="SM96" s="368"/>
      <c r="SN96" s="368"/>
      <c r="SO96" s="368"/>
      <c r="SP96" s="368"/>
      <c r="SQ96" s="368"/>
      <c r="SR96" s="368"/>
      <c r="SS96" s="368"/>
      <c r="ST96" s="368"/>
      <c r="SU96" s="368"/>
      <c r="SV96" s="368"/>
      <c r="SW96" s="368"/>
      <c r="SX96" s="368"/>
      <c r="SY96" s="368"/>
      <c r="SZ96" s="368"/>
      <c r="TA96" s="368"/>
      <c r="TB96" s="368"/>
      <c r="TC96" s="368"/>
      <c r="TD96" s="368"/>
      <c r="TE96" s="368"/>
      <c r="TF96" s="368"/>
      <c r="TG96" s="368"/>
      <c r="TH96" s="368"/>
      <c r="TI96" s="368"/>
      <c r="TJ96" s="368"/>
      <c r="TK96" s="368"/>
      <c r="TL96" s="368"/>
      <c r="TM96" s="368"/>
      <c r="TN96" s="368"/>
      <c r="TO96" s="368"/>
      <c r="TP96" s="368"/>
      <c r="TQ96" s="368"/>
      <c r="TR96" s="368"/>
      <c r="TS96" s="368"/>
      <c r="TT96" s="368"/>
      <c r="TU96" s="368"/>
      <c r="TV96" s="368"/>
      <c r="TW96" s="368"/>
      <c r="TX96" s="368"/>
      <c r="TY96" s="368"/>
      <c r="TZ96" s="368"/>
      <c r="UA96" s="368"/>
      <c r="UB96" s="368"/>
      <c r="UC96" s="368"/>
      <c r="UD96" s="368"/>
      <c r="UE96" s="368"/>
      <c r="UF96" s="368"/>
      <c r="UG96" s="368"/>
      <c r="UH96" s="368"/>
      <c r="UI96" s="368"/>
      <c r="UJ96" s="368"/>
      <c r="UK96" s="368"/>
      <c r="UL96" s="368"/>
      <c r="UM96" s="368"/>
      <c r="UN96" s="368"/>
      <c r="UO96" s="368"/>
      <c r="UP96" s="368"/>
      <c r="UQ96" s="368"/>
      <c r="UR96" s="368"/>
      <c r="US96" s="368"/>
      <c r="UT96" s="368"/>
      <c r="UU96" s="368"/>
      <c r="UV96" s="368"/>
      <c r="UW96" s="368"/>
      <c r="UX96" s="368"/>
      <c r="UY96" s="368"/>
      <c r="UZ96" s="368"/>
      <c r="VA96" s="368"/>
      <c r="VB96" s="368"/>
      <c r="VC96" s="368"/>
      <c r="VD96" s="368"/>
      <c r="VE96" s="368"/>
      <c r="VF96" s="368"/>
      <c r="VG96" s="368"/>
      <c r="VH96" s="368"/>
      <c r="VI96" s="368"/>
      <c r="VJ96" s="368"/>
      <c r="VK96" s="368"/>
      <c r="VL96" s="368"/>
      <c r="VM96" s="368"/>
      <c r="VN96" s="368"/>
      <c r="VO96" s="368"/>
      <c r="VP96" s="368"/>
      <c r="VQ96" s="368"/>
      <c r="VR96" s="368"/>
      <c r="VS96" s="368"/>
      <c r="VT96" s="368"/>
      <c r="VU96" s="368"/>
      <c r="VV96" s="368"/>
      <c r="VW96" s="368"/>
      <c r="VX96" s="368"/>
      <c r="VY96" s="368"/>
      <c r="VZ96" s="368"/>
      <c r="WA96" s="368"/>
      <c r="WB96" s="368"/>
      <c r="WC96" s="368"/>
      <c r="WD96" s="368"/>
      <c r="WE96" s="368"/>
      <c r="WF96" s="368"/>
      <c r="WG96" s="368"/>
      <c r="WH96" s="368"/>
      <c r="WI96" s="368"/>
      <c r="WJ96" s="368"/>
      <c r="WK96" s="368"/>
      <c r="WL96" s="368"/>
      <c r="WM96" s="368"/>
      <c r="WN96" s="368"/>
      <c r="WO96" s="368"/>
      <c r="WP96" s="368"/>
      <c r="WQ96" s="368"/>
      <c r="WR96" s="368"/>
      <c r="WS96" s="368"/>
      <c r="WT96" s="368"/>
      <c r="WU96" s="368"/>
      <c r="WV96" s="368"/>
      <c r="WW96" s="368"/>
      <c r="WX96" s="368"/>
      <c r="WY96" s="368"/>
      <c r="WZ96" s="368"/>
      <c r="XA96" s="368"/>
      <c r="XB96" s="368"/>
      <c r="XC96" s="368"/>
      <c r="XD96" s="368"/>
      <c r="XE96" s="368"/>
      <c r="XF96" s="368"/>
      <c r="XG96" s="368"/>
      <c r="XH96" s="368"/>
      <c r="XI96" s="368"/>
      <c r="XJ96" s="368"/>
      <c r="XK96" s="368"/>
      <c r="XL96" s="368"/>
      <c r="XM96" s="368"/>
      <c r="XN96" s="368"/>
      <c r="XO96" s="368"/>
      <c r="XP96" s="368"/>
      <c r="XQ96" s="368"/>
      <c r="XR96" s="368"/>
      <c r="XS96" s="368"/>
      <c r="XT96" s="368"/>
      <c r="XU96" s="368"/>
      <c r="XV96" s="368"/>
      <c r="XW96" s="368"/>
      <c r="XX96" s="368"/>
      <c r="XY96" s="368"/>
      <c r="XZ96" s="368"/>
      <c r="YA96" s="368"/>
      <c r="YB96" s="368"/>
      <c r="YC96" s="368"/>
      <c r="YD96" s="368"/>
      <c r="YE96" s="368"/>
      <c r="YF96" s="368"/>
      <c r="YG96" s="368"/>
      <c r="YH96" s="368"/>
      <c r="YI96" s="368"/>
      <c r="YJ96" s="368"/>
      <c r="YK96" s="368"/>
      <c r="YL96" s="368"/>
      <c r="YM96" s="368"/>
      <c r="YN96" s="368"/>
      <c r="YO96" s="368"/>
      <c r="YP96" s="368"/>
      <c r="YQ96" s="368"/>
      <c r="YR96" s="368"/>
      <c r="YS96" s="368"/>
      <c r="YT96" s="368"/>
      <c r="YU96" s="368"/>
      <c r="YV96" s="368"/>
      <c r="YW96" s="368"/>
      <c r="YX96" s="368"/>
      <c r="YY96" s="368"/>
      <c r="YZ96" s="368"/>
      <c r="ZA96" s="368"/>
      <c r="ZB96" s="368"/>
      <c r="ZC96" s="368"/>
      <c r="ZD96" s="368"/>
      <c r="ZE96" s="368"/>
      <c r="ZF96" s="368"/>
      <c r="ZG96" s="368"/>
      <c r="ZH96" s="368"/>
      <c r="ZI96" s="368"/>
      <c r="ZJ96" s="368"/>
      <c r="ZK96" s="368"/>
      <c r="ZL96" s="368"/>
      <c r="ZM96" s="368"/>
      <c r="ZN96" s="368"/>
      <c r="ZO96" s="368"/>
      <c r="ZP96" s="368"/>
      <c r="ZQ96" s="368"/>
      <c r="ZR96" s="368"/>
      <c r="ZS96" s="368"/>
      <c r="ZT96" s="368"/>
      <c r="ZU96" s="368"/>
      <c r="ZV96" s="368"/>
      <c r="ZW96" s="368"/>
      <c r="ZX96" s="368"/>
      <c r="ZY96" s="368"/>
      <c r="ZZ96" s="368"/>
      <c r="AAA96" s="368"/>
      <c r="AAB96" s="368"/>
      <c r="AAC96" s="368"/>
      <c r="AAD96" s="368"/>
      <c r="AAE96" s="368"/>
      <c r="AAF96" s="368"/>
      <c r="AAG96" s="368"/>
      <c r="AAH96" s="368"/>
      <c r="AAI96" s="368"/>
      <c r="AAJ96" s="368"/>
      <c r="AAK96" s="368"/>
      <c r="AAL96" s="368"/>
      <c r="AAM96" s="368"/>
      <c r="AAN96" s="368"/>
      <c r="AAO96" s="368"/>
      <c r="AAP96" s="368"/>
      <c r="AAQ96" s="368"/>
      <c r="AAR96" s="368"/>
      <c r="AAS96" s="368"/>
      <c r="AAT96" s="368"/>
      <c r="AAU96" s="368"/>
      <c r="AAV96" s="368"/>
      <c r="AAW96" s="368"/>
      <c r="AAX96" s="368"/>
      <c r="AAY96" s="368"/>
      <c r="AAZ96" s="368"/>
      <c r="ABA96" s="368"/>
      <c r="ABB96" s="368"/>
      <c r="ABC96" s="368"/>
      <c r="ABD96" s="368"/>
      <c r="ABE96" s="368"/>
      <c r="ABF96" s="368"/>
      <c r="ABG96" s="368"/>
      <c r="ABH96" s="368"/>
      <c r="ABI96" s="368"/>
      <c r="ABJ96" s="368"/>
      <c r="ABK96" s="368"/>
      <c r="ABL96" s="368"/>
      <c r="ABM96" s="368"/>
      <c r="ABN96" s="368"/>
      <c r="ABO96" s="368"/>
      <c r="ABP96" s="368"/>
      <c r="ABQ96" s="368"/>
      <c r="ABR96" s="368"/>
      <c r="ABS96" s="368"/>
      <c r="ABT96" s="368"/>
      <c r="ABU96" s="368"/>
      <c r="ABV96" s="368"/>
      <c r="ABW96" s="368"/>
      <c r="ABX96" s="368"/>
      <c r="ABY96" s="368"/>
      <c r="ABZ96" s="368"/>
      <c r="ACA96" s="368"/>
      <c r="ACB96" s="368"/>
      <c r="ACC96" s="368"/>
      <c r="ACD96" s="368"/>
      <c r="ACE96" s="368"/>
      <c r="ACF96" s="368"/>
      <c r="ACG96" s="368"/>
      <c r="ACH96" s="368"/>
      <c r="ACI96" s="368"/>
      <c r="ACJ96" s="368"/>
      <c r="ACK96" s="368"/>
      <c r="ACL96" s="368"/>
      <c r="ACM96" s="368"/>
      <c r="ACN96" s="368"/>
      <c r="ACO96" s="368"/>
      <c r="ACP96" s="368"/>
      <c r="ACQ96" s="368"/>
      <c r="ACR96" s="368"/>
      <c r="ACS96" s="368"/>
      <c r="ACT96" s="368"/>
      <c r="ACU96" s="368"/>
      <c r="ACV96" s="368"/>
      <c r="ACW96" s="368"/>
      <c r="ACX96" s="368"/>
      <c r="ACY96" s="368"/>
      <c r="ACZ96" s="368"/>
      <c r="ADA96" s="368"/>
      <c r="ADB96" s="368"/>
      <c r="ADC96" s="368"/>
      <c r="ADD96" s="368"/>
      <c r="ADE96" s="368"/>
      <c r="ADF96" s="368"/>
      <c r="ADG96" s="368"/>
      <c r="ADH96" s="368"/>
      <c r="ADI96" s="368"/>
      <c r="ADJ96" s="368"/>
      <c r="ADK96" s="368"/>
      <c r="ADL96" s="368"/>
      <c r="ADM96" s="368"/>
      <c r="ADN96" s="368"/>
      <c r="ADO96" s="368"/>
      <c r="ADP96" s="368"/>
      <c r="ADQ96" s="368"/>
      <c r="ADR96" s="368"/>
      <c r="ADS96" s="368"/>
      <c r="ADT96" s="368"/>
      <c r="ADU96" s="368"/>
      <c r="ADV96" s="368"/>
      <c r="ADW96" s="368"/>
      <c r="ADX96" s="368"/>
      <c r="ADY96" s="368"/>
      <c r="ADZ96" s="368"/>
      <c r="AEA96" s="368"/>
      <c r="AEB96" s="368"/>
      <c r="AEC96" s="368"/>
      <c r="AED96" s="368"/>
      <c r="AEE96" s="368"/>
      <c r="AEF96" s="368"/>
      <c r="AEG96" s="368"/>
      <c r="AEH96" s="368"/>
      <c r="AEI96" s="368"/>
      <c r="AEJ96" s="368"/>
      <c r="AEK96" s="368"/>
      <c r="AEL96" s="368"/>
      <c r="AEM96" s="368"/>
      <c r="AEN96" s="368"/>
      <c r="AEO96" s="368"/>
      <c r="AEP96" s="368"/>
      <c r="AEQ96" s="368"/>
      <c r="AER96" s="368"/>
      <c r="AES96" s="368"/>
      <c r="AET96" s="368"/>
      <c r="AEU96" s="368"/>
      <c r="AEV96" s="368"/>
      <c r="AEW96" s="368"/>
      <c r="AEX96" s="368"/>
      <c r="AEY96" s="368"/>
      <c r="AEZ96" s="368"/>
      <c r="AFA96" s="368"/>
      <c r="AFB96" s="368"/>
      <c r="AFC96" s="368"/>
      <c r="AFD96" s="368"/>
      <c r="AFE96" s="368"/>
      <c r="AFF96" s="368"/>
      <c r="AFG96" s="368"/>
      <c r="AFH96" s="368"/>
      <c r="AFI96" s="368"/>
      <c r="AFJ96" s="368"/>
      <c r="AFK96" s="368"/>
      <c r="AFL96" s="368"/>
      <c r="AFM96" s="368"/>
      <c r="AFN96" s="368"/>
      <c r="AFO96" s="368"/>
      <c r="AFP96" s="368"/>
      <c r="AFQ96" s="368"/>
      <c r="AFR96" s="368"/>
      <c r="AFS96" s="368"/>
      <c r="AFT96" s="368"/>
      <c r="AFU96" s="368"/>
      <c r="AFV96" s="368"/>
      <c r="AFW96" s="368"/>
      <c r="AFX96" s="368"/>
      <c r="AFY96" s="368"/>
      <c r="AFZ96" s="368"/>
      <c r="AGA96" s="368"/>
      <c r="AGB96" s="368"/>
      <c r="AGC96" s="368"/>
      <c r="AGD96" s="368"/>
      <c r="AGE96" s="368"/>
      <c r="AGF96" s="368"/>
      <c r="AGG96" s="368"/>
      <c r="AGH96" s="368"/>
      <c r="AGI96" s="368"/>
      <c r="AGJ96" s="368"/>
      <c r="AGK96" s="368"/>
      <c r="AGL96" s="368"/>
      <c r="AGM96" s="368"/>
      <c r="AGN96" s="368"/>
      <c r="AGO96" s="368"/>
      <c r="AGP96" s="368"/>
      <c r="AGQ96" s="368"/>
      <c r="AGR96" s="368"/>
      <c r="AGS96" s="368"/>
      <c r="AGT96" s="368"/>
      <c r="AGU96" s="368"/>
      <c r="AGV96" s="368"/>
      <c r="AGW96" s="368"/>
      <c r="AGX96" s="368"/>
      <c r="AGY96" s="368"/>
      <c r="AGZ96" s="368"/>
      <c r="AHA96" s="368"/>
      <c r="AHB96" s="368"/>
      <c r="AHC96" s="368"/>
      <c r="AHD96" s="368"/>
      <c r="AHE96" s="368"/>
      <c r="AHF96" s="368"/>
      <c r="AHG96" s="368"/>
      <c r="AHH96" s="368"/>
      <c r="AHI96" s="368"/>
      <c r="AHJ96" s="368"/>
      <c r="AHK96" s="368"/>
      <c r="AHL96" s="368"/>
      <c r="AHM96" s="368"/>
      <c r="AHN96" s="368"/>
      <c r="AHO96" s="368"/>
      <c r="AHP96" s="368"/>
      <c r="AHQ96" s="368"/>
      <c r="AHR96" s="368"/>
      <c r="AHS96" s="368"/>
      <c r="AHT96" s="368"/>
      <c r="AHU96" s="368"/>
      <c r="AHV96" s="368"/>
      <c r="AHW96" s="368"/>
      <c r="AHX96" s="368"/>
      <c r="AHY96" s="368"/>
      <c r="AHZ96" s="368"/>
      <c r="AIA96" s="368"/>
      <c r="AIB96" s="368"/>
      <c r="AIC96" s="368"/>
      <c r="AID96" s="368"/>
      <c r="AIE96" s="368"/>
      <c r="AIF96" s="368"/>
      <c r="AIG96" s="368"/>
      <c r="AIH96" s="368"/>
      <c r="AII96" s="368"/>
      <c r="AIJ96" s="368"/>
      <c r="AIK96" s="368"/>
      <c r="AIL96" s="368"/>
      <c r="AIM96" s="368"/>
      <c r="AIN96" s="368"/>
      <c r="AIO96" s="368"/>
      <c r="AIP96" s="368"/>
      <c r="AIQ96" s="368"/>
      <c r="AIR96" s="368"/>
      <c r="AIS96" s="368"/>
      <c r="AIT96" s="368"/>
      <c r="AIU96" s="368"/>
      <c r="AIV96" s="368"/>
      <c r="AIW96" s="368"/>
      <c r="AIX96" s="368"/>
      <c r="AIY96" s="368"/>
      <c r="AIZ96" s="368"/>
      <c r="AJA96" s="368"/>
      <c r="AJB96" s="368"/>
      <c r="AJC96" s="368"/>
      <c r="AJD96" s="368"/>
      <c r="AJE96" s="368"/>
      <c r="AJF96" s="368"/>
      <c r="AJG96" s="368"/>
      <c r="AJH96" s="368"/>
      <c r="AJI96" s="368"/>
      <c r="AJJ96" s="368"/>
      <c r="AJK96" s="368"/>
      <c r="AJL96" s="368"/>
      <c r="AJM96" s="368"/>
      <c r="AJN96" s="368"/>
      <c r="AJO96" s="368"/>
      <c r="AJP96" s="368"/>
      <c r="AJQ96" s="368"/>
      <c r="AJR96" s="368"/>
      <c r="AJS96" s="368"/>
      <c r="AJT96" s="368"/>
      <c r="AJU96" s="368"/>
      <c r="AJV96" s="368"/>
      <c r="AJW96" s="368"/>
      <c r="AJX96" s="368"/>
      <c r="AJY96" s="368"/>
      <c r="AJZ96" s="368"/>
      <c r="AKA96" s="368"/>
      <c r="AKB96" s="368"/>
      <c r="AKC96" s="368"/>
      <c r="AKD96" s="368"/>
      <c r="AKE96" s="368"/>
      <c r="AKF96" s="368"/>
      <c r="AKG96" s="368"/>
      <c r="AKH96" s="368"/>
      <c r="AKI96" s="368"/>
      <c r="AKJ96" s="368"/>
      <c r="AKK96" s="368"/>
      <c r="AKL96" s="368"/>
      <c r="AKM96" s="368"/>
      <c r="AKN96" s="368"/>
    </row>
    <row r="97" spans="1:976" s="346" customFormat="1" ht="22.5" customHeight="1" x14ac:dyDescent="0.2">
      <c r="A97" s="370" t="s">
        <v>262</v>
      </c>
      <c r="B97" s="370"/>
      <c r="C97" s="370" t="s">
        <v>221</v>
      </c>
      <c r="D97" s="370" t="s">
        <v>222</v>
      </c>
      <c r="E97" s="371">
        <v>411402</v>
      </c>
      <c r="F97" s="371">
        <v>1389</v>
      </c>
      <c r="G97" s="371">
        <v>211</v>
      </c>
      <c r="H97" s="371">
        <v>0</v>
      </c>
      <c r="I97" s="372">
        <v>45848</v>
      </c>
      <c r="J97" s="370" t="s">
        <v>395</v>
      </c>
      <c r="K97" s="370" t="s">
        <v>550</v>
      </c>
      <c r="L97" s="373">
        <v>141.93</v>
      </c>
      <c r="M97" s="373">
        <v>8.01</v>
      </c>
      <c r="N97" s="444">
        <v>149.94</v>
      </c>
      <c r="O97" s="370"/>
      <c r="P97" s="374">
        <v>45856</v>
      </c>
      <c r="Q97" s="373">
        <v>149.94</v>
      </c>
      <c r="R97" s="370" t="s">
        <v>551</v>
      </c>
      <c r="S97" s="373">
        <v>0</v>
      </c>
      <c r="T97" s="373">
        <v>0</v>
      </c>
      <c r="U97" s="373">
        <v>0</v>
      </c>
      <c r="V97" s="373">
        <v>0</v>
      </c>
      <c r="W97" s="370"/>
      <c r="X97" s="370" t="s">
        <v>293</v>
      </c>
      <c r="Y97" s="370" t="s">
        <v>294</v>
      </c>
      <c r="Z97" s="370" t="s">
        <v>42</v>
      </c>
      <c r="AA97" s="370" t="s">
        <v>228</v>
      </c>
      <c r="AB97" s="370" t="s">
        <v>235</v>
      </c>
      <c r="AC97" s="370" t="s">
        <v>331</v>
      </c>
      <c r="AD97" s="370" t="s">
        <v>231</v>
      </c>
      <c r="AE97" s="370" t="s">
        <v>232</v>
      </c>
      <c r="AF97" s="370" t="s">
        <v>231</v>
      </c>
      <c r="AG97" s="370" t="s">
        <v>232</v>
      </c>
      <c r="AH97" s="370"/>
      <c r="AI97" s="370"/>
      <c r="AJ97" s="370"/>
      <c r="AK97" s="370" t="s">
        <v>552</v>
      </c>
      <c r="AL97" s="371">
        <v>1</v>
      </c>
      <c r="AM97" s="371">
        <v>0</v>
      </c>
      <c r="AN97" s="372">
        <v>45856</v>
      </c>
      <c r="AO97" s="372">
        <v>45855</v>
      </c>
      <c r="AP97" s="373">
        <v>149.94</v>
      </c>
      <c r="AQ97" s="372">
        <v>45854</v>
      </c>
      <c r="AR97" s="368"/>
      <c r="AS97" s="368"/>
      <c r="AT97" s="368"/>
      <c r="AU97" s="368"/>
      <c r="AV97" s="368"/>
      <c r="AW97" s="368"/>
      <c r="AX97" s="368"/>
      <c r="AY97" s="368"/>
      <c r="AZ97" s="368"/>
      <c r="BA97" s="368"/>
      <c r="BB97" s="368"/>
      <c r="BC97" s="368"/>
      <c r="BD97" s="368"/>
      <c r="BE97" s="368"/>
      <c r="BF97" s="368"/>
      <c r="BG97" s="368"/>
      <c r="BH97" s="368"/>
      <c r="BI97" s="368"/>
      <c r="BJ97" s="368"/>
      <c r="BK97" s="368"/>
      <c r="BL97" s="368"/>
      <c r="BM97" s="368"/>
      <c r="BN97" s="368"/>
      <c r="BO97" s="368"/>
      <c r="BP97" s="368"/>
      <c r="BQ97" s="368"/>
      <c r="BR97" s="368"/>
      <c r="BS97" s="368"/>
      <c r="BT97" s="368"/>
      <c r="BU97" s="368"/>
      <c r="BV97" s="368"/>
      <c r="BW97" s="368"/>
      <c r="BX97" s="368"/>
      <c r="BY97" s="368"/>
      <c r="BZ97" s="368"/>
      <c r="CA97" s="368"/>
      <c r="CB97" s="368"/>
      <c r="CC97" s="368"/>
      <c r="CD97" s="368"/>
      <c r="CE97" s="368"/>
      <c r="CF97" s="368"/>
      <c r="CG97" s="368"/>
      <c r="CH97" s="368"/>
      <c r="CI97" s="368"/>
      <c r="CJ97" s="368"/>
      <c r="CK97" s="368"/>
      <c r="CL97" s="368"/>
      <c r="CM97" s="368"/>
      <c r="CN97" s="368"/>
      <c r="CO97" s="368"/>
      <c r="CP97" s="368"/>
      <c r="CQ97" s="368"/>
      <c r="CR97" s="368"/>
      <c r="CS97" s="368"/>
      <c r="CT97" s="368"/>
      <c r="CU97" s="368"/>
      <c r="CV97" s="368"/>
      <c r="CW97" s="368"/>
      <c r="CX97" s="368"/>
      <c r="CY97" s="368"/>
      <c r="CZ97" s="368"/>
      <c r="DA97" s="368"/>
      <c r="DB97" s="368"/>
      <c r="DC97" s="368"/>
      <c r="DD97" s="368"/>
      <c r="DE97" s="368"/>
      <c r="DF97" s="368"/>
      <c r="DG97" s="368"/>
      <c r="DH97" s="368"/>
      <c r="DI97" s="368"/>
      <c r="DJ97" s="368"/>
      <c r="DK97" s="368"/>
      <c r="DL97" s="368"/>
      <c r="DM97" s="368"/>
      <c r="DN97" s="368"/>
      <c r="DO97" s="368"/>
      <c r="DP97" s="368"/>
      <c r="DQ97" s="368"/>
      <c r="DR97" s="368"/>
      <c r="DS97" s="368"/>
      <c r="DT97" s="368"/>
      <c r="DU97" s="368"/>
      <c r="DV97" s="368"/>
      <c r="DW97" s="368"/>
      <c r="DX97" s="368"/>
      <c r="DY97" s="368"/>
      <c r="DZ97" s="368"/>
      <c r="EA97" s="368"/>
      <c r="EB97" s="368"/>
      <c r="EC97" s="368"/>
      <c r="ED97" s="368"/>
      <c r="EE97" s="368"/>
      <c r="EF97" s="368"/>
      <c r="EG97" s="368"/>
      <c r="EH97" s="368"/>
      <c r="EI97" s="368"/>
      <c r="EJ97" s="368"/>
      <c r="EK97" s="368"/>
      <c r="EL97" s="368"/>
      <c r="EM97" s="368"/>
      <c r="EN97" s="368"/>
      <c r="EO97" s="368"/>
      <c r="EP97" s="368"/>
      <c r="EQ97" s="368"/>
      <c r="ER97" s="368"/>
      <c r="ES97" s="368"/>
      <c r="ET97" s="368"/>
      <c r="EU97" s="368"/>
      <c r="EV97" s="368"/>
      <c r="EW97" s="368"/>
      <c r="EX97" s="368"/>
      <c r="EY97" s="368"/>
      <c r="EZ97" s="368"/>
      <c r="FA97" s="368"/>
      <c r="FB97" s="368"/>
      <c r="FC97" s="368"/>
      <c r="FD97" s="368"/>
      <c r="FE97" s="368"/>
      <c r="FF97" s="368"/>
      <c r="FG97" s="368"/>
      <c r="FH97" s="368"/>
      <c r="FI97" s="368"/>
      <c r="FJ97" s="368"/>
      <c r="FK97" s="368"/>
      <c r="FL97" s="368"/>
      <c r="FM97" s="368"/>
      <c r="FN97" s="368"/>
      <c r="FO97" s="368"/>
      <c r="FP97" s="368"/>
      <c r="FQ97" s="368"/>
      <c r="FR97" s="368"/>
      <c r="FS97" s="368"/>
      <c r="FT97" s="368"/>
      <c r="FU97" s="368"/>
      <c r="FV97" s="368"/>
      <c r="FW97" s="368"/>
      <c r="FX97" s="368"/>
      <c r="FY97" s="368"/>
      <c r="FZ97" s="368"/>
      <c r="GA97" s="368"/>
      <c r="GB97" s="368"/>
      <c r="GC97" s="368"/>
      <c r="GD97" s="368"/>
      <c r="GE97" s="368"/>
      <c r="GF97" s="368"/>
      <c r="GG97" s="368"/>
      <c r="GH97" s="368"/>
      <c r="GI97" s="368"/>
      <c r="GJ97" s="368"/>
      <c r="GK97" s="368"/>
      <c r="GL97" s="368"/>
      <c r="GM97" s="368"/>
      <c r="GN97" s="368"/>
      <c r="GO97" s="368"/>
      <c r="GP97" s="368"/>
      <c r="GQ97" s="368"/>
      <c r="GR97" s="368"/>
      <c r="GS97" s="368"/>
      <c r="GT97" s="368"/>
      <c r="GU97" s="368"/>
      <c r="GV97" s="368"/>
      <c r="GW97" s="368"/>
      <c r="GX97" s="368"/>
      <c r="GY97" s="368"/>
      <c r="GZ97" s="368"/>
      <c r="HA97" s="368"/>
      <c r="HB97" s="368"/>
      <c r="HC97" s="368"/>
      <c r="HD97" s="368"/>
      <c r="HE97" s="368"/>
      <c r="HF97" s="368"/>
      <c r="HG97" s="368"/>
      <c r="HH97" s="368"/>
      <c r="HI97" s="368"/>
      <c r="HJ97" s="368"/>
      <c r="HK97" s="368"/>
      <c r="HL97" s="368"/>
      <c r="HM97" s="368"/>
      <c r="HN97" s="368"/>
      <c r="HO97" s="368"/>
      <c r="HP97" s="368"/>
      <c r="HQ97" s="368"/>
      <c r="HR97" s="368"/>
      <c r="HS97" s="368"/>
      <c r="HT97" s="368"/>
      <c r="HU97" s="368"/>
      <c r="HV97" s="368"/>
      <c r="HW97" s="368"/>
      <c r="HX97" s="368"/>
      <c r="HY97" s="368"/>
      <c r="HZ97" s="368"/>
      <c r="IA97" s="368"/>
      <c r="IB97" s="368"/>
      <c r="IC97" s="368"/>
      <c r="ID97" s="368"/>
      <c r="IE97" s="368"/>
      <c r="IF97" s="368"/>
      <c r="IG97" s="368"/>
      <c r="IH97" s="368"/>
      <c r="II97" s="368"/>
      <c r="IJ97" s="368"/>
      <c r="IK97" s="368"/>
      <c r="IL97" s="368"/>
      <c r="IM97" s="368"/>
      <c r="IN97" s="368"/>
      <c r="IO97" s="368"/>
      <c r="IP97" s="368"/>
      <c r="IQ97" s="368"/>
      <c r="IR97" s="368"/>
      <c r="IS97" s="368"/>
      <c r="IT97" s="368"/>
      <c r="IU97" s="368"/>
      <c r="IV97" s="368"/>
      <c r="IW97" s="368"/>
      <c r="IX97" s="368"/>
      <c r="IY97" s="368"/>
      <c r="IZ97" s="368"/>
      <c r="JA97" s="368"/>
      <c r="JB97" s="368"/>
      <c r="JC97" s="368"/>
      <c r="JD97" s="368"/>
      <c r="JE97" s="368"/>
      <c r="JF97" s="368"/>
      <c r="JG97" s="368"/>
      <c r="JH97" s="368"/>
      <c r="JI97" s="368"/>
      <c r="JJ97" s="368"/>
      <c r="JK97" s="368"/>
      <c r="JL97" s="368"/>
      <c r="JM97" s="368"/>
      <c r="JN97" s="368"/>
      <c r="JO97" s="368"/>
      <c r="JP97" s="368"/>
      <c r="JQ97" s="368"/>
      <c r="JR97" s="368"/>
      <c r="JS97" s="368"/>
      <c r="JT97" s="368"/>
      <c r="JU97" s="368"/>
      <c r="JV97" s="368"/>
      <c r="JW97" s="368"/>
      <c r="JX97" s="368"/>
      <c r="JY97" s="368"/>
      <c r="JZ97" s="368"/>
      <c r="KA97" s="368"/>
      <c r="KB97" s="368"/>
      <c r="KC97" s="368"/>
      <c r="KD97" s="368"/>
      <c r="KE97" s="368"/>
      <c r="KF97" s="368"/>
      <c r="KG97" s="368"/>
      <c r="KH97" s="368"/>
      <c r="KI97" s="368"/>
      <c r="KJ97" s="368"/>
      <c r="KK97" s="368"/>
      <c r="KL97" s="368"/>
      <c r="KM97" s="368"/>
      <c r="KN97" s="368"/>
      <c r="KO97" s="368"/>
      <c r="KP97" s="368"/>
      <c r="KQ97" s="368"/>
      <c r="KR97" s="368"/>
      <c r="KS97" s="368"/>
      <c r="KT97" s="368"/>
      <c r="KU97" s="368"/>
      <c r="KV97" s="368"/>
      <c r="KW97" s="368"/>
      <c r="KX97" s="368"/>
      <c r="KY97" s="368"/>
      <c r="KZ97" s="368"/>
      <c r="LA97" s="368"/>
      <c r="LB97" s="368"/>
      <c r="LC97" s="368"/>
      <c r="LD97" s="368"/>
      <c r="LE97" s="368"/>
      <c r="LF97" s="368"/>
      <c r="LG97" s="368"/>
      <c r="LH97" s="368"/>
      <c r="LI97" s="368"/>
      <c r="LJ97" s="368"/>
      <c r="LK97" s="368"/>
      <c r="LL97" s="368"/>
      <c r="LM97" s="368"/>
      <c r="LN97" s="368"/>
      <c r="LO97" s="368"/>
      <c r="LP97" s="368"/>
      <c r="LQ97" s="368"/>
      <c r="LR97" s="368"/>
      <c r="LS97" s="368"/>
      <c r="LT97" s="368"/>
      <c r="LU97" s="368"/>
      <c r="LV97" s="368"/>
      <c r="LW97" s="368"/>
      <c r="LX97" s="368"/>
      <c r="LY97" s="368"/>
      <c r="LZ97" s="368"/>
      <c r="MA97" s="368"/>
      <c r="MB97" s="368"/>
      <c r="MC97" s="368"/>
      <c r="MD97" s="368"/>
      <c r="ME97" s="368"/>
      <c r="MF97" s="368"/>
      <c r="MG97" s="368"/>
      <c r="MH97" s="368"/>
      <c r="MI97" s="368"/>
      <c r="MJ97" s="368"/>
      <c r="MK97" s="368"/>
      <c r="ML97" s="368"/>
      <c r="MM97" s="368"/>
      <c r="MN97" s="368"/>
      <c r="MO97" s="368"/>
      <c r="MP97" s="368"/>
      <c r="MQ97" s="368"/>
      <c r="MR97" s="368"/>
      <c r="MS97" s="368"/>
      <c r="MT97" s="368"/>
      <c r="MU97" s="368"/>
      <c r="MV97" s="368"/>
      <c r="MW97" s="368"/>
      <c r="MX97" s="368"/>
      <c r="MY97" s="368"/>
      <c r="MZ97" s="368"/>
      <c r="NA97" s="368"/>
      <c r="NB97" s="368"/>
      <c r="NC97" s="368"/>
      <c r="ND97" s="368"/>
      <c r="NE97" s="368"/>
      <c r="NF97" s="368"/>
      <c r="NG97" s="368"/>
      <c r="NH97" s="368"/>
      <c r="NI97" s="368"/>
      <c r="NJ97" s="368"/>
      <c r="NK97" s="368"/>
      <c r="NL97" s="368"/>
      <c r="NM97" s="368"/>
      <c r="NN97" s="368"/>
      <c r="NO97" s="368"/>
      <c r="NP97" s="368"/>
      <c r="NQ97" s="368"/>
      <c r="NR97" s="368"/>
      <c r="NS97" s="368"/>
      <c r="NT97" s="368"/>
      <c r="NU97" s="368"/>
      <c r="NV97" s="368"/>
      <c r="NW97" s="368"/>
      <c r="NX97" s="368"/>
      <c r="NY97" s="368"/>
      <c r="NZ97" s="368"/>
      <c r="OA97" s="368"/>
      <c r="OB97" s="368"/>
      <c r="OC97" s="368"/>
      <c r="OD97" s="368"/>
      <c r="OE97" s="368"/>
      <c r="OF97" s="368"/>
      <c r="OG97" s="368"/>
      <c r="OH97" s="368"/>
      <c r="OI97" s="368"/>
      <c r="OJ97" s="368"/>
      <c r="OK97" s="368"/>
      <c r="OL97" s="368"/>
      <c r="OM97" s="368"/>
      <c r="ON97" s="368"/>
      <c r="OO97" s="368"/>
      <c r="OP97" s="368"/>
      <c r="OQ97" s="368"/>
      <c r="OR97" s="368"/>
      <c r="OS97" s="368"/>
      <c r="OT97" s="368"/>
      <c r="OU97" s="368"/>
      <c r="OV97" s="368"/>
      <c r="OW97" s="368"/>
      <c r="OX97" s="368"/>
      <c r="OY97" s="368"/>
      <c r="OZ97" s="368"/>
      <c r="PA97" s="368"/>
      <c r="PB97" s="368"/>
      <c r="PC97" s="368"/>
      <c r="PD97" s="368"/>
      <c r="PE97" s="368"/>
      <c r="PF97" s="368"/>
      <c r="PG97" s="368"/>
      <c r="PH97" s="368"/>
      <c r="PI97" s="368"/>
      <c r="PJ97" s="368"/>
      <c r="PK97" s="368"/>
      <c r="PL97" s="368"/>
      <c r="PM97" s="368"/>
      <c r="PN97" s="368"/>
      <c r="PO97" s="368"/>
      <c r="PP97" s="368"/>
      <c r="PQ97" s="368"/>
      <c r="PR97" s="368"/>
      <c r="PS97" s="368"/>
      <c r="PT97" s="368"/>
      <c r="PU97" s="368"/>
      <c r="PV97" s="368"/>
      <c r="PW97" s="368"/>
      <c r="PX97" s="368"/>
      <c r="PY97" s="368"/>
      <c r="PZ97" s="368"/>
      <c r="QA97" s="368"/>
      <c r="QB97" s="368"/>
      <c r="QC97" s="368"/>
      <c r="QD97" s="368"/>
      <c r="QE97" s="368"/>
      <c r="QF97" s="368"/>
      <c r="QG97" s="368"/>
      <c r="QH97" s="368"/>
      <c r="QI97" s="368"/>
      <c r="QJ97" s="368"/>
      <c r="QK97" s="368"/>
      <c r="QL97" s="368"/>
      <c r="QM97" s="368"/>
      <c r="QN97" s="368"/>
      <c r="QO97" s="368"/>
      <c r="QP97" s="368"/>
      <c r="QQ97" s="368"/>
      <c r="QR97" s="368"/>
      <c r="QS97" s="368"/>
      <c r="QT97" s="368"/>
      <c r="QU97" s="368"/>
      <c r="QV97" s="368"/>
      <c r="QW97" s="368"/>
      <c r="QX97" s="368"/>
      <c r="QY97" s="368"/>
      <c r="QZ97" s="368"/>
      <c r="RA97" s="368"/>
      <c r="RB97" s="368"/>
      <c r="RC97" s="368"/>
      <c r="RD97" s="368"/>
      <c r="RE97" s="368"/>
      <c r="RF97" s="368"/>
      <c r="RG97" s="368"/>
      <c r="RH97" s="368"/>
      <c r="RI97" s="368"/>
      <c r="RJ97" s="368"/>
      <c r="RK97" s="368"/>
      <c r="RL97" s="368"/>
      <c r="RM97" s="368"/>
      <c r="RN97" s="368"/>
      <c r="RO97" s="368"/>
      <c r="RP97" s="368"/>
      <c r="RQ97" s="368"/>
      <c r="RR97" s="368"/>
      <c r="RS97" s="368"/>
      <c r="RT97" s="368"/>
      <c r="RU97" s="368"/>
      <c r="RV97" s="368"/>
      <c r="RW97" s="368"/>
      <c r="RX97" s="368"/>
      <c r="RY97" s="368"/>
      <c r="RZ97" s="368"/>
      <c r="SA97" s="368"/>
      <c r="SB97" s="368"/>
      <c r="SC97" s="368"/>
      <c r="SD97" s="368"/>
      <c r="SE97" s="368"/>
      <c r="SF97" s="368"/>
      <c r="SG97" s="368"/>
      <c r="SH97" s="368"/>
      <c r="SI97" s="368"/>
      <c r="SJ97" s="368"/>
      <c r="SK97" s="368"/>
      <c r="SL97" s="368"/>
      <c r="SM97" s="368"/>
      <c r="SN97" s="368"/>
      <c r="SO97" s="368"/>
      <c r="SP97" s="368"/>
      <c r="SQ97" s="368"/>
      <c r="SR97" s="368"/>
      <c r="SS97" s="368"/>
      <c r="ST97" s="368"/>
      <c r="SU97" s="368"/>
      <c r="SV97" s="368"/>
      <c r="SW97" s="368"/>
      <c r="SX97" s="368"/>
      <c r="SY97" s="368"/>
      <c r="SZ97" s="368"/>
      <c r="TA97" s="368"/>
      <c r="TB97" s="368"/>
      <c r="TC97" s="368"/>
      <c r="TD97" s="368"/>
      <c r="TE97" s="368"/>
      <c r="TF97" s="368"/>
      <c r="TG97" s="368"/>
      <c r="TH97" s="368"/>
      <c r="TI97" s="368"/>
      <c r="TJ97" s="368"/>
      <c r="TK97" s="368"/>
      <c r="TL97" s="368"/>
      <c r="TM97" s="368"/>
      <c r="TN97" s="368"/>
      <c r="TO97" s="368"/>
      <c r="TP97" s="368"/>
      <c r="TQ97" s="368"/>
      <c r="TR97" s="368"/>
      <c r="TS97" s="368"/>
      <c r="TT97" s="368"/>
      <c r="TU97" s="368"/>
      <c r="TV97" s="368"/>
      <c r="TW97" s="368"/>
      <c r="TX97" s="368"/>
      <c r="TY97" s="368"/>
      <c r="TZ97" s="368"/>
      <c r="UA97" s="368"/>
      <c r="UB97" s="368"/>
      <c r="UC97" s="368"/>
      <c r="UD97" s="368"/>
      <c r="UE97" s="368"/>
      <c r="UF97" s="368"/>
      <c r="UG97" s="368"/>
      <c r="UH97" s="368"/>
      <c r="UI97" s="368"/>
      <c r="UJ97" s="368"/>
      <c r="UK97" s="368"/>
      <c r="UL97" s="368"/>
      <c r="UM97" s="368"/>
      <c r="UN97" s="368"/>
      <c r="UO97" s="368"/>
      <c r="UP97" s="368"/>
      <c r="UQ97" s="368"/>
      <c r="UR97" s="368"/>
      <c r="US97" s="368"/>
      <c r="UT97" s="368"/>
      <c r="UU97" s="368"/>
      <c r="UV97" s="368"/>
      <c r="UW97" s="368"/>
      <c r="UX97" s="368"/>
      <c r="UY97" s="368"/>
      <c r="UZ97" s="368"/>
      <c r="VA97" s="368"/>
      <c r="VB97" s="368"/>
      <c r="VC97" s="368"/>
      <c r="VD97" s="368"/>
      <c r="VE97" s="368"/>
      <c r="VF97" s="368"/>
      <c r="VG97" s="368"/>
      <c r="VH97" s="368"/>
      <c r="VI97" s="368"/>
      <c r="VJ97" s="368"/>
      <c r="VK97" s="368"/>
      <c r="VL97" s="368"/>
      <c r="VM97" s="368"/>
      <c r="VN97" s="368"/>
      <c r="VO97" s="368"/>
      <c r="VP97" s="368"/>
      <c r="VQ97" s="368"/>
      <c r="VR97" s="368"/>
      <c r="VS97" s="368"/>
      <c r="VT97" s="368"/>
      <c r="VU97" s="368"/>
      <c r="VV97" s="368"/>
      <c r="VW97" s="368"/>
      <c r="VX97" s="368"/>
      <c r="VY97" s="368"/>
      <c r="VZ97" s="368"/>
      <c r="WA97" s="368"/>
      <c r="WB97" s="368"/>
      <c r="WC97" s="368"/>
      <c r="WD97" s="368"/>
      <c r="WE97" s="368"/>
      <c r="WF97" s="368"/>
      <c r="WG97" s="368"/>
      <c r="WH97" s="368"/>
      <c r="WI97" s="368"/>
      <c r="WJ97" s="368"/>
      <c r="WK97" s="368"/>
      <c r="WL97" s="368"/>
      <c r="WM97" s="368"/>
      <c r="WN97" s="368"/>
      <c r="WO97" s="368"/>
      <c r="WP97" s="368"/>
      <c r="WQ97" s="368"/>
      <c r="WR97" s="368"/>
      <c r="WS97" s="368"/>
      <c r="WT97" s="368"/>
      <c r="WU97" s="368"/>
      <c r="WV97" s="368"/>
      <c r="WW97" s="368"/>
      <c r="WX97" s="368"/>
      <c r="WY97" s="368"/>
      <c r="WZ97" s="368"/>
      <c r="XA97" s="368"/>
      <c r="XB97" s="368"/>
      <c r="XC97" s="368"/>
      <c r="XD97" s="368"/>
      <c r="XE97" s="368"/>
      <c r="XF97" s="368"/>
      <c r="XG97" s="368"/>
      <c r="XH97" s="368"/>
      <c r="XI97" s="368"/>
      <c r="XJ97" s="368"/>
      <c r="XK97" s="368"/>
      <c r="XL97" s="368"/>
      <c r="XM97" s="368"/>
      <c r="XN97" s="368"/>
      <c r="XO97" s="368"/>
      <c r="XP97" s="368"/>
      <c r="XQ97" s="368"/>
      <c r="XR97" s="368"/>
      <c r="XS97" s="368"/>
      <c r="XT97" s="368"/>
      <c r="XU97" s="368"/>
      <c r="XV97" s="368"/>
      <c r="XW97" s="368"/>
      <c r="XX97" s="368"/>
      <c r="XY97" s="368"/>
      <c r="XZ97" s="368"/>
      <c r="YA97" s="368"/>
      <c r="YB97" s="368"/>
      <c r="YC97" s="368"/>
      <c r="YD97" s="368"/>
      <c r="YE97" s="368"/>
      <c r="YF97" s="368"/>
      <c r="YG97" s="368"/>
      <c r="YH97" s="368"/>
      <c r="YI97" s="368"/>
      <c r="YJ97" s="368"/>
      <c r="YK97" s="368"/>
      <c r="YL97" s="368"/>
      <c r="YM97" s="368"/>
      <c r="YN97" s="368"/>
      <c r="YO97" s="368"/>
      <c r="YP97" s="368"/>
      <c r="YQ97" s="368"/>
      <c r="YR97" s="368"/>
      <c r="YS97" s="368"/>
      <c r="YT97" s="368"/>
      <c r="YU97" s="368"/>
      <c r="YV97" s="368"/>
      <c r="YW97" s="368"/>
      <c r="YX97" s="368"/>
      <c r="YY97" s="368"/>
      <c r="YZ97" s="368"/>
      <c r="ZA97" s="368"/>
      <c r="ZB97" s="368"/>
      <c r="ZC97" s="368"/>
      <c r="ZD97" s="368"/>
      <c r="ZE97" s="368"/>
      <c r="ZF97" s="368"/>
      <c r="ZG97" s="368"/>
      <c r="ZH97" s="368"/>
      <c r="ZI97" s="368"/>
      <c r="ZJ97" s="368"/>
      <c r="ZK97" s="368"/>
      <c r="ZL97" s="368"/>
      <c r="ZM97" s="368"/>
      <c r="ZN97" s="368"/>
      <c r="ZO97" s="368"/>
      <c r="ZP97" s="368"/>
      <c r="ZQ97" s="368"/>
      <c r="ZR97" s="368"/>
      <c r="ZS97" s="368"/>
      <c r="ZT97" s="368"/>
      <c r="ZU97" s="368"/>
      <c r="ZV97" s="368"/>
      <c r="ZW97" s="368"/>
      <c r="ZX97" s="368"/>
      <c r="ZY97" s="368"/>
      <c r="ZZ97" s="368"/>
      <c r="AAA97" s="368"/>
      <c r="AAB97" s="368"/>
      <c r="AAC97" s="368"/>
      <c r="AAD97" s="368"/>
      <c r="AAE97" s="368"/>
      <c r="AAF97" s="368"/>
      <c r="AAG97" s="368"/>
      <c r="AAH97" s="368"/>
      <c r="AAI97" s="368"/>
      <c r="AAJ97" s="368"/>
      <c r="AAK97" s="368"/>
      <c r="AAL97" s="368"/>
      <c r="AAM97" s="368"/>
      <c r="AAN97" s="368"/>
      <c r="AAO97" s="368"/>
      <c r="AAP97" s="368"/>
      <c r="AAQ97" s="368"/>
      <c r="AAR97" s="368"/>
      <c r="AAS97" s="368"/>
      <c r="AAT97" s="368"/>
      <c r="AAU97" s="368"/>
      <c r="AAV97" s="368"/>
      <c r="AAW97" s="368"/>
      <c r="AAX97" s="368"/>
      <c r="AAY97" s="368"/>
      <c r="AAZ97" s="368"/>
      <c r="ABA97" s="368"/>
      <c r="ABB97" s="368"/>
      <c r="ABC97" s="368"/>
      <c r="ABD97" s="368"/>
      <c r="ABE97" s="368"/>
      <c r="ABF97" s="368"/>
      <c r="ABG97" s="368"/>
      <c r="ABH97" s="368"/>
      <c r="ABI97" s="368"/>
      <c r="ABJ97" s="368"/>
      <c r="ABK97" s="368"/>
      <c r="ABL97" s="368"/>
      <c r="ABM97" s="368"/>
      <c r="ABN97" s="368"/>
      <c r="ABO97" s="368"/>
      <c r="ABP97" s="368"/>
      <c r="ABQ97" s="368"/>
      <c r="ABR97" s="368"/>
      <c r="ABS97" s="368"/>
      <c r="ABT97" s="368"/>
      <c r="ABU97" s="368"/>
      <c r="ABV97" s="368"/>
      <c r="ABW97" s="368"/>
      <c r="ABX97" s="368"/>
      <c r="ABY97" s="368"/>
      <c r="ABZ97" s="368"/>
      <c r="ACA97" s="368"/>
      <c r="ACB97" s="368"/>
      <c r="ACC97" s="368"/>
      <c r="ACD97" s="368"/>
      <c r="ACE97" s="368"/>
      <c r="ACF97" s="368"/>
      <c r="ACG97" s="368"/>
      <c r="ACH97" s="368"/>
      <c r="ACI97" s="368"/>
      <c r="ACJ97" s="368"/>
      <c r="ACK97" s="368"/>
      <c r="ACL97" s="368"/>
      <c r="ACM97" s="368"/>
      <c r="ACN97" s="368"/>
      <c r="ACO97" s="368"/>
      <c r="ACP97" s="368"/>
      <c r="ACQ97" s="368"/>
      <c r="ACR97" s="368"/>
      <c r="ACS97" s="368"/>
      <c r="ACT97" s="368"/>
      <c r="ACU97" s="368"/>
      <c r="ACV97" s="368"/>
      <c r="ACW97" s="368"/>
      <c r="ACX97" s="368"/>
      <c r="ACY97" s="368"/>
      <c r="ACZ97" s="368"/>
      <c r="ADA97" s="368"/>
      <c r="ADB97" s="368"/>
      <c r="ADC97" s="368"/>
      <c r="ADD97" s="368"/>
      <c r="ADE97" s="368"/>
      <c r="ADF97" s="368"/>
      <c r="ADG97" s="368"/>
      <c r="ADH97" s="368"/>
      <c r="ADI97" s="368"/>
      <c r="ADJ97" s="368"/>
      <c r="ADK97" s="368"/>
      <c r="ADL97" s="368"/>
      <c r="ADM97" s="368"/>
      <c r="ADN97" s="368"/>
      <c r="ADO97" s="368"/>
      <c r="ADP97" s="368"/>
      <c r="ADQ97" s="368"/>
      <c r="ADR97" s="368"/>
      <c r="ADS97" s="368"/>
      <c r="ADT97" s="368"/>
      <c r="ADU97" s="368"/>
      <c r="ADV97" s="368"/>
      <c r="ADW97" s="368"/>
      <c r="ADX97" s="368"/>
      <c r="ADY97" s="368"/>
      <c r="ADZ97" s="368"/>
      <c r="AEA97" s="368"/>
      <c r="AEB97" s="368"/>
      <c r="AEC97" s="368"/>
      <c r="AED97" s="368"/>
      <c r="AEE97" s="368"/>
      <c r="AEF97" s="368"/>
      <c r="AEG97" s="368"/>
      <c r="AEH97" s="368"/>
      <c r="AEI97" s="368"/>
      <c r="AEJ97" s="368"/>
      <c r="AEK97" s="368"/>
      <c r="AEL97" s="368"/>
      <c r="AEM97" s="368"/>
      <c r="AEN97" s="368"/>
      <c r="AEO97" s="368"/>
      <c r="AEP97" s="368"/>
      <c r="AEQ97" s="368"/>
      <c r="AER97" s="368"/>
      <c r="AES97" s="368"/>
      <c r="AET97" s="368"/>
      <c r="AEU97" s="368"/>
      <c r="AEV97" s="368"/>
      <c r="AEW97" s="368"/>
      <c r="AEX97" s="368"/>
      <c r="AEY97" s="368"/>
      <c r="AEZ97" s="368"/>
      <c r="AFA97" s="368"/>
      <c r="AFB97" s="368"/>
      <c r="AFC97" s="368"/>
      <c r="AFD97" s="368"/>
      <c r="AFE97" s="368"/>
      <c r="AFF97" s="368"/>
      <c r="AFG97" s="368"/>
      <c r="AFH97" s="368"/>
      <c r="AFI97" s="368"/>
      <c r="AFJ97" s="368"/>
      <c r="AFK97" s="368"/>
      <c r="AFL97" s="368"/>
      <c r="AFM97" s="368"/>
      <c r="AFN97" s="368"/>
      <c r="AFO97" s="368"/>
      <c r="AFP97" s="368"/>
      <c r="AFQ97" s="368"/>
      <c r="AFR97" s="368"/>
      <c r="AFS97" s="368"/>
      <c r="AFT97" s="368"/>
      <c r="AFU97" s="368"/>
      <c r="AFV97" s="368"/>
      <c r="AFW97" s="368"/>
      <c r="AFX97" s="368"/>
      <c r="AFY97" s="368"/>
      <c r="AFZ97" s="368"/>
      <c r="AGA97" s="368"/>
      <c r="AGB97" s="368"/>
      <c r="AGC97" s="368"/>
      <c r="AGD97" s="368"/>
      <c r="AGE97" s="368"/>
      <c r="AGF97" s="368"/>
      <c r="AGG97" s="368"/>
      <c r="AGH97" s="368"/>
      <c r="AGI97" s="368"/>
      <c r="AGJ97" s="368"/>
      <c r="AGK97" s="368"/>
      <c r="AGL97" s="368"/>
      <c r="AGM97" s="368"/>
      <c r="AGN97" s="368"/>
      <c r="AGO97" s="368"/>
      <c r="AGP97" s="368"/>
      <c r="AGQ97" s="368"/>
      <c r="AGR97" s="368"/>
      <c r="AGS97" s="368"/>
      <c r="AGT97" s="368"/>
      <c r="AGU97" s="368"/>
      <c r="AGV97" s="368"/>
      <c r="AGW97" s="368"/>
      <c r="AGX97" s="368"/>
      <c r="AGY97" s="368"/>
      <c r="AGZ97" s="368"/>
      <c r="AHA97" s="368"/>
      <c r="AHB97" s="368"/>
      <c r="AHC97" s="368"/>
      <c r="AHD97" s="368"/>
      <c r="AHE97" s="368"/>
      <c r="AHF97" s="368"/>
      <c r="AHG97" s="368"/>
      <c r="AHH97" s="368"/>
      <c r="AHI97" s="368"/>
      <c r="AHJ97" s="368"/>
      <c r="AHK97" s="368"/>
      <c r="AHL97" s="368"/>
      <c r="AHM97" s="368"/>
      <c r="AHN97" s="368"/>
      <c r="AHO97" s="368"/>
      <c r="AHP97" s="368"/>
      <c r="AHQ97" s="368"/>
      <c r="AHR97" s="368"/>
      <c r="AHS97" s="368"/>
      <c r="AHT97" s="368"/>
      <c r="AHU97" s="368"/>
      <c r="AHV97" s="368"/>
      <c r="AHW97" s="368"/>
      <c r="AHX97" s="368"/>
      <c r="AHY97" s="368"/>
      <c r="AHZ97" s="368"/>
      <c r="AIA97" s="368"/>
      <c r="AIB97" s="368"/>
      <c r="AIC97" s="368"/>
      <c r="AID97" s="368"/>
      <c r="AIE97" s="368"/>
      <c r="AIF97" s="368"/>
      <c r="AIG97" s="368"/>
      <c r="AIH97" s="368"/>
      <c r="AII97" s="368"/>
      <c r="AIJ97" s="368"/>
      <c r="AIK97" s="368"/>
      <c r="AIL97" s="368"/>
      <c r="AIM97" s="368"/>
      <c r="AIN97" s="368"/>
      <c r="AIO97" s="368"/>
      <c r="AIP97" s="368"/>
      <c r="AIQ97" s="368"/>
      <c r="AIR97" s="368"/>
      <c r="AIS97" s="368"/>
      <c r="AIT97" s="368"/>
      <c r="AIU97" s="368"/>
      <c r="AIV97" s="368"/>
      <c r="AIW97" s="368"/>
      <c r="AIX97" s="368"/>
      <c r="AIY97" s="368"/>
      <c r="AIZ97" s="368"/>
      <c r="AJA97" s="368"/>
      <c r="AJB97" s="368"/>
      <c r="AJC97" s="368"/>
      <c r="AJD97" s="368"/>
      <c r="AJE97" s="368"/>
      <c r="AJF97" s="368"/>
      <c r="AJG97" s="368"/>
      <c r="AJH97" s="368"/>
      <c r="AJI97" s="368"/>
      <c r="AJJ97" s="368"/>
      <c r="AJK97" s="368"/>
      <c r="AJL97" s="368"/>
      <c r="AJM97" s="368"/>
      <c r="AJN97" s="368"/>
      <c r="AJO97" s="368"/>
      <c r="AJP97" s="368"/>
      <c r="AJQ97" s="368"/>
      <c r="AJR97" s="368"/>
      <c r="AJS97" s="368"/>
      <c r="AJT97" s="368"/>
      <c r="AJU97" s="368"/>
      <c r="AJV97" s="368"/>
      <c r="AJW97" s="368"/>
      <c r="AJX97" s="368"/>
      <c r="AJY97" s="368"/>
      <c r="AJZ97" s="368"/>
      <c r="AKA97" s="368"/>
      <c r="AKB97" s="368"/>
      <c r="AKC97" s="368"/>
      <c r="AKD97" s="368"/>
      <c r="AKE97" s="368"/>
      <c r="AKF97" s="368"/>
      <c r="AKG97" s="368"/>
      <c r="AKH97" s="368"/>
      <c r="AKI97" s="368"/>
      <c r="AKJ97" s="368"/>
      <c r="AKK97" s="368"/>
      <c r="AKL97" s="368"/>
      <c r="AKM97" s="368"/>
      <c r="AKN97" s="368"/>
    </row>
    <row r="98" spans="1:976" s="363" customFormat="1" ht="22.5" customHeight="1" x14ac:dyDescent="0.2">
      <c r="A98" s="358" t="s">
        <v>262</v>
      </c>
      <c r="B98" s="358"/>
      <c r="C98" s="358" t="s">
        <v>221</v>
      </c>
      <c r="D98" s="358" t="s">
        <v>222</v>
      </c>
      <c r="E98" s="359">
        <v>411415</v>
      </c>
      <c r="F98" s="359">
        <v>1399</v>
      </c>
      <c r="G98" s="359">
        <v>212</v>
      </c>
      <c r="H98" s="359">
        <v>1</v>
      </c>
      <c r="I98" s="360">
        <v>45848</v>
      </c>
      <c r="J98" s="358" t="s">
        <v>263</v>
      </c>
      <c r="K98" s="358" t="s">
        <v>553</v>
      </c>
      <c r="L98" s="361">
        <v>217.31</v>
      </c>
      <c r="M98" s="361">
        <v>0</v>
      </c>
      <c r="N98" s="448">
        <v>217.31</v>
      </c>
      <c r="O98" s="358"/>
      <c r="P98" s="362">
        <v>45856</v>
      </c>
      <c r="Q98" s="361">
        <v>217.31</v>
      </c>
      <c r="R98" s="358" t="s">
        <v>554</v>
      </c>
      <c r="S98" s="361">
        <v>0</v>
      </c>
      <c r="T98" s="361">
        <v>0</v>
      </c>
      <c r="U98" s="361">
        <v>0</v>
      </c>
      <c r="V98" s="361">
        <v>0</v>
      </c>
      <c r="W98" s="358"/>
      <c r="X98" s="358" t="s">
        <v>293</v>
      </c>
      <c r="Y98" s="358" t="s">
        <v>294</v>
      </c>
      <c r="Z98" s="358" t="s">
        <v>259</v>
      </c>
      <c r="AA98" s="358" t="s">
        <v>228</v>
      </c>
      <c r="AB98" s="358" t="s">
        <v>260</v>
      </c>
      <c r="AC98" s="358" t="s">
        <v>31</v>
      </c>
      <c r="AD98" s="358" t="s">
        <v>231</v>
      </c>
      <c r="AE98" s="358" t="s">
        <v>232</v>
      </c>
      <c r="AF98" s="358" t="s">
        <v>231</v>
      </c>
      <c r="AG98" s="358" t="s">
        <v>232</v>
      </c>
      <c r="AH98" s="358"/>
      <c r="AI98" s="358"/>
      <c r="AJ98" s="358"/>
      <c r="AK98" s="358" t="s">
        <v>555</v>
      </c>
      <c r="AL98" s="359">
        <v>1</v>
      </c>
      <c r="AM98" s="359">
        <v>0</v>
      </c>
      <c r="AN98" s="360">
        <v>45856</v>
      </c>
      <c r="AO98" s="360">
        <v>45855</v>
      </c>
      <c r="AP98" s="361">
        <v>217.31</v>
      </c>
      <c r="AQ98" s="360">
        <v>45854</v>
      </c>
      <c r="AR98" s="368"/>
      <c r="AS98" s="368"/>
      <c r="AT98" s="368"/>
      <c r="AU98" s="368"/>
      <c r="AV98" s="368"/>
      <c r="AW98" s="368"/>
      <c r="AX98" s="368"/>
      <c r="AY98" s="368"/>
      <c r="AZ98" s="368"/>
      <c r="BA98" s="368"/>
      <c r="BB98" s="368"/>
      <c r="BC98" s="368"/>
      <c r="BD98" s="368"/>
      <c r="BE98" s="368"/>
      <c r="BF98" s="368"/>
      <c r="BG98" s="368"/>
      <c r="BH98" s="368"/>
      <c r="BI98" s="368"/>
      <c r="BJ98" s="368"/>
      <c r="BK98" s="368"/>
      <c r="BL98" s="368"/>
      <c r="BM98" s="368"/>
      <c r="BN98" s="368"/>
      <c r="BO98" s="368"/>
      <c r="BP98" s="368"/>
      <c r="BQ98" s="368"/>
      <c r="BR98" s="368"/>
      <c r="BS98" s="368"/>
      <c r="BT98" s="368"/>
      <c r="BU98" s="368"/>
      <c r="BV98" s="368"/>
      <c r="BW98" s="368"/>
      <c r="BX98" s="368"/>
      <c r="BY98" s="368"/>
      <c r="BZ98" s="368"/>
      <c r="CA98" s="368"/>
      <c r="CB98" s="368"/>
      <c r="CC98" s="368"/>
      <c r="CD98" s="368"/>
      <c r="CE98" s="368"/>
      <c r="CF98" s="368"/>
      <c r="CG98" s="368"/>
      <c r="CH98" s="368"/>
      <c r="CI98" s="368"/>
      <c r="CJ98" s="368"/>
      <c r="CK98" s="368"/>
      <c r="CL98" s="368"/>
      <c r="CM98" s="368"/>
      <c r="CN98" s="368"/>
      <c r="CO98" s="368"/>
      <c r="CP98" s="368"/>
      <c r="CQ98" s="368"/>
      <c r="CR98" s="368"/>
      <c r="CS98" s="368"/>
      <c r="CT98" s="368"/>
      <c r="CU98" s="368"/>
      <c r="CV98" s="368"/>
      <c r="CW98" s="368"/>
      <c r="CX98" s="368"/>
      <c r="CY98" s="368"/>
      <c r="CZ98" s="368"/>
      <c r="DA98" s="368"/>
      <c r="DB98" s="368"/>
      <c r="DC98" s="368"/>
      <c r="DD98" s="368"/>
      <c r="DE98" s="368"/>
      <c r="DF98" s="368"/>
      <c r="DG98" s="368"/>
      <c r="DH98" s="368"/>
      <c r="DI98" s="368"/>
      <c r="DJ98" s="368"/>
      <c r="DK98" s="368"/>
      <c r="DL98" s="368"/>
      <c r="DM98" s="368"/>
      <c r="DN98" s="368"/>
      <c r="DO98" s="368"/>
      <c r="DP98" s="368"/>
      <c r="DQ98" s="368"/>
      <c r="DR98" s="368"/>
      <c r="DS98" s="368"/>
      <c r="DT98" s="368"/>
      <c r="DU98" s="368"/>
      <c r="DV98" s="368"/>
      <c r="DW98" s="368"/>
      <c r="DX98" s="368"/>
      <c r="DY98" s="368"/>
      <c r="DZ98" s="368"/>
      <c r="EA98" s="368"/>
      <c r="EB98" s="368"/>
      <c r="EC98" s="368"/>
      <c r="ED98" s="368"/>
      <c r="EE98" s="368"/>
      <c r="EF98" s="368"/>
      <c r="EG98" s="368"/>
      <c r="EH98" s="368"/>
      <c r="EI98" s="368"/>
      <c r="EJ98" s="368"/>
      <c r="EK98" s="368"/>
      <c r="EL98" s="368"/>
      <c r="EM98" s="368"/>
      <c r="EN98" s="368"/>
      <c r="EO98" s="368"/>
      <c r="EP98" s="368"/>
      <c r="EQ98" s="368"/>
      <c r="ER98" s="368"/>
      <c r="ES98" s="368"/>
      <c r="ET98" s="368"/>
      <c r="EU98" s="368"/>
      <c r="EV98" s="368"/>
      <c r="EW98" s="368"/>
      <c r="EX98" s="368"/>
      <c r="EY98" s="368"/>
      <c r="EZ98" s="368"/>
      <c r="FA98" s="368"/>
      <c r="FB98" s="368"/>
      <c r="FC98" s="368"/>
      <c r="FD98" s="368"/>
      <c r="FE98" s="368"/>
      <c r="FF98" s="368"/>
      <c r="FG98" s="368"/>
      <c r="FH98" s="368"/>
      <c r="FI98" s="368"/>
      <c r="FJ98" s="368"/>
      <c r="FK98" s="368"/>
      <c r="FL98" s="368"/>
      <c r="FM98" s="368"/>
      <c r="FN98" s="368"/>
      <c r="FO98" s="368"/>
      <c r="FP98" s="368"/>
      <c r="FQ98" s="368"/>
      <c r="FR98" s="368"/>
      <c r="FS98" s="368"/>
      <c r="FT98" s="368"/>
      <c r="FU98" s="368"/>
      <c r="FV98" s="368"/>
      <c r="FW98" s="368"/>
      <c r="FX98" s="368"/>
      <c r="FY98" s="368"/>
      <c r="FZ98" s="368"/>
      <c r="GA98" s="368"/>
      <c r="GB98" s="368"/>
      <c r="GC98" s="368"/>
      <c r="GD98" s="368"/>
      <c r="GE98" s="368"/>
      <c r="GF98" s="368"/>
      <c r="GG98" s="368"/>
      <c r="GH98" s="368"/>
      <c r="GI98" s="368"/>
      <c r="GJ98" s="368"/>
      <c r="GK98" s="368"/>
      <c r="GL98" s="368"/>
      <c r="GM98" s="368"/>
      <c r="GN98" s="368"/>
      <c r="GO98" s="368"/>
      <c r="GP98" s="368"/>
      <c r="GQ98" s="368"/>
      <c r="GR98" s="368"/>
      <c r="GS98" s="368"/>
      <c r="GT98" s="368"/>
      <c r="GU98" s="368"/>
      <c r="GV98" s="368"/>
      <c r="GW98" s="368"/>
      <c r="GX98" s="368"/>
      <c r="GY98" s="368"/>
      <c r="GZ98" s="368"/>
      <c r="HA98" s="368"/>
      <c r="HB98" s="368"/>
      <c r="HC98" s="368"/>
      <c r="HD98" s="368"/>
      <c r="HE98" s="368"/>
      <c r="HF98" s="368"/>
      <c r="HG98" s="368"/>
      <c r="HH98" s="368"/>
      <c r="HI98" s="368"/>
      <c r="HJ98" s="368"/>
      <c r="HK98" s="368"/>
      <c r="HL98" s="368"/>
      <c r="HM98" s="368"/>
      <c r="HN98" s="368"/>
      <c r="HO98" s="368"/>
      <c r="HP98" s="368"/>
      <c r="HQ98" s="368"/>
      <c r="HR98" s="368"/>
      <c r="HS98" s="368"/>
      <c r="HT98" s="368"/>
      <c r="HU98" s="368"/>
      <c r="HV98" s="368"/>
      <c r="HW98" s="368"/>
      <c r="HX98" s="368"/>
      <c r="HY98" s="368"/>
      <c r="HZ98" s="368"/>
      <c r="IA98" s="368"/>
      <c r="IB98" s="368"/>
      <c r="IC98" s="368"/>
      <c r="ID98" s="368"/>
      <c r="IE98" s="368"/>
      <c r="IF98" s="368"/>
      <c r="IG98" s="368"/>
      <c r="IH98" s="368"/>
      <c r="II98" s="368"/>
      <c r="IJ98" s="368"/>
      <c r="IK98" s="368"/>
      <c r="IL98" s="368"/>
      <c r="IM98" s="368"/>
      <c r="IN98" s="368"/>
      <c r="IO98" s="368"/>
      <c r="IP98" s="368"/>
      <c r="IQ98" s="368"/>
      <c r="IR98" s="368"/>
      <c r="IS98" s="368"/>
      <c r="IT98" s="368"/>
      <c r="IU98" s="368"/>
      <c r="IV98" s="368"/>
      <c r="IW98" s="368"/>
      <c r="IX98" s="368"/>
      <c r="IY98" s="368"/>
      <c r="IZ98" s="368"/>
      <c r="JA98" s="368"/>
      <c r="JB98" s="368"/>
      <c r="JC98" s="368"/>
      <c r="JD98" s="368"/>
      <c r="JE98" s="368"/>
      <c r="JF98" s="368"/>
      <c r="JG98" s="368"/>
      <c r="JH98" s="368"/>
      <c r="JI98" s="368"/>
      <c r="JJ98" s="368"/>
      <c r="JK98" s="368"/>
      <c r="JL98" s="368"/>
      <c r="JM98" s="368"/>
      <c r="JN98" s="368"/>
      <c r="JO98" s="368"/>
      <c r="JP98" s="368"/>
      <c r="JQ98" s="368"/>
      <c r="JR98" s="368"/>
      <c r="JS98" s="368"/>
      <c r="JT98" s="368"/>
      <c r="JU98" s="368"/>
      <c r="JV98" s="368"/>
      <c r="JW98" s="368"/>
      <c r="JX98" s="368"/>
      <c r="JY98" s="368"/>
      <c r="JZ98" s="368"/>
      <c r="KA98" s="368"/>
      <c r="KB98" s="368"/>
      <c r="KC98" s="368"/>
      <c r="KD98" s="368"/>
      <c r="KE98" s="368"/>
      <c r="KF98" s="368"/>
      <c r="KG98" s="368"/>
      <c r="KH98" s="368"/>
      <c r="KI98" s="368"/>
      <c r="KJ98" s="368"/>
      <c r="KK98" s="368"/>
      <c r="KL98" s="368"/>
      <c r="KM98" s="368"/>
      <c r="KN98" s="368"/>
      <c r="KO98" s="368"/>
      <c r="KP98" s="368"/>
      <c r="KQ98" s="368"/>
      <c r="KR98" s="368"/>
      <c r="KS98" s="368"/>
      <c r="KT98" s="368"/>
      <c r="KU98" s="368"/>
      <c r="KV98" s="368"/>
      <c r="KW98" s="368"/>
      <c r="KX98" s="368"/>
      <c r="KY98" s="368"/>
      <c r="KZ98" s="368"/>
      <c r="LA98" s="368"/>
      <c r="LB98" s="368"/>
      <c r="LC98" s="368"/>
      <c r="LD98" s="368"/>
      <c r="LE98" s="368"/>
      <c r="LF98" s="368"/>
      <c r="LG98" s="368"/>
      <c r="LH98" s="368"/>
      <c r="LI98" s="368"/>
      <c r="LJ98" s="368"/>
      <c r="LK98" s="368"/>
      <c r="LL98" s="368"/>
      <c r="LM98" s="368"/>
      <c r="LN98" s="368"/>
      <c r="LO98" s="368"/>
      <c r="LP98" s="368"/>
      <c r="LQ98" s="368"/>
      <c r="LR98" s="368"/>
      <c r="LS98" s="368"/>
      <c r="LT98" s="368"/>
      <c r="LU98" s="368"/>
      <c r="LV98" s="368"/>
      <c r="LW98" s="368"/>
      <c r="LX98" s="368"/>
      <c r="LY98" s="368"/>
      <c r="LZ98" s="368"/>
      <c r="MA98" s="368"/>
      <c r="MB98" s="368"/>
      <c r="MC98" s="368"/>
      <c r="MD98" s="368"/>
      <c r="ME98" s="368"/>
      <c r="MF98" s="368"/>
      <c r="MG98" s="368"/>
      <c r="MH98" s="368"/>
      <c r="MI98" s="368"/>
      <c r="MJ98" s="368"/>
      <c r="MK98" s="368"/>
      <c r="ML98" s="368"/>
      <c r="MM98" s="368"/>
      <c r="MN98" s="368"/>
      <c r="MO98" s="368"/>
      <c r="MP98" s="368"/>
      <c r="MQ98" s="368"/>
      <c r="MR98" s="368"/>
      <c r="MS98" s="368"/>
      <c r="MT98" s="368"/>
      <c r="MU98" s="368"/>
      <c r="MV98" s="368"/>
      <c r="MW98" s="368"/>
      <c r="MX98" s="368"/>
      <c r="MY98" s="368"/>
      <c r="MZ98" s="368"/>
      <c r="NA98" s="368"/>
      <c r="NB98" s="368"/>
      <c r="NC98" s="368"/>
      <c r="ND98" s="368"/>
      <c r="NE98" s="368"/>
      <c r="NF98" s="368"/>
      <c r="NG98" s="368"/>
      <c r="NH98" s="368"/>
      <c r="NI98" s="368"/>
      <c r="NJ98" s="368"/>
      <c r="NK98" s="368"/>
      <c r="NL98" s="368"/>
      <c r="NM98" s="368"/>
      <c r="NN98" s="368"/>
      <c r="NO98" s="368"/>
      <c r="NP98" s="368"/>
      <c r="NQ98" s="368"/>
      <c r="NR98" s="368"/>
      <c r="NS98" s="368"/>
      <c r="NT98" s="368"/>
      <c r="NU98" s="368"/>
      <c r="NV98" s="368"/>
      <c r="NW98" s="368"/>
      <c r="NX98" s="368"/>
      <c r="NY98" s="368"/>
      <c r="NZ98" s="368"/>
      <c r="OA98" s="368"/>
      <c r="OB98" s="368"/>
      <c r="OC98" s="368"/>
      <c r="OD98" s="368"/>
      <c r="OE98" s="368"/>
      <c r="OF98" s="368"/>
      <c r="OG98" s="368"/>
      <c r="OH98" s="368"/>
      <c r="OI98" s="368"/>
      <c r="OJ98" s="368"/>
      <c r="OK98" s="368"/>
      <c r="OL98" s="368"/>
      <c r="OM98" s="368"/>
      <c r="ON98" s="368"/>
      <c r="OO98" s="368"/>
      <c r="OP98" s="368"/>
      <c r="OQ98" s="368"/>
      <c r="OR98" s="368"/>
      <c r="OS98" s="368"/>
      <c r="OT98" s="368"/>
      <c r="OU98" s="368"/>
      <c r="OV98" s="368"/>
      <c r="OW98" s="368"/>
      <c r="OX98" s="368"/>
      <c r="OY98" s="368"/>
      <c r="OZ98" s="368"/>
      <c r="PA98" s="368"/>
      <c r="PB98" s="368"/>
      <c r="PC98" s="368"/>
      <c r="PD98" s="368"/>
      <c r="PE98" s="368"/>
      <c r="PF98" s="368"/>
      <c r="PG98" s="368"/>
      <c r="PH98" s="368"/>
      <c r="PI98" s="368"/>
      <c r="PJ98" s="368"/>
      <c r="PK98" s="368"/>
      <c r="PL98" s="368"/>
      <c r="PM98" s="368"/>
      <c r="PN98" s="368"/>
      <c r="PO98" s="368"/>
      <c r="PP98" s="368"/>
      <c r="PQ98" s="368"/>
      <c r="PR98" s="368"/>
      <c r="PS98" s="368"/>
      <c r="PT98" s="368"/>
      <c r="PU98" s="368"/>
      <c r="PV98" s="368"/>
      <c r="PW98" s="368"/>
      <c r="PX98" s="368"/>
      <c r="PY98" s="368"/>
      <c r="PZ98" s="368"/>
      <c r="QA98" s="368"/>
      <c r="QB98" s="368"/>
      <c r="QC98" s="368"/>
      <c r="QD98" s="368"/>
      <c r="QE98" s="368"/>
      <c r="QF98" s="368"/>
      <c r="QG98" s="368"/>
      <c r="QH98" s="368"/>
      <c r="QI98" s="368"/>
      <c r="QJ98" s="368"/>
      <c r="QK98" s="368"/>
      <c r="QL98" s="368"/>
      <c r="QM98" s="368"/>
      <c r="QN98" s="368"/>
      <c r="QO98" s="368"/>
      <c r="QP98" s="368"/>
      <c r="QQ98" s="368"/>
      <c r="QR98" s="368"/>
      <c r="QS98" s="368"/>
      <c r="QT98" s="368"/>
      <c r="QU98" s="368"/>
      <c r="QV98" s="368"/>
      <c r="QW98" s="368"/>
      <c r="QX98" s="368"/>
      <c r="QY98" s="368"/>
      <c r="QZ98" s="368"/>
      <c r="RA98" s="368"/>
      <c r="RB98" s="368"/>
      <c r="RC98" s="368"/>
      <c r="RD98" s="368"/>
      <c r="RE98" s="368"/>
      <c r="RF98" s="368"/>
      <c r="RG98" s="368"/>
      <c r="RH98" s="368"/>
      <c r="RI98" s="368"/>
      <c r="RJ98" s="368"/>
      <c r="RK98" s="368"/>
      <c r="RL98" s="368"/>
      <c r="RM98" s="368"/>
      <c r="RN98" s="368"/>
      <c r="RO98" s="368"/>
      <c r="RP98" s="368"/>
      <c r="RQ98" s="368"/>
      <c r="RR98" s="368"/>
      <c r="RS98" s="368"/>
      <c r="RT98" s="368"/>
      <c r="RU98" s="368"/>
      <c r="RV98" s="368"/>
      <c r="RW98" s="368"/>
      <c r="RX98" s="368"/>
      <c r="RY98" s="368"/>
      <c r="RZ98" s="368"/>
      <c r="SA98" s="368"/>
      <c r="SB98" s="368"/>
      <c r="SC98" s="368"/>
      <c r="SD98" s="368"/>
      <c r="SE98" s="368"/>
      <c r="SF98" s="368"/>
      <c r="SG98" s="368"/>
      <c r="SH98" s="368"/>
      <c r="SI98" s="368"/>
      <c r="SJ98" s="368"/>
      <c r="SK98" s="368"/>
      <c r="SL98" s="368"/>
      <c r="SM98" s="368"/>
      <c r="SN98" s="368"/>
      <c r="SO98" s="368"/>
      <c r="SP98" s="368"/>
      <c r="SQ98" s="368"/>
      <c r="SR98" s="368"/>
      <c r="SS98" s="368"/>
      <c r="ST98" s="368"/>
      <c r="SU98" s="368"/>
      <c r="SV98" s="368"/>
      <c r="SW98" s="368"/>
      <c r="SX98" s="368"/>
      <c r="SY98" s="368"/>
      <c r="SZ98" s="368"/>
      <c r="TA98" s="368"/>
      <c r="TB98" s="368"/>
      <c r="TC98" s="368"/>
      <c r="TD98" s="368"/>
      <c r="TE98" s="368"/>
      <c r="TF98" s="368"/>
      <c r="TG98" s="368"/>
      <c r="TH98" s="368"/>
      <c r="TI98" s="368"/>
      <c r="TJ98" s="368"/>
      <c r="TK98" s="368"/>
      <c r="TL98" s="368"/>
      <c r="TM98" s="368"/>
      <c r="TN98" s="368"/>
      <c r="TO98" s="368"/>
      <c r="TP98" s="368"/>
      <c r="TQ98" s="368"/>
      <c r="TR98" s="368"/>
      <c r="TS98" s="368"/>
      <c r="TT98" s="368"/>
      <c r="TU98" s="368"/>
      <c r="TV98" s="368"/>
      <c r="TW98" s="368"/>
      <c r="TX98" s="368"/>
      <c r="TY98" s="368"/>
      <c r="TZ98" s="368"/>
      <c r="UA98" s="368"/>
      <c r="UB98" s="368"/>
      <c r="UC98" s="368"/>
      <c r="UD98" s="368"/>
      <c r="UE98" s="368"/>
      <c r="UF98" s="368"/>
      <c r="UG98" s="368"/>
      <c r="UH98" s="368"/>
      <c r="UI98" s="368"/>
      <c r="UJ98" s="368"/>
      <c r="UK98" s="368"/>
      <c r="UL98" s="368"/>
      <c r="UM98" s="368"/>
      <c r="UN98" s="368"/>
      <c r="UO98" s="368"/>
      <c r="UP98" s="368"/>
      <c r="UQ98" s="368"/>
      <c r="UR98" s="368"/>
      <c r="US98" s="368"/>
      <c r="UT98" s="368"/>
      <c r="UU98" s="368"/>
      <c r="UV98" s="368"/>
      <c r="UW98" s="368"/>
      <c r="UX98" s="368"/>
      <c r="UY98" s="368"/>
      <c r="UZ98" s="368"/>
      <c r="VA98" s="368"/>
      <c r="VB98" s="368"/>
      <c r="VC98" s="368"/>
      <c r="VD98" s="368"/>
      <c r="VE98" s="368"/>
      <c r="VF98" s="368"/>
      <c r="VG98" s="368"/>
      <c r="VH98" s="368"/>
      <c r="VI98" s="368"/>
      <c r="VJ98" s="368"/>
      <c r="VK98" s="368"/>
      <c r="VL98" s="368"/>
      <c r="VM98" s="368"/>
      <c r="VN98" s="368"/>
      <c r="VO98" s="368"/>
      <c r="VP98" s="368"/>
      <c r="VQ98" s="368"/>
      <c r="VR98" s="368"/>
      <c r="VS98" s="368"/>
      <c r="VT98" s="368"/>
      <c r="VU98" s="368"/>
      <c r="VV98" s="368"/>
      <c r="VW98" s="368"/>
      <c r="VX98" s="368"/>
      <c r="VY98" s="368"/>
      <c r="VZ98" s="368"/>
      <c r="WA98" s="368"/>
      <c r="WB98" s="368"/>
      <c r="WC98" s="368"/>
      <c r="WD98" s="368"/>
      <c r="WE98" s="368"/>
      <c r="WF98" s="368"/>
      <c r="WG98" s="368"/>
      <c r="WH98" s="368"/>
      <c r="WI98" s="368"/>
      <c r="WJ98" s="368"/>
      <c r="WK98" s="368"/>
      <c r="WL98" s="368"/>
      <c r="WM98" s="368"/>
      <c r="WN98" s="368"/>
      <c r="WO98" s="368"/>
      <c r="WP98" s="368"/>
      <c r="WQ98" s="368"/>
      <c r="WR98" s="368"/>
      <c r="WS98" s="368"/>
      <c r="WT98" s="368"/>
      <c r="WU98" s="368"/>
      <c r="WV98" s="368"/>
      <c r="WW98" s="368"/>
      <c r="WX98" s="368"/>
      <c r="WY98" s="368"/>
      <c r="WZ98" s="368"/>
      <c r="XA98" s="368"/>
      <c r="XB98" s="368"/>
      <c r="XC98" s="368"/>
      <c r="XD98" s="368"/>
      <c r="XE98" s="368"/>
      <c r="XF98" s="368"/>
      <c r="XG98" s="368"/>
      <c r="XH98" s="368"/>
      <c r="XI98" s="368"/>
      <c r="XJ98" s="368"/>
      <c r="XK98" s="368"/>
      <c r="XL98" s="368"/>
      <c r="XM98" s="368"/>
      <c r="XN98" s="368"/>
      <c r="XO98" s="368"/>
      <c r="XP98" s="368"/>
      <c r="XQ98" s="368"/>
      <c r="XR98" s="368"/>
      <c r="XS98" s="368"/>
      <c r="XT98" s="368"/>
      <c r="XU98" s="368"/>
      <c r="XV98" s="368"/>
      <c r="XW98" s="368"/>
      <c r="XX98" s="368"/>
      <c r="XY98" s="368"/>
      <c r="XZ98" s="368"/>
      <c r="YA98" s="368"/>
      <c r="YB98" s="368"/>
      <c r="YC98" s="368"/>
      <c r="YD98" s="368"/>
      <c r="YE98" s="368"/>
      <c r="YF98" s="368"/>
      <c r="YG98" s="368"/>
      <c r="YH98" s="368"/>
      <c r="YI98" s="368"/>
      <c r="YJ98" s="368"/>
      <c r="YK98" s="368"/>
      <c r="YL98" s="368"/>
      <c r="YM98" s="368"/>
      <c r="YN98" s="368"/>
      <c r="YO98" s="368"/>
      <c r="YP98" s="368"/>
      <c r="YQ98" s="368"/>
      <c r="YR98" s="368"/>
      <c r="YS98" s="368"/>
      <c r="YT98" s="368"/>
      <c r="YU98" s="368"/>
      <c r="YV98" s="368"/>
      <c r="YW98" s="368"/>
      <c r="YX98" s="368"/>
      <c r="YY98" s="368"/>
      <c r="YZ98" s="368"/>
      <c r="ZA98" s="368"/>
      <c r="ZB98" s="368"/>
      <c r="ZC98" s="368"/>
      <c r="ZD98" s="368"/>
      <c r="ZE98" s="368"/>
      <c r="ZF98" s="368"/>
      <c r="ZG98" s="368"/>
      <c r="ZH98" s="368"/>
      <c r="ZI98" s="368"/>
      <c r="ZJ98" s="368"/>
      <c r="ZK98" s="368"/>
      <c r="ZL98" s="368"/>
      <c r="ZM98" s="368"/>
      <c r="ZN98" s="368"/>
      <c r="ZO98" s="368"/>
      <c r="ZP98" s="368"/>
      <c r="ZQ98" s="368"/>
      <c r="ZR98" s="368"/>
      <c r="ZS98" s="368"/>
      <c r="ZT98" s="368"/>
      <c r="ZU98" s="368"/>
      <c r="ZV98" s="368"/>
      <c r="ZW98" s="368"/>
      <c r="ZX98" s="368"/>
      <c r="ZY98" s="368"/>
      <c r="ZZ98" s="368"/>
      <c r="AAA98" s="368"/>
      <c r="AAB98" s="368"/>
      <c r="AAC98" s="368"/>
      <c r="AAD98" s="368"/>
      <c r="AAE98" s="368"/>
      <c r="AAF98" s="368"/>
      <c r="AAG98" s="368"/>
      <c r="AAH98" s="368"/>
      <c r="AAI98" s="368"/>
      <c r="AAJ98" s="368"/>
      <c r="AAK98" s="368"/>
      <c r="AAL98" s="368"/>
      <c r="AAM98" s="368"/>
      <c r="AAN98" s="368"/>
      <c r="AAO98" s="368"/>
      <c r="AAP98" s="368"/>
      <c r="AAQ98" s="368"/>
      <c r="AAR98" s="368"/>
      <c r="AAS98" s="368"/>
      <c r="AAT98" s="368"/>
      <c r="AAU98" s="368"/>
      <c r="AAV98" s="368"/>
      <c r="AAW98" s="368"/>
      <c r="AAX98" s="368"/>
      <c r="AAY98" s="368"/>
      <c r="AAZ98" s="368"/>
      <c r="ABA98" s="368"/>
      <c r="ABB98" s="368"/>
      <c r="ABC98" s="368"/>
      <c r="ABD98" s="368"/>
      <c r="ABE98" s="368"/>
      <c r="ABF98" s="368"/>
      <c r="ABG98" s="368"/>
      <c r="ABH98" s="368"/>
      <c r="ABI98" s="368"/>
      <c r="ABJ98" s="368"/>
      <c r="ABK98" s="368"/>
      <c r="ABL98" s="368"/>
      <c r="ABM98" s="368"/>
      <c r="ABN98" s="368"/>
      <c r="ABO98" s="368"/>
      <c r="ABP98" s="368"/>
      <c r="ABQ98" s="368"/>
      <c r="ABR98" s="368"/>
      <c r="ABS98" s="368"/>
      <c r="ABT98" s="368"/>
      <c r="ABU98" s="368"/>
      <c r="ABV98" s="368"/>
      <c r="ABW98" s="368"/>
      <c r="ABX98" s="368"/>
      <c r="ABY98" s="368"/>
      <c r="ABZ98" s="368"/>
      <c r="ACA98" s="368"/>
      <c r="ACB98" s="368"/>
      <c r="ACC98" s="368"/>
      <c r="ACD98" s="368"/>
      <c r="ACE98" s="368"/>
      <c r="ACF98" s="368"/>
      <c r="ACG98" s="368"/>
      <c r="ACH98" s="368"/>
      <c r="ACI98" s="368"/>
      <c r="ACJ98" s="368"/>
      <c r="ACK98" s="368"/>
      <c r="ACL98" s="368"/>
      <c r="ACM98" s="368"/>
      <c r="ACN98" s="368"/>
      <c r="ACO98" s="368"/>
      <c r="ACP98" s="368"/>
      <c r="ACQ98" s="368"/>
      <c r="ACR98" s="368"/>
      <c r="ACS98" s="368"/>
      <c r="ACT98" s="368"/>
      <c r="ACU98" s="368"/>
      <c r="ACV98" s="368"/>
      <c r="ACW98" s="368"/>
      <c r="ACX98" s="368"/>
      <c r="ACY98" s="368"/>
      <c r="ACZ98" s="368"/>
      <c r="ADA98" s="368"/>
      <c r="ADB98" s="368"/>
      <c r="ADC98" s="368"/>
      <c r="ADD98" s="368"/>
      <c r="ADE98" s="368"/>
      <c r="ADF98" s="368"/>
      <c r="ADG98" s="368"/>
      <c r="ADH98" s="368"/>
      <c r="ADI98" s="368"/>
      <c r="ADJ98" s="368"/>
      <c r="ADK98" s="368"/>
      <c r="ADL98" s="368"/>
      <c r="ADM98" s="368"/>
      <c r="ADN98" s="368"/>
      <c r="ADO98" s="368"/>
      <c r="ADP98" s="368"/>
      <c r="ADQ98" s="368"/>
      <c r="ADR98" s="368"/>
      <c r="ADS98" s="368"/>
      <c r="ADT98" s="368"/>
      <c r="ADU98" s="368"/>
      <c r="ADV98" s="368"/>
      <c r="ADW98" s="368"/>
      <c r="ADX98" s="368"/>
      <c r="ADY98" s="368"/>
      <c r="ADZ98" s="368"/>
      <c r="AEA98" s="368"/>
      <c r="AEB98" s="368"/>
      <c r="AEC98" s="368"/>
      <c r="AED98" s="368"/>
      <c r="AEE98" s="368"/>
      <c r="AEF98" s="368"/>
      <c r="AEG98" s="368"/>
      <c r="AEH98" s="368"/>
      <c r="AEI98" s="368"/>
      <c r="AEJ98" s="368"/>
      <c r="AEK98" s="368"/>
      <c r="AEL98" s="368"/>
      <c r="AEM98" s="368"/>
      <c r="AEN98" s="368"/>
      <c r="AEO98" s="368"/>
      <c r="AEP98" s="368"/>
      <c r="AEQ98" s="368"/>
      <c r="AER98" s="368"/>
      <c r="AES98" s="368"/>
      <c r="AET98" s="368"/>
      <c r="AEU98" s="368"/>
      <c r="AEV98" s="368"/>
      <c r="AEW98" s="368"/>
      <c r="AEX98" s="368"/>
      <c r="AEY98" s="368"/>
      <c r="AEZ98" s="368"/>
      <c r="AFA98" s="368"/>
      <c r="AFB98" s="368"/>
      <c r="AFC98" s="368"/>
      <c r="AFD98" s="368"/>
      <c r="AFE98" s="368"/>
      <c r="AFF98" s="368"/>
      <c r="AFG98" s="368"/>
      <c r="AFH98" s="368"/>
      <c r="AFI98" s="368"/>
      <c r="AFJ98" s="368"/>
      <c r="AFK98" s="368"/>
      <c r="AFL98" s="368"/>
      <c r="AFM98" s="368"/>
      <c r="AFN98" s="368"/>
      <c r="AFO98" s="368"/>
      <c r="AFP98" s="368"/>
      <c r="AFQ98" s="368"/>
      <c r="AFR98" s="368"/>
      <c r="AFS98" s="368"/>
      <c r="AFT98" s="368"/>
      <c r="AFU98" s="368"/>
      <c r="AFV98" s="368"/>
      <c r="AFW98" s="368"/>
      <c r="AFX98" s="368"/>
      <c r="AFY98" s="368"/>
      <c r="AFZ98" s="368"/>
      <c r="AGA98" s="368"/>
      <c r="AGB98" s="368"/>
      <c r="AGC98" s="368"/>
      <c r="AGD98" s="368"/>
      <c r="AGE98" s="368"/>
      <c r="AGF98" s="368"/>
      <c r="AGG98" s="368"/>
      <c r="AGH98" s="368"/>
      <c r="AGI98" s="368"/>
      <c r="AGJ98" s="368"/>
      <c r="AGK98" s="368"/>
      <c r="AGL98" s="368"/>
      <c r="AGM98" s="368"/>
      <c r="AGN98" s="368"/>
      <c r="AGO98" s="368"/>
      <c r="AGP98" s="368"/>
      <c r="AGQ98" s="368"/>
      <c r="AGR98" s="368"/>
      <c r="AGS98" s="368"/>
      <c r="AGT98" s="368"/>
      <c r="AGU98" s="368"/>
      <c r="AGV98" s="368"/>
      <c r="AGW98" s="368"/>
      <c r="AGX98" s="368"/>
      <c r="AGY98" s="368"/>
      <c r="AGZ98" s="368"/>
      <c r="AHA98" s="368"/>
      <c r="AHB98" s="368"/>
      <c r="AHC98" s="368"/>
      <c r="AHD98" s="368"/>
      <c r="AHE98" s="368"/>
      <c r="AHF98" s="368"/>
      <c r="AHG98" s="368"/>
      <c r="AHH98" s="368"/>
      <c r="AHI98" s="368"/>
      <c r="AHJ98" s="368"/>
      <c r="AHK98" s="368"/>
      <c r="AHL98" s="368"/>
      <c r="AHM98" s="368"/>
      <c r="AHN98" s="368"/>
      <c r="AHO98" s="368"/>
      <c r="AHP98" s="368"/>
      <c r="AHQ98" s="368"/>
      <c r="AHR98" s="368"/>
      <c r="AHS98" s="368"/>
      <c r="AHT98" s="368"/>
      <c r="AHU98" s="368"/>
      <c r="AHV98" s="368"/>
      <c r="AHW98" s="368"/>
      <c r="AHX98" s="368"/>
      <c r="AHY98" s="368"/>
      <c r="AHZ98" s="368"/>
      <c r="AIA98" s="368"/>
      <c r="AIB98" s="368"/>
      <c r="AIC98" s="368"/>
      <c r="AID98" s="368"/>
      <c r="AIE98" s="368"/>
      <c r="AIF98" s="368"/>
      <c r="AIG98" s="368"/>
      <c r="AIH98" s="368"/>
      <c r="AII98" s="368"/>
      <c r="AIJ98" s="368"/>
      <c r="AIK98" s="368"/>
      <c r="AIL98" s="368"/>
      <c r="AIM98" s="368"/>
      <c r="AIN98" s="368"/>
      <c r="AIO98" s="368"/>
      <c r="AIP98" s="368"/>
      <c r="AIQ98" s="368"/>
      <c r="AIR98" s="368"/>
      <c r="AIS98" s="368"/>
      <c r="AIT98" s="368"/>
      <c r="AIU98" s="368"/>
      <c r="AIV98" s="368"/>
      <c r="AIW98" s="368"/>
      <c r="AIX98" s="368"/>
      <c r="AIY98" s="368"/>
      <c r="AIZ98" s="368"/>
      <c r="AJA98" s="368"/>
      <c r="AJB98" s="368"/>
      <c r="AJC98" s="368"/>
      <c r="AJD98" s="368"/>
      <c r="AJE98" s="368"/>
      <c r="AJF98" s="368"/>
      <c r="AJG98" s="368"/>
      <c r="AJH98" s="368"/>
      <c r="AJI98" s="368"/>
      <c r="AJJ98" s="368"/>
      <c r="AJK98" s="368"/>
      <c r="AJL98" s="368"/>
      <c r="AJM98" s="368"/>
      <c r="AJN98" s="368"/>
      <c r="AJO98" s="368"/>
      <c r="AJP98" s="368"/>
      <c r="AJQ98" s="368"/>
      <c r="AJR98" s="368"/>
      <c r="AJS98" s="368"/>
      <c r="AJT98" s="368"/>
      <c r="AJU98" s="368"/>
      <c r="AJV98" s="368"/>
      <c r="AJW98" s="368"/>
      <c r="AJX98" s="368"/>
      <c r="AJY98" s="368"/>
      <c r="AJZ98" s="368"/>
      <c r="AKA98" s="368"/>
      <c r="AKB98" s="368"/>
      <c r="AKC98" s="368"/>
      <c r="AKD98" s="368"/>
      <c r="AKE98" s="368"/>
      <c r="AKF98" s="368"/>
      <c r="AKG98" s="368"/>
      <c r="AKH98" s="368"/>
      <c r="AKI98" s="368"/>
      <c r="AKJ98" s="368"/>
      <c r="AKK98" s="368"/>
      <c r="AKL98" s="368"/>
      <c r="AKM98" s="368"/>
      <c r="AKN98" s="368"/>
    </row>
    <row r="99" spans="1:976" s="363" customFormat="1" ht="22.5" customHeight="1" x14ac:dyDescent="0.2">
      <c r="A99" s="358" t="s">
        <v>262</v>
      </c>
      <c r="B99" s="358"/>
      <c r="C99" s="358" t="s">
        <v>221</v>
      </c>
      <c r="D99" s="358" t="s">
        <v>222</v>
      </c>
      <c r="E99" s="359">
        <v>411417</v>
      </c>
      <c r="F99" s="359">
        <v>1400</v>
      </c>
      <c r="G99" s="359">
        <v>212</v>
      </c>
      <c r="H99" s="359">
        <v>0</v>
      </c>
      <c r="I99" s="360">
        <v>45848</v>
      </c>
      <c r="J99" s="358" t="s">
        <v>263</v>
      </c>
      <c r="K99" s="358" t="s">
        <v>556</v>
      </c>
      <c r="L99" s="361">
        <v>147.16</v>
      </c>
      <c r="M99" s="361">
        <v>8.09</v>
      </c>
      <c r="N99" s="448">
        <v>155.25</v>
      </c>
      <c r="O99" s="358"/>
      <c r="P99" s="362">
        <v>45856</v>
      </c>
      <c r="Q99" s="361">
        <v>155.25</v>
      </c>
      <c r="R99" s="358" t="s">
        <v>557</v>
      </c>
      <c r="S99" s="361">
        <v>0</v>
      </c>
      <c r="T99" s="361">
        <v>0</v>
      </c>
      <c r="U99" s="361">
        <v>0</v>
      </c>
      <c r="V99" s="361">
        <v>0</v>
      </c>
      <c r="W99" s="358"/>
      <c r="X99" s="358" t="s">
        <v>308</v>
      </c>
      <c r="Y99" s="358" t="s">
        <v>309</v>
      </c>
      <c r="Z99" s="358" t="s">
        <v>259</v>
      </c>
      <c r="AA99" s="358" t="s">
        <v>228</v>
      </c>
      <c r="AB99" s="358" t="s">
        <v>260</v>
      </c>
      <c r="AC99" s="358" t="s">
        <v>31</v>
      </c>
      <c r="AD99" s="358" t="s">
        <v>231</v>
      </c>
      <c r="AE99" s="358" t="s">
        <v>232</v>
      </c>
      <c r="AF99" s="358" t="s">
        <v>231</v>
      </c>
      <c r="AG99" s="358" t="s">
        <v>232</v>
      </c>
      <c r="AH99" s="358"/>
      <c r="AI99" s="358"/>
      <c r="AJ99" s="358"/>
      <c r="AK99" s="358" t="s">
        <v>558</v>
      </c>
      <c r="AL99" s="359">
        <v>1</v>
      </c>
      <c r="AM99" s="359">
        <v>0</v>
      </c>
      <c r="AN99" s="360">
        <v>45856</v>
      </c>
      <c r="AO99" s="360">
        <v>45855</v>
      </c>
      <c r="AP99" s="361">
        <v>155.25</v>
      </c>
      <c r="AQ99" s="360">
        <v>45854</v>
      </c>
      <c r="AR99" s="368"/>
      <c r="AS99" s="368"/>
      <c r="AT99" s="368"/>
      <c r="AU99" s="368"/>
      <c r="AV99" s="368"/>
      <c r="AW99" s="368"/>
      <c r="AX99" s="368"/>
      <c r="AY99" s="368"/>
      <c r="AZ99" s="368"/>
      <c r="BA99" s="368"/>
      <c r="BB99" s="368"/>
      <c r="BC99" s="368"/>
      <c r="BD99" s="368"/>
      <c r="BE99" s="368"/>
      <c r="BF99" s="368"/>
      <c r="BG99" s="368"/>
      <c r="BH99" s="368"/>
      <c r="BI99" s="368"/>
      <c r="BJ99" s="368"/>
      <c r="BK99" s="368"/>
      <c r="BL99" s="368"/>
      <c r="BM99" s="368"/>
      <c r="BN99" s="368"/>
      <c r="BO99" s="368"/>
      <c r="BP99" s="368"/>
      <c r="BQ99" s="368"/>
      <c r="BR99" s="368"/>
      <c r="BS99" s="368"/>
      <c r="BT99" s="368"/>
      <c r="BU99" s="368"/>
      <c r="BV99" s="368"/>
      <c r="BW99" s="368"/>
      <c r="BX99" s="368"/>
      <c r="BY99" s="368"/>
      <c r="BZ99" s="368"/>
      <c r="CA99" s="368"/>
      <c r="CB99" s="368"/>
      <c r="CC99" s="368"/>
      <c r="CD99" s="368"/>
      <c r="CE99" s="368"/>
      <c r="CF99" s="368"/>
      <c r="CG99" s="368"/>
      <c r="CH99" s="368"/>
      <c r="CI99" s="368"/>
      <c r="CJ99" s="368"/>
      <c r="CK99" s="368"/>
      <c r="CL99" s="368"/>
      <c r="CM99" s="368"/>
      <c r="CN99" s="368"/>
      <c r="CO99" s="368"/>
      <c r="CP99" s="368"/>
      <c r="CQ99" s="368"/>
      <c r="CR99" s="368"/>
      <c r="CS99" s="368"/>
      <c r="CT99" s="368"/>
      <c r="CU99" s="368"/>
      <c r="CV99" s="368"/>
      <c r="CW99" s="368"/>
      <c r="CX99" s="368"/>
      <c r="CY99" s="368"/>
      <c r="CZ99" s="368"/>
      <c r="DA99" s="368"/>
      <c r="DB99" s="368"/>
      <c r="DC99" s="368"/>
      <c r="DD99" s="368"/>
      <c r="DE99" s="368"/>
      <c r="DF99" s="368"/>
      <c r="DG99" s="368"/>
      <c r="DH99" s="368"/>
      <c r="DI99" s="368"/>
      <c r="DJ99" s="368"/>
      <c r="DK99" s="368"/>
      <c r="DL99" s="368"/>
      <c r="DM99" s="368"/>
      <c r="DN99" s="368"/>
      <c r="DO99" s="368"/>
      <c r="DP99" s="368"/>
      <c r="DQ99" s="368"/>
      <c r="DR99" s="368"/>
      <c r="DS99" s="368"/>
      <c r="DT99" s="368"/>
      <c r="DU99" s="368"/>
      <c r="DV99" s="368"/>
      <c r="DW99" s="368"/>
      <c r="DX99" s="368"/>
      <c r="DY99" s="368"/>
      <c r="DZ99" s="368"/>
      <c r="EA99" s="368"/>
      <c r="EB99" s="368"/>
      <c r="EC99" s="368"/>
      <c r="ED99" s="368"/>
      <c r="EE99" s="368"/>
      <c r="EF99" s="368"/>
      <c r="EG99" s="368"/>
      <c r="EH99" s="368"/>
      <c r="EI99" s="368"/>
      <c r="EJ99" s="368"/>
      <c r="EK99" s="368"/>
      <c r="EL99" s="368"/>
      <c r="EM99" s="368"/>
      <c r="EN99" s="368"/>
      <c r="EO99" s="368"/>
      <c r="EP99" s="368"/>
      <c r="EQ99" s="368"/>
      <c r="ER99" s="368"/>
      <c r="ES99" s="368"/>
      <c r="ET99" s="368"/>
      <c r="EU99" s="368"/>
      <c r="EV99" s="368"/>
      <c r="EW99" s="368"/>
      <c r="EX99" s="368"/>
      <c r="EY99" s="368"/>
      <c r="EZ99" s="368"/>
      <c r="FA99" s="368"/>
      <c r="FB99" s="368"/>
      <c r="FC99" s="368"/>
      <c r="FD99" s="368"/>
      <c r="FE99" s="368"/>
      <c r="FF99" s="368"/>
      <c r="FG99" s="368"/>
      <c r="FH99" s="368"/>
      <c r="FI99" s="368"/>
      <c r="FJ99" s="368"/>
      <c r="FK99" s="368"/>
      <c r="FL99" s="368"/>
      <c r="FM99" s="368"/>
      <c r="FN99" s="368"/>
      <c r="FO99" s="368"/>
      <c r="FP99" s="368"/>
      <c r="FQ99" s="368"/>
      <c r="FR99" s="368"/>
      <c r="FS99" s="368"/>
      <c r="FT99" s="368"/>
      <c r="FU99" s="368"/>
      <c r="FV99" s="368"/>
      <c r="FW99" s="368"/>
      <c r="FX99" s="368"/>
      <c r="FY99" s="368"/>
      <c r="FZ99" s="368"/>
      <c r="GA99" s="368"/>
      <c r="GB99" s="368"/>
      <c r="GC99" s="368"/>
      <c r="GD99" s="368"/>
      <c r="GE99" s="368"/>
      <c r="GF99" s="368"/>
      <c r="GG99" s="368"/>
      <c r="GH99" s="368"/>
      <c r="GI99" s="368"/>
      <c r="GJ99" s="368"/>
      <c r="GK99" s="368"/>
      <c r="GL99" s="368"/>
      <c r="GM99" s="368"/>
      <c r="GN99" s="368"/>
      <c r="GO99" s="368"/>
      <c r="GP99" s="368"/>
      <c r="GQ99" s="368"/>
      <c r="GR99" s="368"/>
      <c r="GS99" s="368"/>
      <c r="GT99" s="368"/>
      <c r="GU99" s="368"/>
      <c r="GV99" s="368"/>
      <c r="GW99" s="368"/>
      <c r="GX99" s="368"/>
      <c r="GY99" s="368"/>
      <c r="GZ99" s="368"/>
      <c r="HA99" s="368"/>
      <c r="HB99" s="368"/>
      <c r="HC99" s="368"/>
      <c r="HD99" s="368"/>
      <c r="HE99" s="368"/>
      <c r="HF99" s="368"/>
      <c r="HG99" s="368"/>
      <c r="HH99" s="368"/>
      <c r="HI99" s="368"/>
      <c r="HJ99" s="368"/>
      <c r="HK99" s="368"/>
      <c r="HL99" s="368"/>
      <c r="HM99" s="368"/>
      <c r="HN99" s="368"/>
      <c r="HO99" s="368"/>
      <c r="HP99" s="368"/>
      <c r="HQ99" s="368"/>
      <c r="HR99" s="368"/>
      <c r="HS99" s="368"/>
      <c r="HT99" s="368"/>
      <c r="HU99" s="368"/>
      <c r="HV99" s="368"/>
      <c r="HW99" s="368"/>
      <c r="HX99" s="368"/>
      <c r="HY99" s="368"/>
      <c r="HZ99" s="368"/>
      <c r="IA99" s="368"/>
      <c r="IB99" s="368"/>
      <c r="IC99" s="368"/>
      <c r="ID99" s="368"/>
      <c r="IE99" s="368"/>
      <c r="IF99" s="368"/>
      <c r="IG99" s="368"/>
      <c r="IH99" s="368"/>
      <c r="II99" s="368"/>
      <c r="IJ99" s="368"/>
      <c r="IK99" s="368"/>
      <c r="IL99" s="368"/>
      <c r="IM99" s="368"/>
      <c r="IN99" s="368"/>
      <c r="IO99" s="368"/>
      <c r="IP99" s="368"/>
      <c r="IQ99" s="368"/>
      <c r="IR99" s="368"/>
      <c r="IS99" s="368"/>
      <c r="IT99" s="368"/>
      <c r="IU99" s="368"/>
      <c r="IV99" s="368"/>
      <c r="IW99" s="368"/>
      <c r="IX99" s="368"/>
      <c r="IY99" s="368"/>
      <c r="IZ99" s="368"/>
      <c r="JA99" s="368"/>
      <c r="JB99" s="368"/>
      <c r="JC99" s="368"/>
      <c r="JD99" s="368"/>
      <c r="JE99" s="368"/>
      <c r="JF99" s="368"/>
      <c r="JG99" s="368"/>
      <c r="JH99" s="368"/>
      <c r="JI99" s="368"/>
      <c r="JJ99" s="368"/>
      <c r="JK99" s="368"/>
      <c r="JL99" s="368"/>
      <c r="JM99" s="368"/>
      <c r="JN99" s="368"/>
      <c r="JO99" s="368"/>
      <c r="JP99" s="368"/>
      <c r="JQ99" s="368"/>
      <c r="JR99" s="368"/>
      <c r="JS99" s="368"/>
      <c r="JT99" s="368"/>
      <c r="JU99" s="368"/>
      <c r="JV99" s="368"/>
      <c r="JW99" s="368"/>
      <c r="JX99" s="368"/>
      <c r="JY99" s="368"/>
      <c r="JZ99" s="368"/>
      <c r="KA99" s="368"/>
      <c r="KB99" s="368"/>
      <c r="KC99" s="368"/>
      <c r="KD99" s="368"/>
      <c r="KE99" s="368"/>
      <c r="KF99" s="368"/>
      <c r="KG99" s="368"/>
      <c r="KH99" s="368"/>
      <c r="KI99" s="368"/>
      <c r="KJ99" s="368"/>
      <c r="KK99" s="368"/>
      <c r="KL99" s="368"/>
      <c r="KM99" s="368"/>
      <c r="KN99" s="368"/>
      <c r="KO99" s="368"/>
      <c r="KP99" s="368"/>
      <c r="KQ99" s="368"/>
      <c r="KR99" s="368"/>
      <c r="KS99" s="368"/>
      <c r="KT99" s="368"/>
      <c r="KU99" s="368"/>
      <c r="KV99" s="368"/>
      <c r="KW99" s="368"/>
      <c r="KX99" s="368"/>
      <c r="KY99" s="368"/>
      <c r="KZ99" s="368"/>
      <c r="LA99" s="368"/>
      <c r="LB99" s="368"/>
      <c r="LC99" s="368"/>
      <c r="LD99" s="368"/>
      <c r="LE99" s="368"/>
      <c r="LF99" s="368"/>
      <c r="LG99" s="368"/>
      <c r="LH99" s="368"/>
      <c r="LI99" s="368"/>
      <c r="LJ99" s="368"/>
      <c r="LK99" s="368"/>
      <c r="LL99" s="368"/>
      <c r="LM99" s="368"/>
      <c r="LN99" s="368"/>
      <c r="LO99" s="368"/>
      <c r="LP99" s="368"/>
      <c r="LQ99" s="368"/>
      <c r="LR99" s="368"/>
      <c r="LS99" s="368"/>
      <c r="LT99" s="368"/>
      <c r="LU99" s="368"/>
      <c r="LV99" s="368"/>
      <c r="LW99" s="368"/>
      <c r="LX99" s="368"/>
      <c r="LY99" s="368"/>
      <c r="LZ99" s="368"/>
      <c r="MA99" s="368"/>
      <c r="MB99" s="368"/>
      <c r="MC99" s="368"/>
      <c r="MD99" s="368"/>
      <c r="ME99" s="368"/>
      <c r="MF99" s="368"/>
      <c r="MG99" s="368"/>
      <c r="MH99" s="368"/>
      <c r="MI99" s="368"/>
      <c r="MJ99" s="368"/>
      <c r="MK99" s="368"/>
      <c r="ML99" s="368"/>
      <c r="MM99" s="368"/>
      <c r="MN99" s="368"/>
      <c r="MO99" s="368"/>
      <c r="MP99" s="368"/>
      <c r="MQ99" s="368"/>
      <c r="MR99" s="368"/>
      <c r="MS99" s="368"/>
      <c r="MT99" s="368"/>
      <c r="MU99" s="368"/>
      <c r="MV99" s="368"/>
      <c r="MW99" s="368"/>
      <c r="MX99" s="368"/>
      <c r="MY99" s="368"/>
      <c r="MZ99" s="368"/>
      <c r="NA99" s="368"/>
      <c r="NB99" s="368"/>
      <c r="NC99" s="368"/>
      <c r="ND99" s="368"/>
      <c r="NE99" s="368"/>
      <c r="NF99" s="368"/>
      <c r="NG99" s="368"/>
      <c r="NH99" s="368"/>
      <c r="NI99" s="368"/>
      <c r="NJ99" s="368"/>
      <c r="NK99" s="368"/>
      <c r="NL99" s="368"/>
      <c r="NM99" s="368"/>
      <c r="NN99" s="368"/>
      <c r="NO99" s="368"/>
      <c r="NP99" s="368"/>
      <c r="NQ99" s="368"/>
      <c r="NR99" s="368"/>
      <c r="NS99" s="368"/>
      <c r="NT99" s="368"/>
      <c r="NU99" s="368"/>
      <c r="NV99" s="368"/>
      <c r="NW99" s="368"/>
      <c r="NX99" s="368"/>
      <c r="NY99" s="368"/>
      <c r="NZ99" s="368"/>
      <c r="OA99" s="368"/>
      <c r="OB99" s="368"/>
      <c r="OC99" s="368"/>
      <c r="OD99" s="368"/>
      <c r="OE99" s="368"/>
      <c r="OF99" s="368"/>
      <c r="OG99" s="368"/>
      <c r="OH99" s="368"/>
      <c r="OI99" s="368"/>
      <c r="OJ99" s="368"/>
      <c r="OK99" s="368"/>
      <c r="OL99" s="368"/>
      <c r="OM99" s="368"/>
      <c r="ON99" s="368"/>
      <c r="OO99" s="368"/>
      <c r="OP99" s="368"/>
      <c r="OQ99" s="368"/>
      <c r="OR99" s="368"/>
      <c r="OS99" s="368"/>
      <c r="OT99" s="368"/>
      <c r="OU99" s="368"/>
      <c r="OV99" s="368"/>
      <c r="OW99" s="368"/>
      <c r="OX99" s="368"/>
      <c r="OY99" s="368"/>
      <c r="OZ99" s="368"/>
      <c r="PA99" s="368"/>
      <c r="PB99" s="368"/>
      <c r="PC99" s="368"/>
      <c r="PD99" s="368"/>
      <c r="PE99" s="368"/>
      <c r="PF99" s="368"/>
      <c r="PG99" s="368"/>
      <c r="PH99" s="368"/>
      <c r="PI99" s="368"/>
      <c r="PJ99" s="368"/>
      <c r="PK99" s="368"/>
      <c r="PL99" s="368"/>
      <c r="PM99" s="368"/>
      <c r="PN99" s="368"/>
      <c r="PO99" s="368"/>
      <c r="PP99" s="368"/>
      <c r="PQ99" s="368"/>
      <c r="PR99" s="368"/>
      <c r="PS99" s="368"/>
      <c r="PT99" s="368"/>
      <c r="PU99" s="368"/>
      <c r="PV99" s="368"/>
      <c r="PW99" s="368"/>
      <c r="PX99" s="368"/>
      <c r="PY99" s="368"/>
      <c r="PZ99" s="368"/>
      <c r="QA99" s="368"/>
      <c r="QB99" s="368"/>
      <c r="QC99" s="368"/>
      <c r="QD99" s="368"/>
      <c r="QE99" s="368"/>
      <c r="QF99" s="368"/>
      <c r="QG99" s="368"/>
      <c r="QH99" s="368"/>
      <c r="QI99" s="368"/>
      <c r="QJ99" s="368"/>
      <c r="QK99" s="368"/>
      <c r="QL99" s="368"/>
      <c r="QM99" s="368"/>
      <c r="QN99" s="368"/>
      <c r="QO99" s="368"/>
      <c r="QP99" s="368"/>
      <c r="QQ99" s="368"/>
      <c r="QR99" s="368"/>
      <c r="QS99" s="368"/>
      <c r="QT99" s="368"/>
      <c r="QU99" s="368"/>
      <c r="QV99" s="368"/>
      <c r="QW99" s="368"/>
      <c r="QX99" s="368"/>
      <c r="QY99" s="368"/>
      <c r="QZ99" s="368"/>
      <c r="RA99" s="368"/>
      <c r="RB99" s="368"/>
      <c r="RC99" s="368"/>
      <c r="RD99" s="368"/>
      <c r="RE99" s="368"/>
      <c r="RF99" s="368"/>
      <c r="RG99" s="368"/>
      <c r="RH99" s="368"/>
      <c r="RI99" s="368"/>
      <c r="RJ99" s="368"/>
      <c r="RK99" s="368"/>
      <c r="RL99" s="368"/>
      <c r="RM99" s="368"/>
      <c r="RN99" s="368"/>
      <c r="RO99" s="368"/>
      <c r="RP99" s="368"/>
      <c r="RQ99" s="368"/>
      <c r="RR99" s="368"/>
      <c r="RS99" s="368"/>
      <c r="RT99" s="368"/>
      <c r="RU99" s="368"/>
      <c r="RV99" s="368"/>
      <c r="RW99" s="368"/>
      <c r="RX99" s="368"/>
      <c r="RY99" s="368"/>
      <c r="RZ99" s="368"/>
      <c r="SA99" s="368"/>
      <c r="SB99" s="368"/>
      <c r="SC99" s="368"/>
      <c r="SD99" s="368"/>
      <c r="SE99" s="368"/>
      <c r="SF99" s="368"/>
      <c r="SG99" s="368"/>
      <c r="SH99" s="368"/>
      <c r="SI99" s="368"/>
      <c r="SJ99" s="368"/>
      <c r="SK99" s="368"/>
      <c r="SL99" s="368"/>
      <c r="SM99" s="368"/>
      <c r="SN99" s="368"/>
      <c r="SO99" s="368"/>
      <c r="SP99" s="368"/>
      <c r="SQ99" s="368"/>
      <c r="SR99" s="368"/>
      <c r="SS99" s="368"/>
      <c r="ST99" s="368"/>
      <c r="SU99" s="368"/>
      <c r="SV99" s="368"/>
      <c r="SW99" s="368"/>
      <c r="SX99" s="368"/>
      <c r="SY99" s="368"/>
      <c r="SZ99" s="368"/>
      <c r="TA99" s="368"/>
      <c r="TB99" s="368"/>
      <c r="TC99" s="368"/>
      <c r="TD99" s="368"/>
      <c r="TE99" s="368"/>
      <c r="TF99" s="368"/>
      <c r="TG99" s="368"/>
      <c r="TH99" s="368"/>
      <c r="TI99" s="368"/>
      <c r="TJ99" s="368"/>
      <c r="TK99" s="368"/>
      <c r="TL99" s="368"/>
      <c r="TM99" s="368"/>
      <c r="TN99" s="368"/>
      <c r="TO99" s="368"/>
      <c r="TP99" s="368"/>
      <c r="TQ99" s="368"/>
      <c r="TR99" s="368"/>
      <c r="TS99" s="368"/>
      <c r="TT99" s="368"/>
      <c r="TU99" s="368"/>
      <c r="TV99" s="368"/>
      <c r="TW99" s="368"/>
      <c r="TX99" s="368"/>
      <c r="TY99" s="368"/>
      <c r="TZ99" s="368"/>
      <c r="UA99" s="368"/>
      <c r="UB99" s="368"/>
      <c r="UC99" s="368"/>
      <c r="UD99" s="368"/>
      <c r="UE99" s="368"/>
      <c r="UF99" s="368"/>
      <c r="UG99" s="368"/>
      <c r="UH99" s="368"/>
      <c r="UI99" s="368"/>
      <c r="UJ99" s="368"/>
      <c r="UK99" s="368"/>
      <c r="UL99" s="368"/>
      <c r="UM99" s="368"/>
      <c r="UN99" s="368"/>
      <c r="UO99" s="368"/>
      <c r="UP99" s="368"/>
      <c r="UQ99" s="368"/>
      <c r="UR99" s="368"/>
      <c r="US99" s="368"/>
      <c r="UT99" s="368"/>
      <c r="UU99" s="368"/>
      <c r="UV99" s="368"/>
      <c r="UW99" s="368"/>
      <c r="UX99" s="368"/>
      <c r="UY99" s="368"/>
      <c r="UZ99" s="368"/>
      <c r="VA99" s="368"/>
      <c r="VB99" s="368"/>
      <c r="VC99" s="368"/>
      <c r="VD99" s="368"/>
      <c r="VE99" s="368"/>
      <c r="VF99" s="368"/>
      <c r="VG99" s="368"/>
      <c r="VH99" s="368"/>
      <c r="VI99" s="368"/>
      <c r="VJ99" s="368"/>
      <c r="VK99" s="368"/>
      <c r="VL99" s="368"/>
      <c r="VM99" s="368"/>
      <c r="VN99" s="368"/>
      <c r="VO99" s="368"/>
      <c r="VP99" s="368"/>
      <c r="VQ99" s="368"/>
      <c r="VR99" s="368"/>
      <c r="VS99" s="368"/>
      <c r="VT99" s="368"/>
      <c r="VU99" s="368"/>
      <c r="VV99" s="368"/>
      <c r="VW99" s="368"/>
      <c r="VX99" s="368"/>
      <c r="VY99" s="368"/>
      <c r="VZ99" s="368"/>
      <c r="WA99" s="368"/>
      <c r="WB99" s="368"/>
      <c r="WC99" s="368"/>
      <c r="WD99" s="368"/>
      <c r="WE99" s="368"/>
      <c r="WF99" s="368"/>
      <c r="WG99" s="368"/>
      <c r="WH99" s="368"/>
      <c r="WI99" s="368"/>
      <c r="WJ99" s="368"/>
      <c r="WK99" s="368"/>
      <c r="WL99" s="368"/>
      <c r="WM99" s="368"/>
      <c r="WN99" s="368"/>
      <c r="WO99" s="368"/>
      <c r="WP99" s="368"/>
      <c r="WQ99" s="368"/>
      <c r="WR99" s="368"/>
      <c r="WS99" s="368"/>
      <c r="WT99" s="368"/>
      <c r="WU99" s="368"/>
      <c r="WV99" s="368"/>
      <c r="WW99" s="368"/>
      <c r="WX99" s="368"/>
      <c r="WY99" s="368"/>
      <c r="WZ99" s="368"/>
      <c r="XA99" s="368"/>
      <c r="XB99" s="368"/>
      <c r="XC99" s="368"/>
      <c r="XD99" s="368"/>
      <c r="XE99" s="368"/>
      <c r="XF99" s="368"/>
      <c r="XG99" s="368"/>
      <c r="XH99" s="368"/>
      <c r="XI99" s="368"/>
      <c r="XJ99" s="368"/>
      <c r="XK99" s="368"/>
      <c r="XL99" s="368"/>
      <c r="XM99" s="368"/>
      <c r="XN99" s="368"/>
      <c r="XO99" s="368"/>
      <c r="XP99" s="368"/>
      <c r="XQ99" s="368"/>
      <c r="XR99" s="368"/>
      <c r="XS99" s="368"/>
      <c r="XT99" s="368"/>
      <c r="XU99" s="368"/>
      <c r="XV99" s="368"/>
      <c r="XW99" s="368"/>
      <c r="XX99" s="368"/>
      <c r="XY99" s="368"/>
      <c r="XZ99" s="368"/>
      <c r="YA99" s="368"/>
      <c r="YB99" s="368"/>
      <c r="YC99" s="368"/>
      <c r="YD99" s="368"/>
      <c r="YE99" s="368"/>
      <c r="YF99" s="368"/>
      <c r="YG99" s="368"/>
      <c r="YH99" s="368"/>
      <c r="YI99" s="368"/>
      <c r="YJ99" s="368"/>
      <c r="YK99" s="368"/>
      <c r="YL99" s="368"/>
      <c r="YM99" s="368"/>
      <c r="YN99" s="368"/>
      <c r="YO99" s="368"/>
      <c r="YP99" s="368"/>
      <c r="YQ99" s="368"/>
      <c r="YR99" s="368"/>
      <c r="YS99" s="368"/>
      <c r="YT99" s="368"/>
      <c r="YU99" s="368"/>
      <c r="YV99" s="368"/>
      <c r="YW99" s="368"/>
      <c r="YX99" s="368"/>
      <c r="YY99" s="368"/>
      <c r="YZ99" s="368"/>
      <c r="ZA99" s="368"/>
      <c r="ZB99" s="368"/>
      <c r="ZC99" s="368"/>
      <c r="ZD99" s="368"/>
      <c r="ZE99" s="368"/>
      <c r="ZF99" s="368"/>
      <c r="ZG99" s="368"/>
      <c r="ZH99" s="368"/>
      <c r="ZI99" s="368"/>
      <c r="ZJ99" s="368"/>
      <c r="ZK99" s="368"/>
      <c r="ZL99" s="368"/>
      <c r="ZM99" s="368"/>
      <c r="ZN99" s="368"/>
      <c r="ZO99" s="368"/>
      <c r="ZP99" s="368"/>
      <c r="ZQ99" s="368"/>
      <c r="ZR99" s="368"/>
      <c r="ZS99" s="368"/>
      <c r="ZT99" s="368"/>
      <c r="ZU99" s="368"/>
      <c r="ZV99" s="368"/>
      <c r="ZW99" s="368"/>
      <c r="ZX99" s="368"/>
      <c r="ZY99" s="368"/>
      <c r="ZZ99" s="368"/>
      <c r="AAA99" s="368"/>
      <c r="AAB99" s="368"/>
      <c r="AAC99" s="368"/>
      <c r="AAD99" s="368"/>
      <c r="AAE99" s="368"/>
      <c r="AAF99" s="368"/>
      <c r="AAG99" s="368"/>
      <c r="AAH99" s="368"/>
      <c r="AAI99" s="368"/>
      <c r="AAJ99" s="368"/>
      <c r="AAK99" s="368"/>
      <c r="AAL99" s="368"/>
      <c r="AAM99" s="368"/>
      <c r="AAN99" s="368"/>
      <c r="AAO99" s="368"/>
      <c r="AAP99" s="368"/>
      <c r="AAQ99" s="368"/>
      <c r="AAR99" s="368"/>
      <c r="AAS99" s="368"/>
      <c r="AAT99" s="368"/>
      <c r="AAU99" s="368"/>
      <c r="AAV99" s="368"/>
      <c r="AAW99" s="368"/>
      <c r="AAX99" s="368"/>
      <c r="AAY99" s="368"/>
      <c r="AAZ99" s="368"/>
      <c r="ABA99" s="368"/>
      <c r="ABB99" s="368"/>
      <c r="ABC99" s="368"/>
      <c r="ABD99" s="368"/>
      <c r="ABE99" s="368"/>
      <c r="ABF99" s="368"/>
      <c r="ABG99" s="368"/>
      <c r="ABH99" s="368"/>
      <c r="ABI99" s="368"/>
      <c r="ABJ99" s="368"/>
      <c r="ABK99" s="368"/>
      <c r="ABL99" s="368"/>
      <c r="ABM99" s="368"/>
      <c r="ABN99" s="368"/>
      <c r="ABO99" s="368"/>
      <c r="ABP99" s="368"/>
      <c r="ABQ99" s="368"/>
      <c r="ABR99" s="368"/>
      <c r="ABS99" s="368"/>
      <c r="ABT99" s="368"/>
      <c r="ABU99" s="368"/>
      <c r="ABV99" s="368"/>
      <c r="ABW99" s="368"/>
      <c r="ABX99" s="368"/>
      <c r="ABY99" s="368"/>
      <c r="ABZ99" s="368"/>
      <c r="ACA99" s="368"/>
      <c r="ACB99" s="368"/>
      <c r="ACC99" s="368"/>
      <c r="ACD99" s="368"/>
      <c r="ACE99" s="368"/>
      <c r="ACF99" s="368"/>
      <c r="ACG99" s="368"/>
      <c r="ACH99" s="368"/>
      <c r="ACI99" s="368"/>
      <c r="ACJ99" s="368"/>
      <c r="ACK99" s="368"/>
      <c r="ACL99" s="368"/>
      <c r="ACM99" s="368"/>
      <c r="ACN99" s="368"/>
      <c r="ACO99" s="368"/>
      <c r="ACP99" s="368"/>
      <c r="ACQ99" s="368"/>
      <c r="ACR99" s="368"/>
      <c r="ACS99" s="368"/>
      <c r="ACT99" s="368"/>
      <c r="ACU99" s="368"/>
      <c r="ACV99" s="368"/>
      <c r="ACW99" s="368"/>
      <c r="ACX99" s="368"/>
      <c r="ACY99" s="368"/>
      <c r="ACZ99" s="368"/>
      <c r="ADA99" s="368"/>
      <c r="ADB99" s="368"/>
      <c r="ADC99" s="368"/>
      <c r="ADD99" s="368"/>
      <c r="ADE99" s="368"/>
      <c r="ADF99" s="368"/>
      <c r="ADG99" s="368"/>
      <c r="ADH99" s="368"/>
      <c r="ADI99" s="368"/>
      <c r="ADJ99" s="368"/>
      <c r="ADK99" s="368"/>
      <c r="ADL99" s="368"/>
      <c r="ADM99" s="368"/>
      <c r="ADN99" s="368"/>
      <c r="ADO99" s="368"/>
      <c r="ADP99" s="368"/>
      <c r="ADQ99" s="368"/>
      <c r="ADR99" s="368"/>
      <c r="ADS99" s="368"/>
      <c r="ADT99" s="368"/>
      <c r="ADU99" s="368"/>
      <c r="ADV99" s="368"/>
      <c r="ADW99" s="368"/>
      <c r="ADX99" s="368"/>
      <c r="ADY99" s="368"/>
      <c r="ADZ99" s="368"/>
      <c r="AEA99" s="368"/>
      <c r="AEB99" s="368"/>
      <c r="AEC99" s="368"/>
      <c r="AED99" s="368"/>
      <c r="AEE99" s="368"/>
      <c r="AEF99" s="368"/>
      <c r="AEG99" s="368"/>
      <c r="AEH99" s="368"/>
      <c r="AEI99" s="368"/>
      <c r="AEJ99" s="368"/>
      <c r="AEK99" s="368"/>
      <c r="AEL99" s="368"/>
      <c r="AEM99" s="368"/>
      <c r="AEN99" s="368"/>
      <c r="AEO99" s="368"/>
      <c r="AEP99" s="368"/>
      <c r="AEQ99" s="368"/>
      <c r="AER99" s="368"/>
      <c r="AES99" s="368"/>
      <c r="AET99" s="368"/>
      <c r="AEU99" s="368"/>
      <c r="AEV99" s="368"/>
      <c r="AEW99" s="368"/>
      <c r="AEX99" s="368"/>
      <c r="AEY99" s="368"/>
      <c r="AEZ99" s="368"/>
      <c r="AFA99" s="368"/>
      <c r="AFB99" s="368"/>
      <c r="AFC99" s="368"/>
      <c r="AFD99" s="368"/>
      <c r="AFE99" s="368"/>
      <c r="AFF99" s="368"/>
      <c r="AFG99" s="368"/>
      <c r="AFH99" s="368"/>
      <c r="AFI99" s="368"/>
      <c r="AFJ99" s="368"/>
      <c r="AFK99" s="368"/>
      <c r="AFL99" s="368"/>
      <c r="AFM99" s="368"/>
      <c r="AFN99" s="368"/>
      <c r="AFO99" s="368"/>
      <c r="AFP99" s="368"/>
      <c r="AFQ99" s="368"/>
      <c r="AFR99" s="368"/>
      <c r="AFS99" s="368"/>
      <c r="AFT99" s="368"/>
      <c r="AFU99" s="368"/>
      <c r="AFV99" s="368"/>
      <c r="AFW99" s="368"/>
      <c r="AFX99" s="368"/>
      <c r="AFY99" s="368"/>
      <c r="AFZ99" s="368"/>
      <c r="AGA99" s="368"/>
      <c r="AGB99" s="368"/>
      <c r="AGC99" s="368"/>
      <c r="AGD99" s="368"/>
      <c r="AGE99" s="368"/>
      <c r="AGF99" s="368"/>
      <c r="AGG99" s="368"/>
      <c r="AGH99" s="368"/>
      <c r="AGI99" s="368"/>
      <c r="AGJ99" s="368"/>
      <c r="AGK99" s="368"/>
      <c r="AGL99" s="368"/>
      <c r="AGM99" s="368"/>
      <c r="AGN99" s="368"/>
      <c r="AGO99" s="368"/>
      <c r="AGP99" s="368"/>
      <c r="AGQ99" s="368"/>
      <c r="AGR99" s="368"/>
      <c r="AGS99" s="368"/>
      <c r="AGT99" s="368"/>
      <c r="AGU99" s="368"/>
      <c r="AGV99" s="368"/>
      <c r="AGW99" s="368"/>
      <c r="AGX99" s="368"/>
      <c r="AGY99" s="368"/>
      <c r="AGZ99" s="368"/>
      <c r="AHA99" s="368"/>
      <c r="AHB99" s="368"/>
      <c r="AHC99" s="368"/>
      <c r="AHD99" s="368"/>
      <c r="AHE99" s="368"/>
      <c r="AHF99" s="368"/>
      <c r="AHG99" s="368"/>
      <c r="AHH99" s="368"/>
      <c r="AHI99" s="368"/>
      <c r="AHJ99" s="368"/>
      <c r="AHK99" s="368"/>
      <c r="AHL99" s="368"/>
      <c r="AHM99" s="368"/>
      <c r="AHN99" s="368"/>
      <c r="AHO99" s="368"/>
      <c r="AHP99" s="368"/>
      <c r="AHQ99" s="368"/>
      <c r="AHR99" s="368"/>
      <c r="AHS99" s="368"/>
      <c r="AHT99" s="368"/>
      <c r="AHU99" s="368"/>
      <c r="AHV99" s="368"/>
      <c r="AHW99" s="368"/>
      <c r="AHX99" s="368"/>
      <c r="AHY99" s="368"/>
      <c r="AHZ99" s="368"/>
      <c r="AIA99" s="368"/>
      <c r="AIB99" s="368"/>
      <c r="AIC99" s="368"/>
      <c r="AID99" s="368"/>
      <c r="AIE99" s="368"/>
      <c r="AIF99" s="368"/>
      <c r="AIG99" s="368"/>
      <c r="AIH99" s="368"/>
      <c r="AII99" s="368"/>
      <c r="AIJ99" s="368"/>
      <c r="AIK99" s="368"/>
      <c r="AIL99" s="368"/>
      <c r="AIM99" s="368"/>
      <c r="AIN99" s="368"/>
      <c r="AIO99" s="368"/>
      <c r="AIP99" s="368"/>
      <c r="AIQ99" s="368"/>
      <c r="AIR99" s="368"/>
      <c r="AIS99" s="368"/>
      <c r="AIT99" s="368"/>
      <c r="AIU99" s="368"/>
      <c r="AIV99" s="368"/>
      <c r="AIW99" s="368"/>
      <c r="AIX99" s="368"/>
      <c r="AIY99" s="368"/>
      <c r="AIZ99" s="368"/>
      <c r="AJA99" s="368"/>
      <c r="AJB99" s="368"/>
      <c r="AJC99" s="368"/>
      <c r="AJD99" s="368"/>
      <c r="AJE99" s="368"/>
      <c r="AJF99" s="368"/>
      <c r="AJG99" s="368"/>
      <c r="AJH99" s="368"/>
      <c r="AJI99" s="368"/>
      <c r="AJJ99" s="368"/>
      <c r="AJK99" s="368"/>
      <c r="AJL99" s="368"/>
      <c r="AJM99" s="368"/>
      <c r="AJN99" s="368"/>
      <c r="AJO99" s="368"/>
      <c r="AJP99" s="368"/>
      <c r="AJQ99" s="368"/>
      <c r="AJR99" s="368"/>
      <c r="AJS99" s="368"/>
      <c r="AJT99" s="368"/>
      <c r="AJU99" s="368"/>
      <c r="AJV99" s="368"/>
      <c r="AJW99" s="368"/>
      <c r="AJX99" s="368"/>
      <c r="AJY99" s="368"/>
      <c r="AJZ99" s="368"/>
      <c r="AKA99" s="368"/>
      <c r="AKB99" s="368"/>
      <c r="AKC99" s="368"/>
      <c r="AKD99" s="368"/>
      <c r="AKE99" s="368"/>
      <c r="AKF99" s="368"/>
      <c r="AKG99" s="368"/>
      <c r="AKH99" s="368"/>
      <c r="AKI99" s="368"/>
      <c r="AKJ99" s="368"/>
      <c r="AKK99" s="368"/>
      <c r="AKL99" s="368"/>
      <c r="AKM99" s="368"/>
      <c r="AKN99" s="368"/>
    </row>
    <row r="100" spans="1:976" s="363" customFormat="1" ht="22.5" customHeight="1" x14ac:dyDescent="0.2">
      <c r="A100" s="358" t="s">
        <v>262</v>
      </c>
      <c r="B100" s="358"/>
      <c r="C100" s="358" t="s">
        <v>221</v>
      </c>
      <c r="D100" s="358" t="s">
        <v>222</v>
      </c>
      <c r="E100" s="359">
        <v>412296</v>
      </c>
      <c r="F100" s="359">
        <v>1477</v>
      </c>
      <c r="G100" s="359">
        <v>224</v>
      </c>
      <c r="H100" s="359">
        <v>0</v>
      </c>
      <c r="I100" s="360">
        <v>45854</v>
      </c>
      <c r="J100" s="358" t="s">
        <v>395</v>
      </c>
      <c r="K100" s="358" t="s">
        <v>559</v>
      </c>
      <c r="L100" s="361">
        <v>506.88</v>
      </c>
      <c r="M100" s="361">
        <v>27.88</v>
      </c>
      <c r="N100" s="448">
        <v>534.76</v>
      </c>
      <c r="O100" s="358"/>
      <c r="P100" s="362">
        <v>45856</v>
      </c>
      <c r="Q100" s="361">
        <v>534.76</v>
      </c>
      <c r="R100" s="358" t="s">
        <v>460</v>
      </c>
      <c r="S100" s="361">
        <v>0</v>
      </c>
      <c r="T100" s="361">
        <v>0</v>
      </c>
      <c r="U100" s="361">
        <v>0</v>
      </c>
      <c r="V100" s="361">
        <v>0</v>
      </c>
      <c r="W100" s="358"/>
      <c r="X100" s="358" t="s">
        <v>266</v>
      </c>
      <c r="Y100" s="358" t="s">
        <v>267</v>
      </c>
      <c r="Z100" s="358" t="s">
        <v>32</v>
      </c>
      <c r="AA100" s="358" t="s">
        <v>228</v>
      </c>
      <c r="AB100" s="358" t="s">
        <v>34</v>
      </c>
      <c r="AC100" s="358" t="s">
        <v>31</v>
      </c>
      <c r="AD100" s="358" t="s">
        <v>231</v>
      </c>
      <c r="AE100" s="358" t="s">
        <v>232</v>
      </c>
      <c r="AF100" s="358" t="s">
        <v>231</v>
      </c>
      <c r="AG100" s="358" t="s">
        <v>232</v>
      </c>
      <c r="AH100" s="358"/>
      <c r="AI100" s="358"/>
      <c r="AJ100" s="358"/>
      <c r="AK100" s="358" t="s">
        <v>560</v>
      </c>
      <c r="AL100" s="359">
        <v>1</v>
      </c>
      <c r="AM100" s="359">
        <v>0</v>
      </c>
      <c r="AN100" s="360">
        <v>45856</v>
      </c>
      <c r="AO100" s="360">
        <v>45855</v>
      </c>
      <c r="AP100" s="361">
        <v>534.76</v>
      </c>
      <c r="AQ100" s="360">
        <v>45854</v>
      </c>
      <c r="AR100" s="368"/>
      <c r="AS100" s="368"/>
      <c r="AT100" s="368"/>
      <c r="AU100" s="368"/>
      <c r="AV100" s="368"/>
      <c r="AW100" s="368"/>
      <c r="AX100" s="368"/>
      <c r="AY100" s="368"/>
      <c r="AZ100" s="368"/>
      <c r="BA100" s="368"/>
      <c r="BB100" s="368"/>
      <c r="BC100" s="368"/>
      <c r="BD100" s="368"/>
      <c r="BE100" s="368"/>
      <c r="BF100" s="368"/>
      <c r="BG100" s="368"/>
      <c r="BH100" s="368"/>
      <c r="BI100" s="368"/>
      <c r="BJ100" s="368"/>
      <c r="BK100" s="368"/>
      <c r="BL100" s="368"/>
      <c r="BM100" s="368"/>
      <c r="BN100" s="368"/>
      <c r="BO100" s="368"/>
      <c r="BP100" s="368"/>
      <c r="BQ100" s="368"/>
      <c r="BR100" s="368"/>
      <c r="BS100" s="368"/>
      <c r="BT100" s="368"/>
      <c r="BU100" s="368"/>
      <c r="BV100" s="368"/>
      <c r="BW100" s="368"/>
      <c r="BX100" s="368"/>
      <c r="BY100" s="368"/>
      <c r="BZ100" s="368"/>
      <c r="CA100" s="368"/>
      <c r="CB100" s="368"/>
      <c r="CC100" s="368"/>
      <c r="CD100" s="368"/>
      <c r="CE100" s="368"/>
      <c r="CF100" s="368"/>
      <c r="CG100" s="368"/>
      <c r="CH100" s="368"/>
      <c r="CI100" s="368"/>
      <c r="CJ100" s="368"/>
      <c r="CK100" s="368"/>
      <c r="CL100" s="368"/>
      <c r="CM100" s="368"/>
      <c r="CN100" s="368"/>
      <c r="CO100" s="368"/>
      <c r="CP100" s="368"/>
      <c r="CQ100" s="368"/>
      <c r="CR100" s="368"/>
      <c r="CS100" s="368"/>
      <c r="CT100" s="368"/>
      <c r="CU100" s="368"/>
      <c r="CV100" s="368"/>
      <c r="CW100" s="368"/>
      <c r="CX100" s="368"/>
      <c r="CY100" s="368"/>
      <c r="CZ100" s="368"/>
      <c r="DA100" s="368"/>
      <c r="DB100" s="368"/>
      <c r="DC100" s="368"/>
      <c r="DD100" s="368"/>
      <c r="DE100" s="368"/>
      <c r="DF100" s="368"/>
      <c r="DG100" s="368"/>
      <c r="DH100" s="368"/>
      <c r="DI100" s="368"/>
      <c r="DJ100" s="368"/>
      <c r="DK100" s="368"/>
      <c r="DL100" s="368"/>
      <c r="DM100" s="368"/>
      <c r="DN100" s="368"/>
      <c r="DO100" s="368"/>
      <c r="DP100" s="368"/>
      <c r="DQ100" s="368"/>
      <c r="DR100" s="368"/>
      <c r="DS100" s="368"/>
      <c r="DT100" s="368"/>
      <c r="DU100" s="368"/>
      <c r="DV100" s="368"/>
      <c r="DW100" s="368"/>
      <c r="DX100" s="368"/>
      <c r="DY100" s="368"/>
      <c r="DZ100" s="368"/>
      <c r="EA100" s="368"/>
      <c r="EB100" s="368"/>
      <c r="EC100" s="368"/>
      <c r="ED100" s="368"/>
      <c r="EE100" s="368"/>
      <c r="EF100" s="368"/>
      <c r="EG100" s="368"/>
      <c r="EH100" s="368"/>
      <c r="EI100" s="368"/>
      <c r="EJ100" s="368"/>
      <c r="EK100" s="368"/>
      <c r="EL100" s="368"/>
      <c r="EM100" s="368"/>
      <c r="EN100" s="368"/>
      <c r="EO100" s="368"/>
      <c r="EP100" s="368"/>
      <c r="EQ100" s="368"/>
      <c r="ER100" s="368"/>
      <c r="ES100" s="368"/>
      <c r="ET100" s="368"/>
      <c r="EU100" s="368"/>
      <c r="EV100" s="368"/>
      <c r="EW100" s="368"/>
      <c r="EX100" s="368"/>
      <c r="EY100" s="368"/>
      <c r="EZ100" s="368"/>
      <c r="FA100" s="368"/>
      <c r="FB100" s="368"/>
      <c r="FC100" s="368"/>
      <c r="FD100" s="368"/>
      <c r="FE100" s="368"/>
      <c r="FF100" s="368"/>
      <c r="FG100" s="368"/>
      <c r="FH100" s="368"/>
      <c r="FI100" s="368"/>
      <c r="FJ100" s="368"/>
      <c r="FK100" s="368"/>
      <c r="FL100" s="368"/>
      <c r="FM100" s="368"/>
      <c r="FN100" s="368"/>
      <c r="FO100" s="368"/>
      <c r="FP100" s="368"/>
      <c r="FQ100" s="368"/>
      <c r="FR100" s="368"/>
      <c r="FS100" s="368"/>
      <c r="FT100" s="368"/>
      <c r="FU100" s="368"/>
      <c r="FV100" s="368"/>
      <c r="FW100" s="368"/>
      <c r="FX100" s="368"/>
      <c r="FY100" s="368"/>
      <c r="FZ100" s="368"/>
      <c r="GA100" s="368"/>
      <c r="GB100" s="368"/>
      <c r="GC100" s="368"/>
      <c r="GD100" s="368"/>
      <c r="GE100" s="368"/>
      <c r="GF100" s="368"/>
      <c r="GG100" s="368"/>
      <c r="GH100" s="368"/>
      <c r="GI100" s="368"/>
      <c r="GJ100" s="368"/>
      <c r="GK100" s="368"/>
      <c r="GL100" s="368"/>
      <c r="GM100" s="368"/>
      <c r="GN100" s="368"/>
      <c r="GO100" s="368"/>
      <c r="GP100" s="368"/>
      <c r="GQ100" s="368"/>
      <c r="GR100" s="368"/>
      <c r="GS100" s="368"/>
      <c r="GT100" s="368"/>
      <c r="GU100" s="368"/>
      <c r="GV100" s="368"/>
      <c r="GW100" s="368"/>
      <c r="GX100" s="368"/>
      <c r="GY100" s="368"/>
      <c r="GZ100" s="368"/>
      <c r="HA100" s="368"/>
      <c r="HB100" s="368"/>
      <c r="HC100" s="368"/>
      <c r="HD100" s="368"/>
      <c r="HE100" s="368"/>
      <c r="HF100" s="368"/>
      <c r="HG100" s="368"/>
      <c r="HH100" s="368"/>
      <c r="HI100" s="368"/>
      <c r="HJ100" s="368"/>
      <c r="HK100" s="368"/>
      <c r="HL100" s="368"/>
      <c r="HM100" s="368"/>
      <c r="HN100" s="368"/>
      <c r="HO100" s="368"/>
      <c r="HP100" s="368"/>
      <c r="HQ100" s="368"/>
      <c r="HR100" s="368"/>
      <c r="HS100" s="368"/>
      <c r="HT100" s="368"/>
      <c r="HU100" s="368"/>
      <c r="HV100" s="368"/>
      <c r="HW100" s="368"/>
      <c r="HX100" s="368"/>
      <c r="HY100" s="368"/>
      <c r="HZ100" s="368"/>
      <c r="IA100" s="368"/>
      <c r="IB100" s="368"/>
      <c r="IC100" s="368"/>
      <c r="ID100" s="368"/>
      <c r="IE100" s="368"/>
      <c r="IF100" s="368"/>
      <c r="IG100" s="368"/>
      <c r="IH100" s="368"/>
      <c r="II100" s="368"/>
      <c r="IJ100" s="368"/>
      <c r="IK100" s="368"/>
      <c r="IL100" s="368"/>
      <c r="IM100" s="368"/>
      <c r="IN100" s="368"/>
      <c r="IO100" s="368"/>
      <c r="IP100" s="368"/>
      <c r="IQ100" s="368"/>
      <c r="IR100" s="368"/>
      <c r="IS100" s="368"/>
      <c r="IT100" s="368"/>
      <c r="IU100" s="368"/>
      <c r="IV100" s="368"/>
      <c r="IW100" s="368"/>
      <c r="IX100" s="368"/>
      <c r="IY100" s="368"/>
      <c r="IZ100" s="368"/>
      <c r="JA100" s="368"/>
      <c r="JB100" s="368"/>
      <c r="JC100" s="368"/>
      <c r="JD100" s="368"/>
      <c r="JE100" s="368"/>
      <c r="JF100" s="368"/>
      <c r="JG100" s="368"/>
      <c r="JH100" s="368"/>
      <c r="JI100" s="368"/>
      <c r="JJ100" s="368"/>
      <c r="JK100" s="368"/>
      <c r="JL100" s="368"/>
      <c r="JM100" s="368"/>
      <c r="JN100" s="368"/>
      <c r="JO100" s="368"/>
      <c r="JP100" s="368"/>
      <c r="JQ100" s="368"/>
      <c r="JR100" s="368"/>
      <c r="JS100" s="368"/>
      <c r="JT100" s="368"/>
      <c r="JU100" s="368"/>
      <c r="JV100" s="368"/>
      <c r="JW100" s="368"/>
      <c r="JX100" s="368"/>
      <c r="JY100" s="368"/>
      <c r="JZ100" s="368"/>
      <c r="KA100" s="368"/>
      <c r="KB100" s="368"/>
      <c r="KC100" s="368"/>
      <c r="KD100" s="368"/>
      <c r="KE100" s="368"/>
      <c r="KF100" s="368"/>
      <c r="KG100" s="368"/>
      <c r="KH100" s="368"/>
      <c r="KI100" s="368"/>
      <c r="KJ100" s="368"/>
      <c r="KK100" s="368"/>
      <c r="KL100" s="368"/>
      <c r="KM100" s="368"/>
      <c r="KN100" s="368"/>
      <c r="KO100" s="368"/>
      <c r="KP100" s="368"/>
      <c r="KQ100" s="368"/>
      <c r="KR100" s="368"/>
      <c r="KS100" s="368"/>
      <c r="KT100" s="368"/>
      <c r="KU100" s="368"/>
      <c r="KV100" s="368"/>
      <c r="KW100" s="368"/>
      <c r="KX100" s="368"/>
      <c r="KY100" s="368"/>
      <c r="KZ100" s="368"/>
      <c r="LA100" s="368"/>
      <c r="LB100" s="368"/>
      <c r="LC100" s="368"/>
      <c r="LD100" s="368"/>
      <c r="LE100" s="368"/>
      <c r="LF100" s="368"/>
      <c r="LG100" s="368"/>
      <c r="LH100" s="368"/>
      <c r="LI100" s="368"/>
      <c r="LJ100" s="368"/>
      <c r="LK100" s="368"/>
      <c r="LL100" s="368"/>
      <c r="LM100" s="368"/>
      <c r="LN100" s="368"/>
      <c r="LO100" s="368"/>
      <c r="LP100" s="368"/>
      <c r="LQ100" s="368"/>
      <c r="LR100" s="368"/>
      <c r="LS100" s="368"/>
      <c r="LT100" s="368"/>
      <c r="LU100" s="368"/>
      <c r="LV100" s="368"/>
      <c r="LW100" s="368"/>
      <c r="LX100" s="368"/>
      <c r="LY100" s="368"/>
      <c r="LZ100" s="368"/>
      <c r="MA100" s="368"/>
      <c r="MB100" s="368"/>
      <c r="MC100" s="368"/>
      <c r="MD100" s="368"/>
      <c r="ME100" s="368"/>
      <c r="MF100" s="368"/>
      <c r="MG100" s="368"/>
      <c r="MH100" s="368"/>
      <c r="MI100" s="368"/>
      <c r="MJ100" s="368"/>
      <c r="MK100" s="368"/>
      <c r="ML100" s="368"/>
      <c r="MM100" s="368"/>
      <c r="MN100" s="368"/>
      <c r="MO100" s="368"/>
      <c r="MP100" s="368"/>
      <c r="MQ100" s="368"/>
      <c r="MR100" s="368"/>
      <c r="MS100" s="368"/>
      <c r="MT100" s="368"/>
      <c r="MU100" s="368"/>
      <c r="MV100" s="368"/>
      <c r="MW100" s="368"/>
      <c r="MX100" s="368"/>
      <c r="MY100" s="368"/>
      <c r="MZ100" s="368"/>
      <c r="NA100" s="368"/>
      <c r="NB100" s="368"/>
      <c r="NC100" s="368"/>
      <c r="ND100" s="368"/>
      <c r="NE100" s="368"/>
      <c r="NF100" s="368"/>
      <c r="NG100" s="368"/>
      <c r="NH100" s="368"/>
      <c r="NI100" s="368"/>
      <c r="NJ100" s="368"/>
      <c r="NK100" s="368"/>
      <c r="NL100" s="368"/>
      <c r="NM100" s="368"/>
      <c r="NN100" s="368"/>
      <c r="NO100" s="368"/>
      <c r="NP100" s="368"/>
      <c r="NQ100" s="368"/>
      <c r="NR100" s="368"/>
      <c r="NS100" s="368"/>
      <c r="NT100" s="368"/>
      <c r="NU100" s="368"/>
      <c r="NV100" s="368"/>
      <c r="NW100" s="368"/>
      <c r="NX100" s="368"/>
      <c r="NY100" s="368"/>
      <c r="NZ100" s="368"/>
      <c r="OA100" s="368"/>
      <c r="OB100" s="368"/>
      <c r="OC100" s="368"/>
      <c r="OD100" s="368"/>
      <c r="OE100" s="368"/>
      <c r="OF100" s="368"/>
      <c r="OG100" s="368"/>
      <c r="OH100" s="368"/>
      <c r="OI100" s="368"/>
      <c r="OJ100" s="368"/>
      <c r="OK100" s="368"/>
      <c r="OL100" s="368"/>
      <c r="OM100" s="368"/>
      <c r="ON100" s="368"/>
      <c r="OO100" s="368"/>
      <c r="OP100" s="368"/>
      <c r="OQ100" s="368"/>
      <c r="OR100" s="368"/>
      <c r="OS100" s="368"/>
      <c r="OT100" s="368"/>
      <c r="OU100" s="368"/>
      <c r="OV100" s="368"/>
      <c r="OW100" s="368"/>
      <c r="OX100" s="368"/>
      <c r="OY100" s="368"/>
      <c r="OZ100" s="368"/>
      <c r="PA100" s="368"/>
      <c r="PB100" s="368"/>
      <c r="PC100" s="368"/>
      <c r="PD100" s="368"/>
      <c r="PE100" s="368"/>
      <c r="PF100" s="368"/>
      <c r="PG100" s="368"/>
      <c r="PH100" s="368"/>
      <c r="PI100" s="368"/>
      <c r="PJ100" s="368"/>
      <c r="PK100" s="368"/>
      <c r="PL100" s="368"/>
      <c r="PM100" s="368"/>
      <c r="PN100" s="368"/>
      <c r="PO100" s="368"/>
      <c r="PP100" s="368"/>
      <c r="PQ100" s="368"/>
      <c r="PR100" s="368"/>
      <c r="PS100" s="368"/>
      <c r="PT100" s="368"/>
      <c r="PU100" s="368"/>
      <c r="PV100" s="368"/>
      <c r="PW100" s="368"/>
      <c r="PX100" s="368"/>
      <c r="PY100" s="368"/>
      <c r="PZ100" s="368"/>
      <c r="QA100" s="368"/>
      <c r="QB100" s="368"/>
      <c r="QC100" s="368"/>
      <c r="QD100" s="368"/>
      <c r="QE100" s="368"/>
      <c r="QF100" s="368"/>
      <c r="QG100" s="368"/>
      <c r="QH100" s="368"/>
      <c r="QI100" s="368"/>
      <c r="QJ100" s="368"/>
      <c r="QK100" s="368"/>
      <c r="QL100" s="368"/>
      <c r="QM100" s="368"/>
      <c r="QN100" s="368"/>
      <c r="QO100" s="368"/>
      <c r="QP100" s="368"/>
      <c r="QQ100" s="368"/>
      <c r="QR100" s="368"/>
      <c r="QS100" s="368"/>
      <c r="QT100" s="368"/>
      <c r="QU100" s="368"/>
      <c r="QV100" s="368"/>
      <c r="QW100" s="368"/>
      <c r="QX100" s="368"/>
      <c r="QY100" s="368"/>
      <c r="QZ100" s="368"/>
      <c r="RA100" s="368"/>
      <c r="RB100" s="368"/>
      <c r="RC100" s="368"/>
      <c r="RD100" s="368"/>
      <c r="RE100" s="368"/>
      <c r="RF100" s="368"/>
      <c r="RG100" s="368"/>
      <c r="RH100" s="368"/>
      <c r="RI100" s="368"/>
      <c r="RJ100" s="368"/>
      <c r="RK100" s="368"/>
      <c r="RL100" s="368"/>
      <c r="RM100" s="368"/>
      <c r="RN100" s="368"/>
      <c r="RO100" s="368"/>
      <c r="RP100" s="368"/>
      <c r="RQ100" s="368"/>
      <c r="RR100" s="368"/>
      <c r="RS100" s="368"/>
      <c r="RT100" s="368"/>
      <c r="RU100" s="368"/>
      <c r="RV100" s="368"/>
      <c r="RW100" s="368"/>
      <c r="RX100" s="368"/>
      <c r="RY100" s="368"/>
      <c r="RZ100" s="368"/>
      <c r="SA100" s="368"/>
      <c r="SB100" s="368"/>
      <c r="SC100" s="368"/>
      <c r="SD100" s="368"/>
      <c r="SE100" s="368"/>
      <c r="SF100" s="368"/>
      <c r="SG100" s="368"/>
      <c r="SH100" s="368"/>
      <c r="SI100" s="368"/>
      <c r="SJ100" s="368"/>
      <c r="SK100" s="368"/>
      <c r="SL100" s="368"/>
      <c r="SM100" s="368"/>
      <c r="SN100" s="368"/>
      <c r="SO100" s="368"/>
      <c r="SP100" s="368"/>
      <c r="SQ100" s="368"/>
      <c r="SR100" s="368"/>
      <c r="SS100" s="368"/>
      <c r="ST100" s="368"/>
      <c r="SU100" s="368"/>
      <c r="SV100" s="368"/>
      <c r="SW100" s="368"/>
      <c r="SX100" s="368"/>
      <c r="SY100" s="368"/>
      <c r="SZ100" s="368"/>
      <c r="TA100" s="368"/>
      <c r="TB100" s="368"/>
      <c r="TC100" s="368"/>
      <c r="TD100" s="368"/>
      <c r="TE100" s="368"/>
      <c r="TF100" s="368"/>
      <c r="TG100" s="368"/>
      <c r="TH100" s="368"/>
      <c r="TI100" s="368"/>
      <c r="TJ100" s="368"/>
      <c r="TK100" s="368"/>
      <c r="TL100" s="368"/>
      <c r="TM100" s="368"/>
      <c r="TN100" s="368"/>
      <c r="TO100" s="368"/>
      <c r="TP100" s="368"/>
      <c r="TQ100" s="368"/>
      <c r="TR100" s="368"/>
      <c r="TS100" s="368"/>
      <c r="TT100" s="368"/>
      <c r="TU100" s="368"/>
      <c r="TV100" s="368"/>
      <c r="TW100" s="368"/>
      <c r="TX100" s="368"/>
      <c r="TY100" s="368"/>
      <c r="TZ100" s="368"/>
      <c r="UA100" s="368"/>
      <c r="UB100" s="368"/>
      <c r="UC100" s="368"/>
      <c r="UD100" s="368"/>
      <c r="UE100" s="368"/>
      <c r="UF100" s="368"/>
      <c r="UG100" s="368"/>
      <c r="UH100" s="368"/>
      <c r="UI100" s="368"/>
      <c r="UJ100" s="368"/>
      <c r="UK100" s="368"/>
      <c r="UL100" s="368"/>
      <c r="UM100" s="368"/>
      <c r="UN100" s="368"/>
      <c r="UO100" s="368"/>
      <c r="UP100" s="368"/>
      <c r="UQ100" s="368"/>
      <c r="UR100" s="368"/>
      <c r="US100" s="368"/>
      <c r="UT100" s="368"/>
      <c r="UU100" s="368"/>
      <c r="UV100" s="368"/>
      <c r="UW100" s="368"/>
      <c r="UX100" s="368"/>
      <c r="UY100" s="368"/>
      <c r="UZ100" s="368"/>
      <c r="VA100" s="368"/>
      <c r="VB100" s="368"/>
      <c r="VC100" s="368"/>
      <c r="VD100" s="368"/>
      <c r="VE100" s="368"/>
      <c r="VF100" s="368"/>
      <c r="VG100" s="368"/>
      <c r="VH100" s="368"/>
      <c r="VI100" s="368"/>
      <c r="VJ100" s="368"/>
      <c r="VK100" s="368"/>
      <c r="VL100" s="368"/>
      <c r="VM100" s="368"/>
      <c r="VN100" s="368"/>
      <c r="VO100" s="368"/>
      <c r="VP100" s="368"/>
      <c r="VQ100" s="368"/>
      <c r="VR100" s="368"/>
      <c r="VS100" s="368"/>
      <c r="VT100" s="368"/>
      <c r="VU100" s="368"/>
      <c r="VV100" s="368"/>
      <c r="VW100" s="368"/>
      <c r="VX100" s="368"/>
      <c r="VY100" s="368"/>
      <c r="VZ100" s="368"/>
      <c r="WA100" s="368"/>
      <c r="WB100" s="368"/>
      <c r="WC100" s="368"/>
      <c r="WD100" s="368"/>
      <c r="WE100" s="368"/>
      <c r="WF100" s="368"/>
      <c r="WG100" s="368"/>
      <c r="WH100" s="368"/>
      <c r="WI100" s="368"/>
      <c r="WJ100" s="368"/>
      <c r="WK100" s="368"/>
      <c r="WL100" s="368"/>
      <c r="WM100" s="368"/>
      <c r="WN100" s="368"/>
      <c r="WO100" s="368"/>
      <c r="WP100" s="368"/>
      <c r="WQ100" s="368"/>
      <c r="WR100" s="368"/>
      <c r="WS100" s="368"/>
      <c r="WT100" s="368"/>
      <c r="WU100" s="368"/>
      <c r="WV100" s="368"/>
      <c r="WW100" s="368"/>
      <c r="WX100" s="368"/>
      <c r="WY100" s="368"/>
      <c r="WZ100" s="368"/>
      <c r="XA100" s="368"/>
      <c r="XB100" s="368"/>
      <c r="XC100" s="368"/>
      <c r="XD100" s="368"/>
      <c r="XE100" s="368"/>
      <c r="XF100" s="368"/>
      <c r="XG100" s="368"/>
      <c r="XH100" s="368"/>
      <c r="XI100" s="368"/>
      <c r="XJ100" s="368"/>
      <c r="XK100" s="368"/>
      <c r="XL100" s="368"/>
      <c r="XM100" s="368"/>
      <c r="XN100" s="368"/>
      <c r="XO100" s="368"/>
      <c r="XP100" s="368"/>
      <c r="XQ100" s="368"/>
      <c r="XR100" s="368"/>
      <c r="XS100" s="368"/>
      <c r="XT100" s="368"/>
      <c r="XU100" s="368"/>
      <c r="XV100" s="368"/>
      <c r="XW100" s="368"/>
      <c r="XX100" s="368"/>
      <c r="XY100" s="368"/>
      <c r="XZ100" s="368"/>
      <c r="YA100" s="368"/>
      <c r="YB100" s="368"/>
      <c r="YC100" s="368"/>
      <c r="YD100" s="368"/>
      <c r="YE100" s="368"/>
      <c r="YF100" s="368"/>
      <c r="YG100" s="368"/>
      <c r="YH100" s="368"/>
      <c r="YI100" s="368"/>
      <c r="YJ100" s="368"/>
      <c r="YK100" s="368"/>
      <c r="YL100" s="368"/>
      <c r="YM100" s="368"/>
      <c r="YN100" s="368"/>
      <c r="YO100" s="368"/>
      <c r="YP100" s="368"/>
      <c r="YQ100" s="368"/>
      <c r="YR100" s="368"/>
      <c r="YS100" s="368"/>
      <c r="YT100" s="368"/>
      <c r="YU100" s="368"/>
      <c r="YV100" s="368"/>
      <c r="YW100" s="368"/>
      <c r="YX100" s="368"/>
      <c r="YY100" s="368"/>
      <c r="YZ100" s="368"/>
      <c r="ZA100" s="368"/>
      <c r="ZB100" s="368"/>
      <c r="ZC100" s="368"/>
      <c r="ZD100" s="368"/>
      <c r="ZE100" s="368"/>
      <c r="ZF100" s="368"/>
      <c r="ZG100" s="368"/>
      <c r="ZH100" s="368"/>
      <c r="ZI100" s="368"/>
      <c r="ZJ100" s="368"/>
      <c r="ZK100" s="368"/>
      <c r="ZL100" s="368"/>
      <c r="ZM100" s="368"/>
      <c r="ZN100" s="368"/>
      <c r="ZO100" s="368"/>
      <c r="ZP100" s="368"/>
      <c r="ZQ100" s="368"/>
      <c r="ZR100" s="368"/>
      <c r="ZS100" s="368"/>
      <c r="ZT100" s="368"/>
      <c r="ZU100" s="368"/>
      <c r="ZV100" s="368"/>
      <c r="ZW100" s="368"/>
      <c r="ZX100" s="368"/>
      <c r="ZY100" s="368"/>
      <c r="ZZ100" s="368"/>
      <c r="AAA100" s="368"/>
      <c r="AAB100" s="368"/>
      <c r="AAC100" s="368"/>
      <c r="AAD100" s="368"/>
      <c r="AAE100" s="368"/>
      <c r="AAF100" s="368"/>
      <c r="AAG100" s="368"/>
      <c r="AAH100" s="368"/>
      <c r="AAI100" s="368"/>
      <c r="AAJ100" s="368"/>
      <c r="AAK100" s="368"/>
      <c r="AAL100" s="368"/>
      <c r="AAM100" s="368"/>
      <c r="AAN100" s="368"/>
      <c r="AAO100" s="368"/>
      <c r="AAP100" s="368"/>
      <c r="AAQ100" s="368"/>
      <c r="AAR100" s="368"/>
      <c r="AAS100" s="368"/>
      <c r="AAT100" s="368"/>
      <c r="AAU100" s="368"/>
      <c r="AAV100" s="368"/>
      <c r="AAW100" s="368"/>
      <c r="AAX100" s="368"/>
      <c r="AAY100" s="368"/>
      <c r="AAZ100" s="368"/>
      <c r="ABA100" s="368"/>
      <c r="ABB100" s="368"/>
      <c r="ABC100" s="368"/>
      <c r="ABD100" s="368"/>
      <c r="ABE100" s="368"/>
      <c r="ABF100" s="368"/>
      <c r="ABG100" s="368"/>
      <c r="ABH100" s="368"/>
      <c r="ABI100" s="368"/>
      <c r="ABJ100" s="368"/>
      <c r="ABK100" s="368"/>
      <c r="ABL100" s="368"/>
      <c r="ABM100" s="368"/>
      <c r="ABN100" s="368"/>
      <c r="ABO100" s="368"/>
      <c r="ABP100" s="368"/>
      <c r="ABQ100" s="368"/>
      <c r="ABR100" s="368"/>
      <c r="ABS100" s="368"/>
      <c r="ABT100" s="368"/>
      <c r="ABU100" s="368"/>
      <c r="ABV100" s="368"/>
      <c r="ABW100" s="368"/>
      <c r="ABX100" s="368"/>
      <c r="ABY100" s="368"/>
      <c r="ABZ100" s="368"/>
      <c r="ACA100" s="368"/>
      <c r="ACB100" s="368"/>
      <c r="ACC100" s="368"/>
      <c r="ACD100" s="368"/>
      <c r="ACE100" s="368"/>
      <c r="ACF100" s="368"/>
      <c r="ACG100" s="368"/>
      <c r="ACH100" s="368"/>
      <c r="ACI100" s="368"/>
      <c r="ACJ100" s="368"/>
      <c r="ACK100" s="368"/>
      <c r="ACL100" s="368"/>
      <c r="ACM100" s="368"/>
      <c r="ACN100" s="368"/>
      <c r="ACO100" s="368"/>
      <c r="ACP100" s="368"/>
      <c r="ACQ100" s="368"/>
      <c r="ACR100" s="368"/>
      <c r="ACS100" s="368"/>
      <c r="ACT100" s="368"/>
      <c r="ACU100" s="368"/>
      <c r="ACV100" s="368"/>
      <c r="ACW100" s="368"/>
      <c r="ACX100" s="368"/>
      <c r="ACY100" s="368"/>
      <c r="ACZ100" s="368"/>
      <c r="ADA100" s="368"/>
      <c r="ADB100" s="368"/>
      <c r="ADC100" s="368"/>
      <c r="ADD100" s="368"/>
      <c r="ADE100" s="368"/>
      <c r="ADF100" s="368"/>
      <c r="ADG100" s="368"/>
      <c r="ADH100" s="368"/>
      <c r="ADI100" s="368"/>
      <c r="ADJ100" s="368"/>
      <c r="ADK100" s="368"/>
      <c r="ADL100" s="368"/>
      <c r="ADM100" s="368"/>
      <c r="ADN100" s="368"/>
      <c r="ADO100" s="368"/>
      <c r="ADP100" s="368"/>
      <c r="ADQ100" s="368"/>
      <c r="ADR100" s="368"/>
      <c r="ADS100" s="368"/>
      <c r="ADT100" s="368"/>
      <c r="ADU100" s="368"/>
      <c r="ADV100" s="368"/>
      <c r="ADW100" s="368"/>
      <c r="ADX100" s="368"/>
      <c r="ADY100" s="368"/>
      <c r="ADZ100" s="368"/>
      <c r="AEA100" s="368"/>
      <c r="AEB100" s="368"/>
      <c r="AEC100" s="368"/>
      <c r="AED100" s="368"/>
      <c r="AEE100" s="368"/>
      <c r="AEF100" s="368"/>
      <c r="AEG100" s="368"/>
      <c r="AEH100" s="368"/>
      <c r="AEI100" s="368"/>
      <c r="AEJ100" s="368"/>
      <c r="AEK100" s="368"/>
      <c r="AEL100" s="368"/>
      <c r="AEM100" s="368"/>
      <c r="AEN100" s="368"/>
      <c r="AEO100" s="368"/>
      <c r="AEP100" s="368"/>
      <c r="AEQ100" s="368"/>
      <c r="AER100" s="368"/>
      <c r="AES100" s="368"/>
      <c r="AET100" s="368"/>
      <c r="AEU100" s="368"/>
      <c r="AEV100" s="368"/>
      <c r="AEW100" s="368"/>
      <c r="AEX100" s="368"/>
      <c r="AEY100" s="368"/>
      <c r="AEZ100" s="368"/>
      <c r="AFA100" s="368"/>
      <c r="AFB100" s="368"/>
      <c r="AFC100" s="368"/>
      <c r="AFD100" s="368"/>
      <c r="AFE100" s="368"/>
      <c r="AFF100" s="368"/>
      <c r="AFG100" s="368"/>
      <c r="AFH100" s="368"/>
      <c r="AFI100" s="368"/>
      <c r="AFJ100" s="368"/>
      <c r="AFK100" s="368"/>
      <c r="AFL100" s="368"/>
      <c r="AFM100" s="368"/>
      <c r="AFN100" s="368"/>
      <c r="AFO100" s="368"/>
      <c r="AFP100" s="368"/>
      <c r="AFQ100" s="368"/>
      <c r="AFR100" s="368"/>
      <c r="AFS100" s="368"/>
      <c r="AFT100" s="368"/>
      <c r="AFU100" s="368"/>
      <c r="AFV100" s="368"/>
      <c r="AFW100" s="368"/>
      <c r="AFX100" s="368"/>
      <c r="AFY100" s="368"/>
      <c r="AFZ100" s="368"/>
      <c r="AGA100" s="368"/>
      <c r="AGB100" s="368"/>
      <c r="AGC100" s="368"/>
      <c r="AGD100" s="368"/>
      <c r="AGE100" s="368"/>
      <c r="AGF100" s="368"/>
      <c r="AGG100" s="368"/>
      <c r="AGH100" s="368"/>
      <c r="AGI100" s="368"/>
      <c r="AGJ100" s="368"/>
      <c r="AGK100" s="368"/>
      <c r="AGL100" s="368"/>
      <c r="AGM100" s="368"/>
      <c r="AGN100" s="368"/>
      <c r="AGO100" s="368"/>
      <c r="AGP100" s="368"/>
      <c r="AGQ100" s="368"/>
      <c r="AGR100" s="368"/>
      <c r="AGS100" s="368"/>
      <c r="AGT100" s="368"/>
      <c r="AGU100" s="368"/>
      <c r="AGV100" s="368"/>
      <c r="AGW100" s="368"/>
      <c r="AGX100" s="368"/>
      <c r="AGY100" s="368"/>
      <c r="AGZ100" s="368"/>
      <c r="AHA100" s="368"/>
      <c r="AHB100" s="368"/>
      <c r="AHC100" s="368"/>
      <c r="AHD100" s="368"/>
      <c r="AHE100" s="368"/>
      <c r="AHF100" s="368"/>
      <c r="AHG100" s="368"/>
      <c r="AHH100" s="368"/>
      <c r="AHI100" s="368"/>
      <c r="AHJ100" s="368"/>
      <c r="AHK100" s="368"/>
      <c r="AHL100" s="368"/>
      <c r="AHM100" s="368"/>
      <c r="AHN100" s="368"/>
      <c r="AHO100" s="368"/>
      <c r="AHP100" s="368"/>
      <c r="AHQ100" s="368"/>
      <c r="AHR100" s="368"/>
      <c r="AHS100" s="368"/>
      <c r="AHT100" s="368"/>
      <c r="AHU100" s="368"/>
      <c r="AHV100" s="368"/>
      <c r="AHW100" s="368"/>
      <c r="AHX100" s="368"/>
      <c r="AHY100" s="368"/>
      <c r="AHZ100" s="368"/>
      <c r="AIA100" s="368"/>
      <c r="AIB100" s="368"/>
      <c r="AIC100" s="368"/>
      <c r="AID100" s="368"/>
      <c r="AIE100" s="368"/>
      <c r="AIF100" s="368"/>
      <c r="AIG100" s="368"/>
      <c r="AIH100" s="368"/>
      <c r="AII100" s="368"/>
      <c r="AIJ100" s="368"/>
      <c r="AIK100" s="368"/>
      <c r="AIL100" s="368"/>
      <c r="AIM100" s="368"/>
      <c r="AIN100" s="368"/>
      <c r="AIO100" s="368"/>
      <c r="AIP100" s="368"/>
      <c r="AIQ100" s="368"/>
      <c r="AIR100" s="368"/>
      <c r="AIS100" s="368"/>
      <c r="AIT100" s="368"/>
      <c r="AIU100" s="368"/>
      <c r="AIV100" s="368"/>
      <c r="AIW100" s="368"/>
      <c r="AIX100" s="368"/>
      <c r="AIY100" s="368"/>
      <c r="AIZ100" s="368"/>
      <c r="AJA100" s="368"/>
      <c r="AJB100" s="368"/>
      <c r="AJC100" s="368"/>
      <c r="AJD100" s="368"/>
      <c r="AJE100" s="368"/>
      <c r="AJF100" s="368"/>
      <c r="AJG100" s="368"/>
      <c r="AJH100" s="368"/>
      <c r="AJI100" s="368"/>
      <c r="AJJ100" s="368"/>
      <c r="AJK100" s="368"/>
      <c r="AJL100" s="368"/>
      <c r="AJM100" s="368"/>
      <c r="AJN100" s="368"/>
      <c r="AJO100" s="368"/>
      <c r="AJP100" s="368"/>
      <c r="AJQ100" s="368"/>
      <c r="AJR100" s="368"/>
      <c r="AJS100" s="368"/>
      <c r="AJT100" s="368"/>
      <c r="AJU100" s="368"/>
      <c r="AJV100" s="368"/>
      <c r="AJW100" s="368"/>
      <c r="AJX100" s="368"/>
      <c r="AJY100" s="368"/>
      <c r="AJZ100" s="368"/>
      <c r="AKA100" s="368"/>
      <c r="AKB100" s="368"/>
      <c r="AKC100" s="368"/>
      <c r="AKD100" s="368"/>
      <c r="AKE100" s="368"/>
      <c r="AKF100" s="368"/>
      <c r="AKG100" s="368"/>
      <c r="AKH100" s="368"/>
      <c r="AKI100" s="368"/>
      <c r="AKJ100" s="368"/>
      <c r="AKK100" s="368"/>
      <c r="AKL100" s="368"/>
      <c r="AKM100" s="368"/>
      <c r="AKN100" s="368"/>
    </row>
    <row r="101" spans="1:976" s="364" customFormat="1" ht="22.5" customHeight="1" x14ac:dyDescent="0.2">
      <c r="A101" s="347" t="s">
        <v>262</v>
      </c>
      <c r="B101" s="347"/>
      <c r="C101" s="347" t="s">
        <v>221</v>
      </c>
      <c r="D101" s="347" t="s">
        <v>222</v>
      </c>
      <c r="E101" s="348">
        <v>412297</v>
      </c>
      <c r="F101" s="348">
        <v>1478</v>
      </c>
      <c r="G101" s="348">
        <v>224</v>
      </c>
      <c r="H101" s="348">
        <v>0</v>
      </c>
      <c r="I101" s="349">
        <v>45854</v>
      </c>
      <c r="J101" s="347" t="s">
        <v>395</v>
      </c>
      <c r="K101" s="347" t="s">
        <v>561</v>
      </c>
      <c r="L101" s="344">
        <v>21.12</v>
      </c>
      <c r="M101" s="344">
        <v>1.1599999999999999</v>
      </c>
      <c r="N101" s="447">
        <v>22.28</v>
      </c>
      <c r="O101" s="347"/>
      <c r="P101" s="350">
        <v>45856</v>
      </c>
      <c r="Q101" s="344">
        <v>22.28</v>
      </c>
      <c r="R101" s="347" t="s">
        <v>472</v>
      </c>
      <c r="S101" s="344">
        <v>0</v>
      </c>
      <c r="T101" s="344">
        <v>0</v>
      </c>
      <c r="U101" s="344">
        <v>0</v>
      </c>
      <c r="V101" s="344">
        <v>0</v>
      </c>
      <c r="W101" s="347"/>
      <c r="X101" s="347" t="s">
        <v>266</v>
      </c>
      <c r="Y101" s="347" t="s">
        <v>267</v>
      </c>
      <c r="Z101" s="347" t="s">
        <v>46</v>
      </c>
      <c r="AA101" s="347" t="s">
        <v>228</v>
      </c>
      <c r="AB101" s="347" t="s">
        <v>34</v>
      </c>
      <c r="AC101" s="347" t="s">
        <v>47</v>
      </c>
      <c r="AD101" s="347" t="s">
        <v>231</v>
      </c>
      <c r="AE101" s="347" t="s">
        <v>232</v>
      </c>
      <c r="AF101" s="347" t="s">
        <v>231</v>
      </c>
      <c r="AG101" s="347" t="s">
        <v>232</v>
      </c>
      <c r="AH101" s="347"/>
      <c r="AI101" s="347"/>
      <c r="AJ101" s="347"/>
      <c r="AK101" s="347" t="s">
        <v>562</v>
      </c>
      <c r="AL101" s="348">
        <v>1</v>
      </c>
      <c r="AM101" s="348">
        <v>0</v>
      </c>
      <c r="AN101" s="349">
        <v>45856</v>
      </c>
      <c r="AO101" s="349">
        <v>45855</v>
      </c>
      <c r="AP101" s="344">
        <v>22.28</v>
      </c>
      <c r="AQ101" s="349">
        <v>45854</v>
      </c>
      <c r="AR101" s="368"/>
      <c r="AS101" s="368"/>
      <c r="AT101" s="368"/>
      <c r="AU101" s="368"/>
      <c r="AV101" s="368"/>
      <c r="AW101" s="368"/>
      <c r="AX101" s="368"/>
      <c r="AY101" s="368"/>
      <c r="AZ101" s="368"/>
      <c r="BA101" s="368"/>
      <c r="BB101" s="368"/>
      <c r="BC101" s="368"/>
      <c r="BD101" s="368"/>
      <c r="BE101" s="368"/>
      <c r="BF101" s="368"/>
      <c r="BG101" s="368"/>
      <c r="BH101" s="368"/>
      <c r="BI101" s="368"/>
      <c r="BJ101" s="368"/>
      <c r="BK101" s="368"/>
      <c r="BL101" s="368"/>
      <c r="BM101" s="368"/>
      <c r="BN101" s="368"/>
      <c r="BO101" s="368"/>
      <c r="BP101" s="368"/>
      <c r="BQ101" s="368"/>
      <c r="BR101" s="368"/>
      <c r="BS101" s="368"/>
      <c r="BT101" s="368"/>
      <c r="BU101" s="368"/>
      <c r="BV101" s="368"/>
      <c r="BW101" s="368"/>
      <c r="BX101" s="368"/>
      <c r="BY101" s="368"/>
      <c r="BZ101" s="368"/>
      <c r="CA101" s="368"/>
      <c r="CB101" s="368"/>
      <c r="CC101" s="368"/>
      <c r="CD101" s="368"/>
      <c r="CE101" s="368"/>
      <c r="CF101" s="368"/>
      <c r="CG101" s="368"/>
      <c r="CH101" s="368"/>
      <c r="CI101" s="368"/>
      <c r="CJ101" s="368"/>
      <c r="CK101" s="368"/>
      <c r="CL101" s="368"/>
      <c r="CM101" s="368"/>
      <c r="CN101" s="368"/>
      <c r="CO101" s="368"/>
      <c r="CP101" s="368"/>
      <c r="CQ101" s="368"/>
      <c r="CR101" s="368"/>
      <c r="CS101" s="368"/>
      <c r="CT101" s="368"/>
      <c r="CU101" s="368"/>
      <c r="CV101" s="368"/>
      <c r="CW101" s="368"/>
      <c r="CX101" s="368"/>
      <c r="CY101" s="368"/>
      <c r="CZ101" s="368"/>
      <c r="DA101" s="368"/>
      <c r="DB101" s="368"/>
      <c r="DC101" s="368"/>
      <c r="DD101" s="368"/>
      <c r="DE101" s="368"/>
      <c r="DF101" s="368"/>
      <c r="DG101" s="368"/>
      <c r="DH101" s="368"/>
      <c r="DI101" s="368"/>
      <c r="DJ101" s="368"/>
      <c r="DK101" s="368"/>
      <c r="DL101" s="368"/>
      <c r="DM101" s="368"/>
      <c r="DN101" s="368"/>
      <c r="DO101" s="368"/>
      <c r="DP101" s="368"/>
      <c r="DQ101" s="368"/>
      <c r="DR101" s="368"/>
      <c r="DS101" s="368"/>
      <c r="DT101" s="368"/>
      <c r="DU101" s="368"/>
      <c r="DV101" s="368"/>
      <c r="DW101" s="368"/>
      <c r="DX101" s="368"/>
      <c r="DY101" s="368"/>
      <c r="DZ101" s="368"/>
      <c r="EA101" s="368"/>
      <c r="EB101" s="368"/>
      <c r="EC101" s="368"/>
      <c r="ED101" s="368"/>
      <c r="EE101" s="368"/>
      <c r="EF101" s="368"/>
      <c r="EG101" s="368"/>
      <c r="EH101" s="368"/>
      <c r="EI101" s="368"/>
      <c r="EJ101" s="368"/>
      <c r="EK101" s="368"/>
      <c r="EL101" s="368"/>
      <c r="EM101" s="368"/>
      <c r="EN101" s="368"/>
      <c r="EO101" s="368"/>
      <c r="EP101" s="368"/>
      <c r="EQ101" s="368"/>
      <c r="ER101" s="368"/>
      <c r="ES101" s="368"/>
      <c r="ET101" s="368"/>
      <c r="EU101" s="368"/>
      <c r="EV101" s="368"/>
      <c r="EW101" s="368"/>
      <c r="EX101" s="368"/>
      <c r="EY101" s="368"/>
      <c r="EZ101" s="368"/>
      <c r="FA101" s="368"/>
      <c r="FB101" s="368"/>
      <c r="FC101" s="368"/>
      <c r="FD101" s="368"/>
      <c r="FE101" s="368"/>
      <c r="FF101" s="368"/>
      <c r="FG101" s="368"/>
      <c r="FH101" s="368"/>
      <c r="FI101" s="368"/>
      <c r="FJ101" s="368"/>
      <c r="FK101" s="368"/>
      <c r="FL101" s="368"/>
      <c r="FM101" s="368"/>
      <c r="FN101" s="368"/>
      <c r="FO101" s="368"/>
      <c r="FP101" s="368"/>
      <c r="FQ101" s="368"/>
      <c r="FR101" s="368"/>
      <c r="FS101" s="368"/>
      <c r="FT101" s="368"/>
      <c r="FU101" s="368"/>
      <c r="FV101" s="368"/>
      <c r="FW101" s="368"/>
      <c r="FX101" s="368"/>
      <c r="FY101" s="368"/>
      <c r="FZ101" s="368"/>
      <c r="GA101" s="368"/>
      <c r="GB101" s="368"/>
      <c r="GC101" s="368"/>
      <c r="GD101" s="368"/>
      <c r="GE101" s="368"/>
      <c r="GF101" s="368"/>
      <c r="GG101" s="368"/>
      <c r="GH101" s="368"/>
      <c r="GI101" s="368"/>
      <c r="GJ101" s="368"/>
      <c r="GK101" s="368"/>
      <c r="GL101" s="368"/>
      <c r="GM101" s="368"/>
      <c r="GN101" s="368"/>
      <c r="GO101" s="368"/>
      <c r="GP101" s="368"/>
      <c r="GQ101" s="368"/>
      <c r="GR101" s="368"/>
      <c r="GS101" s="368"/>
      <c r="GT101" s="368"/>
      <c r="GU101" s="368"/>
      <c r="GV101" s="368"/>
      <c r="GW101" s="368"/>
      <c r="GX101" s="368"/>
      <c r="GY101" s="368"/>
      <c r="GZ101" s="368"/>
      <c r="HA101" s="368"/>
      <c r="HB101" s="368"/>
      <c r="HC101" s="368"/>
      <c r="HD101" s="368"/>
      <c r="HE101" s="368"/>
      <c r="HF101" s="368"/>
      <c r="HG101" s="368"/>
      <c r="HH101" s="368"/>
      <c r="HI101" s="368"/>
      <c r="HJ101" s="368"/>
      <c r="HK101" s="368"/>
      <c r="HL101" s="368"/>
      <c r="HM101" s="368"/>
      <c r="HN101" s="368"/>
      <c r="HO101" s="368"/>
      <c r="HP101" s="368"/>
      <c r="HQ101" s="368"/>
      <c r="HR101" s="368"/>
      <c r="HS101" s="368"/>
      <c r="HT101" s="368"/>
      <c r="HU101" s="368"/>
      <c r="HV101" s="368"/>
      <c r="HW101" s="368"/>
      <c r="HX101" s="368"/>
      <c r="HY101" s="368"/>
      <c r="HZ101" s="368"/>
      <c r="IA101" s="368"/>
      <c r="IB101" s="368"/>
      <c r="IC101" s="368"/>
      <c r="ID101" s="368"/>
      <c r="IE101" s="368"/>
      <c r="IF101" s="368"/>
      <c r="IG101" s="368"/>
      <c r="IH101" s="368"/>
      <c r="II101" s="368"/>
      <c r="IJ101" s="368"/>
      <c r="IK101" s="368"/>
      <c r="IL101" s="368"/>
      <c r="IM101" s="368"/>
      <c r="IN101" s="368"/>
      <c r="IO101" s="368"/>
      <c r="IP101" s="368"/>
      <c r="IQ101" s="368"/>
      <c r="IR101" s="368"/>
      <c r="IS101" s="368"/>
      <c r="IT101" s="368"/>
      <c r="IU101" s="368"/>
      <c r="IV101" s="368"/>
      <c r="IW101" s="368"/>
      <c r="IX101" s="368"/>
      <c r="IY101" s="368"/>
      <c r="IZ101" s="368"/>
      <c r="JA101" s="368"/>
      <c r="JB101" s="368"/>
      <c r="JC101" s="368"/>
      <c r="JD101" s="368"/>
      <c r="JE101" s="368"/>
      <c r="JF101" s="368"/>
      <c r="JG101" s="368"/>
      <c r="JH101" s="368"/>
      <c r="JI101" s="368"/>
      <c r="JJ101" s="368"/>
      <c r="JK101" s="368"/>
      <c r="JL101" s="368"/>
      <c r="JM101" s="368"/>
      <c r="JN101" s="368"/>
      <c r="JO101" s="368"/>
      <c r="JP101" s="368"/>
      <c r="JQ101" s="368"/>
      <c r="JR101" s="368"/>
      <c r="JS101" s="368"/>
      <c r="JT101" s="368"/>
      <c r="JU101" s="368"/>
      <c r="JV101" s="368"/>
      <c r="JW101" s="368"/>
      <c r="JX101" s="368"/>
      <c r="JY101" s="368"/>
      <c r="JZ101" s="368"/>
      <c r="KA101" s="368"/>
      <c r="KB101" s="368"/>
      <c r="KC101" s="368"/>
      <c r="KD101" s="368"/>
      <c r="KE101" s="368"/>
      <c r="KF101" s="368"/>
      <c r="KG101" s="368"/>
      <c r="KH101" s="368"/>
      <c r="KI101" s="368"/>
      <c r="KJ101" s="368"/>
      <c r="KK101" s="368"/>
      <c r="KL101" s="368"/>
      <c r="KM101" s="368"/>
      <c r="KN101" s="368"/>
      <c r="KO101" s="368"/>
      <c r="KP101" s="368"/>
      <c r="KQ101" s="368"/>
      <c r="KR101" s="368"/>
      <c r="KS101" s="368"/>
      <c r="KT101" s="368"/>
      <c r="KU101" s="368"/>
      <c r="KV101" s="368"/>
      <c r="KW101" s="368"/>
      <c r="KX101" s="368"/>
      <c r="KY101" s="368"/>
      <c r="KZ101" s="368"/>
      <c r="LA101" s="368"/>
      <c r="LB101" s="368"/>
      <c r="LC101" s="368"/>
      <c r="LD101" s="368"/>
      <c r="LE101" s="368"/>
      <c r="LF101" s="368"/>
      <c r="LG101" s="368"/>
      <c r="LH101" s="368"/>
      <c r="LI101" s="368"/>
      <c r="LJ101" s="368"/>
      <c r="LK101" s="368"/>
      <c r="LL101" s="368"/>
      <c r="LM101" s="368"/>
      <c r="LN101" s="368"/>
      <c r="LO101" s="368"/>
      <c r="LP101" s="368"/>
      <c r="LQ101" s="368"/>
      <c r="LR101" s="368"/>
      <c r="LS101" s="368"/>
      <c r="LT101" s="368"/>
      <c r="LU101" s="368"/>
      <c r="LV101" s="368"/>
      <c r="LW101" s="368"/>
      <c r="LX101" s="368"/>
      <c r="LY101" s="368"/>
      <c r="LZ101" s="368"/>
      <c r="MA101" s="368"/>
      <c r="MB101" s="368"/>
      <c r="MC101" s="368"/>
      <c r="MD101" s="368"/>
      <c r="ME101" s="368"/>
      <c r="MF101" s="368"/>
      <c r="MG101" s="368"/>
      <c r="MH101" s="368"/>
      <c r="MI101" s="368"/>
      <c r="MJ101" s="368"/>
      <c r="MK101" s="368"/>
      <c r="ML101" s="368"/>
      <c r="MM101" s="368"/>
      <c r="MN101" s="368"/>
      <c r="MO101" s="368"/>
      <c r="MP101" s="368"/>
      <c r="MQ101" s="368"/>
      <c r="MR101" s="368"/>
      <c r="MS101" s="368"/>
      <c r="MT101" s="368"/>
      <c r="MU101" s="368"/>
      <c r="MV101" s="368"/>
      <c r="MW101" s="368"/>
      <c r="MX101" s="368"/>
      <c r="MY101" s="368"/>
      <c r="MZ101" s="368"/>
      <c r="NA101" s="368"/>
      <c r="NB101" s="368"/>
      <c r="NC101" s="368"/>
      <c r="ND101" s="368"/>
      <c r="NE101" s="368"/>
      <c r="NF101" s="368"/>
      <c r="NG101" s="368"/>
      <c r="NH101" s="368"/>
      <c r="NI101" s="368"/>
      <c r="NJ101" s="368"/>
      <c r="NK101" s="368"/>
      <c r="NL101" s="368"/>
      <c r="NM101" s="368"/>
      <c r="NN101" s="368"/>
      <c r="NO101" s="368"/>
      <c r="NP101" s="368"/>
      <c r="NQ101" s="368"/>
      <c r="NR101" s="368"/>
      <c r="NS101" s="368"/>
      <c r="NT101" s="368"/>
      <c r="NU101" s="368"/>
      <c r="NV101" s="368"/>
      <c r="NW101" s="368"/>
      <c r="NX101" s="368"/>
      <c r="NY101" s="368"/>
      <c r="NZ101" s="368"/>
      <c r="OA101" s="368"/>
      <c r="OB101" s="368"/>
      <c r="OC101" s="368"/>
      <c r="OD101" s="368"/>
      <c r="OE101" s="368"/>
      <c r="OF101" s="368"/>
      <c r="OG101" s="368"/>
      <c r="OH101" s="368"/>
      <c r="OI101" s="368"/>
      <c r="OJ101" s="368"/>
      <c r="OK101" s="368"/>
      <c r="OL101" s="368"/>
      <c r="OM101" s="368"/>
      <c r="ON101" s="368"/>
      <c r="OO101" s="368"/>
      <c r="OP101" s="368"/>
      <c r="OQ101" s="368"/>
      <c r="OR101" s="368"/>
      <c r="OS101" s="368"/>
      <c r="OT101" s="368"/>
      <c r="OU101" s="368"/>
      <c r="OV101" s="368"/>
      <c r="OW101" s="368"/>
      <c r="OX101" s="368"/>
      <c r="OY101" s="368"/>
      <c r="OZ101" s="368"/>
      <c r="PA101" s="368"/>
      <c r="PB101" s="368"/>
      <c r="PC101" s="368"/>
      <c r="PD101" s="368"/>
      <c r="PE101" s="368"/>
      <c r="PF101" s="368"/>
      <c r="PG101" s="368"/>
      <c r="PH101" s="368"/>
      <c r="PI101" s="368"/>
      <c r="PJ101" s="368"/>
      <c r="PK101" s="368"/>
      <c r="PL101" s="368"/>
      <c r="PM101" s="368"/>
      <c r="PN101" s="368"/>
      <c r="PO101" s="368"/>
      <c r="PP101" s="368"/>
      <c r="PQ101" s="368"/>
      <c r="PR101" s="368"/>
      <c r="PS101" s="368"/>
      <c r="PT101" s="368"/>
      <c r="PU101" s="368"/>
      <c r="PV101" s="368"/>
      <c r="PW101" s="368"/>
      <c r="PX101" s="368"/>
      <c r="PY101" s="368"/>
      <c r="PZ101" s="368"/>
      <c r="QA101" s="368"/>
      <c r="QB101" s="368"/>
      <c r="QC101" s="368"/>
      <c r="QD101" s="368"/>
      <c r="QE101" s="368"/>
      <c r="QF101" s="368"/>
      <c r="QG101" s="368"/>
      <c r="QH101" s="368"/>
      <c r="QI101" s="368"/>
      <c r="QJ101" s="368"/>
      <c r="QK101" s="368"/>
      <c r="QL101" s="368"/>
      <c r="QM101" s="368"/>
      <c r="QN101" s="368"/>
      <c r="QO101" s="368"/>
      <c r="QP101" s="368"/>
      <c r="QQ101" s="368"/>
      <c r="QR101" s="368"/>
      <c r="QS101" s="368"/>
      <c r="QT101" s="368"/>
      <c r="QU101" s="368"/>
      <c r="QV101" s="368"/>
      <c r="QW101" s="368"/>
      <c r="QX101" s="368"/>
      <c r="QY101" s="368"/>
      <c r="QZ101" s="368"/>
      <c r="RA101" s="368"/>
      <c r="RB101" s="368"/>
      <c r="RC101" s="368"/>
      <c r="RD101" s="368"/>
      <c r="RE101" s="368"/>
      <c r="RF101" s="368"/>
      <c r="RG101" s="368"/>
      <c r="RH101" s="368"/>
      <c r="RI101" s="368"/>
      <c r="RJ101" s="368"/>
      <c r="RK101" s="368"/>
      <c r="RL101" s="368"/>
      <c r="RM101" s="368"/>
      <c r="RN101" s="368"/>
      <c r="RO101" s="368"/>
      <c r="RP101" s="368"/>
      <c r="RQ101" s="368"/>
      <c r="RR101" s="368"/>
      <c r="RS101" s="368"/>
      <c r="RT101" s="368"/>
      <c r="RU101" s="368"/>
      <c r="RV101" s="368"/>
      <c r="RW101" s="368"/>
      <c r="RX101" s="368"/>
      <c r="RY101" s="368"/>
      <c r="RZ101" s="368"/>
      <c r="SA101" s="368"/>
      <c r="SB101" s="368"/>
      <c r="SC101" s="368"/>
      <c r="SD101" s="368"/>
      <c r="SE101" s="368"/>
      <c r="SF101" s="368"/>
      <c r="SG101" s="368"/>
      <c r="SH101" s="368"/>
      <c r="SI101" s="368"/>
      <c r="SJ101" s="368"/>
      <c r="SK101" s="368"/>
      <c r="SL101" s="368"/>
      <c r="SM101" s="368"/>
      <c r="SN101" s="368"/>
      <c r="SO101" s="368"/>
      <c r="SP101" s="368"/>
      <c r="SQ101" s="368"/>
      <c r="SR101" s="368"/>
      <c r="SS101" s="368"/>
      <c r="ST101" s="368"/>
      <c r="SU101" s="368"/>
      <c r="SV101" s="368"/>
      <c r="SW101" s="368"/>
      <c r="SX101" s="368"/>
      <c r="SY101" s="368"/>
      <c r="SZ101" s="368"/>
      <c r="TA101" s="368"/>
      <c r="TB101" s="368"/>
      <c r="TC101" s="368"/>
      <c r="TD101" s="368"/>
      <c r="TE101" s="368"/>
      <c r="TF101" s="368"/>
      <c r="TG101" s="368"/>
      <c r="TH101" s="368"/>
      <c r="TI101" s="368"/>
      <c r="TJ101" s="368"/>
      <c r="TK101" s="368"/>
      <c r="TL101" s="368"/>
      <c r="TM101" s="368"/>
      <c r="TN101" s="368"/>
      <c r="TO101" s="368"/>
      <c r="TP101" s="368"/>
      <c r="TQ101" s="368"/>
      <c r="TR101" s="368"/>
      <c r="TS101" s="368"/>
      <c r="TT101" s="368"/>
      <c r="TU101" s="368"/>
      <c r="TV101" s="368"/>
      <c r="TW101" s="368"/>
      <c r="TX101" s="368"/>
      <c r="TY101" s="368"/>
      <c r="TZ101" s="368"/>
      <c r="UA101" s="368"/>
      <c r="UB101" s="368"/>
      <c r="UC101" s="368"/>
      <c r="UD101" s="368"/>
      <c r="UE101" s="368"/>
      <c r="UF101" s="368"/>
      <c r="UG101" s="368"/>
      <c r="UH101" s="368"/>
      <c r="UI101" s="368"/>
      <c r="UJ101" s="368"/>
      <c r="UK101" s="368"/>
      <c r="UL101" s="368"/>
      <c r="UM101" s="368"/>
      <c r="UN101" s="368"/>
      <c r="UO101" s="368"/>
      <c r="UP101" s="368"/>
      <c r="UQ101" s="368"/>
      <c r="UR101" s="368"/>
      <c r="US101" s="368"/>
      <c r="UT101" s="368"/>
      <c r="UU101" s="368"/>
      <c r="UV101" s="368"/>
      <c r="UW101" s="368"/>
      <c r="UX101" s="368"/>
      <c r="UY101" s="368"/>
      <c r="UZ101" s="368"/>
      <c r="VA101" s="368"/>
      <c r="VB101" s="368"/>
      <c r="VC101" s="368"/>
      <c r="VD101" s="368"/>
      <c r="VE101" s="368"/>
      <c r="VF101" s="368"/>
      <c r="VG101" s="368"/>
      <c r="VH101" s="368"/>
      <c r="VI101" s="368"/>
      <c r="VJ101" s="368"/>
      <c r="VK101" s="368"/>
      <c r="VL101" s="368"/>
      <c r="VM101" s="368"/>
      <c r="VN101" s="368"/>
      <c r="VO101" s="368"/>
      <c r="VP101" s="368"/>
      <c r="VQ101" s="368"/>
      <c r="VR101" s="368"/>
      <c r="VS101" s="368"/>
      <c r="VT101" s="368"/>
      <c r="VU101" s="368"/>
      <c r="VV101" s="368"/>
      <c r="VW101" s="368"/>
      <c r="VX101" s="368"/>
      <c r="VY101" s="368"/>
      <c r="VZ101" s="368"/>
      <c r="WA101" s="368"/>
      <c r="WB101" s="368"/>
      <c r="WC101" s="368"/>
      <c r="WD101" s="368"/>
      <c r="WE101" s="368"/>
      <c r="WF101" s="368"/>
      <c r="WG101" s="368"/>
      <c r="WH101" s="368"/>
      <c r="WI101" s="368"/>
      <c r="WJ101" s="368"/>
      <c r="WK101" s="368"/>
      <c r="WL101" s="368"/>
      <c r="WM101" s="368"/>
      <c r="WN101" s="368"/>
      <c r="WO101" s="368"/>
      <c r="WP101" s="368"/>
      <c r="WQ101" s="368"/>
      <c r="WR101" s="368"/>
      <c r="WS101" s="368"/>
      <c r="WT101" s="368"/>
      <c r="WU101" s="368"/>
      <c r="WV101" s="368"/>
      <c r="WW101" s="368"/>
      <c r="WX101" s="368"/>
      <c r="WY101" s="368"/>
      <c r="WZ101" s="368"/>
      <c r="XA101" s="368"/>
      <c r="XB101" s="368"/>
      <c r="XC101" s="368"/>
      <c r="XD101" s="368"/>
      <c r="XE101" s="368"/>
      <c r="XF101" s="368"/>
      <c r="XG101" s="368"/>
      <c r="XH101" s="368"/>
      <c r="XI101" s="368"/>
      <c r="XJ101" s="368"/>
      <c r="XK101" s="368"/>
      <c r="XL101" s="368"/>
      <c r="XM101" s="368"/>
      <c r="XN101" s="368"/>
      <c r="XO101" s="368"/>
      <c r="XP101" s="368"/>
      <c r="XQ101" s="368"/>
      <c r="XR101" s="368"/>
      <c r="XS101" s="368"/>
      <c r="XT101" s="368"/>
      <c r="XU101" s="368"/>
      <c r="XV101" s="368"/>
      <c r="XW101" s="368"/>
      <c r="XX101" s="368"/>
      <c r="XY101" s="368"/>
      <c r="XZ101" s="368"/>
      <c r="YA101" s="368"/>
      <c r="YB101" s="368"/>
      <c r="YC101" s="368"/>
      <c r="YD101" s="368"/>
      <c r="YE101" s="368"/>
      <c r="YF101" s="368"/>
      <c r="YG101" s="368"/>
      <c r="YH101" s="368"/>
      <c r="YI101" s="368"/>
      <c r="YJ101" s="368"/>
      <c r="YK101" s="368"/>
      <c r="YL101" s="368"/>
      <c r="YM101" s="368"/>
      <c r="YN101" s="368"/>
      <c r="YO101" s="368"/>
      <c r="YP101" s="368"/>
      <c r="YQ101" s="368"/>
      <c r="YR101" s="368"/>
      <c r="YS101" s="368"/>
      <c r="YT101" s="368"/>
      <c r="YU101" s="368"/>
      <c r="YV101" s="368"/>
      <c r="YW101" s="368"/>
      <c r="YX101" s="368"/>
      <c r="YY101" s="368"/>
      <c r="YZ101" s="368"/>
      <c r="ZA101" s="368"/>
      <c r="ZB101" s="368"/>
      <c r="ZC101" s="368"/>
      <c r="ZD101" s="368"/>
      <c r="ZE101" s="368"/>
      <c r="ZF101" s="368"/>
      <c r="ZG101" s="368"/>
      <c r="ZH101" s="368"/>
      <c r="ZI101" s="368"/>
      <c r="ZJ101" s="368"/>
      <c r="ZK101" s="368"/>
      <c r="ZL101" s="368"/>
      <c r="ZM101" s="368"/>
      <c r="ZN101" s="368"/>
      <c r="ZO101" s="368"/>
      <c r="ZP101" s="368"/>
      <c r="ZQ101" s="368"/>
      <c r="ZR101" s="368"/>
      <c r="ZS101" s="368"/>
      <c r="ZT101" s="368"/>
      <c r="ZU101" s="368"/>
      <c r="ZV101" s="368"/>
      <c r="ZW101" s="368"/>
      <c r="ZX101" s="368"/>
      <c r="ZY101" s="368"/>
      <c r="ZZ101" s="368"/>
      <c r="AAA101" s="368"/>
      <c r="AAB101" s="368"/>
      <c r="AAC101" s="368"/>
      <c r="AAD101" s="368"/>
      <c r="AAE101" s="368"/>
      <c r="AAF101" s="368"/>
      <c r="AAG101" s="368"/>
      <c r="AAH101" s="368"/>
      <c r="AAI101" s="368"/>
      <c r="AAJ101" s="368"/>
      <c r="AAK101" s="368"/>
      <c r="AAL101" s="368"/>
      <c r="AAM101" s="368"/>
      <c r="AAN101" s="368"/>
      <c r="AAO101" s="368"/>
      <c r="AAP101" s="368"/>
      <c r="AAQ101" s="368"/>
      <c r="AAR101" s="368"/>
      <c r="AAS101" s="368"/>
      <c r="AAT101" s="368"/>
      <c r="AAU101" s="368"/>
      <c r="AAV101" s="368"/>
      <c r="AAW101" s="368"/>
      <c r="AAX101" s="368"/>
      <c r="AAY101" s="368"/>
      <c r="AAZ101" s="368"/>
      <c r="ABA101" s="368"/>
      <c r="ABB101" s="368"/>
      <c r="ABC101" s="368"/>
      <c r="ABD101" s="368"/>
      <c r="ABE101" s="368"/>
      <c r="ABF101" s="368"/>
      <c r="ABG101" s="368"/>
      <c r="ABH101" s="368"/>
      <c r="ABI101" s="368"/>
      <c r="ABJ101" s="368"/>
      <c r="ABK101" s="368"/>
      <c r="ABL101" s="368"/>
      <c r="ABM101" s="368"/>
      <c r="ABN101" s="368"/>
      <c r="ABO101" s="368"/>
      <c r="ABP101" s="368"/>
      <c r="ABQ101" s="368"/>
      <c r="ABR101" s="368"/>
      <c r="ABS101" s="368"/>
      <c r="ABT101" s="368"/>
      <c r="ABU101" s="368"/>
      <c r="ABV101" s="368"/>
      <c r="ABW101" s="368"/>
      <c r="ABX101" s="368"/>
      <c r="ABY101" s="368"/>
      <c r="ABZ101" s="368"/>
      <c r="ACA101" s="368"/>
      <c r="ACB101" s="368"/>
      <c r="ACC101" s="368"/>
      <c r="ACD101" s="368"/>
      <c r="ACE101" s="368"/>
      <c r="ACF101" s="368"/>
      <c r="ACG101" s="368"/>
      <c r="ACH101" s="368"/>
      <c r="ACI101" s="368"/>
      <c r="ACJ101" s="368"/>
      <c r="ACK101" s="368"/>
      <c r="ACL101" s="368"/>
      <c r="ACM101" s="368"/>
      <c r="ACN101" s="368"/>
      <c r="ACO101" s="368"/>
      <c r="ACP101" s="368"/>
      <c r="ACQ101" s="368"/>
      <c r="ACR101" s="368"/>
      <c r="ACS101" s="368"/>
      <c r="ACT101" s="368"/>
      <c r="ACU101" s="368"/>
      <c r="ACV101" s="368"/>
      <c r="ACW101" s="368"/>
      <c r="ACX101" s="368"/>
      <c r="ACY101" s="368"/>
      <c r="ACZ101" s="368"/>
      <c r="ADA101" s="368"/>
      <c r="ADB101" s="368"/>
      <c r="ADC101" s="368"/>
      <c r="ADD101" s="368"/>
      <c r="ADE101" s="368"/>
      <c r="ADF101" s="368"/>
      <c r="ADG101" s="368"/>
      <c r="ADH101" s="368"/>
      <c r="ADI101" s="368"/>
      <c r="ADJ101" s="368"/>
      <c r="ADK101" s="368"/>
      <c r="ADL101" s="368"/>
      <c r="ADM101" s="368"/>
      <c r="ADN101" s="368"/>
      <c r="ADO101" s="368"/>
      <c r="ADP101" s="368"/>
      <c r="ADQ101" s="368"/>
      <c r="ADR101" s="368"/>
      <c r="ADS101" s="368"/>
      <c r="ADT101" s="368"/>
      <c r="ADU101" s="368"/>
      <c r="ADV101" s="368"/>
      <c r="ADW101" s="368"/>
      <c r="ADX101" s="368"/>
      <c r="ADY101" s="368"/>
      <c r="ADZ101" s="368"/>
      <c r="AEA101" s="368"/>
      <c r="AEB101" s="368"/>
      <c r="AEC101" s="368"/>
      <c r="AED101" s="368"/>
      <c r="AEE101" s="368"/>
      <c r="AEF101" s="368"/>
      <c r="AEG101" s="368"/>
      <c r="AEH101" s="368"/>
      <c r="AEI101" s="368"/>
      <c r="AEJ101" s="368"/>
      <c r="AEK101" s="368"/>
      <c r="AEL101" s="368"/>
      <c r="AEM101" s="368"/>
      <c r="AEN101" s="368"/>
      <c r="AEO101" s="368"/>
      <c r="AEP101" s="368"/>
      <c r="AEQ101" s="368"/>
      <c r="AER101" s="368"/>
      <c r="AES101" s="368"/>
      <c r="AET101" s="368"/>
      <c r="AEU101" s="368"/>
      <c r="AEV101" s="368"/>
      <c r="AEW101" s="368"/>
      <c r="AEX101" s="368"/>
      <c r="AEY101" s="368"/>
      <c r="AEZ101" s="368"/>
      <c r="AFA101" s="368"/>
      <c r="AFB101" s="368"/>
      <c r="AFC101" s="368"/>
      <c r="AFD101" s="368"/>
      <c r="AFE101" s="368"/>
      <c r="AFF101" s="368"/>
      <c r="AFG101" s="368"/>
      <c r="AFH101" s="368"/>
      <c r="AFI101" s="368"/>
      <c r="AFJ101" s="368"/>
      <c r="AFK101" s="368"/>
      <c r="AFL101" s="368"/>
      <c r="AFM101" s="368"/>
      <c r="AFN101" s="368"/>
      <c r="AFO101" s="368"/>
      <c r="AFP101" s="368"/>
      <c r="AFQ101" s="368"/>
      <c r="AFR101" s="368"/>
      <c r="AFS101" s="368"/>
      <c r="AFT101" s="368"/>
      <c r="AFU101" s="368"/>
      <c r="AFV101" s="368"/>
      <c r="AFW101" s="368"/>
      <c r="AFX101" s="368"/>
      <c r="AFY101" s="368"/>
      <c r="AFZ101" s="368"/>
      <c r="AGA101" s="368"/>
      <c r="AGB101" s="368"/>
      <c r="AGC101" s="368"/>
      <c r="AGD101" s="368"/>
      <c r="AGE101" s="368"/>
      <c r="AGF101" s="368"/>
      <c r="AGG101" s="368"/>
      <c r="AGH101" s="368"/>
      <c r="AGI101" s="368"/>
      <c r="AGJ101" s="368"/>
      <c r="AGK101" s="368"/>
      <c r="AGL101" s="368"/>
      <c r="AGM101" s="368"/>
      <c r="AGN101" s="368"/>
      <c r="AGO101" s="368"/>
      <c r="AGP101" s="368"/>
      <c r="AGQ101" s="368"/>
      <c r="AGR101" s="368"/>
      <c r="AGS101" s="368"/>
      <c r="AGT101" s="368"/>
      <c r="AGU101" s="368"/>
      <c r="AGV101" s="368"/>
      <c r="AGW101" s="368"/>
      <c r="AGX101" s="368"/>
      <c r="AGY101" s="368"/>
      <c r="AGZ101" s="368"/>
      <c r="AHA101" s="368"/>
      <c r="AHB101" s="368"/>
      <c r="AHC101" s="368"/>
      <c r="AHD101" s="368"/>
      <c r="AHE101" s="368"/>
      <c r="AHF101" s="368"/>
      <c r="AHG101" s="368"/>
      <c r="AHH101" s="368"/>
      <c r="AHI101" s="368"/>
      <c r="AHJ101" s="368"/>
      <c r="AHK101" s="368"/>
      <c r="AHL101" s="368"/>
      <c r="AHM101" s="368"/>
      <c r="AHN101" s="368"/>
      <c r="AHO101" s="368"/>
      <c r="AHP101" s="368"/>
      <c r="AHQ101" s="368"/>
      <c r="AHR101" s="368"/>
      <c r="AHS101" s="368"/>
      <c r="AHT101" s="368"/>
      <c r="AHU101" s="368"/>
      <c r="AHV101" s="368"/>
      <c r="AHW101" s="368"/>
      <c r="AHX101" s="368"/>
      <c r="AHY101" s="368"/>
      <c r="AHZ101" s="368"/>
      <c r="AIA101" s="368"/>
      <c r="AIB101" s="368"/>
      <c r="AIC101" s="368"/>
      <c r="AID101" s="368"/>
      <c r="AIE101" s="368"/>
      <c r="AIF101" s="368"/>
      <c r="AIG101" s="368"/>
      <c r="AIH101" s="368"/>
      <c r="AII101" s="368"/>
      <c r="AIJ101" s="368"/>
      <c r="AIK101" s="368"/>
      <c r="AIL101" s="368"/>
      <c r="AIM101" s="368"/>
      <c r="AIN101" s="368"/>
      <c r="AIO101" s="368"/>
      <c r="AIP101" s="368"/>
      <c r="AIQ101" s="368"/>
      <c r="AIR101" s="368"/>
      <c r="AIS101" s="368"/>
      <c r="AIT101" s="368"/>
      <c r="AIU101" s="368"/>
      <c r="AIV101" s="368"/>
      <c r="AIW101" s="368"/>
      <c r="AIX101" s="368"/>
      <c r="AIY101" s="368"/>
      <c r="AIZ101" s="368"/>
      <c r="AJA101" s="368"/>
      <c r="AJB101" s="368"/>
      <c r="AJC101" s="368"/>
      <c r="AJD101" s="368"/>
      <c r="AJE101" s="368"/>
      <c r="AJF101" s="368"/>
      <c r="AJG101" s="368"/>
      <c r="AJH101" s="368"/>
      <c r="AJI101" s="368"/>
      <c r="AJJ101" s="368"/>
      <c r="AJK101" s="368"/>
      <c r="AJL101" s="368"/>
      <c r="AJM101" s="368"/>
      <c r="AJN101" s="368"/>
      <c r="AJO101" s="368"/>
      <c r="AJP101" s="368"/>
      <c r="AJQ101" s="368"/>
      <c r="AJR101" s="368"/>
      <c r="AJS101" s="368"/>
      <c r="AJT101" s="368"/>
      <c r="AJU101" s="368"/>
      <c r="AJV101" s="368"/>
      <c r="AJW101" s="368"/>
      <c r="AJX101" s="368"/>
      <c r="AJY101" s="368"/>
      <c r="AJZ101" s="368"/>
      <c r="AKA101" s="368"/>
      <c r="AKB101" s="368"/>
      <c r="AKC101" s="368"/>
      <c r="AKD101" s="368"/>
      <c r="AKE101" s="368"/>
      <c r="AKF101" s="368"/>
      <c r="AKG101" s="368"/>
      <c r="AKH101" s="368"/>
      <c r="AKI101" s="368"/>
      <c r="AKJ101" s="368"/>
      <c r="AKK101" s="368"/>
      <c r="AKL101" s="368"/>
      <c r="AKM101" s="368"/>
      <c r="AKN101" s="368"/>
    </row>
    <row r="102" spans="1:976" s="363" customFormat="1" ht="22.5" customHeight="1" x14ac:dyDescent="0.2">
      <c r="A102" s="358" t="s">
        <v>408</v>
      </c>
      <c r="B102" s="358"/>
      <c r="C102" s="358" t="s">
        <v>221</v>
      </c>
      <c r="D102" s="358" t="s">
        <v>222</v>
      </c>
      <c r="E102" s="359">
        <v>412349</v>
      </c>
      <c r="F102" s="359">
        <v>1528</v>
      </c>
      <c r="G102" s="359">
        <v>226</v>
      </c>
      <c r="H102" s="359">
        <v>0</v>
      </c>
      <c r="I102" s="360">
        <v>45855</v>
      </c>
      <c r="J102" s="358" t="s">
        <v>281</v>
      </c>
      <c r="K102" s="358" t="s">
        <v>563</v>
      </c>
      <c r="L102" s="361">
        <v>19.899999999999999</v>
      </c>
      <c r="M102" s="361">
        <v>3.98</v>
      </c>
      <c r="N102" s="448">
        <v>23.88</v>
      </c>
      <c r="O102" s="358"/>
      <c r="P102" s="362">
        <v>45856</v>
      </c>
      <c r="Q102" s="361">
        <v>23.88</v>
      </c>
      <c r="R102" s="358"/>
      <c r="S102" s="361">
        <v>0</v>
      </c>
      <c r="T102" s="361">
        <v>0</v>
      </c>
      <c r="U102" s="361">
        <v>0</v>
      </c>
      <c r="V102" s="361">
        <v>0</v>
      </c>
      <c r="W102" s="358"/>
      <c r="X102" s="358" t="s">
        <v>283</v>
      </c>
      <c r="Y102" s="358" t="s">
        <v>284</v>
      </c>
      <c r="Z102" s="358" t="s">
        <v>259</v>
      </c>
      <c r="AA102" s="358" t="s">
        <v>228</v>
      </c>
      <c r="AB102" s="358" t="s">
        <v>260</v>
      </c>
      <c r="AC102" s="358" t="s">
        <v>31</v>
      </c>
      <c r="AD102" s="358" t="s">
        <v>231</v>
      </c>
      <c r="AE102" s="358" t="s">
        <v>232</v>
      </c>
      <c r="AF102" s="358" t="s">
        <v>231</v>
      </c>
      <c r="AG102" s="358" t="s">
        <v>232</v>
      </c>
      <c r="AH102" s="358"/>
      <c r="AI102" s="358"/>
      <c r="AJ102" s="358"/>
      <c r="AK102" s="358"/>
      <c r="AL102" s="359">
        <v>1</v>
      </c>
      <c r="AM102" s="359">
        <v>0</v>
      </c>
      <c r="AN102" s="360">
        <v>45856</v>
      </c>
      <c r="AO102" s="360">
        <v>45855</v>
      </c>
      <c r="AP102" s="361">
        <v>23.88</v>
      </c>
      <c r="AQ102" s="360">
        <v>45854</v>
      </c>
      <c r="AR102" s="368"/>
      <c r="AS102" s="368"/>
      <c r="AT102" s="368"/>
      <c r="AU102" s="368"/>
      <c r="AV102" s="368"/>
      <c r="AW102" s="368"/>
      <c r="AX102" s="368"/>
      <c r="AY102" s="368"/>
      <c r="AZ102" s="368"/>
      <c r="BA102" s="368"/>
      <c r="BB102" s="368"/>
      <c r="BC102" s="368"/>
      <c r="BD102" s="368"/>
      <c r="BE102" s="368"/>
      <c r="BF102" s="368"/>
      <c r="BG102" s="368"/>
      <c r="BH102" s="368"/>
      <c r="BI102" s="368"/>
      <c r="BJ102" s="368"/>
      <c r="BK102" s="368"/>
      <c r="BL102" s="368"/>
      <c r="BM102" s="368"/>
      <c r="BN102" s="368"/>
      <c r="BO102" s="368"/>
      <c r="BP102" s="368"/>
      <c r="BQ102" s="368"/>
      <c r="BR102" s="368"/>
      <c r="BS102" s="368"/>
      <c r="BT102" s="368"/>
      <c r="BU102" s="368"/>
      <c r="BV102" s="368"/>
      <c r="BW102" s="368"/>
      <c r="BX102" s="368"/>
      <c r="BY102" s="368"/>
      <c r="BZ102" s="368"/>
      <c r="CA102" s="368"/>
      <c r="CB102" s="368"/>
      <c r="CC102" s="368"/>
      <c r="CD102" s="368"/>
      <c r="CE102" s="368"/>
      <c r="CF102" s="368"/>
      <c r="CG102" s="368"/>
      <c r="CH102" s="368"/>
      <c r="CI102" s="368"/>
      <c r="CJ102" s="368"/>
      <c r="CK102" s="368"/>
      <c r="CL102" s="368"/>
      <c r="CM102" s="368"/>
      <c r="CN102" s="368"/>
      <c r="CO102" s="368"/>
      <c r="CP102" s="368"/>
      <c r="CQ102" s="368"/>
      <c r="CR102" s="368"/>
      <c r="CS102" s="368"/>
      <c r="CT102" s="368"/>
      <c r="CU102" s="368"/>
      <c r="CV102" s="368"/>
      <c r="CW102" s="368"/>
      <c r="CX102" s="368"/>
      <c r="CY102" s="368"/>
      <c r="CZ102" s="368"/>
      <c r="DA102" s="368"/>
      <c r="DB102" s="368"/>
      <c r="DC102" s="368"/>
      <c r="DD102" s="368"/>
      <c r="DE102" s="368"/>
      <c r="DF102" s="368"/>
      <c r="DG102" s="368"/>
      <c r="DH102" s="368"/>
      <c r="DI102" s="368"/>
      <c r="DJ102" s="368"/>
      <c r="DK102" s="368"/>
      <c r="DL102" s="368"/>
      <c r="DM102" s="368"/>
      <c r="DN102" s="368"/>
      <c r="DO102" s="368"/>
      <c r="DP102" s="368"/>
      <c r="DQ102" s="368"/>
      <c r="DR102" s="368"/>
      <c r="DS102" s="368"/>
      <c r="DT102" s="368"/>
      <c r="DU102" s="368"/>
      <c r="DV102" s="368"/>
      <c r="DW102" s="368"/>
      <c r="DX102" s="368"/>
      <c r="DY102" s="368"/>
      <c r="DZ102" s="368"/>
      <c r="EA102" s="368"/>
      <c r="EB102" s="368"/>
      <c r="EC102" s="368"/>
      <c r="ED102" s="368"/>
      <c r="EE102" s="368"/>
      <c r="EF102" s="368"/>
      <c r="EG102" s="368"/>
      <c r="EH102" s="368"/>
      <c r="EI102" s="368"/>
      <c r="EJ102" s="368"/>
      <c r="EK102" s="368"/>
      <c r="EL102" s="368"/>
      <c r="EM102" s="368"/>
      <c r="EN102" s="368"/>
      <c r="EO102" s="368"/>
      <c r="EP102" s="368"/>
      <c r="EQ102" s="368"/>
      <c r="ER102" s="368"/>
      <c r="ES102" s="368"/>
      <c r="ET102" s="368"/>
      <c r="EU102" s="368"/>
      <c r="EV102" s="368"/>
      <c r="EW102" s="368"/>
      <c r="EX102" s="368"/>
      <c r="EY102" s="368"/>
      <c r="EZ102" s="368"/>
      <c r="FA102" s="368"/>
      <c r="FB102" s="368"/>
      <c r="FC102" s="368"/>
      <c r="FD102" s="368"/>
      <c r="FE102" s="368"/>
      <c r="FF102" s="368"/>
      <c r="FG102" s="368"/>
      <c r="FH102" s="368"/>
      <c r="FI102" s="368"/>
      <c r="FJ102" s="368"/>
      <c r="FK102" s="368"/>
      <c r="FL102" s="368"/>
      <c r="FM102" s="368"/>
      <c r="FN102" s="368"/>
      <c r="FO102" s="368"/>
      <c r="FP102" s="368"/>
      <c r="FQ102" s="368"/>
      <c r="FR102" s="368"/>
      <c r="FS102" s="368"/>
      <c r="FT102" s="368"/>
      <c r="FU102" s="368"/>
      <c r="FV102" s="368"/>
      <c r="FW102" s="368"/>
      <c r="FX102" s="368"/>
      <c r="FY102" s="368"/>
      <c r="FZ102" s="368"/>
      <c r="GA102" s="368"/>
      <c r="GB102" s="368"/>
      <c r="GC102" s="368"/>
      <c r="GD102" s="368"/>
      <c r="GE102" s="368"/>
      <c r="GF102" s="368"/>
      <c r="GG102" s="368"/>
      <c r="GH102" s="368"/>
      <c r="GI102" s="368"/>
      <c r="GJ102" s="368"/>
      <c r="GK102" s="368"/>
      <c r="GL102" s="368"/>
      <c r="GM102" s="368"/>
      <c r="GN102" s="368"/>
      <c r="GO102" s="368"/>
      <c r="GP102" s="368"/>
      <c r="GQ102" s="368"/>
      <c r="GR102" s="368"/>
      <c r="GS102" s="368"/>
      <c r="GT102" s="368"/>
      <c r="GU102" s="368"/>
      <c r="GV102" s="368"/>
      <c r="GW102" s="368"/>
      <c r="GX102" s="368"/>
      <c r="GY102" s="368"/>
      <c r="GZ102" s="368"/>
      <c r="HA102" s="368"/>
      <c r="HB102" s="368"/>
      <c r="HC102" s="368"/>
      <c r="HD102" s="368"/>
      <c r="HE102" s="368"/>
      <c r="HF102" s="368"/>
      <c r="HG102" s="368"/>
      <c r="HH102" s="368"/>
      <c r="HI102" s="368"/>
      <c r="HJ102" s="368"/>
      <c r="HK102" s="368"/>
      <c r="HL102" s="368"/>
      <c r="HM102" s="368"/>
      <c r="HN102" s="368"/>
      <c r="HO102" s="368"/>
      <c r="HP102" s="368"/>
      <c r="HQ102" s="368"/>
      <c r="HR102" s="368"/>
      <c r="HS102" s="368"/>
      <c r="HT102" s="368"/>
      <c r="HU102" s="368"/>
      <c r="HV102" s="368"/>
      <c r="HW102" s="368"/>
      <c r="HX102" s="368"/>
      <c r="HY102" s="368"/>
      <c r="HZ102" s="368"/>
      <c r="IA102" s="368"/>
      <c r="IB102" s="368"/>
      <c r="IC102" s="368"/>
      <c r="ID102" s="368"/>
      <c r="IE102" s="368"/>
      <c r="IF102" s="368"/>
      <c r="IG102" s="368"/>
      <c r="IH102" s="368"/>
      <c r="II102" s="368"/>
      <c r="IJ102" s="368"/>
      <c r="IK102" s="368"/>
      <c r="IL102" s="368"/>
      <c r="IM102" s="368"/>
      <c r="IN102" s="368"/>
      <c r="IO102" s="368"/>
      <c r="IP102" s="368"/>
      <c r="IQ102" s="368"/>
      <c r="IR102" s="368"/>
      <c r="IS102" s="368"/>
      <c r="IT102" s="368"/>
      <c r="IU102" s="368"/>
      <c r="IV102" s="368"/>
      <c r="IW102" s="368"/>
      <c r="IX102" s="368"/>
      <c r="IY102" s="368"/>
      <c r="IZ102" s="368"/>
      <c r="JA102" s="368"/>
      <c r="JB102" s="368"/>
      <c r="JC102" s="368"/>
      <c r="JD102" s="368"/>
      <c r="JE102" s="368"/>
      <c r="JF102" s="368"/>
      <c r="JG102" s="368"/>
      <c r="JH102" s="368"/>
      <c r="JI102" s="368"/>
      <c r="JJ102" s="368"/>
      <c r="JK102" s="368"/>
      <c r="JL102" s="368"/>
      <c r="JM102" s="368"/>
      <c r="JN102" s="368"/>
      <c r="JO102" s="368"/>
      <c r="JP102" s="368"/>
      <c r="JQ102" s="368"/>
      <c r="JR102" s="368"/>
      <c r="JS102" s="368"/>
      <c r="JT102" s="368"/>
      <c r="JU102" s="368"/>
      <c r="JV102" s="368"/>
      <c r="JW102" s="368"/>
      <c r="JX102" s="368"/>
      <c r="JY102" s="368"/>
      <c r="JZ102" s="368"/>
      <c r="KA102" s="368"/>
      <c r="KB102" s="368"/>
      <c r="KC102" s="368"/>
      <c r="KD102" s="368"/>
      <c r="KE102" s="368"/>
      <c r="KF102" s="368"/>
      <c r="KG102" s="368"/>
      <c r="KH102" s="368"/>
      <c r="KI102" s="368"/>
      <c r="KJ102" s="368"/>
      <c r="KK102" s="368"/>
      <c r="KL102" s="368"/>
      <c r="KM102" s="368"/>
      <c r="KN102" s="368"/>
      <c r="KO102" s="368"/>
      <c r="KP102" s="368"/>
      <c r="KQ102" s="368"/>
      <c r="KR102" s="368"/>
      <c r="KS102" s="368"/>
      <c r="KT102" s="368"/>
      <c r="KU102" s="368"/>
      <c r="KV102" s="368"/>
      <c r="KW102" s="368"/>
      <c r="KX102" s="368"/>
      <c r="KY102" s="368"/>
      <c r="KZ102" s="368"/>
      <c r="LA102" s="368"/>
      <c r="LB102" s="368"/>
      <c r="LC102" s="368"/>
      <c r="LD102" s="368"/>
      <c r="LE102" s="368"/>
      <c r="LF102" s="368"/>
      <c r="LG102" s="368"/>
      <c r="LH102" s="368"/>
      <c r="LI102" s="368"/>
      <c r="LJ102" s="368"/>
      <c r="LK102" s="368"/>
      <c r="LL102" s="368"/>
      <c r="LM102" s="368"/>
      <c r="LN102" s="368"/>
      <c r="LO102" s="368"/>
      <c r="LP102" s="368"/>
      <c r="LQ102" s="368"/>
      <c r="LR102" s="368"/>
      <c r="LS102" s="368"/>
      <c r="LT102" s="368"/>
      <c r="LU102" s="368"/>
      <c r="LV102" s="368"/>
      <c r="LW102" s="368"/>
      <c r="LX102" s="368"/>
      <c r="LY102" s="368"/>
      <c r="LZ102" s="368"/>
      <c r="MA102" s="368"/>
      <c r="MB102" s="368"/>
      <c r="MC102" s="368"/>
      <c r="MD102" s="368"/>
      <c r="ME102" s="368"/>
      <c r="MF102" s="368"/>
      <c r="MG102" s="368"/>
      <c r="MH102" s="368"/>
      <c r="MI102" s="368"/>
      <c r="MJ102" s="368"/>
      <c r="MK102" s="368"/>
      <c r="ML102" s="368"/>
      <c r="MM102" s="368"/>
      <c r="MN102" s="368"/>
      <c r="MO102" s="368"/>
      <c r="MP102" s="368"/>
      <c r="MQ102" s="368"/>
      <c r="MR102" s="368"/>
      <c r="MS102" s="368"/>
      <c r="MT102" s="368"/>
      <c r="MU102" s="368"/>
      <c r="MV102" s="368"/>
      <c r="MW102" s="368"/>
      <c r="MX102" s="368"/>
      <c r="MY102" s="368"/>
      <c r="MZ102" s="368"/>
      <c r="NA102" s="368"/>
      <c r="NB102" s="368"/>
      <c r="NC102" s="368"/>
      <c r="ND102" s="368"/>
      <c r="NE102" s="368"/>
      <c r="NF102" s="368"/>
      <c r="NG102" s="368"/>
      <c r="NH102" s="368"/>
      <c r="NI102" s="368"/>
      <c r="NJ102" s="368"/>
      <c r="NK102" s="368"/>
      <c r="NL102" s="368"/>
      <c r="NM102" s="368"/>
      <c r="NN102" s="368"/>
      <c r="NO102" s="368"/>
      <c r="NP102" s="368"/>
      <c r="NQ102" s="368"/>
      <c r="NR102" s="368"/>
      <c r="NS102" s="368"/>
      <c r="NT102" s="368"/>
      <c r="NU102" s="368"/>
      <c r="NV102" s="368"/>
      <c r="NW102" s="368"/>
      <c r="NX102" s="368"/>
      <c r="NY102" s="368"/>
      <c r="NZ102" s="368"/>
      <c r="OA102" s="368"/>
      <c r="OB102" s="368"/>
      <c r="OC102" s="368"/>
      <c r="OD102" s="368"/>
      <c r="OE102" s="368"/>
      <c r="OF102" s="368"/>
      <c r="OG102" s="368"/>
      <c r="OH102" s="368"/>
      <c r="OI102" s="368"/>
      <c r="OJ102" s="368"/>
      <c r="OK102" s="368"/>
      <c r="OL102" s="368"/>
      <c r="OM102" s="368"/>
      <c r="ON102" s="368"/>
      <c r="OO102" s="368"/>
      <c r="OP102" s="368"/>
      <c r="OQ102" s="368"/>
      <c r="OR102" s="368"/>
      <c r="OS102" s="368"/>
      <c r="OT102" s="368"/>
      <c r="OU102" s="368"/>
      <c r="OV102" s="368"/>
      <c r="OW102" s="368"/>
      <c r="OX102" s="368"/>
      <c r="OY102" s="368"/>
      <c r="OZ102" s="368"/>
      <c r="PA102" s="368"/>
      <c r="PB102" s="368"/>
      <c r="PC102" s="368"/>
      <c r="PD102" s="368"/>
      <c r="PE102" s="368"/>
      <c r="PF102" s="368"/>
      <c r="PG102" s="368"/>
      <c r="PH102" s="368"/>
      <c r="PI102" s="368"/>
      <c r="PJ102" s="368"/>
      <c r="PK102" s="368"/>
      <c r="PL102" s="368"/>
      <c r="PM102" s="368"/>
      <c r="PN102" s="368"/>
      <c r="PO102" s="368"/>
      <c r="PP102" s="368"/>
      <c r="PQ102" s="368"/>
      <c r="PR102" s="368"/>
      <c r="PS102" s="368"/>
      <c r="PT102" s="368"/>
      <c r="PU102" s="368"/>
      <c r="PV102" s="368"/>
      <c r="PW102" s="368"/>
      <c r="PX102" s="368"/>
      <c r="PY102" s="368"/>
      <c r="PZ102" s="368"/>
      <c r="QA102" s="368"/>
      <c r="QB102" s="368"/>
      <c r="QC102" s="368"/>
      <c r="QD102" s="368"/>
      <c r="QE102" s="368"/>
      <c r="QF102" s="368"/>
      <c r="QG102" s="368"/>
      <c r="QH102" s="368"/>
      <c r="QI102" s="368"/>
      <c r="QJ102" s="368"/>
      <c r="QK102" s="368"/>
      <c r="QL102" s="368"/>
      <c r="QM102" s="368"/>
      <c r="QN102" s="368"/>
      <c r="QO102" s="368"/>
      <c r="QP102" s="368"/>
      <c r="QQ102" s="368"/>
      <c r="QR102" s="368"/>
      <c r="QS102" s="368"/>
      <c r="QT102" s="368"/>
      <c r="QU102" s="368"/>
      <c r="QV102" s="368"/>
      <c r="QW102" s="368"/>
      <c r="QX102" s="368"/>
      <c r="QY102" s="368"/>
      <c r="QZ102" s="368"/>
      <c r="RA102" s="368"/>
      <c r="RB102" s="368"/>
      <c r="RC102" s="368"/>
      <c r="RD102" s="368"/>
      <c r="RE102" s="368"/>
      <c r="RF102" s="368"/>
      <c r="RG102" s="368"/>
      <c r="RH102" s="368"/>
      <c r="RI102" s="368"/>
      <c r="RJ102" s="368"/>
      <c r="RK102" s="368"/>
      <c r="RL102" s="368"/>
      <c r="RM102" s="368"/>
      <c r="RN102" s="368"/>
      <c r="RO102" s="368"/>
      <c r="RP102" s="368"/>
      <c r="RQ102" s="368"/>
      <c r="RR102" s="368"/>
      <c r="RS102" s="368"/>
      <c r="RT102" s="368"/>
      <c r="RU102" s="368"/>
      <c r="RV102" s="368"/>
      <c r="RW102" s="368"/>
      <c r="RX102" s="368"/>
      <c r="RY102" s="368"/>
      <c r="RZ102" s="368"/>
      <c r="SA102" s="368"/>
      <c r="SB102" s="368"/>
      <c r="SC102" s="368"/>
      <c r="SD102" s="368"/>
      <c r="SE102" s="368"/>
      <c r="SF102" s="368"/>
      <c r="SG102" s="368"/>
      <c r="SH102" s="368"/>
      <c r="SI102" s="368"/>
      <c r="SJ102" s="368"/>
      <c r="SK102" s="368"/>
      <c r="SL102" s="368"/>
      <c r="SM102" s="368"/>
      <c r="SN102" s="368"/>
      <c r="SO102" s="368"/>
      <c r="SP102" s="368"/>
      <c r="SQ102" s="368"/>
      <c r="SR102" s="368"/>
      <c r="SS102" s="368"/>
      <c r="ST102" s="368"/>
      <c r="SU102" s="368"/>
      <c r="SV102" s="368"/>
      <c r="SW102" s="368"/>
      <c r="SX102" s="368"/>
      <c r="SY102" s="368"/>
      <c r="SZ102" s="368"/>
      <c r="TA102" s="368"/>
      <c r="TB102" s="368"/>
      <c r="TC102" s="368"/>
      <c r="TD102" s="368"/>
      <c r="TE102" s="368"/>
      <c r="TF102" s="368"/>
      <c r="TG102" s="368"/>
      <c r="TH102" s="368"/>
      <c r="TI102" s="368"/>
      <c r="TJ102" s="368"/>
      <c r="TK102" s="368"/>
      <c r="TL102" s="368"/>
      <c r="TM102" s="368"/>
      <c r="TN102" s="368"/>
      <c r="TO102" s="368"/>
      <c r="TP102" s="368"/>
      <c r="TQ102" s="368"/>
      <c r="TR102" s="368"/>
      <c r="TS102" s="368"/>
      <c r="TT102" s="368"/>
      <c r="TU102" s="368"/>
      <c r="TV102" s="368"/>
      <c r="TW102" s="368"/>
      <c r="TX102" s="368"/>
      <c r="TY102" s="368"/>
      <c r="TZ102" s="368"/>
      <c r="UA102" s="368"/>
      <c r="UB102" s="368"/>
      <c r="UC102" s="368"/>
      <c r="UD102" s="368"/>
      <c r="UE102" s="368"/>
      <c r="UF102" s="368"/>
      <c r="UG102" s="368"/>
      <c r="UH102" s="368"/>
      <c r="UI102" s="368"/>
      <c r="UJ102" s="368"/>
      <c r="UK102" s="368"/>
      <c r="UL102" s="368"/>
      <c r="UM102" s="368"/>
      <c r="UN102" s="368"/>
      <c r="UO102" s="368"/>
      <c r="UP102" s="368"/>
      <c r="UQ102" s="368"/>
      <c r="UR102" s="368"/>
      <c r="US102" s="368"/>
      <c r="UT102" s="368"/>
      <c r="UU102" s="368"/>
      <c r="UV102" s="368"/>
      <c r="UW102" s="368"/>
      <c r="UX102" s="368"/>
      <c r="UY102" s="368"/>
      <c r="UZ102" s="368"/>
      <c r="VA102" s="368"/>
      <c r="VB102" s="368"/>
      <c r="VC102" s="368"/>
      <c r="VD102" s="368"/>
      <c r="VE102" s="368"/>
      <c r="VF102" s="368"/>
      <c r="VG102" s="368"/>
      <c r="VH102" s="368"/>
      <c r="VI102" s="368"/>
      <c r="VJ102" s="368"/>
      <c r="VK102" s="368"/>
      <c r="VL102" s="368"/>
      <c r="VM102" s="368"/>
      <c r="VN102" s="368"/>
      <c r="VO102" s="368"/>
      <c r="VP102" s="368"/>
      <c r="VQ102" s="368"/>
      <c r="VR102" s="368"/>
      <c r="VS102" s="368"/>
      <c r="VT102" s="368"/>
      <c r="VU102" s="368"/>
      <c r="VV102" s="368"/>
      <c r="VW102" s="368"/>
      <c r="VX102" s="368"/>
      <c r="VY102" s="368"/>
      <c r="VZ102" s="368"/>
      <c r="WA102" s="368"/>
      <c r="WB102" s="368"/>
      <c r="WC102" s="368"/>
      <c r="WD102" s="368"/>
      <c r="WE102" s="368"/>
      <c r="WF102" s="368"/>
      <c r="WG102" s="368"/>
      <c r="WH102" s="368"/>
      <c r="WI102" s="368"/>
      <c r="WJ102" s="368"/>
      <c r="WK102" s="368"/>
      <c r="WL102" s="368"/>
      <c r="WM102" s="368"/>
      <c r="WN102" s="368"/>
      <c r="WO102" s="368"/>
      <c r="WP102" s="368"/>
      <c r="WQ102" s="368"/>
      <c r="WR102" s="368"/>
      <c r="WS102" s="368"/>
      <c r="WT102" s="368"/>
      <c r="WU102" s="368"/>
      <c r="WV102" s="368"/>
      <c r="WW102" s="368"/>
      <c r="WX102" s="368"/>
      <c r="WY102" s="368"/>
      <c r="WZ102" s="368"/>
      <c r="XA102" s="368"/>
      <c r="XB102" s="368"/>
      <c r="XC102" s="368"/>
      <c r="XD102" s="368"/>
      <c r="XE102" s="368"/>
      <c r="XF102" s="368"/>
      <c r="XG102" s="368"/>
      <c r="XH102" s="368"/>
      <c r="XI102" s="368"/>
      <c r="XJ102" s="368"/>
      <c r="XK102" s="368"/>
      <c r="XL102" s="368"/>
      <c r="XM102" s="368"/>
      <c r="XN102" s="368"/>
      <c r="XO102" s="368"/>
      <c r="XP102" s="368"/>
      <c r="XQ102" s="368"/>
      <c r="XR102" s="368"/>
      <c r="XS102" s="368"/>
      <c r="XT102" s="368"/>
      <c r="XU102" s="368"/>
      <c r="XV102" s="368"/>
      <c r="XW102" s="368"/>
      <c r="XX102" s="368"/>
      <c r="XY102" s="368"/>
      <c r="XZ102" s="368"/>
      <c r="YA102" s="368"/>
      <c r="YB102" s="368"/>
      <c r="YC102" s="368"/>
      <c r="YD102" s="368"/>
      <c r="YE102" s="368"/>
      <c r="YF102" s="368"/>
      <c r="YG102" s="368"/>
      <c r="YH102" s="368"/>
      <c r="YI102" s="368"/>
      <c r="YJ102" s="368"/>
      <c r="YK102" s="368"/>
      <c r="YL102" s="368"/>
      <c r="YM102" s="368"/>
      <c r="YN102" s="368"/>
      <c r="YO102" s="368"/>
      <c r="YP102" s="368"/>
      <c r="YQ102" s="368"/>
      <c r="YR102" s="368"/>
      <c r="YS102" s="368"/>
      <c r="YT102" s="368"/>
      <c r="YU102" s="368"/>
      <c r="YV102" s="368"/>
      <c r="YW102" s="368"/>
      <c r="YX102" s="368"/>
      <c r="YY102" s="368"/>
      <c r="YZ102" s="368"/>
      <c r="ZA102" s="368"/>
      <c r="ZB102" s="368"/>
      <c r="ZC102" s="368"/>
      <c r="ZD102" s="368"/>
      <c r="ZE102" s="368"/>
      <c r="ZF102" s="368"/>
      <c r="ZG102" s="368"/>
      <c r="ZH102" s="368"/>
      <c r="ZI102" s="368"/>
      <c r="ZJ102" s="368"/>
      <c r="ZK102" s="368"/>
      <c r="ZL102" s="368"/>
      <c r="ZM102" s="368"/>
      <c r="ZN102" s="368"/>
      <c r="ZO102" s="368"/>
      <c r="ZP102" s="368"/>
      <c r="ZQ102" s="368"/>
      <c r="ZR102" s="368"/>
      <c r="ZS102" s="368"/>
      <c r="ZT102" s="368"/>
      <c r="ZU102" s="368"/>
      <c r="ZV102" s="368"/>
      <c r="ZW102" s="368"/>
      <c r="ZX102" s="368"/>
      <c r="ZY102" s="368"/>
      <c r="ZZ102" s="368"/>
      <c r="AAA102" s="368"/>
      <c r="AAB102" s="368"/>
      <c r="AAC102" s="368"/>
      <c r="AAD102" s="368"/>
      <c r="AAE102" s="368"/>
      <c r="AAF102" s="368"/>
      <c r="AAG102" s="368"/>
      <c r="AAH102" s="368"/>
      <c r="AAI102" s="368"/>
      <c r="AAJ102" s="368"/>
      <c r="AAK102" s="368"/>
      <c r="AAL102" s="368"/>
      <c r="AAM102" s="368"/>
      <c r="AAN102" s="368"/>
      <c r="AAO102" s="368"/>
      <c r="AAP102" s="368"/>
      <c r="AAQ102" s="368"/>
      <c r="AAR102" s="368"/>
      <c r="AAS102" s="368"/>
      <c r="AAT102" s="368"/>
      <c r="AAU102" s="368"/>
      <c r="AAV102" s="368"/>
      <c r="AAW102" s="368"/>
      <c r="AAX102" s="368"/>
      <c r="AAY102" s="368"/>
      <c r="AAZ102" s="368"/>
      <c r="ABA102" s="368"/>
      <c r="ABB102" s="368"/>
      <c r="ABC102" s="368"/>
      <c r="ABD102" s="368"/>
      <c r="ABE102" s="368"/>
      <c r="ABF102" s="368"/>
      <c r="ABG102" s="368"/>
      <c r="ABH102" s="368"/>
      <c r="ABI102" s="368"/>
      <c r="ABJ102" s="368"/>
      <c r="ABK102" s="368"/>
      <c r="ABL102" s="368"/>
      <c r="ABM102" s="368"/>
      <c r="ABN102" s="368"/>
      <c r="ABO102" s="368"/>
      <c r="ABP102" s="368"/>
      <c r="ABQ102" s="368"/>
      <c r="ABR102" s="368"/>
      <c r="ABS102" s="368"/>
      <c r="ABT102" s="368"/>
      <c r="ABU102" s="368"/>
      <c r="ABV102" s="368"/>
      <c r="ABW102" s="368"/>
      <c r="ABX102" s="368"/>
      <c r="ABY102" s="368"/>
      <c r="ABZ102" s="368"/>
      <c r="ACA102" s="368"/>
      <c r="ACB102" s="368"/>
      <c r="ACC102" s="368"/>
      <c r="ACD102" s="368"/>
      <c r="ACE102" s="368"/>
      <c r="ACF102" s="368"/>
      <c r="ACG102" s="368"/>
      <c r="ACH102" s="368"/>
      <c r="ACI102" s="368"/>
      <c r="ACJ102" s="368"/>
      <c r="ACK102" s="368"/>
      <c r="ACL102" s="368"/>
      <c r="ACM102" s="368"/>
      <c r="ACN102" s="368"/>
      <c r="ACO102" s="368"/>
      <c r="ACP102" s="368"/>
      <c r="ACQ102" s="368"/>
      <c r="ACR102" s="368"/>
      <c r="ACS102" s="368"/>
      <c r="ACT102" s="368"/>
      <c r="ACU102" s="368"/>
      <c r="ACV102" s="368"/>
      <c r="ACW102" s="368"/>
      <c r="ACX102" s="368"/>
      <c r="ACY102" s="368"/>
      <c r="ACZ102" s="368"/>
      <c r="ADA102" s="368"/>
      <c r="ADB102" s="368"/>
      <c r="ADC102" s="368"/>
      <c r="ADD102" s="368"/>
      <c r="ADE102" s="368"/>
      <c r="ADF102" s="368"/>
      <c r="ADG102" s="368"/>
      <c r="ADH102" s="368"/>
      <c r="ADI102" s="368"/>
      <c r="ADJ102" s="368"/>
      <c r="ADK102" s="368"/>
      <c r="ADL102" s="368"/>
      <c r="ADM102" s="368"/>
      <c r="ADN102" s="368"/>
      <c r="ADO102" s="368"/>
      <c r="ADP102" s="368"/>
      <c r="ADQ102" s="368"/>
      <c r="ADR102" s="368"/>
      <c r="ADS102" s="368"/>
      <c r="ADT102" s="368"/>
      <c r="ADU102" s="368"/>
      <c r="ADV102" s="368"/>
      <c r="ADW102" s="368"/>
      <c r="ADX102" s="368"/>
      <c r="ADY102" s="368"/>
      <c r="ADZ102" s="368"/>
      <c r="AEA102" s="368"/>
      <c r="AEB102" s="368"/>
      <c r="AEC102" s="368"/>
      <c r="AED102" s="368"/>
      <c r="AEE102" s="368"/>
      <c r="AEF102" s="368"/>
      <c r="AEG102" s="368"/>
      <c r="AEH102" s="368"/>
      <c r="AEI102" s="368"/>
      <c r="AEJ102" s="368"/>
      <c r="AEK102" s="368"/>
      <c r="AEL102" s="368"/>
      <c r="AEM102" s="368"/>
      <c r="AEN102" s="368"/>
      <c r="AEO102" s="368"/>
      <c r="AEP102" s="368"/>
      <c r="AEQ102" s="368"/>
      <c r="AER102" s="368"/>
      <c r="AES102" s="368"/>
      <c r="AET102" s="368"/>
      <c r="AEU102" s="368"/>
      <c r="AEV102" s="368"/>
      <c r="AEW102" s="368"/>
      <c r="AEX102" s="368"/>
      <c r="AEY102" s="368"/>
      <c r="AEZ102" s="368"/>
      <c r="AFA102" s="368"/>
      <c r="AFB102" s="368"/>
      <c r="AFC102" s="368"/>
      <c r="AFD102" s="368"/>
      <c r="AFE102" s="368"/>
      <c r="AFF102" s="368"/>
      <c r="AFG102" s="368"/>
      <c r="AFH102" s="368"/>
      <c r="AFI102" s="368"/>
      <c r="AFJ102" s="368"/>
      <c r="AFK102" s="368"/>
      <c r="AFL102" s="368"/>
      <c r="AFM102" s="368"/>
      <c r="AFN102" s="368"/>
      <c r="AFO102" s="368"/>
      <c r="AFP102" s="368"/>
      <c r="AFQ102" s="368"/>
      <c r="AFR102" s="368"/>
      <c r="AFS102" s="368"/>
      <c r="AFT102" s="368"/>
      <c r="AFU102" s="368"/>
      <c r="AFV102" s="368"/>
      <c r="AFW102" s="368"/>
      <c r="AFX102" s="368"/>
      <c r="AFY102" s="368"/>
      <c r="AFZ102" s="368"/>
      <c r="AGA102" s="368"/>
      <c r="AGB102" s="368"/>
      <c r="AGC102" s="368"/>
      <c r="AGD102" s="368"/>
      <c r="AGE102" s="368"/>
      <c r="AGF102" s="368"/>
      <c r="AGG102" s="368"/>
      <c r="AGH102" s="368"/>
      <c r="AGI102" s="368"/>
      <c r="AGJ102" s="368"/>
      <c r="AGK102" s="368"/>
      <c r="AGL102" s="368"/>
      <c r="AGM102" s="368"/>
      <c r="AGN102" s="368"/>
      <c r="AGO102" s="368"/>
      <c r="AGP102" s="368"/>
      <c r="AGQ102" s="368"/>
      <c r="AGR102" s="368"/>
      <c r="AGS102" s="368"/>
      <c r="AGT102" s="368"/>
      <c r="AGU102" s="368"/>
      <c r="AGV102" s="368"/>
      <c r="AGW102" s="368"/>
      <c r="AGX102" s="368"/>
      <c r="AGY102" s="368"/>
      <c r="AGZ102" s="368"/>
      <c r="AHA102" s="368"/>
      <c r="AHB102" s="368"/>
      <c r="AHC102" s="368"/>
      <c r="AHD102" s="368"/>
      <c r="AHE102" s="368"/>
      <c r="AHF102" s="368"/>
      <c r="AHG102" s="368"/>
      <c r="AHH102" s="368"/>
      <c r="AHI102" s="368"/>
      <c r="AHJ102" s="368"/>
      <c r="AHK102" s="368"/>
      <c r="AHL102" s="368"/>
      <c r="AHM102" s="368"/>
      <c r="AHN102" s="368"/>
      <c r="AHO102" s="368"/>
      <c r="AHP102" s="368"/>
      <c r="AHQ102" s="368"/>
      <c r="AHR102" s="368"/>
      <c r="AHS102" s="368"/>
      <c r="AHT102" s="368"/>
      <c r="AHU102" s="368"/>
      <c r="AHV102" s="368"/>
      <c r="AHW102" s="368"/>
      <c r="AHX102" s="368"/>
      <c r="AHY102" s="368"/>
      <c r="AHZ102" s="368"/>
      <c r="AIA102" s="368"/>
      <c r="AIB102" s="368"/>
      <c r="AIC102" s="368"/>
      <c r="AID102" s="368"/>
      <c r="AIE102" s="368"/>
      <c r="AIF102" s="368"/>
      <c r="AIG102" s="368"/>
      <c r="AIH102" s="368"/>
      <c r="AII102" s="368"/>
      <c r="AIJ102" s="368"/>
      <c r="AIK102" s="368"/>
      <c r="AIL102" s="368"/>
      <c r="AIM102" s="368"/>
      <c r="AIN102" s="368"/>
      <c r="AIO102" s="368"/>
      <c r="AIP102" s="368"/>
      <c r="AIQ102" s="368"/>
      <c r="AIR102" s="368"/>
      <c r="AIS102" s="368"/>
      <c r="AIT102" s="368"/>
      <c r="AIU102" s="368"/>
      <c r="AIV102" s="368"/>
      <c r="AIW102" s="368"/>
      <c r="AIX102" s="368"/>
      <c r="AIY102" s="368"/>
      <c r="AIZ102" s="368"/>
      <c r="AJA102" s="368"/>
      <c r="AJB102" s="368"/>
      <c r="AJC102" s="368"/>
      <c r="AJD102" s="368"/>
      <c r="AJE102" s="368"/>
      <c r="AJF102" s="368"/>
      <c r="AJG102" s="368"/>
      <c r="AJH102" s="368"/>
      <c r="AJI102" s="368"/>
      <c r="AJJ102" s="368"/>
      <c r="AJK102" s="368"/>
      <c r="AJL102" s="368"/>
      <c r="AJM102" s="368"/>
      <c r="AJN102" s="368"/>
      <c r="AJO102" s="368"/>
      <c r="AJP102" s="368"/>
      <c r="AJQ102" s="368"/>
      <c r="AJR102" s="368"/>
      <c r="AJS102" s="368"/>
      <c r="AJT102" s="368"/>
      <c r="AJU102" s="368"/>
      <c r="AJV102" s="368"/>
      <c r="AJW102" s="368"/>
      <c r="AJX102" s="368"/>
      <c r="AJY102" s="368"/>
      <c r="AJZ102" s="368"/>
      <c r="AKA102" s="368"/>
      <c r="AKB102" s="368"/>
      <c r="AKC102" s="368"/>
      <c r="AKD102" s="368"/>
      <c r="AKE102" s="368"/>
      <c r="AKF102" s="368"/>
      <c r="AKG102" s="368"/>
      <c r="AKH102" s="368"/>
      <c r="AKI102" s="368"/>
      <c r="AKJ102" s="368"/>
      <c r="AKK102" s="368"/>
      <c r="AKL102" s="368"/>
      <c r="AKM102" s="368"/>
      <c r="AKN102" s="368"/>
    </row>
    <row r="103" spans="1:976" s="363" customFormat="1" ht="22.5" customHeight="1" x14ac:dyDescent="0.2">
      <c r="A103" s="358" t="s">
        <v>262</v>
      </c>
      <c r="B103" s="358"/>
      <c r="C103" s="358" t="s">
        <v>221</v>
      </c>
      <c r="D103" s="358" t="s">
        <v>222</v>
      </c>
      <c r="E103" s="359">
        <v>412359</v>
      </c>
      <c r="F103" s="359">
        <v>1553</v>
      </c>
      <c r="G103" s="359">
        <v>232</v>
      </c>
      <c r="H103" s="359">
        <v>0</v>
      </c>
      <c r="I103" s="360">
        <v>45855</v>
      </c>
      <c r="J103" s="358" t="s">
        <v>395</v>
      </c>
      <c r="K103" s="358" t="s">
        <v>564</v>
      </c>
      <c r="L103" s="361">
        <v>541.6</v>
      </c>
      <c r="M103" s="361">
        <v>37.909999999999997</v>
      </c>
      <c r="N103" s="448">
        <v>579.51</v>
      </c>
      <c r="O103" s="358"/>
      <c r="P103" s="362">
        <v>45866</v>
      </c>
      <c r="Q103" s="361">
        <v>579.51</v>
      </c>
      <c r="R103" s="358" t="s">
        <v>565</v>
      </c>
      <c r="S103" s="361">
        <v>0</v>
      </c>
      <c r="T103" s="361">
        <v>0</v>
      </c>
      <c r="U103" s="361">
        <v>0</v>
      </c>
      <c r="V103" s="361">
        <v>0</v>
      </c>
      <c r="W103" s="358"/>
      <c r="X103" s="358" t="s">
        <v>365</v>
      </c>
      <c r="Y103" s="358" t="s">
        <v>366</v>
      </c>
      <c r="Z103" s="358" t="s">
        <v>288</v>
      </c>
      <c r="AA103" s="358" t="s">
        <v>228</v>
      </c>
      <c r="AB103" s="358" t="s">
        <v>289</v>
      </c>
      <c r="AC103" s="358" t="s">
        <v>31</v>
      </c>
      <c r="AD103" s="358" t="s">
        <v>231</v>
      </c>
      <c r="AE103" s="358" t="s">
        <v>232</v>
      </c>
      <c r="AF103" s="358" t="s">
        <v>231</v>
      </c>
      <c r="AG103" s="358" t="s">
        <v>232</v>
      </c>
      <c r="AH103" s="358"/>
      <c r="AI103" s="358"/>
      <c r="AJ103" s="358"/>
      <c r="AK103" s="358" t="s">
        <v>566</v>
      </c>
      <c r="AL103" s="359">
        <v>1</v>
      </c>
      <c r="AM103" s="359">
        <v>0</v>
      </c>
      <c r="AN103" s="360">
        <v>45866</v>
      </c>
      <c r="AO103" s="360">
        <v>45866</v>
      </c>
      <c r="AP103" s="361">
        <v>579.51</v>
      </c>
      <c r="AQ103" s="360">
        <v>45865</v>
      </c>
      <c r="AR103" s="368"/>
      <c r="AS103" s="368"/>
      <c r="AT103" s="368"/>
      <c r="AU103" s="368"/>
      <c r="AV103" s="368"/>
      <c r="AW103" s="368"/>
      <c r="AX103" s="368"/>
      <c r="AY103" s="368"/>
      <c r="AZ103" s="368"/>
      <c r="BA103" s="368"/>
      <c r="BB103" s="368"/>
      <c r="BC103" s="368"/>
      <c r="BD103" s="368"/>
      <c r="BE103" s="368"/>
      <c r="BF103" s="368"/>
      <c r="BG103" s="368"/>
      <c r="BH103" s="368"/>
      <c r="BI103" s="368"/>
      <c r="BJ103" s="368"/>
      <c r="BK103" s="368"/>
      <c r="BL103" s="368"/>
      <c r="BM103" s="368"/>
      <c r="BN103" s="368"/>
      <c r="BO103" s="368"/>
      <c r="BP103" s="368"/>
      <c r="BQ103" s="368"/>
      <c r="BR103" s="368"/>
      <c r="BS103" s="368"/>
      <c r="BT103" s="368"/>
      <c r="BU103" s="368"/>
      <c r="BV103" s="368"/>
      <c r="BW103" s="368"/>
      <c r="BX103" s="368"/>
      <c r="BY103" s="368"/>
      <c r="BZ103" s="368"/>
      <c r="CA103" s="368"/>
      <c r="CB103" s="368"/>
      <c r="CC103" s="368"/>
      <c r="CD103" s="368"/>
      <c r="CE103" s="368"/>
      <c r="CF103" s="368"/>
      <c r="CG103" s="368"/>
      <c r="CH103" s="368"/>
      <c r="CI103" s="368"/>
      <c r="CJ103" s="368"/>
      <c r="CK103" s="368"/>
      <c r="CL103" s="368"/>
      <c r="CM103" s="368"/>
      <c r="CN103" s="368"/>
      <c r="CO103" s="368"/>
      <c r="CP103" s="368"/>
      <c r="CQ103" s="368"/>
      <c r="CR103" s="368"/>
      <c r="CS103" s="368"/>
      <c r="CT103" s="368"/>
      <c r="CU103" s="368"/>
      <c r="CV103" s="368"/>
      <c r="CW103" s="368"/>
      <c r="CX103" s="368"/>
      <c r="CY103" s="368"/>
      <c r="CZ103" s="368"/>
      <c r="DA103" s="368"/>
      <c r="DB103" s="368"/>
      <c r="DC103" s="368"/>
      <c r="DD103" s="368"/>
      <c r="DE103" s="368"/>
      <c r="DF103" s="368"/>
      <c r="DG103" s="368"/>
      <c r="DH103" s="368"/>
      <c r="DI103" s="368"/>
      <c r="DJ103" s="368"/>
      <c r="DK103" s="368"/>
      <c r="DL103" s="368"/>
      <c r="DM103" s="368"/>
      <c r="DN103" s="368"/>
      <c r="DO103" s="368"/>
      <c r="DP103" s="368"/>
      <c r="DQ103" s="368"/>
      <c r="DR103" s="368"/>
      <c r="DS103" s="368"/>
      <c r="DT103" s="368"/>
      <c r="DU103" s="368"/>
      <c r="DV103" s="368"/>
      <c r="DW103" s="368"/>
      <c r="DX103" s="368"/>
      <c r="DY103" s="368"/>
      <c r="DZ103" s="368"/>
      <c r="EA103" s="368"/>
      <c r="EB103" s="368"/>
      <c r="EC103" s="368"/>
      <c r="ED103" s="368"/>
      <c r="EE103" s="368"/>
      <c r="EF103" s="368"/>
      <c r="EG103" s="368"/>
      <c r="EH103" s="368"/>
      <c r="EI103" s="368"/>
      <c r="EJ103" s="368"/>
      <c r="EK103" s="368"/>
      <c r="EL103" s="368"/>
      <c r="EM103" s="368"/>
      <c r="EN103" s="368"/>
      <c r="EO103" s="368"/>
      <c r="EP103" s="368"/>
      <c r="EQ103" s="368"/>
      <c r="ER103" s="368"/>
      <c r="ES103" s="368"/>
      <c r="ET103" s="368"/>
      <c r="EU103" s="368"/>
      <c r="EV103" s="368"/>
      <c r="EW103" s="368"/>
      <c r="EX103" s="368"/>
      <c r="EY103" s="368"/>
      <c r="EZ103" s="368"/>
      <c r="FA103" s="368"/>
      <c r="FB103" s="368"/>
      <c r="FC103" s="368"/>
      <c r="FD103" s="368"/>
      <c r="FE103" s="368"/>
      <c r="FF103" s="368"/>
      <c r="FG103" s="368"/>
      <c r="FH103" s="368"/>
      <c r="FI103" s="368"/>
      <c r="FJ103" s="368"/>
      <c r="FK103" s="368"/>
      <c r="FL103" s="368"/>
      <c r="FM103" s="368"/>
      <c r="FN103" s="368"/>
      <c r="FO103" s="368"/>
      <c r="FP103" s="368"/>
      <c r="FQ103" s="368"/>
      <c r="FR103" s="368"/>
      <c r="FS103" s="368"/>
      <c r="FT103" s="368"/>
      <c r="FU103" s="368"/>
      <c r="FV103" s="368"/>
      <c r="FW103" s="368"/>
      <c r="FX103" s="368"/>
      <c r="FY103" s="368"/>
      <c r="FZ103" s="368"/>
      <c r="GA103" s="368"/>
      <c r="GB103" s="368"/>
      <c r="GC103" s="368"/>
      <c r="GD103" s="368"/>
      <c r="GE103" s="368"/>
      <c r="GF103" s="368"/>
      <c r="GG103" s="368"/>
      <c r="GH103" s="368"/>
      <c r="GI103" s="368"/>
      <c r="GJ103" s="368"/>
      <c r="GK103" s="368"/>
      <c r="GL103" s="368"/>
      <c r="GM103" s="368"/>
      <c r="GN103" s="368"/>
      <c r="GO103" s="368"/>
      <c r="GP103" s="368"/>
      <c r="GQ103" s="368"/>
      <c r="GR103" s="368"/>
      <c r="GS103" s="368"/>
      <c r="GT103" s="368"/>
      <c r="GU103" s="368"/>
      <c r="GV103" s="368"/>
      <c r="GW103" s="368"/>
      <c r="GX103" s="368"/>
      <c r="GY103" s="368"/>
      <c r="GZ103" s="368"/>
      <c r="HA103" s="368"/>
      <c r="HB103" s="368"/>
      <c r="HC103" s="368"/>
      <c r="HD103" s="368"/>
      <c r="HE103" s="368"/>
      <c r="HF103" s="368"/>
      <c r="HG103" s="368"/>
      <c r="HH103" s="368"/>
      <c r="HI103" s="368"/>
      <c r="HJ103" s="368"/>
      <c r="HK103" s="368"/>
      <c r="HL103" s="368"/>
      <c r="HM103" s="368"/>
      <c r="HN103" s="368"/>
      <c r="HO103" s="368"/>
      <c r="HP103" s="368"/>
      <c r="HQ103" s="368"/>
      <c r="HR103" s="368"/>
      <c r="HS103" s="368"/>
      <c r="HT103" s="368"/>
      <c r="HU103" s="368"/>
      <c r="HV103" s="368"/>
      <c r="HW103" s="368"/>
      <c r="HX103" s="368"/>
      <c r="HY103" s="368"/>
      <c r="HZ103" s="368"/>
      <c r="IA103" s="368"/>
      <c r="IB103" s="368"/>
      <c r="IC103" s="368"/>
      <c r="ID103" s="368"/>
      <c r="IE103" s="368"/>
      <c r="IF103" s="368"/>
      <c r="IG103" s="368"/>
      <c r="IH103" s="368"/>
      <c r="II103" s="368"/>
      <c r="IJ103" s="368"/>
      <c r="IK103" s="368"/>
      <c r="IL103" s="368"/>
      <c r="IM103" s="368"/>
      <c r="IN103" s="368"/>
      <c r="IO103" s="368"/>
      <c r="IP103" s="368"/>
      <c r="IQ103" s="368"/>
      <c r="IR103" s="368"/>
      <c r="IS103" s="368"/>
      <c r="IT103" s="368"/>
      <c r="IU103" s="368"/>
      <c r="IV103" s="368"/>
      <c r="IW103" s="368"/>
      <c r="IX103" s="368"/>
      <c r="IY103" s="368"/>
      <c r="IZ103" s="368"/>
      <c r="JA103" s="368"/>
      <c r="JB103" s="368"/>
      <c r="JC103" s="368"/>
      <c r="JD103" s="368"/>
      <c r="JE103" s="368"/>
      <c r="JF103" s="368"/>
      <c r="JG103" s="368"/>
      <c r="JH103" s="368"/>
      <c r="JI103" s="368"/>
      <c r="JJ103" s="368"/>
      <c r="JK103" s="368"/>
      <c r="JL103" s="368"/>
      <c r="JM103" s="368"/>
      <c r="JN103" s="368"/>
      <c r="JO103" s="368"/>
      <c r="JP103" s="368"/>
      <c r="JQ103" s="368"/>
      <c r="JR103" s="368"/>
      <c r="JS103" s="368"/>
      <c r="JT103" s="368"/>
      <c r="JU103" s="368"/>
      <c r="JV103" s="368"/>
      <c r="JW103" s="368"/>
      <c r="JX103" s="368"/>
      <c r="JY103" s="368"/>
      <c r="JZ103" s="368"/>
      <c r="KA103" s="368"/>
      <c r="KB103" s="368"/>
      <c r="KC103" s="368"/>
      <c r="KD103" s="368"/>
      <c r="KE103" s="368"/>
      <c r="KF103" s="368"/>
      <c r="KG103" s="368"/>
      <c r="KH103" s="368"/>
      <c r="KI103" s="368"/>
      <c r="KJ103" s="368"/>
      <c r="KK103" s="368"/>
      <c r="KL103" s="368"/>
      <c r="KM103" s="368"/>
      <c r="KN103" s="368"/>
      <c r="KO103" s="368"/>
      <c r="KP103" s="368"/>
      <c r="KQ103" s="368"/>
      <c r="KR103" s="368"/>
      <c r="KS103" s="368"/>
      <c r="KT103" s="368"/>
      <c r="KU103" s="368"/>
      <c r="KV103" s="368"/>
      <c r="KW103" s="368"/>
      <c r="KX103" s="368"/>
      <c r="KY103" s="368"/>
      <c r="KZ103" s="368"/>
      <c r="LA103" s="368"/>
      <c r="LB103" s="368"/>
      <c r="LC103" s="368"/>
      <c r="LD103" s="368"/>
      <c r="LE103" s="368"/>
      <c r="LF103" s="368"/>
      <c r="LG103" s="368"/>
      <c r="LH103" s="368"/>
      <c r="LI103" s="368"/>
      <c r="LJ103" s="368"/>
      <c r="LK103" s="368"/>
      <c r="LL103" s="368"/>
      <c r="LM103" s="368"/>
      <c r="LN103" s="368"/>
      <c r="LO103" s="368"/>
      <c r="LP103" s="368"/>
      <c r="LQ103" s="368"/>
      <c r="LR103" s="368"/>
      <c r="LS103" s="368"/>
      <c r="LT103" s="368"/>
      <c r="LU103" s="368"/>
      <c r="LV103" s="368"/>
      <c r="LW103" s="368"/>
      <c r="LX103" s="368"/>
      <c r="LY103" s="368"/>
      <c r="LZ103" s="368"/>
      <c r="MA103" s="368"/>
      <c r="MB103" s="368"/>
      <c r="MC103" s="368"/>
      <c r="MD103" s="368"/>
      <c r="ME103" s="368"/>
      <c r="MF103" s="368"/>
      <c r="MG103" s="368"/>
      <c r="MH103" s="368"/>
      <c r="MI103" s="368"/>
      <c r="MJ103" s="368"/>
      <c r="MK103" s="368"/>
      <c r="ML103" s="368"/>
      <c r="MM103" s="368"/>
      <c r="MN103" s="368"/>
      <c r="MO103" s="368"/>
      <c r="MP103" s="368"/>
      <c r="MQ103" s="368"/>
      <c r="MR103" s="368"/>
      <c r="MS103" s="368"/>
      <c r="MT103" s="368"/>
      <c r="MU103" s="368"/>
      <c r="MV103" s="368"/>
      <c r="MW103" s="368"/>
      <c r="MX103" s="368"/>
      <c r="MY103" s="368"/>
      <c r="MZ103" s="368"/>
      <c r="NA103" s="368"/>
      <c r="NB103" s="368"/>
      <c r="NC103" s="368"/>
      <c r="ND103" s="368"/>
      <c r="NE103" s="368"/>
      <c r="NF103" s="368"/>
      <c r="NG103" s="368"/>
      <c r="NH103" s="368"/>
      <c r="NI103" s="368"/>
      <c r="NJ103" s="368"/>
      <c r="NK103" s="368"/>
      <c r="NL103" s="368"/>
      <c r="NM103" s="368"/>
      <c r="NN103" s="368"/>
      <c r="NO103" s="368"/>
      <c r="NP103" s="368"/>
      <c r="NQ103" s="368"/>
      <c r="NR103" s="368"/>
      <c r="NS103" s="368"/>
      <c r="NT103" s="368"/>
      <c r="NU103" s="368"/>
      <c r="NV103" s="368"/>
      <c r="NW103" s="368"/>
      <c r="NX103" s="368"/>
      <c r="NY103" s="368"/>
      <c r="NZ103" s="368"/>
      <c r="OA103" s="368"/>
      <c r="OB103" s="368"/>
      <c r="OC103" s="368"/>
      <c r="OD103" s="368"/>
      <c r="OE103" s="368"/>
      <c r="OF103" s="368"/>
      <c r="OG103" s="368"/>
      <c r="OH103" s="368"/>
      <c r="OI103" s="368"/>
      <c r="OJ103" s="368"/>
      <c r="OK103" s="368"/>
      <c r="OL103" s="368"/>
      <c r="OM103" s="368"/>
      <c r="ON103" s="368"/>
      <c r="OO103" s="368"/>
      <c r="OP103" s="368"/>
      <c r="OQ103" s="368"/>
      <c r="OR103" s="368"/>
      <c r="OS103" s="368"/>
      <c r="OT103" s="368"/>
      <c r="OU103" s="368"/>
      <c r="OV103" s="368"/>
      <c r="OW103" s="368"/>
      <c r="OX103" s="368"/>
      <c r="OY103" s="368"/>
      <c r="OZ103" s="368"/>
      <c r="PA103" s="368"/>
      <c r="PB103" s="368"/>
      <c r="PC103" s="368"/>
      <c r="PD103" s="368"/>
      <c r="PE103" s="368"/>
      <c r="PF103" s="368"/>
      <c r="PG103" s="368"/>
      <c r="PH103" s="368"/>
      <c r="PI103" s="368"/>
      <c r="PJ103" s="368"/>
      <c r="PK103" s="368"/>
      <c r="PL103" s="368"/>
      <c r="PM103" s="368"/>
      <c r="PN103" s="368"/>
      <c r="PO103" s="368"/>
      <c r="PP103" s="368"/>
      <c r="PQ103" s="368"/>
      <c r="PR103" s="368"/>
      <c r="PS103" s="368"/>
      <c r="PT103" s="368"/>
      <c r="PU103" s="368"/>
      <c r="PV103" s="368"/>
      <c r="PW103" s="368"/>
      <c r="PX103" s="368"/>
      <c r="PY103" s="368"/>
      <c r="PZ103" s="368"/>
      <c r="QA103" s="368"/>
      <c r="QB103" s="368"/>
      <c r="QC103" s="368"/>
      <c r="QD103" s="368"/>
      <c r="QE103" s="368"/>
      <c r="QF103" s="368"/>
      <c r="QG103" s="368"/>
      <c r="QH103" s="368"/>
      <c r="QI103" s="368"/>
      <c r="QJ103" s="368"/>
      <c r="QK103" s="368"/>
      <c r="QL103" s="368"/>
      <c r="QM103" s="368"/>
      <c r="QN103" s="368"/>
      <c r="QO103" s="368"/>
      <c r="QP103" s="368"/>
      <c r="QQ103" s="368"/>
      <c r="QR103" s="368"/>
      <c r="QS103" s="368"/>
      <c r="QT103" s="368"/>
      <c r="QU103" s="368"/>
      <c r="QV103" s="368"/>
      <c r="QW103" s="368"/>
      <c r="QX103" s="368"/>
      <c r="QY103" s="368"/>
      <c r="QZ103" s="368"/>
      <c r="RA103" s="368"/>
      <c r="RB103" s="368"/>
      <c r="RC103" s="368"/>
      <c r="RD103" s="368"/>
      <c r="RE103" s="368"/>
      <c r="RF103" s="368"/>
      <c r="RG103" s="368"/>
      <c r="RH103" s="368"/>
      <c r="RI103" s="368"/>
      <c r="RJ103" s="368"/>
      <c r="RK103" s="368"/>
      <c r="RL103" s="368"/>
      <c r="RM103" s="368"/>
      <c r="RN103" s="368"/>
      <c r="RO103" s="368"/>
      <c r="RP103" s="368"/>
      <c r="RQ103" s="368"/>
      <c r="RR103" s="368"/>
      <c r="RS103" s="368"/>
      <c r="RT103" s="368"/>
      <c r="RU103" s="368"/>
      <c r="RV103" s="368"/>
      <c r="RW103" s="368"/>
      <c r="RX103" s="368"/>
      <c r="RY103" s="368"/>
      <c r="RZ103" s="368"/>
      <c r="SA103" s="368"/>
      <c r="SB103" s="368"/>
      <c r="SC103" s="368"/>
      <c r="SD103" s="368"/>
      <c r="SE103" s="368"/>
      <c r="SF103" s="368"/>
      <c r="SG103" s="368"/>
      <c r="SH103" s="368"/>
      <c r="SI103" s="368"/>
      <c r="SJ103" s="368"/>
      <c r="SK103" s="368"/>
      <c r="SL103" s="368"/>
      <c r="SM103" s="368"/>
      <c r="SN103" s="368"/>
      <c r="SO103" s="368"/>
      <c r="SP103" s="368"/>
      <c r="SQ103" s="368"/>
      <c r="SR103" s="368"/>
      <c r="SS103" s="368"/>
      <c r="ST103" s="368"/>
      <c r="SU103" s="368"/>
      <c r="SV103" s="368"/>
      <c r="SW103" s="368"/>
      <c r="SX103" s="368"/>
      <c r="SY103" s="368"/>
      <c r="SZ103" s="368"/>
      <c r="TA103" s="368"/>
      <c r="TB103" s="368"/>
      <c r="TC103" s="368"/>
      <c r="TD103" s="368"/>
      <c r="TE103" s="368"/>
      <c r="TF103" s="368"/>
      <c r="TG103" s="368"/>
      <c r="TH103" s="368"/>
      <c r="TI103" s="368"/>
      <c r="TJ103" s="368"/>
      <c r="TK103" s="368"/>
      <c r="TL103" s="368"/>
      <c r="TM103" s="368"/>
      <c r="TN103" s="368"/>
      <c r="TO103" s="368"/>
      <c r="TP103" s="368"/>
      <c r="TQ103" s="368"/>
      <c r="TR103" s="368"/>
      <c r="TS103" s="368"/>
      <c r="TT103" s="368"/>
      <c r="TU103" s="368"/>
      <c r="TV103" s="368"/>
      <c r="TW103" s="368"/>
      <c r="TX103" s="368"/>
      <c r="TY103" s="368"/>
      <c r="TZ103" s="368"/>
      <c r="UA103" s="368"/>
      <c r="UB103" s="368"/>
      <c r="UC103" s="368"/>
      <c r="UD103" s="368"/>
      <c r="UE103" s="368"/>
      <c r="UF103" s="368"/>
      <c r="UG103" s="368"/>
      <c r="UH103" s="368"/>
      <c r="UI103" s="368"/>
      <c r="UJ103" s="368"/>
      <c r="UK103" s="368"/>
      <c r="UL103" s="368"/>
      <c r="UM103" s="368"/>
      <c r="UN103" s="368"/>
      <c r="UO103" s="368"/>
      <c r="UP103" s="368"/>
      <c r="UQ103" s="368"/>
      <c r="UR103" s="368"/>
      <c r="US103" s="368"/>
      <c r="UT103" s="368"/>
      <c r="UU103" s="368"/>
      <c r="UV103" s="368"/>
      <c r="UW103" s="368"/>
      <c r="UX103" s="368"/>
      <c r="UY103" s="368"/>
      <c r="UZ103" s="368"/>
      <c r="VA103" s="368"/>
      <c r="VB103" s="368"/>
      <c r="VC103" s="368"/>
      <c r="VD103" s="368"/>
      <c r="VE103" s="368"/>
      <c r="VF103" s="368"/>
      <c r="VG103" s="368"/>
      <c r="VH103" s="368"/>
      <c r="VI103" s="368"/>
      <c r="VJ103" s="368"/>
      <c r="VK103" s="368"/>
      <c r="VL103" s="368"/>
      <c r="VM103" s="368"/>
      <c r="VN103" s="368"/>
      <c r="VO103" s="368"/>
      <c r="VP103" s="368"/>
      <c r="VQ103" s="368"/>
      <c r="VR103" s="368"/>
      <c r="VS103" s="368"/>
      <c r="VT103" s="368"/>
      <c r="VU103" s="368"/>
      <c r="VV103" s="368"/>
      <c r="VW103" s="368"/>
      <c r="VX103" s="368"/>
      <c r="VY103" s="368"/>
      <c r="VZ103" s="368"/>
      <c r="WA103" s="368"/>
      <c r="WB103" s="368"/>
      <c r="WC103" s="368"/>
      <c r="WD103" s="368"/>
      <c r="WE103" s="368"/>
      <c r="WF103" s="368"/>
      <c r="WG103" s="368"/>
      <c r="WH103" s="368"/>
      <c r="WI103" s="368"/>
      <c r="WJ103" s="368"/>
      <c r="WK103" s="368"/>
      <c r="WL103" s="368"/>
      <c r="WM103" s="368"/>
      <c r="WN103" s="368"/>
      <c r="WO103" s="368"/>
      <c r="WP103" s="368"/>
      <c r="WQ103" s="368"/>
      <c r="WR103" s="368"/>
      <c r="WS103" s="368"/>
      <c r="WT103" s="368"/>
      <c r="WU103" s="368"/>
      <c r="WV103" s="368"/>
      <c r="WW103" s="368"/>
      <c r="WX103" s="368"/>
      <c r="WY103" s="368"/>
      <c r="WZ103" s="368"/>
      <c r="XA103" s="368"/>
      <c r="XB103" s="368"/>
      <c r="XC103" s="368"/>
      <c r="XD103" s="368"/>
      <c r="XE103" s="368"/>
      <c r="XF103" s="368"/>
      <c r="XG103" s="368"/>
      <c r="XH103" s="368"/>
      <c r="XI103" s="368"/>
      <c r="XJ103" s="368"/>
      <c r="XK103" s="368"/>
      <c r="XL103" s="368"/>
      <c r="XM103" s="368"/>
      <c r="XN103" s="368"/>
      <c r="XO103" s="368"/>
      <c r="XP103" s="368"/>
      <c r="XQ103" s="368"/>
      <c r="XR103" s="368"/>
      <c r="XS103" s="368"/>
      <c r="XT103" s="368"/>
      <c r="XU103" s="368"/>
      <c r="XV103" s="368"/>
      <c r="XW103" s="368"/>
      <c r="XX103" s="368"/>
      <c r="XY103" s="368"/>
      <c r="XZ103" s="368"/>
      <c r="YA103" s="368"/>
      <c r="YB103" s="368"/>
      <c r="YC103" s="368"/>
      <c r="YD103" s="368"/>
      <c r="YE103" s="368"/>
      <c r="YF103" s="368"/>
      <c r="YG103" s="368"/>
      <c r="YH103" s="368"/>
      <c r="YI103" s="368"/>
      <c r="YJ103" s="368"/>
      <c r="YK103" s="368"/>
      <c r="YL103" s="368"/>
      <c r="YM103" s="368"/>
      <c r="YN103" s="368"/>
      <c r="YO103" s="368"/>
      <c r="YP103" s="368"/>
      <c r="YQ103" s="368"/>
      <c r="YR103" s="368"/>
      <c r="YS103" s="368"/>
      <c r="YT103" s="368"/>
      <c r="YU103" s="368"/>
      <c r="YV103" s="368"/>
      <c r="YW103" s="368"/>
      <c r="YX103" s="368"/>
      <c r="YY103" s="368"/>
      <c r="YZ103" s="368"/>
      <c r="ZA103" s="368"/>
      <c r="ZB103" s="368"/>
      <c r="ZC103" s="368"/>
      <c r="ZD103" s="368"/>
      <c r="ZE103" s="368"/>
      <c r="ZF103" s="368"/>
      <c r="ZG103" s="368"/>
      <c r="ZH103" s="368"/>
      <c r="ZI103" s="368"/>
      <c r="ZJ103" s="368"/>
      <c r="ZK103" s="368"/>
      <c r="ZL103" s="368"/>
      <c r="ZM103" s="368"/>
      <c r="ZN103" s="368"/>
      <c r="ZO103" s="368"/>
      <c r="ZP103" s="368"/>
      <c r="ZQ103" s="368"/>
      <c r="ZR103" s="368"/>
      <c r="ZS103" s="368"/>
      <c r="ZT103" s="368"/>
      <c r="ZU103" s="368"/>
      <c r="ZV103" s="368"/>
      <c r="ZW103" s="368"/>
      <c r="ZX103" s="368"/>
      <c r="ZY103" s="368"/>
      <c r="ZZ103" s="368"/>
      <c r="AAA103" s="368"/>
      <c r="AAB103" s="368"/>
      <c r="AAC103" s="368"/>
      <c r="AAD103" s="368"/>
      <c r="AAE103" s="368"/>
      <c r="AAF103" s="368"/>
      <c r="AAG103" s="368"/>
      <c r="AAH103" s="368"/>
      <c r="AAI103" s="368"/>
      <c r="AAJ103" s="368"/>
      <c r="AAK103" s="368"/>
      <c r="AAL103" s="368"/>
      <c r="AAM103" s="368"/>
      <c r="AAN103" s="368"/>
      <c r="AAO103" s="368"/>
      <c r="AAP103" s="368"/>
      <c r="AAQ103" s="368"/>
      <c r="AAR103" s="368"/>
      <c r="AAS103" s="368"/>
      <c r="AAT103" s="368"/>
      <c r="AAU103" s="368"/>
      <c r="AAV103" s="368"/>
      <c r="AAW103" s="368"/>
      <c r="AAX103" s="368"/>
      <c r="AAY103" s="368"/>
      <c r="AAZ103" s="368"/>
      <c r="ABA103" s="368"/>
      <c r="ABB103" s="368"/>
      <c r="ABC103" s="368"/>
      <c r="ABD103" s="368"/>
      <c r="ABE103" s="368"/>
      <c r="ABF103" s="368"/>
      <c r="ABG103" s="368"/>
      <c r="ABH103" s="368"/>
      <c r="ABI103" s="368"/>
      <c r="ABJ103" s="368"/>
      <c r="ABK103" s="368"/>
      <c r="ABL103" s="368"/>
      <c r="ABM103" s="368"/>
      <c r="ABN103" s="368"/>
      <c r="ABO103" s="368"/>
      <c r="ABP103" s="368"/>
      <c r="ABQ103" s="368"/>
      <c r="ABR103" s="368"/>
      <c r="ABS103" s="368"/>
      <c r="ABT103" s="368"/>
      <c r="ABU103" s="368"/>
      <c r="ABV103" s="368"/>
      <c r="ABW103" s="368"/>
      <c r="ABX103" s="368"/>
      <c r="ABY103" s="368"/>
      <c r="ABZ103" s="368"/>
      <c r="ACA103" s="368"/>
      <c r="ACB103" s="368"/>
      <c r="ACC103" s="368"/>
      <c r="ACD103" s="368"/>
      <c r="ACE103" s="368"/>
      <c r="ACF103" s="368"/>
      <c r="ACG103" s="368"/>
      <c r="ACH103" s="368"/>
      <c r="ACI103" s="368"/>
      <c r="ACJ103" s="368"/>
      <c r="ACK103" s="368"/>
      <c r="ACL103" s="368"/>
      <c r="ACM103" s="368"/>
      <c r="ACN103" s="368"/>
      <c r="ACO103" s="368"/>
      <c r="ACP103" s="368"/>
      <c r="ACQ103" s="368"/>
      <c r="ACR103" s="368"/>
      <c r="ACS103" s="368"/>
      <c r="ACT103" s="368"/>
      <c r="ACU103" s="368"/>
      <c r="ACV103" s="368"/>
      <c r="ACW103" s="368"/>
      <c r="ACX103" s="368"/>
      <c r="ACY103" s="368"/>
      <c r="ACZ103" s="368"/>
      <c r="ADA103" s="368"/>
      <c r="ADB103" s="368"/>
      <c r="ADC103" s="368"/>
      <c r="ADD103" s="368"/>
      <c r="ADE103" s="368"/>
      <c r="ADF103" s="368"/>
      <c r="ADG103" s="368"/>
      <c r="ADH103" s="368"/>
      <c r="ADI103" s="368"/>
      <c r="ADJ103" s="368"/>
      <c r="ADK103" s="368"/>
      <c r="ADL103" s="368"/>
      <c r="ADM103" s="368"/>
      <c r="ADN103" s="368"/>
      <c r="ADO103" s="368"/>
      <c r="ADP103" s="368"/>
      <c r="ADQ103" s="368"/>
      <c r="ADR103" s="368"/>
      <c r="ADS103" s="368"/>
      <c r="ADT103" s="368"/>
      <c r="ADU103" s="368"/>
      <c r="ADV103" s="368"/>
      <c r="ADW103" s="368"/>
      <c r="ADX103" s="368"/>
      <c r="ADY103" s="368"/>
      <c r="ADZ103" s="368"/>
      <c r="AEA103" s="368"/>
      <c r="AEB103" s="368"/>
      <c r="AEC103" s="368"/>
      <c r="AED103" s="368"/>
      <c r="AEE103" s="368"/>
      <c r="AEF103" s="368"/>
      <c r="AEG103" s="368"/>
      <c r="AEH103" s="368"/>
      <c r="AEI103" s="368"/>
      <c r="AEJ103" s="368"/>
      <c r="AEK103" s="368"/>
      <c r="AEL103" s="368"/>
      <c r="AEM103" s="368"/>
      <c r="AEN103" s="368"/>
      <c r="AEO103" s="368"/>
      <c r="AEP103" s="368"/>
      <c r="AEQ103" s="368"/>
      <c r="AER103" s="368"/>
      <c r="AES103" s="368"/>
      <c r="AET103" s="368"/>
      <c r="AEU103" s="368"/>
      <c r="AEV103" s="368"/>
      <c r="AEW103" s="368"/>
      <c r="AEX103" s="368"/>
      <c r="AEY103" s="368"/>
      <c r="AEZ103" s="368"/>
      <c r="AFA103" s="368"/>
      <c r="AFB103" s="368"/>
      <c r="AFC103" s="368"/>
      <c r="AFD103" s="368"/>
      <c r="AFE103" s="368"/>
      <c r="AFF103" s="368"/>
      <c r="AFG103" s="368"/>
      <c r="AFH103" s="368"/>
      <c r="AFI103" s="368"/>
      <c r="AFJ103" s="368"/>
      <c r="AFK103" s="368"/>
      <c r="AFL103" s="368"/>
      <c r="AFM103" s="368"/>
      <c r="AFN103" s="368"/>
      <c r="AFO103" s="368"/>
      <c r="AFP103" s="368"/>
      <c r="AFQ103" s="368"/>
      <c r="AFR103" s="368"/>
      <c r="AFS103" s="368"/>
      <c r="AFT103" s="368"/>
      <c r="AFU103" s="368"/>
      <c r="AFV103" s="368"/>
      <c r="AFW103" s="368"/>
      <c r="AFX103" s="368"/>
      <c r="AFY103" s="368"/>
      <c r="AFZ103" s="368"/>
      <c r="AGA103" s="368"/>
      <c r="AGB103" s="368"/>
      <c r="AGC103" s="368"/>
      <c r="AGD103" s="368"/>
      <c r="AGE103" s="368"/>
      <c r="AGF103" s="368"/>
      <c r="AGG103" s="368"/>
      <c r="AGH103" s="368"/>
      <c r="AGI103" s="368"/>
      <c r="AGJ103" s="368"/>
      <c r="AGK103" s="368"/>
      <c r="AGL103" s="368"/>
      <c r="AGM103" s="368"/>
      <c r="AGN103" s="368"/>
      <c r="AGO103" s="368"/>
      <c r="AGP103" s="368"/>
      <c r="AGQ103" s="368"/>
      <c r="AGR103" s="368"/>
      <c r="AGS103" s="368"/>
      <c r="AGT103" s="368"/>
      <c r="AGU103" s="368"/>
      <c r="AGV103" s="368"/>
      <c r="AGW103" s="368"/>
      <c r="AGX103" s="368"/>
      <c r="AGY103" s="368"/>
      <c r="AGZ103" s="368"/>
      <c r="AHA103" s="368"/>
      <c r="AHB103" s="368"/>
      <c r="AHC103" s="368"/>
      <c r="AHD103" s="368"/>
      <c r="AHE103" s="368"/>
      <c r="AHF103" s="368"/>
      <c r="AHG103" s="368"/>
      <c r="AHH103" s="368"/>
      <c r="AHI103" s="368"/>
      <c r="AHJ103" s="368"/>
      <c r="AHK103" s="368"/>
      <c r="AHL103" s="368"/>
      <c r="AHM103" s="368"/>
      <c r="AHN103" s="368"/>
      <c r="AHO103" s="368"/>
      <c r="AHP103" s="368"/>
      <c r="AHQ103" s="368"/>
      <c r="AHR103" s="368"/>
      <c r="AHS103" s="368"/>
      <c r="AHT103" s="368"/>
      <c r="AHU103" s="368"/>
      <c r="AHV103" s="368"/>
      <c r="AHW103" s="368"/>
      <c r="AHX103" s="368"/>
      <c r="AHY103" s="368"/>
      <c r="AHZ103" s="368"/>
      <c r="AIA103" s="368"/>
      <c r="AIB103" s="368"/>
      <c r="AIC103" s="368"/>
      <c r="AID103" s="368"/>
      <c r="AIE103" s="368"/>
      <c r="AIF103" s="368"/>
      <c r="AIG103" s="368"/>
      <c r="AIH103" s="368"/>
      <c r="AII103" s="368"/>
      <c r="AIJ103" s="368"/>
      <c r="AIK103" s="368"/>
      <c r="AIL103" s="368"/>
      <c r="AIM103" s="368"/>
      <c r="AIN103" s="368"/>
      <c r="AIO103" s="368"/>
      <c r="AIP103" s="368"/>
      <c r="AIQ103" s="368"/>
      <c r="AIR103" s="368"/>
      <c r="AIS103" s="368"/>
      <c r="AIT103" s="368"/>
      <c r="AIU103" s="368"/>
      <c r="AIV103" s="368"/>
      <c r="AIW103" s="368"/>
      <c r="AIX103" s="368"/>
      <c r="AIY103" s="368"/>
      <c r="AIZ103" s="368"/>
      <c r="AJA103" s="368"/>
      <c r="AJB103" s="368"/>
      <c r="AJC103" s="368"/>
      <c r="AJD103" s="368"/>
      <c r="AJE103" s="368"/>
      <c r="AJF103" s="368"/>
      <c r="AJG103" s="368"/>
      <c r="AJH103" s="368"/>
      <c r="AJI103" s="368"/>
      <c r="AJJ103" s="368"/>
      <c r="AJK103" s="368"/>
      <c r="AJL103" s="368"/>
      <c r="AJM103" s="368"/>
      <c r="AJN103" s="368"/>
      <c r="AJO103" s="368"/>
      <c r="AJP103" s="368"/>
      <c r="AJQ103" s="368"/>
      <c r="AJR103" s="368"/>
      <c r="AJS103" s="368"/>
      <c r="AJT103" s="368"/>
      <c r="AJU103" s="368"/>
      <c r="AJV103" s="368"/>
      <c r="AJW103" s="368"/>
      <c r="AJX103" s="368"/>
      <c r="AJY103" s="368"/>
      <c r="AJZ103" s="368"/>
      <c r="AKA103" s="368"/>
      <c r="AKB103" s="368"/>
      <c r="AKC103" s="368"/>
      <c r="AKD103" s="368"/>
      <c r="AKE103" s="368"/>
      <c r="AKF103" s="368"/>
      <c r="AKG103" s="368"/>
      <c r="AKH103" s="368"/>
      <c r="AKI103" s="368"/>
      <c r="AKJ103" s="368"/>
      <c r="AKK103" s="368"/>
      <c r="AKL103" s="368"/>
      <c r="AKM103" s="368"/>
      <c r="AKN103" s="368"/>
    </row>
    <row r="104" spans="1:976" s="14" customFormat="1" ht="22.5" customHeight="1" x14ac:dyDescent="0.2">
      <c r="A104" s="408" t="s">
        <v>262</v>
      </c>
      <c r="B104" s="408"/>
      <c r="C104" s="408" t="s">
        <v>221</v>
      </c>
      <c r="D104" s="408" t="s">
        <v>222</v>
      </c>
      <c r="E104" s="409">
        <v>412704</v>
      </c>
      <c r="F104" s="409">
        <v>1564</v>
      </c>
      <c r="G104" s="409">
        <v>237</v>
      </c>
      <c r="H104" s="409">
        <v>0</v>
      </c>
      <c r="I104" s="410">
        <v>45861</v>
      </c>
      <c r="J104" s="408" t="s">
        <v>263</v>
      </c>
      <c r="K104" s="408" t="s">
        <v>567</v>
      </c>
      <c r="L104" s="411">
        <v>84.06</v>
      </c>
      <c r="M104" s="411">
        <v>4.62</v>
      </c>
      <c r="N104" s="450">
        <v>88.68</v>
      </c>
      <c r="O104" s="408"/>
      <c r="P104" s="412">
        <v>45866</v>
      </c>
      <c r="Q104" s="411">
        <v>88.68</v>
      </c>
      <c r="R104" s="408" t="s">
        <v>568</v>
      </c>
      <c r="S104" s="411">
        <v>0</v>
      </c>
      <c r="T104" s="411">
        <v>0</v>
      </c>
      <c r="U104" s="411">
        <v>0</v>
      </c>
      <c r="V104" s="411">
        <v>0</v>
      </c>
      <c r="W104" s="408"/>
      <c r="X104" s="408" t="s">
        <v>293</v>
      </c>
      <c r="Y104" s="408" t="s">
        <v>294</v>
      </c>
      <c r="Z104" s="408" t="s">
        <v>53</v>
      </c>
      <c r="AA104" s="408" t="s">
        <v>228</v>
      </c>
      <c r="AB104" s="408" t="s">
        <v>239</v>
      </c>
      <c r="AC104" s="408" t="s">
        <v>457</v>
      </c>
      <c r="AD104" s="408" t="s">
        <v>231</v>
      </c>
      <c r="AE104" s="408" t="s">
        <v>232</v>
      </c>
      <c r="AF104" s="408" t="s">
        <v>231</v>
      </c>
      <c r="AG104" s="408" t="s">
        <v>232</v>
      </c>
      <c r="AH104" s="408"/>
      <c r="AI104" s="408"/>
      <c r="AJ104" s="408"/>
      <c r="AK104" s="408" t="s">
        <v>569</v>
      </c>
      <c r="AL104" s="409">
        <v>1</v>
      </c>
      <c r="AM104" s="409">
        <v>0</v>
      </c>
      <c r="AN104" s="410">
        <v>45866</v>
      </c>
      <c r="AO104" s="410">
        <v>45866</v>
      </c>
      <c r="AP104" s="411">
        <v>88.68</v>
      </c>
      <c r="AQ104" s="410">
        <v>45865</v>
      </c>
    </row>
    <row r="105" spans="1:976" s="14" customFormat="1" ht="22.5" customHeight="1" x14ac:dyDescent="0.2">
      <c r="A105" s="408" t="s">
        <v>262</v>
      </c>
      <c r="B105" s="408"/>
      <c r="C105" s="408" t="s">
        <v>221</v>
      </c>
      <c r="D105" s="408" t="s">
        <v>222</v>
      </c>
      <c r="E105" s="409">
        <v>412724</v>
      </c>
      <c r="F105" s="409">
        <v>1571</v>
      </c>
      <c r="G105" s="409">
        <v>240</v>
      </c>
      <c r="H105" s="409">
        <v>0</v>
      </c>
      <c r="I105" s="410">
        <v>45863</v>
      </c>
      <c r="J105" s="408" t="s">
        <v>395</v>
      </c>
      <c r="K105" s="408" t="s">
        <v>570</v>
      </c>
      <c r="L105" s="411">
        <v>120.3</v>
      </c>
      <c r="M105" s="411">
        <v>8.3800000000000008</v>
      </c>
      <c r="N105" s="450">
        <v>128.68</v>
      </c>
      <c r="O105" s="408"/>
      <c r="P105" s="412">
        <v>45867</v>
      </c>
      <c r="Q105" s="411">
        <v>128.68</v>
      </c>
      <c r="R105" s="408" t="s">
        <v>571</v>
      </c>
      <c r="S105" s="411">
        <v>0</v>
      </c>
      <c r="T105" s="411">
        <v>0</v>
      </c>
      <c r="U105" s="411">
        <v>0</v>
      </c>
      <c r="V105" s="411">
        <v>0</v>
      </c>
      <c r="W105" s="408"/>
      <c r="X105" s="408" t="s">
        <v>293</v>
      </c>
      <c r="Y105" s="408" t="s">
        <v>294</v>
      </c>
      <c r="Z105" s="408" t="s">
        <v>53</v>
      </c>
      <c r="AA105" s="408" t="s">
        <v>228</v>
      </c>
      <c r="AB105" s="408" t="s">
        <v>239</v>
      </c>
      <c r="AC105" s="408" t="s">
        <v>240</v>
      </c>
      <c r="AD105" s="408" t="s">
        <v>231</v>
      </c>
      <c r="AE105" s="408" t="s">
        <v>232</v>
      </c>
      <c r="AF105" s="408" t="s">
        <v>231</v>
      </c>
      <c r="AG105" s="408" t="s">
        <v>232</v>
      </c>
      <c r="AH105" s="408"/>
      <c r="AI105" s="408"/>
      <c r="AJ105" s="408"/>
      <c r="AK105" s="408" t="s">
        <v>572</v>
      </c>
      <c r="AL105" s="409">
        <v>1</v>
      </c>
      <c r="AM105" s="409">
        <v>0</v>
      </c>
      <c r="AN105" s="410">
        <v>45867</v>
      </c>
      <c r="AO105" s="410">
        <v>45866</v>
      </c>
      <c r="AP105" s="411">
        <v>128.68</v>
      </c>
      <c r="AQ105" s="410">
        <v>45865</v>
      </c>
    </row>
    <row r="106" spans="1:976" s="14" customFormat="1" ht="22.5" customHeight="1" x14ac:dyDescent="0.2">
      <c r="A106" s="408" t="s">
        <v>262</v>
      </c>
      <c r="B106" s="408"/>
      <c r="C106" s="408" t="s">
        <v>221</v>
      </c>
      <c r="D106" s="408" t="s">
        <v>222</v>
      </c>
      <c r="E106" s="409">
        <v>412725</v>
      </c>
      <c r="F106" s="409">
        <v>1572</v>
      </c>
      <c r="G106" s="409">
        <v>240</v>
      </c>
      <c r="H106" s="409">
        <v>0</v>
      </c>
      <c r="I106" s="410">
        <v>45863</v>
      </c>
      <c r="J106" s="408" t="s">
        <v>395</v>
      </c>
      <c r="K106" s="408" t="s">
        <v>573</v>
      </c>
      <c r="L106" s="411">
        <v>142.19999999999999</v>
      </c>
      <c r="M106" s="411">
        <v>7.82</v>
      </c>
      <c r="N106" s="450">
        <v>150.02000000000001</v>
      </c>
      <c r="O106" s="408"/>
      <c r="P106" s="412">
        <v>45869</v>
      </c>
      <c r="Q106" s="411">
        <v>150.02000000000001</v>
      </c>
      <c r="R106" s="408" t="s">
        <v>574</v>
      </c>
      <c r="S106" s="411">
        <v>0</v>
      </c>
      <c r="T106" s="411">
        <v>0</v>
      </c>
      <c r="U106" s="411">
        <v>0</v>
      </c>
      <c r="V106" s="411">
        <v>0</v>
      </c>
      <c r="W106" s="408"/>
      <c r="X106" s="408" t="s">
        <v>293</v>
      </c>
      <c r="Y106" s="408" t="s">
        <v>294</v>
      </c>
      <c r="Z106" s="408" t="s">
        <v>53</v>
      </c>
      <c r="AA106" s="408" t="s">
        <v>228</v>
      </c>
      <c r="AB106" s="408" t="s">
        <v>239</v>
      </c>
      <c r="AC106" s="408" t="s">
        <v>240</v>
      </c>
      <c r="AD106" s="408" t="s">
        <v>231</v>
      </c>
      <c r="AE106" s="408" t="s">
        <v>232</v>
      </c>
      <c r="AF106" s="408" t="s">
        <v>231</v>
      </c>
      <c r="AG106" s="408" t="s">
        <v>232</v>
      </c>
      <c r="AH106" s="408"/>
      <c r="AI106" s="408"/>
      <c r="AJ106" s="408"/>
      <c r="AK106" s="408" t="s">
        <v>575</v>
      </c>
      <c r="AL106" s="409">
        <v>1</v>
      </c>
      <c r="AM106" s="409">
        <v>0</v>
      </c>
      <c r="AN106" s="410">
        <v>45868</v>
      </c>
      <c r="AO106" s="410">
        <v>45866</v>
      </c>
      <c r="AP106" s="411">
        <v>150.02000000000001</v>
      </c>
      <c r="AQ106" s="410">
        <v>45865</v>
      </c>
    </row>
    <row r="107" spans="1:976" s="14" customFormat="1" ht="22.5" customHeight="1" x14ac:dyDescent="0.2">
      <c r="A107" s="408" t="s">
        <v>262</v>
      </c>
      <c r="B107" s="408"/>
      <c r="C107" s="408" t="s">
        <v>221</v>
      </c>
      <c r="D107" s="408" t="s">
        <v>222</v>
      </c>
      <c r="E107" s="409">
        <v>412726</v>
      </c>
      <c r="F107" s="409">
        <v>1573</v>
      </c>
      <c r="G107" s="409">
        <v>240</v>
      </c>
      <c r="H107" s="409">
        <v>0</v>
      </c>
      <c r="I107" s="410">
        <v>45863</v>
      </c>
      <c r="J107" s="408" t="s">
        <v>395</v>
      </c>
      <c r="K107" s="408" t="s">
        <v>576</v>
      </c>
      <c r="L107" s="411">
        <v>89.05</v>
      </c>
      <c r="M107" s="411">
        <v>4.9000000000000004</v>
      </c>
      <c r="N107" s="450">
        <v>93.95</v>
      </c>
      <c r="O107" s="408"/>
      <c r="P107" s="412">
        <v>45867</v>
      </c>
      <c r="Q107" s="411">
        <v>93.95</v>
      </c>
      <c r="R107" s="408" t="s">
        <v>577</v>
      </c>
      <c r="S107" s="411">
        <v>0</v>
      </c>
      <c r="T107" s="411">
        <v>0</v>
      </c>
      <c r="U107" s="411">
        <v>0</v>
      </c>
      <c r="V107" s="411">
        <v>0</v>
      </c>
      <c r="W107" s="408"/>
      <c r="X107" s="408" t="s">
        <v>293</v>
      </c>
      <c r="Y107" s="408" t="s">
        <v>294</v>
      </c>
      <c r="Z107" s="408" t="s">
        <v>53</v>
      </c>
      <c r="AA107" s="408" t="s">
        <v>228</v>
      </c>
      <c r="AB107" s="408" t="s">
        <v>239</v>
      </c>
      <c r="AC107" s="408" t="s">
        <v>240</v>
      </c>
      <c r="AD107" s="408" t="s">
        <v>231</v>
      </c>
      <c r="AE107" s="408" t="s">
        <v>232</v>
      </c>
      <c r="AF107" s="408" t="s">
        <v>231</v>
      </c>
      <c r="AG107" s="408" t="s">
        <v>232</v>
      </c>
      <c r="AH107" s="408"/>
      <c r="AI107" s="408"/>
      <c r="AJ107" s="408"/>
      <c r="AK107" s="408" t="s">
        <v>578</v>
      </c>
      <c r="AL107" s="409">
        <v>1</v>
      </c>
      <c r="AM107" s="409">
        <v>0</v>
      </c>
      <c r="AN107" s="410">
        <v>45867</v>
      </c>
      <c r="AO107" s="410">
        <v>45866</v>
      </c>
      <c r="AP107" s="411">
        <v>93.95</v>
      </c>
      <c r="AQ107" s="410">
        <v>45865</v>
      </c>
    </row>
    <row r="108" spans="1:976" s="357" customFormat="1" ht="22.5" customHeight="1" x14ac:dyDescent="0.2">
      <c r="A108" s="413" t="s">
        <v>262</v>
      </c>
      <c r="B108" s="413"/>
      <c r="C108" s="413" t="s">
        <v>221</v>
      </c>
      <c r="D108" s="413" t="s">
        <v>222</v>
      </c>
      <c r="E108" s="414">
        <v>412728</v>
      </c>
      <c r="F108" s="414">
        <v>1575</v>
      </c>
      <c r="G108" s="414">
        <v>240</v>
      </c>
      <c r="H108" s="414">
        <v>0</v>
      </c>
      <c r="I108" s="415">
        <v>45863</v>
      </c>
      <c r="J108" s="413" t="s">
        <v>395</v>
      </c>
      <c r="K108" s="413" t="s">
        <v>579</v>
      </c>
      <c r="L108" s="416">
        <v>57.67</v>
      </c>
      <c r="M108" s="416">
        <v>3.17</v>
      </c>
      <c r="N108" s="446">
        <v>60.84</v>
      </c>
      <c r="O108" s="413"/>
      <c r="P108" s="417">
        <v>45867</v>
      </c>
      <c r="Q108" s="416">
        <v>60.84</v>
      </c>
      <c r="R108" s="413" t="s">
        <v>315</v>
      </c>
      <c r="S108" s="416">
        <v>0</v>
      </c>
      <c r="T108" s="416">
        <v>0</v>
      </c>
      <c r="U108" s="416">
        <v>0</v>
      </c>
      <c r="V108" s="416">
        <v>0</v>
      </c>
      <c r="W108" s="413"/>
      <c r="X108" s="413" t="s">
        <v>308</v>
      </c>
      <c r="Y108" s="413" t="s">
        <v>309</v>
      </c>
      <c r="Z108" s="413" t="s">
        <v>42</v>
      </c>
      <c r="AA108" s="413" t="s">
        <v>228</v>
      </c>
      <c r="AB108" s="413" t="s">
        <v>34</v>
      </c>
      <c r="AC108" s="413" t="s">
        <v>50</v>
      </c>
      <c r="AD108" s="413" t="s">
        <v>231</v>
      </c>
      <c r="AE108" s="413" t="s">
        <v>232</v>
      </c>
      <c r="AF108" s="413" t="s">
        <v>231</v>
      </c>
      <c r="AG108" s="413" t="s">
        <v>232</v>
      </c>
      <c r="AH108" s="413"/>
      <c r="AI108" s="413"/>
      <c r="AJ108" s="413"/>
      <c r="AK108" s="413" t="s">
        <v>580</v>
      </c>
      <c r="AL108" s="414">
        <v>1</v>
      </c>
      <c r="AM108" s="414">
        <v>0</v>
      </c>
      <c r="AN108" s="415">
        <v>45867</v>
      </c>
      <c r="AO108" s="415">
        <v>45866</v>
      </c>
      <c r="AP108" s="416">
        <v>60.84</v>
      </c>
      <c r="AQ108" s="415">
        <v>45865</v>
      </c>
      <c r="AR108" s="368"/>
      <c r="AS108" s="368"/>
      <c r="AT108" s="368"/>
      <c r="AU108" s="368"/>
      <c r="AV108" s="368"/>
      <c r="AW108" s="368"/>
      <c r="AX108" s="368"/>
      <c r="AY108" s="368"/>
      <c r="AZ108" s="368"/>
      <c r="BA108" s="368"/>
      <c r="BB108" s="368"/>
      <c r="BC108" s="368"/>
      <c r="BD108" s="368"/>
      <c r="BE108" s="368"/>
      <c r="BF108" s="368"/>
      <c r="BG108" s="368"/>
      <c r="BH108" s="368"/>
      <c r="BI108" s="368"/>
      <c r="BJ108" s="368"/>
      <c r="BK108" s="368"/>
      <c r="BL108" s="368"/>
      <c r="BM108" s="368"/>
      <c r="BN108" s="368"/>
      <c r="BO108" s="368"/>
      <c r="BP108" s="368"/>
      <c r="BQ108" s="368"/>
      <c r="BR108" s="368"/>
      <c r="BS108" s="368"/>
      <c r="BT108" s="368"/>
      <c r="BU108" s="368"/>
      <c r="BV108" s="368"/>
      <c r="BW108" s="368"/>
      <c r="BX108" s="368"/>
      <c r="BY108" s="368"/>
      <c r="BZ108" s="368"/>
      <c r="CA108" s="368"/>
      <c r="CB108" s="368"/>
      <c r="CC108" s="368"/>
      <c r="CD108" s="368"/>
      <c r="CE108" s="368"/>
      <c r="CF108" s="368"/>
      <c r="CG108" s="368"/>
      <c r="CH108" s="368"/>
      <c r="CI108" s="368"/>
      <c r="CJ108" s="368"/>
      <c r="CK108" s="368"/>
      <c r="CL108" s="368"/>
      <c r="CM108" s="368"/>
      <c r="CN108" s="368"/>
      <c r="CO108" s="368"/>
      <c r="CP108" s="368"/>
      <c r="CQ108" s="368"/>
      <c r="CR108" s="368"/>
      <c r="CS108" s="368"/>
      <c r="CT108" s="368"/>
      <c r="CU108" s="368"/>
      <c r="CV108" s="368"/>
      <c r="CW108" s="368"/>
      <c r="CX108" s="368"/>
      <c r="CY108" s="368"/>
      <c r="CZ108" s="368"/>
      <c r="DA108" s="368"/>
      <c r="DB108" s="368"/>
      <c r="DC108" s="368"/>
      <c r="DD108" s="368"/>
      <c r="DE108" s="368"/>
      <c r="DF108" s="368"/>
      <c r="DG108" s="368"/>
      <c r="DH108" s="368"/>
      <c r="DI108" s="368"/>
      <c r="DJ108" s="368"/>
      <c r="DK108" s="368"/>
      <c r="DL108" s="368"/>
      <c r="DM108" s="368"/>
      <c r="DN108" s="368"/>
      <c r="DO108" s="368"/>
      <c r="DP108" s="368"/>
      <c r="DQ108" s="368"/>
      <c r="DR108" s="368"/>
      <c r="DS108" s="368"/>
      <c r="DT108" s="368"/>
      <c r="DU108" s="368"/>
      <c r="DV108" s="368"/>
      <c r="DW108" s="368"/>
      <c r="DX108" s="368"/>
      <c r="DY108" s="368"/>
      <c r="DZ108" s="368"/>
      <c r="EA108" s="368"/>
      <c r="EB108" s="368"/>
      <c r="EC108" s="368"/>
      <c r="ED108" s="368"/>
      <c r="EE108" s="368"/>
      <c r="EF108" s="368"/>
      <c r="EG108" s="368"/>
      <c r="EH108" s="368"/>
      <c r="EI108" s="368"/>
      <c r="EJ108" s="368"/>
      <c r="EK108" s="368"/>
      <c r="EL108" s="368"/>
      <c r="EM108" s="368"/>
      <c r="EN108" s="368"/>
      <c r="EO108" s="368"/>
      <c r="EP108" s="368"/>
      <c r="EQ108" s="368"/>
      <c r="ER108" s="368"/>
      <c r="ES108" s="368"/>
      <c r="ET108" s="368"/>
      <c r="EU108" s="368"/>
      <c r="EV108" s="368"/>
      <c r="EW108" s="368"/>
      <c r="EX108" s="368"/>
      <c r="EY108" s="368"/>
      <c r="EZ108" s="368"/>
      <c r="FA108" s="368"/>
      <c r="FB108" s="368"/>
      <c r="FC108" s="368"/>
      <c r="FD108" s="368"/>
      <c r="FE108" s="368"/>
      <c r="FF108" s="368"/>
      <c r="FG108" s="368"/>
      <c r="FH108" s="368"/>
      <c r="FI108" s="368"/>
      <c r="FJ108" s="368"/>
      <c r="FK108" s="368"/>
      <c r="FL108" s="368"/>
      <c r="FM108" s="368"/>
      <c r="FN108" s="368"/>
      <c r="FO108" s="368"/>
      <c r="FP108" s="368"/>
      <c r="FQ108" s="368"/>
      <c r="FR108" s="368"/>
      <c r="FS108" s="368"/>
      <c r="FT108" s="368"/>
      <c r="FU108" s="368"/>
      <c r="FV108" s="368"/>
      <c r="FW108" s="368"/>
      <c r="FX108" s="368"/>
      <c r="FY108" s="368"/>
      <c r="FZ108" s="368"/>
      <c r="GA108" s="368"/>
      <c r="GB108" s="368"/>
      <c r="GC108" s="368"/>
      <c r="GD108" s="368"/>
      <c r="GE108" s="368"/>
      <c r="GF108" s="368"/>
      <c r="GG108" s="368"/>
      <c r="GH108" s="368"/>
      <c r="GI108" s="368"/>
      <c r="GJ108" s="368"/>
      <c r="GK108" s="368"/>
      <c r="GL108" s="368"/>
      <c r="GM108" s="368"/>
      <c r="GN108" s="368"/>
      <c r="GO108" s="368"/>
      <c r="GP108" s="368"/>
      <c r="GQ108" s="368"/>
      <c r="GR108" s="368"/>
      <c r="GS108" s="368"/>
      <c r="GT108" s="368"/>
      <c r="GU108" s="368"/>
      <c r="GV108" s="368"/>
      <c r="GW108" s="368"/>
      <c r="GX108" s="368"/>
      <c r="GY108" s="368"/>
      <c r="GZ108" s="368"/>
      <c r="HA108" s="368"/>
      <c r="HB108" s="368"/>
      <c r="HC108" s="368"/>
      <c r="HD108" s="368"/>
      <c r="HE108" s="368"/>
      <c r="HF108" s="368"/>
      <c r="HG108" s="368"/>
      <c r="HH108" s="368"/>
      <c r="HI108" s="368"/>
      <c r="HJ108" s="368"/>
      <c r="HK108" s="368"/>
      <c r="HL108" s="368"/>
      <c r="HM108" s="368"/>
      <c r="HN108" s="368"/>
      <c r="HO108" s="368"/>
      <c r="HP108" s="368"/>
      <c r="HQ108" s="368"/>
      <c r="HR108" s="368"/>
      <c r="HS108" s="368"/>
      <c r="HT108" s="368"/>
      <c r="HU108" s="368"/>
      <c r="HV108" s="368"/>
      <c r="HW108" s="368"/>
      <c r="HX108" s="368"/>
      <c r="HY108" s="368"/>
      <c r="HZ108" s="368"/>
      <c r="IA108" s="368"/>
      <c r="IB108" s="368"/>
      <c r="IC108" s="368"/>
      <c r="ID108" s="368"/>
      <c r="IE108" s="368"/>
      <c r="IF108" s="368"/>
      <c r="IG108" s="368"/>
      <c r="IH108" s="368"/>
      <c r="II108" s="368"/>
      <c r="IJ108" s="368"/>
      <c r="IK108" s="368"/>
      <c r="IL108" s="368"/>
      <c r="IM108" s="368"/>
      <c r="IN108" s="368"/>
      <c r="IO108" s="368"/>
      <c r="IP108" s="368"/>
      <c r="IQ108" s="368"/>
      <c r="IR108" s="368"/>
      <c r="IS108" s="368"/>
      <c r="IT108" s="368"/>
      <c r="IU108" s="368"/>
      <c r="IV108" s="368"/>
      <c r="IW108" s="368"/>
      <c r="IX108" s="368"/>
      <c r="IY108" s="368"/>
      <c r="IZ108" s="368"/>
      <c r="JA108" s="368"/>
      <c r="JB108" s="368"/>
      <c r="JC108" s="368"/>
      <c r="JD108" s="368"/>
      <c r="JE108" s="368"/>
      <c r="JF108" s="368"/>
      <c r="JG108" s="368"/>
      <c r="JH108" s="368"/>
      <c r="JI108" s="368"/>
      <c r="JJ108" s="368"/>
      <c r="JK108" s="368"/>
      <c r="JL108" s="368"/>
      <c r="JM108" s="368"/>
      <c r="JN108" s="368"/>
      <c r="JO108" s="368"/>
      <c r="JP108" s="368"/>
      <c r="JQ108" s="368"/>
      <c r="JR108" s="368"/>
      <c r="JS108" s="368"/>
      <c r="JT108" s="368"/>
      <c r="JU108" s="368"/>
      <c r="JV108" s="368"/>
      <c r="JW108" s="368"/>
      <c r="JX108" s="368"/>
      <c r="JY108" s="368"/>
      <c r="JZ108" s="368"/>
      <c r="KA108" s="368"/>
      <c r="KB108" s="368"/>
      <c r="KC108" s="368"/>
      <c r="KD108" s="368"/>
      <c r="KE108" s="368"/>
      <c r="KF108" s="368"/>
      <c r="KG108" s="368"/>
      <c r="KH108" s="368"/>
      <c r="KI108" s="368"/>
      <c r="KJ108" s="368"/>
      <c r="KK108" s="368"/>
      <c r="KL108" s="368"/>
      <c r="KM108" s="368"/>
      <c r="KN108" s="368"/>
      <c r="KO108" s="368"/>
      <c r="KP108" s="368"/>
      <c r="KQ108" s="368"/>
      <c r="KR108" s="368"/>
      <c r="KS108" s="368"/>
      <c r="KT108" s="368"/>
      <c r="KU108" s="368"/>
      <c r="KV108" s="368"/>
      <c r="KW108" s="368"/>
      <c r="KX108" s="368"/>
      <c r="KY108" s="368"/>
      <c r="KZ108" s="368"/>
      <c r="LA108" s="368"/>
      <c r="LB108" s="368"/>
      <c r="LC108" s="368"/>
      <c r="LD108" s="368"/>
      <c r="LE108" s="368"/>
      <c r="LF108" s="368"/>
      <c r="LG108" s="368"/>
      <c r="LH108" s="368"/>
      <c r="LI108" s="368"/>
      <c r="LJ108" s="368"/>
      <c r="LK108" s="368"/>
      <c r="LL108" s="368"/>
      <c r="LM108" s="368"/>
      <c r="LN108" s="368"/>
      <c r="LO108" s="368"/>
      <c r="LP108" s="368"/>
      <c r="LQ108" s="368"/>
      <c r="LR108" s="368"/>
      <c r="LS108" s="368"/>
      <c r="LT108" s="368"/>
      <c r="LU108" s="368"/>
      <c r="LV108" s="368"/>
      <c r="LW108" s="368"/>
      <c r="LX108" s="368"/>
      <c r="LY108" s="368"/>
      <c r="LZ108" s="368"/>
      <c r="MA108" s="368"/>
      <c r="MB108" s="368"/>
      <c r="MC108" s="368"/>
      <c r="MD108" s="368"/>
      <c r="ME108" s="368"/>
      <c r="MF108" s="368"/>
      <c r="MG108" s="368"/>
      <c r="MH108" s="368"/>
      <c r="MI108" s="368"/>
      <c r="MJ108" s="368"/>
      <c r="MK108" s="368"/>
      <c r="ML108" s="368"/>
      <c r="MM108" s="368"/>
      <c r="MN108" s="368"/>
      <c r="MO108" s="368"/>
      <c r="MP108" s="368"/>
      <c r="MQ108" s="368"/>
      <c r="MR108" s="368"/>
      <c r="MS108" s="368"/>
      <c r="MT108" s="368"/>
      <c r="MU108" s="368"/>
      <c r="MV108" s="368"/>
      <c r="MW108" s="368"/>
      <c r="MX108" s="368"/>
      <c r="MY108" s="368"/>
      <c r="MZ108" s="368"/>
      <c r="NA108" s="368"/>
      <c r="NB108" s="368"/>
      <c r="NC108" s="368"/>
      <c r="ND108" s="368"/>
      <c r="NE108" s="368"/>
      <c r="NF108" s="368"/>
      <c r="NG108" s="368"/>
      <c r="NH108" s="368"/>
      <c r="NI108" s="368"/>
      <c r="NJ108" s="368"/>
      <c r="NK108" s="368"/>
      <c r="NL108" s="368"/>
      <c r="NM108" s="368"/>
      <c r="NN108" s="368"/>
      <c r="NO108" s="368"/>
      <c r="NP108" s="368"/>
      <c r="NQ108" s="368"/>
      <c r="NR108" s="368"/>
      <c r="NS108" s="368"/>
      <c r="NT108" s="368"/>
      <c r="NU108" s="368"/>
      <c r="NV108" s="368"/>
      <c r="NW108" s="368"/>
      <c r="NX108" s="368"/>
      <c r="NY108" s="368"/>
      <c r="NZ108" s="368"/>
      <c r="OA108" s="368"/>
      <c r="OB108" s="368"/>
      <c r="OC108" s="368"/>
      <c r="OD108" s="368"/>
      <c r="OE108" s="368"/>
      <c r="OF108" s="368"/>
      <c r="OG108" s="368"/>
      <c r="OH108" s="368"/>
      <c r="OI108" s="368"/>
      <c r="OJ108" s="368"/>
      <c r="OK108" s="368"/>
      <c r="OL108" s="368"/>
      <c r="OM108" s="368"/>
      <c r="ON108" s="368"/>
      <c r="OO108" s="368"/>
      <c r="OP108" s="368"/>
      <c r="OQ108" s="368"/>
      <c r="OR108" s="368"/>
      <c r="OS108" s="368"/>
      <c r="OT108" s="368"/>
      <c r="OU108" s="368"/>
      <c r="OV108" s="368"/>
      <c r="OW108" s="368"/>
      <c r="OX108" s="368"/>
      <c r="OY108" s="368"/>
      <c r="OZ108" s="368"/>
      <c r="PA108" s="368"/>
      <c r="PB108" s="368"/>
      <c r="PC108" s="368"/>
      <c r="PD108" s="368"/>
      <c r="PE108" s="368"/>
      <c r="PF108" s="368"/>
      <c r="PG108" s="368"/>
      <c r="PH108" s="368"/>
      <c r="PI108" s="368"/>
      <c r="PJ108" s="368"/>
      <c r="PK108" s="368"/>
      <c r="PL108" s="368"/>
      <c r="PM108" s="368"/>
      <c r="PN108" s="368"/>
      <c r="PO108" s="368"/>
      <c r="PP108" s="368"/>
      <c r="PQ108" s="368"/>
      <c r="PR108" s="368"/>
      <c r="PS108" s="368"/>
      <c r="PT108" s="368"/>
      <c r="PU108" s="368"/>
      <c r="PV108" s="368"/>
      <c r="PW108" s="368"/>
      <c r="PX108" s="368"/>
      <c r="PY108" s="368"/>
      <c r="PZ108" s="368"/>
      <c r="QA108" s="368"/>
      <c r="QB108" s="368"/>
      <c r="QC108" s="368"/>
      <c r="QD108" s="368"/>
      <c r="QE108" s="368"/>
      <c r="QF108" s="368"/>
      <c r="QG108" s="368"/>
      <c r="QH108" s="368"/>
      <c r="QI108" s="368"/>
      <c r="QJ108" s="368"/>
      <c r="QK108" s="368"/>
      <c r="QL108" s="368"/>
      <c r="QM108" s="368"/>
      <c r="QN108" s="368"/>
      <c r="QO108" s="368"/>
      <c r="QP108" s="368"/>
      <c r="QQ108" s="368"/>
      <c r="QR108" s="368"/>
      <c r="QS108" s="368"/>
      <c r="QT108" s="368"/>
      <c r="QU108" s="368"/>
      <c r="QV108" s="368"/>
      <c r="QW108" s="368"/>
      <c r="QX108" s="368"/>
      <c r="QY108" s="368"/>
      <c r="QZ108" s="368"/>
      <c r="RA108" s="368"/>
      <c r="RB108" s="368"/>
      <c r="RC108" s="368"/>
      <c r="RD108" s="368"/>
      <c r="RE108" s="368"/>
      <c r="RF108" s="368"/>
      <c r="RG108" s="368"/>
      <c r="RH108" s="368"/>
      <c r="RI108" s="368"/>
      <c r="RJ108" s="368"/>
      <c r="RK108" s="368"/>
      <c r="RL108" s="368"/>
      <c r="RM108" s="368"/>
      <c r="RN108" s="368"/>
      <c r="RO108" s="368"/>
      <c r="RP108" s="368"/>
      <c r="RQ108" s="368"/>
      <c r="RR108" s="368"/>
      <c r="RS108" s="368"/>
      <c r="RT108" s="368"/>
      <c r="RU108" s="368"/>
      <c r="RV108" s="368"/>
      <c r="RW108" s="368"/>
      <c r="RX108" s="368"/>
      <c r="RY108" s="368"/>
      <c r="RZ108" s="368"/>
      <c r="SA108" s="368"/>
      <c r="SB108" s="368"/>
      <c r="SC108" s="368"/>
      <c r="SD108" s="368"/>
      <c r="SE108" s="368"/>
      <c r="SF108" s="368"/>
      <c r="SG108" s="368"/>
      <c r="SH108" s="368"/>
      <c r="SI108" s="368"/>
      <c r="SJ108" s="368"/>
      <c r="SK108" s="368"/>
      <c r="SL108" s="368"/>
      <c r="SM108" s="368"/>
      <c r="SN108" s="368"/>
      <c r="SO108" s="368"/>
      <c r="SP108" s="368"/>
      <c r="SQ108" s="368"/>
      <c r="SR108" s="368"/>
      <c r="SS108" s="368"/>
      <c r="ST108" s="368"/>
      <c r="SU108" s="368"/>
      <c r="SV108" s="368"/>
      <c r="SW108" s="368"/>
      <c r="SX108" s="368"/>
      <c r="SY108" s="368"/>
      <c r="SZ108" s="368"/>
      <c r="TA108" s="368"/>
      <c r="TB108" s="368"/>
      <c r="TC108" s="368"/>
      <c r="TD108" s="368"/>
      <c r="TE108" s="368"/>
      <c r="TF108" s="368"/>
      <c r="TG108" s="368"/>
      <c r="TH108" s="368"/>
      <c r="TI108" s="368"/>
      <c r="TJ108" s="368"/>
      <c r="TK108" s="368"/>
      <c r="TL108" s="368"/>
      <c r="TM108" s="368"/>
      <c r="TN108" s="368"/>
      <c r="TO108" s="368"/>
      <c r="TP108" s="368"/>
      <c r="TQ108" s="368"/>
      <c r="TR108" s="368"/>
      <c r="TS108" s="368"/>
      <c r="TT108" s="368"/>
      <c r="TU108" s="368"/>
      <c r="TV108" s="368"/>
      <c r="TW108" s="368"/>
      <c r="TX108" s="368"/>
      <c r="TY108" s="368"/>
      <c r="TZ108" s="368"/>
      <c r="UA108" s="368"/>
      <c r="UB108" s="368"/>
      <c r="UC108" s="368"/>
      <c r="UD108" s="368"/>
      <c r="UE108" s="368"/>
      <c r="UF108" s="368"/>
      <c r="UG108" s="368"/>
      <c r="UH108" s="368"/>
      <c r="UI108" s="368"/>
      <c r="UJ108" s="368"/>
      <c r="UK108" s="368"/>
      <c r="UL108" s="368"/>
      <c r="UM108" s="368"/>
      <c r="UN108" s="368"/>
      <c r="UO108" s="368"/>
      <c r="UP108" s="368"/>
      <c r="UQ108" s="368"/>
      <c r="UR108" s="368"/>
      <c r="US108" s="368"/>
      <c r="UT108" s="368"/>
      <c r="UU108" s="368"/>
      <c r="UV108" s="368"/>
      <c r="UW108" s="368"/>
      <c r="UX108" s="368"/>
      <c r="UY108" s="368"/>
      <c r="UZ108" s="368"/>
      <c r="VA108" s="368"/>
      <c r="VB108" s="368"/>
      <c r="VC108" s="368"/>
      <c r="VD108" s="368"/>
      <c r="VE108" s="368"/>
      <c r="VF108" s="368"/>
      <c r="VG108" s="368"/>
      <c r="VH108" s="368"/>
      <c r="VI108" s="368"/>
      <c r="VJ108" s="368"/>
      <c r="VK108" s="368"/>
      <c r="VL108" s="368"/>
      <c r="VM108" s="368"/>
      <c r="VN108" s="368"/>
      <c r="VO108" s="368"/>
      <c r="VP108" s="368"/>
      <c r="VQ108" s="368"/>
      <c r="VR108" s="368"/>
      <c r="VS108" s="368"/>
      <c r="VT108" s="368"/>
      <c r="VU108" s="368"/>
      <c r="VV108" s="368"/>
      <c r="VW108" s="368"/>
      <c r="VX108" s="368"/>
      <c r="VY108" s="368"/>
      <c r="VZ108" s="368"/>
      <c r="WA108" s="368"/>
      <c r="WB108" s="368"/>
      <c r="WC108" s="368"/>
      <c r="WD108" s="368"/>
      <c r="WE108" s="368"/>
      <c r="WF108" s="368"/>
      <c r="WG108" s="368"/>
      <c r="WH108" s="368"/>
      <c r="WI108" s="368"/>
      <c r="WJ108" s="368"/>
      <c r="WK108" s="368"/>
      <c r="WL108" s="368"/>
      <c r="WM108" s="368"/>
      <c r="WN108" s="368"/>
      <c r="WO108" s="368"/>
      <c r="WP108" s="368"/>
      <c r="WQ108" s="368"/>
      <c r="WR108" s="368"/>
      <c r="WS108" s="368"/>
      <c r="WT108" s="368"/>
      <c r="WU108" s="368"/>
      <c r="WV108" s="368"/>
      <c r="WW108" s="368"/>
      <c r="WX108" s="368"/>
      <c r="WY108" s="368"/>
      <c r="WZ108" s="368"/>
      <c r="XA108" s="368"/>
      <c r="XB108" s="368"/>
      <c r="XC108" s="368"/>
      <c r="XD108" s="368"/>
      <c r="XE108" s="368"/>
      <c r="XF108" s="368"/>
      <c r="XG108" s="368"/>
      <c r="XH108" s="368"/>
      <c r="XI108" s="368"/>
      <c r="XJ108" s="368"/>
      <c r="XK108" s="368"/>
      <c r="XL108" s="368"/>
      <c r="XM108" s="368"/>
      <c r="XN108" s="368"/>
      <c r="XO108" s="368"/>
      <c r="XP108" s="368"/>
      <c r="XQ108" s="368"/>
      <c r="XR108" s="368"/>
      <c r="XS108" s="368"/>
      <c r="XT108" s="368"/>
      <c r="XU108" s="368"/>
      <c r="XV108" s="368"/>
      <c r="XW108" s="368"/>
      <c r="XX108" s="368"/>
      <c r="XY108" s="368"/>
      <c r="XZ108" s="368"/>
      <c r="YA108" s="368"/>
      <c r="YB108" s="368"/>
      <c r="YC108" s="368"/>
      <c r="YD108" s="368"/>
      <c r="YE108" s="368"/>
      <c r="YF108" s="368"/>
      <c r="YG108" s="368"/>
      <c r="YH108" s="368"/>
      <c r="YI108" s="368"/>
      <c r="YJ108" s="368"/>
      <c r="YK108" s="368"/>
      <c r="YL108" s="368"/>
      <c r="YM108" s="368"/>
      <c r="YN108" s="368"/>
      <c r="YO108" s="368"/>
      <c r="YP108" s="368"/>
      <c r="YQ108" s="368"/>
      <c r="YR108" s="368"/>
      <c r="YS108" s="368"/>
      <c r="YT108" s="368"/>
      <c r="YU108" s="368"/>
      <c r="YV108" s="368"/>
      <c r="YW108" s="368"/>
      <c r="YX108" s="368"/>
      <c r="YY108" s="368"/>
      <c r="YZ108" s="368"/>
      <c r="ZA108" s="368"/>
      <c r="ZB108" s="368"/>
      <c r="ZC108" s="368"/>
      <c r="ZD108" s="368"/>
      <c r="ZE108" s="368"/>
      <c r="ZF108" s="368"/>
      <c r="ZG108" s="368"/>
      <c r="ZH108" s="368"/>
      <c r="ZI108" s="368"/>
      <c r="ZJ108" s="368"/>
      <c r="ZK108" s="368"/>
      <c r="ZL108" s="368"/>
      <c r="ZM108" s="368"/>
      <c r="ZN108" s="368"/>
      <c r="ZO108" s="368"/>
      <c r="ZP108" s="368"/>
      <c r="ZQ108" s="368"/>
      <c r="ZR108" s="368"/>
      <c r="ZS108" s="368"/>
      <c r="ZT108" s="368"/>
      <c r="ZU108" s="368"/>
      <c r="ZV108" s="368"/>
      <c r="ZW108" s="368"/>
      <c r="ZX108" s="368"/>
      <c r="ZY108" s="368"/>
      <c r="ZZ108" s="368"/>
      <c r="AAA108" s="368"/>
      <c r="AAB108" s="368"/>
      <c r="AAC108" s="368"/>
      <c r="AAD108" s="368"/>
      <c r="AAE108" s="368"/>
      <c r="AAF108" s="368"/>
      <c r="AAG108" s="368"/>
      <c r="AAH108" s="368"/>
      <c r="AAI108" s="368"/>
      <c r="AAJ108" s="368"/>
      <c r="AAK108" s="368"/>
      <c r="AAL108" s="368"/>
      <c r="AAM108" s="368"/>
      <c r="AAN108" s="368"/>
      <c r="AAO108" s="368"/>
      <c r="AAP108" s="368"/>
      <c r="AAQ108" s="368"/>
      <c r="AAR108" s="368"/>
      <c r="AAS108" s="368"/>
      <c r="AAT108" s="368"/>
      <c r="AAU108" s="368"/>
      <c r="AAV108" s="368"/>
      <c r="AAW108" s="368"/>
      <c r="AAX108" s="368"/>
      <c r="AAY108" s="368"/>
      <c r="AAZ108" s="368"/>
      <c r="ABA108" s="368"/>
      <c r="ABB108" s="368"/>
      <c r="ABC108" s="368"/>
      <c r="ABD108" s="368"/>
      <c r="ABE108" s="368"/>
      <c r="ABF108" s="368"/>
      <c r="ABG108" s="368"/>
      <c r="ABH108" s="368"/>
      <c r="ABI108" s="368"/>
      <c r="ABJ108" s="368"/>
      <c r="ABK108" s="368"/>
      <c r="ABL108" s="368"/>
      <c r="ABM108" s="368"/>
      <c r="ABN108" s="368"/>
      <c r="ABO108" s="368"/>
      <c r="ABP108" s="368"/>
      <c r="ABQ108" s="368"/>
      <c r="ABR108" s="368"/>
      <c r="ABS108" s="368"/>
      <c r="ABT108" s="368"/>
      <c r="ABU108" s="368"/>
      <c r="ABV108" s="368"/>
      <c r="ABW108" s="368"/>
      <c r="ABX108" s="368"/>
      <c r="ABY108" s="368"/>
      <c r="ABZ108" s="368"/>
      <c r="ACA108" s="368"/>
      <c r="ACB108" s="368"/>
      <c r="ACC108" s="368"/>
      <c r="ACD108" s="368"/>
      <c r="ACE108" s="368"/>
      <c r="ACF108" s="368"/>
      <c r="ACG108" s="368"/>
      <c r="ACH108" s="368"/>
      <c r="ACI108" s="368"/>
      <c r="ACJ108" s="368"/>
      <c r="ACK108" s="368"/>
      <c r="ACL108" s="368"/>
      <c r="ACM108" s="368"/>
      <c r="ACN108" s="368"/>
      <c r="ACO108" s="368"/>
      <c r="ACP108" s="368"/>
      <c r="ACQ108" s="368"/>
      <c r="ACR108" s="368"/>
      <c r="ACS108" s="368"/>
      <c r="ACT108" s="368"/>
      <c r="ACU108" s="368"/>
      <c r="ACV108" s="368"/>
      <c r="ACW108" s="368"/>
      <c r="ACX108" s="368"/>
      <c r="ACY108" s="368"/>
      <c r="ACZ108" s="368"/>
      <c r="ADA108" s="368"/>
      <c r="ADB108" s="368"/>
      <c r="ADC108" s="368"/>
      <c r="ADD108" s="368"/>
      <c r="ADE108" s="368"/>
      <c r="ADF108" s="368"/>
      <c r="ADG108" s="368"/>
      <c r="ADH108" s="368"/>
      <c r="ADI108" s="368"/>
      <c r="ADJ108" s="368"/>
      <c r="ADK108" s="368"/>
      <c r="ADL108" s="368"/>
      <c r="ADM108" s="368"/>
      <c r="ADN108" s="368"/>
      <c r="ADO108" s="368"/>
      <c r="ADP108" s="368"/>
      <c r="ADQ108" s="368"/>
      <c r="ADR108" s="368"/>
      <c r="ADS108" s="368"/>
      <c r="ADT108" s="368"/>
      <c r="ADU108" s="368"/>
      <c r="ADV108" s="368"/>
      <c r="ADW108" s="368"/>
      <c r="ADX108" s="368"/>
      <c r="ADY108" s="368"/>
      <c r="ADZ108" s="368"/>
      <c r="AEA108" s="368"/>
      <c r="AEB108" s="368"/>
      <c r="AEC108" s="368"/>
      <c r="AED108" s="368"/>
      <c r="AEE108" s="368"/>
      <c r="AEF108" s="368"/>
      <c r="AEG108" s="368"/>
      <c r="AEH108" s="368"/>
      <c r="AEI108" s="368"/>
      <c r="AEJ108" s="368"/>
      <c r="AEK108" s="368"/>
      <c r="AEL108" s="368"/>
      <c r="AEM108" s="368"/>
      <c r="AEN108" s="368"/>
      <c r="AEO108" s="368"/>
      <c r="AEP108" s="368"/>
      <c r="AEQ108" s="368"/>
      <c r="AER108" s="368"/>
      <c r="AES108" s="368"/>
      <c r="AET108" s="368"/>
      <c r="AEU108" s="368"/>
      <c r="AEV108" s="368"/>
      <c r="AEW108" s="368"/>
      <c r="AEX108" s="368"/>
      <c r="AEY108" s="368"/>
      <c r="AEZ108" s="368"/>
      <c r="AFA108" s="368"/>
      <c r="AFB108" s="368"/>
      <c r="AFC108" s="368"/>
      <c r="AFD108" s="368"/>
      <c r="AFE108" s="368"/>
      <c r="AFF108" s="368"/>
      <c r="AFG108" s="368"/>
      <c r="AFH108" s="368"/>
      <c r="AFI108" s="368"/>
      <c r="AFJ108" s="368"/>
      <c r="AFK108" s="368"/>
      <c r="AFL108" s="368"/>
      <c r="AFM108" s="368"/>
      <c r="AFN108" s="368"/>
      <c r="AFO108" s="368"/>
      <c r="AFP108" s="368"/>
      <c r="AFQ108" s="368"/>
      <c r="AFR108" s="368"/>
      <c r="AFS108" s="368"/>
      <c r="AFT108" s="368"/>
      <c r="AFU108" s="368"/>
      <c r="AFV108" s="368"/>
      <c r="AFW108" s="368"/>
      <c r="AFX108" s="368"/>
      <c r="AFY108" s="368"/>
      <c r="AFZ108" s="368"/>
      <c r="AGA108" s="368"/>
      <c r="AGB108" s="368"/>
      <c r="AGC108" s="368"/>
      <c r="AGD108" s="368"/>
      <c r="AGE108" s="368"/>
      <c r="AGF108" s="368"/>
      <c r="AGG108" s="368"/>
      <c r="AGH108" s="368"/>
      <c r="AGI108" s="368"/>
      <c r="AGJ108" s="368"/>
      <c r="AGK108" s="368"/>
      <c r="AGL108" s="368"/>
      <c r="AGM108" s="368"/>
      <c r="AGN108" s="368"/>
      <c r="AGO108" s="368"/>
      <c r="AGP108" s="368"/>
      <c r="AGQ108" s="368"/>
      <c r="AGR108" s="368"/>
      <c r="AGS108" s="368"/>
      <c r="AGT108" s="368"/>
      <c r="AGU108" s="368"/>
      <c r="AGV108" s="368"/>
      <c r="AGW108" s="368"/>
      <c r="AGX108" s="368"/>
      <c r="AGY108" s="368"/>
      <c r="AGZ108" s="368"/>
      <c r="AHA108" s="368"/>
      <c r="AHB108" s="368"/>
      <c r="AHC108" s="368"/>
      <c r="AHD108" s="368"/>
      <c r="AHE108" s="368"/>
      <c r="AHF108" s="368"/>
      <c r="AHG108" s="368"/>
      <c r="AHH108" s="368"/>
      <c r="AHI108" s="368"/>
      <c r="AHJ108" s="368"/>
      <c r="AHK108" s="368"/>
      <c r="AHL108" s="368"/>
      <c r="AHM108" s="368"/>
      <c r="AHN108" s="368"/>
      <c r="AHO108" s="368"/>
      <c r="AHP108" s="368"/>
      <c r="AHQ108" s="368"/>
      <c r="AHR108" s="368"/>
      <c r="AHS108" s="368"/>
      <c r="AHT108" s="368"/>
      <c r="AHU108" s="368"/>
      <c r="AHV108" s="368"/>
      <c r="AHW108" s="368"/>
      <c r="AHX108" s="368"/>
      <c r="AHY108" s="368"/>
      <c r="AHZ108" s="368"/>
      <c r="AIA108" s="368"/>
      <c r="AIB108" s="368"/>
      <c r="AIC108" s="368"/>
      <c r="AID108" s="368"/>
      <c r="AIE108" s="368"/>
      <c r="AIF108" s="368"/>
      <c r="AIG108" s="368"/>
      <c r="AIH108" s="368"/>
      <c r="AII108" s="368"/>
      <c r="AIJ108" s="368"/>
      <c r="AIK108" s="368"/>
      <c r="AIL108" s="368"/>
      <c r="AIM108" s="368"/>
      <c r="AIN108" s="368"/>
      <c r="AIO108" s="368"/>
      <c r="AIP108" s="368"/>
      <c r="AIQ108" s="368"/>
      <c r="AIR108" s="368"/>
      <c r="AIS108" s="368"/>
      <c r="AIT108" s="368"/>
      <c r="AIU108" s="368"/>
      <c r="AIV108" s="368"/>
      <c r="AIW108" s="368"/>
      <c r="AIX108" s="368"/>
      <c r="AIY108" s="368"/>
      <c r="AIZ108" s="368"/>
      <c r="AJA108" s="368"/>
      <c r="AJB108" s="368"/>
      <c r="AJC108" s="368"/>
      <c r="AJD108" s="368"/>
      <c r="AJE108" s="368"/>
      <c r="AJF108" s="368"/>
      <c r="AJG108" s="368"/>
      <c r="AJH108" s="368"/>
      <c r="AJI108" s="368"/>
      <c r="AJJ108" s="368"/>
      <c r="AJK108" s="368"/>
      <c r="AJL108" s="368"/>
      <c r="AJM108" s="368"/>
      <c r="AJN108" s="368"/>
      <c r="AJO108" s="368"/>
      <c r="AJP108" s="368"/>
      <c r="AJQ108" s="368"/>
      <c r="AJR108" s="368"/>
      <c r="AJS108" s="368"/>
      <c r="AJT108" s="368"/>
      <c r="AJU108" s="368"/>
      <c r="AJV108" s="368"/>
      <c r="AJW108" s="368"/>
      <c r="AJX108" s="368"/>
      <c r="AJY108" s="368"/>
      <c r="AJZ108" s="368"/>
      <c r="AKA108" s="368"/>
      <c r="AKB108" s="368"/>
      <c r="AKC108" s="368"/>
      <c r="AKD108" s="368"/>
      <c r="AKE108" s="368"/>
      <c r="AKF108" s="368"/>
      <c r="AKG108" s="368"/>
      <c r="AKH108" s="368"/>
      <c r="AKI108" s="368"/>
      <c r="AKJ108" s="368"/>
      <c r="AKK108" s="368"/>
      <c r="AKL108" s="368"/>
      <c r="AKM108" s="368"/>
      <c r="AKN108" s="368"/>
    </row>
    <row r="109" spans="1:976" s="363" customFormat="1" ht="22.5" customHeight="1" x14ac:dyDescent="0.2">
      <c r="A109" s="358" t="s">
        <v>262</v>
      </c>
      <c r="B109" s="358"/>
      <c r="C109" s="358" t="s">
        <v>221</v>
      </c>
      <c r="D109" s="358" t="s">
        <v>222</v>
      </c>
      <c r="E109" s="359">
        <v>412729</v>
      </c>
      <c r="F109" s="359">
        <v>1576</v>
      </c>
      <c r="G109" s="359">
        <v>240</v>
      </c>
      <c r="H109" s="359">
        <v>0</v>
      </c>
      <c r="I109" s="360">
        <v>45863</v>
      </c>
      <c r="J109" s="358" t="s">
        <v>395</v>
      </c>
      <c r="K109" s="358" t="s">
        <v>581</v>
      </c>
      <c r="L109" s="361">
        <v>57.67</v>
      </c>
      <c r="M109" s="361">
        <v>3.17</v>
      </c>
      <c r="N109" s="448">
        <v>60.84</v>
      </c>
      <c r="O109" s="358"/>
      <c r="P109" s="362">
        <v>45867</v>
      </c>
      <c r="Q109" s="361">
        <v>60.84</v>
      </c>
      <c r="R109" s="358" t="s">
        <v>321</v>
      </c>
      <c r="S109" s="361">
        <v>0</v>
      </c>
      <c r="T109" s="361">
        <v>0</v>
      </c>
      <c r="U109" s="361">
        <v>0</v>
      </c>
      <c r="V109" s="361">
        <v>0</v>
      </c>
      <c r="W109" s="358"/>
      <c r="X109" s="358" t="s">
        <v>308</v>
      </c>
      <c r="Y109" s="358" t="s">
        <v>309</v>
      </c>
      <c r="Z109" s="358" t="s">
        <v>32</v>
      </c>
      <c r="AA109" s="358" t="s">
        <v>228</v>
      </c>
      <c r="AB109" s="358" t="s">
        <v>34</v>
      </c>
      <c r="AC109" s="358" t="s">
        <v>31</v>
      </c>
      <c r="AD109" s="358" t="s">
        <v>231</v>
      </c>
      <c r="AE109" s="358" t="s">
        <v>232</v>
      </c>
      <c r="AF109" s="358" t="s">
        <v>231</v>
      </c>
      <c r="AG109" s="358" t="s">
        <v>232</v>
      </c>
      <c r="AH109" s="358"/>
      <c r="AI109" s="358"/>
      <c r="AJ109" s="358"/>
      <c r="AK109" s="358" t="s">
        <v>582</v>
      </c>
      <c r="AL109" s="359">
        <v>1</v>
      </c>
      <c r="AM109" s="359">
        <v>0</v>
      </c>
      <c r="AN109" s="360">
        <v>45867</v>
      </c>
      <c r="AO109" s="360">
        <v>45866</v>
      </c>
      <c r="AP109" s="361">
        <v>60.84</v>
      </c>
      <c r="AQ109" s="360">
        <v>45865</v>
      </c>
      <c r="AR109" s="368"/>
      <c r="AS109" s="368"/>
      <c r="AT109" s="368"/>
      <c r="AU109" s="368"/>
      <c r="AV109" s="368"/>
      <c r="AW109" s="368"/>
      <c r="AX109" s="368"/>
      <c r="AY109" s="368"/>
      <c r="AZ109" s="368"/>
      <c r="BA109" s="368"/>
      <c r="BB109" s="368"/>
      <c r="BC109" s="368"/>
      <c r="BD109" s="368"/>
      <c r="BE109" s="368"/>
      <c r="BF109" s="368"/>
      <c r="BG109" s="368"/>
      <c r="BH109" s="368"/>
      <c r="BI109" s="368"/>
      <c r="BJ109" s="368"/>
      <c r="BK109" s="368"/>
      <c r="BL109" s="368"/>
      <c r="BM109" s="368"/>
      <c r="BN109" s="368"/>
      <c r="BO109" s="368"/>
      <c r="BP109" s="368"/>
      <c r="BQ109" s="368"/>
      <c r="BR109" s="368"/>
      <c r="BS109" s="368"/>
      <c r="BT109" s="368"/>
      <c r="BU109" s="368"/>
      <c r="BV109" s="368"/>
      <c r="BW109" s="368"/>
      <c r="BX109" s="368"/>
      <c r="BY109" s="368"/>
      <c r="BZ109" s="368"/>
      <c r="CA109" s="368"/>
      <c r="CB109" s="368"/>
      <c r="CC109" s="368"/>
      <c r="CD109" s="368"/>
      <c r="CE109" s="368"/>
      <c r="CF109" s="368"/>
      <c r="CG109" s="368"/>
      <c r="CH109" s="368"/>
      <c r="CI109" s="368"/>
      <c r="CJ109" s="368"/>
      <c r="CK109" s="368"/>
      <c r="CL109" s="368"/>
      <c r="CM109" s="368"/>
      <c r="CN109" s="368"/>
      <c r="CO109" s="368"/>
      <c r="CP109" s="368"/>
      <c r="CQ109" s="368"/>
      <c r="CR109" s="368"/>
      <c r="CS109" s="368"/>
      <c r="CT109" s="368"/>
      <c r="CU109" s="368"/>
      <c r="CV109" s="368"/>
      <c r="CW109" s="368"/>
      <c r="CX109" s="368"/>
      <c r="CY109" s="368"/>
      <c r="CZ109" s="368"/>
      <c r="DA109" s="368"/>
      <c r="DB109" s="368"/>
      <c r="DC109" s="368"/>
      <c r="DD109" s="368"/>
      <c r="DE109" s="368"/>
      <c r="DF109" s="368"/>
      <c r="DG109" s="368"/>
      <c r="DH109" s="368"/>
      <c r="DI109" s="368"/>
      <c r="DJ109" s="368"/>
      <c r="DK109" s="368"/>
      <c r="DL109" s="368"/>
      <c r="DM109" s="368"/>
      <c r="DN109" s="368"/>
      <c r="DO109" s="368"/>
      <c r="DP109" s="368"/>
      <c r="DQ109" s="368"/>
      <c r="DR109" s="368"/>
      <c r="DS109" s="368"/>
      <c r="DT109" s="368"/>
      <c r="DU109" s="368"/>
      <c r="DV109" s="368"/>
      <c r="DW109" s="368"/>
      <c r="DX109" s="368"/>
      <c r="DY109" s="368"/>
      <c r="DZ109" s="368"/>
      <c r="EA109" s="368"/>
      <c r="EB109" s="368"/>
      <c r="EC109" s="368"/>
      <c r="ED109" s="368"/>
      <c r="EE109" s="368"/>
      <c r="EF109" s="368"/>
      <c r="EG109" s="368"/>
      <c r="EH109" s="368"/>
      <c r="EI109" s="368"/>
      <c r="EJ109" s="368"/>
      <c r="EK109" s="368"/>
      <c r="EL109" s="368"/>
      <c r="EM109" s="368"/>
      <c r="EN109" s="368"/>
      <c r="EO109" s="368"/>
      <c r="EP109" s="368"/>
      <c r="EQ109" s="368"/>
      <c r="ER109" s="368"/>
      <c r="ES109" s="368"/>
      <c r="ET109" s="368"/>
      <c r="EU109" s="368"/>
      <c r="EV109" s="368"/>
      <c r="EW109" s="368"/>
      <c r="EX109" s="368"/>
      <c r="EY109" s="368"/>
      <c r="EZ109" s="368"/>
      <c r="FA109" s="368"/>
      <c r="FB109" s="368"/>
      <c r="FC109" s="368"/>
      <c r="FD109" s="368"/>
      <c r="FE109" s="368"/>
      <c r="FF109" s="368"/>
      <c r="FG109" s="368"/>
      <c r="FH109" s="368"/>
      <c r="FI109" s="368"/>
      <c r="FJ109" s="368"/>
      <c r="FK109" s="368"/>
      <c r="FL109" s="368"/>
      <c r="FM109" s="368"/>
      <c r="FN109" s="368"/>
      <c r="FO109" s="368"/>
      <c r="FP109" s="368"/>
      <c r="FQ109" s="368"/>
      <c r="FR109" s="368"/>
      <c r="FS109" s="368"/>
      <c r="FT109" s="368"/>
      <c r="FU109" s="368"/>
      <c r="FV109" s="368"/>
      <c r="FW109" s="368"/>
      <c r="FX109" s="368"/>
      <c r="FY109" s="368"/>
      <c r="FZ109" s="368"/>
      <c r="GA109" s="368"/>
      <c r="GB109" s="368"/>
      <c r="GC109" s="368"/>
      <c r="GD109" s="368"/>
      <c r="GE109" s="368"/>
      <c r="GF109" s="368"/>
      <c r="GG109" s="368"/>
      <c r="GH109" s="368"/>
      <c r="GI109" s="368"/>
      <c r="GJ109" s="368"/>
      <c r="GK109" s="368"/>
      <c r="GL109" s="368"/>
      <c r="GM109" s="368"/>
      <c r="GN109" s="368"/>
      <c r="GO109" s="368"/>
      <c r="GP109" s="368"/>
      <c r="GQ109" s="368"/>
      <c r="GR109" s="368"/>
      <c r="GS109" s="368"/>
      <c r="GT109" s="368"/>
      <c r="GU109" s="368"/>
      <c r="GV109" s="368"/>
      <c r="GW109" s="368"/>
      <c r="GX109" s="368"/>
      <c r="GY109" s="368"/>
      <c r="GZ109" s="368"/>
      <c r="HA109" s="368"/>
      <c r="HB109" s="368"/>
      <c r="HC109" s="368"/>
      <c r="HD109" s="368"/>
      <c r="HE109" s="368"/>
      <c r="HF109" s="368"/>
      <c r="HG109" s="368"/>
      <c r="HH109" s="368"/>
      <c r="HI109" s="368"/>
      <c r="HJ109" s="368"/>
      <c r="HK109" s="368"/>
      <c r="HL109" s="368"/>
      <c r="HM109" s="368"/>
      <c r="HN109" s="368"/>
      <c r="HO109" s="368"/>
      <c r="HP109" s="368"/>
      <c r="HQ109" s="368"/>
      <c r="HR109" s="368"/>
      <c r="HS109" s="368"/>
      <c r="HT109" s="368"/>
      <c r="HU109" s="368"/>
      <c r="HV109" s="368"/>
      <c r="HW109" s="368"/>
      <c r="HX109" s="368"/>
      <c r="HY109" s="368"/>
      <c r="HZ109" s="368"/>
      <c r="IA109" s="368"/>
      <c r="IB109" s="368"/>
      <c r="IC109" s="368"/>
      <c r="ID109" s="368"/>
      <c r="IE109" s="368"/>
      <c r="IF109" s="368"/>
      <c r="IG109" s="368"/>
      <c r="IH109" s="368"/>
      <c r="II109" s="368"/>
      <c r="IJ109" s="368"/>
      <c r="IK109" s="368"/>
      <c r="IL109" s="368"/>
      <c r="IM109" s="368"/>
      <c r="IN109" s="368"/>
      <c r="IO109" s="368"/>
      <c r="IP109" s="368"/>
      <c r="IQ109" s="368"/>
      <c r="IR109" s="368"/>
      <c r="IS109" s="368"/>
      <c r="IT109" s="368"/>
      <c r="IU109" s="368"/>
      <c r="IV109" s="368"/>
      <c r="IW109" s="368"/>
      <c r="IX109" s="368"/>
      <c r="IY109" s="368"/>
      <c r="IZ109" s="368"/>
      <c r="JA109" s="368"/>
      <c r="JB109" s="368"/>
      <c r="JC109" s="368"/>
      <c r="JD109" s="368"/>
      <c r="JE109" s="368"/>
      <c r="JF109" s="368"/>
      <c r="JG109" s="368"/>
      <c r="JH109" s="368"/>
      <c r="JI109" s="368"/>
      <c r="JJ109" s="368"/>
      <c r="JK109" s="368"/>
      <c r="JL109" s="368"/>
      <c r="JM109" s="368"/>
      <c r="JN109" s="368"/>
      <c r="JO109" s="368"/>
      <c r="JP109" s="368"/>
      <c r="JQ109" s="368"/>
      <c r="JR109" s="368"/>
      <c r="JS109" s="368"/>
      <c r="JT109" s="368"/>
      <c r="JU109" s="368"/>
      <c r="JV109" s="368"/>
      <c r="JW109" s="368"/>
      <c r="JX109" s="368"/>
      <c r="JY109" s="368"/>
      <c r="JZ109" s="368"/>
      <c r="KA109" s="368"/>
      <c r="KB109" s="368"/>
      <c r="KC109" s="368"/>
      <c r="KD109" s="368"/>
      <c r="KE109" s="368"/>
      <c r="KF109" s="368"/>
      <c r="KG109" s="368"/>
      <c r="KH109" s="368"/>
      <c r="KI109" s="368"/>
      <c r="KJ109" s="368"/>
      <c r="KK109" s="368"/>
      <c r="KL109" s="368"/>
      <c r="KM109" s="368"/>
      <c r="KN109" s="368"/>
      <c r="KO109" s="368"/>
      <c r="KP109" s="368"/>
      <c r="KQ109" s="368"/>
      <c r="KR109" s="368"/>
      <c r="KS109" s="368"/>
      <c r="KT109" s="368"/>
      <c r="KU109" s="368"/>
      <c r="KV109" s="368"/>
      <c r="KW109" s="368"/>
      <c r="KX109" s="368"/>
      <c r="KY109" s="368"/>
      <c r="KZ109" s="368"/>
      <c r="LA109" s="368"/>
      <c r="LB109" s="368"/>
      <c r="LC109" s="368"/>
      <c r="LD109" s="368"/>
      <c r="LE109" s="368"/>
      <c r="LF109" s="368"/>
      <c r="LG109" s="368"/>
      <c r="LH109" s="368"/>
      <c r="LI109" s="368"/>
      <c r="LJ109" s="368"/>
      <c r="LK109" s="368"/>
      <c r="LL109" s="368"/>
      <c r="LM109" s="368"/>
      <c r="LN109" s="368"/>
      <c r="LO109" s="368"/>
      <c r="LP109" s="368"/>
      <c r="LQ109" s="368"/>
      <c r="LR109" s="368"/>
      <c r="LS109" s="368"/>
      <c r="LT109" s="368"/>
      <c r="LU109" s="368"/>
      <c r="LV109" s="368"/>
      <c r="LW109" s="368"/>
      <c r="LX109" s="368"/>
      <c r="LY109" s="368"/>
      <c r="LZ109" s="368"/>
      <c r="MA109" s="368"/>
      <c r="MB109" s="368"/>
      <c r="MC109" s="368"/>
      <c r="MD109" s="368"/>
      <c r="ME109" s="368"/>
      <c r="MF109" s="368"/>
      <c r="MG109" s="368"/>
      <c r="MH109" s="368"/>
      <c r="MI109" s="368"/>
      <c r="MJ109" s="368"/>
      <c r="MK109" s="368"/>
      <c r="ML109" s="368"/>
      <c r="MM109" s="368"/>
      <c r="MN109" s="368"/>
      <c r="MO109" s="368"/>
      <c r="MP109" s="368"/>
      <c r="MQ109" s="368"/>
      <c r="MR109" s="368"/>
      <c r="MS109" s="368"/>
      <c r="MT109" s="368"/>
      <c r="MU109" s="368"/>
      <c r="MV109" s="368"/>
      <c r="MW109" s="368"/>
      <c r="MX109" s="368"/>
      <c r="MY109" s="368"/>
      <c r="MZ109" s="368"/>
      <c r="NA109" s="368"/>
      <c r="NB109" s="368"/>
      <c r="NC109" s="368"/>
      <c r="ND109" s="368"/>
      <c r="NE109" s="368"/>
      <c r="NF109" s="368"/>
      <c r="NG109" s="368"/>
      <c r="NH109" s="368"/>
      <c r="NI109" s="368"/>
      <c r="NJ109" s="368"/>
      <c r="NK109" s="368"/>
      <c r="NL109" s="368"/>
      <c r="NM109" s="368"/>
      <c r="NN109" s="368"/>
      <c r="NO109" s="368"/>
      <c r="NP109" s="368"/>
      <c r="NQ109" s="368"/>
      <c r="NR109" s="368"/>
      <c r="NS109" s="368"/>
      <c r="NT109" s="368"/>
      <c r="NU109" s="368"/>
      <c r="NV109" s="368"/>
      <c r="NW109" s="368"/>
      <c r="NX109" s="368"/>
      <c r="NY109" s="368"/>
      <c r="NZ109" s="368"/>
      <c r="OA109" s="368"/>
      <c r="OB109" s="368"/>
      <c r="OC109" s="368"/>
      <c r="OD109" s="368"/>
      <c r="OE109" s="368"/>
      <c r="OF109" s="368"/>
      <c r="OG109" s="368"/>
      <c r="OH109" s="368"/>
      <c r="OI109" s="368"/>
      <c r="OJ109" s="368"/>
      <c r="OK109" s="368"/>
      <c r="OL109" s="368"/>
      <c r="OM109" s="368"/>
      <c r="ON109" s="368"/>
      <c r="OO109" s="368"/>
      <c r="OP109" s="368"/>
      <c r="OQ109" s="368"/>
      <c r="OR109" s="368"/>
      <c r="OS109" s="368"/>
      <c r="OT109" s="368"/>
      <c r="OU109" s="368"/>
      <c r="OV109" s="368"/>
      <c r="OW109" s="368"/>
      <c r="OX109" s="368"/>
      <c r="OY109" s="368"/>
      <c r="OZ109" s="368"/>
      <c r="PA109" s="368"/>
      <c r="PB109" s="368"/>
      <c r="PC109" s="368"/>
      <c r="PD109" s="368"/>
      <c r="PE109" s="368"/>
      <c r="PF109" s="368"/>
      <c r="PG109" s="368"/>
      <c r="PH109" s="368"/>
      <c r="PI109" s="368"/>
      <c r="PJ109" s="368"/>
      <c r="PK109" s="368"/>
      <c r="PL109" s="368"/>
      <c r="PM109" s="368"/>
      <c r="PN109" s="368"/>
      <c r="PO109" s="368"/>
      <c r="PP109" s="368"/>
      <c r="PQ109" s="368"/>
      <c r="PR109" s="368"/>
      <c r="PS109" s="368"/>
      <c r="PT109" s="368"/>
      <c r="PU109" s="368"/>
      <c r="PV109" s="368"/>
      <c r="PW109" s="368"/>
      <c r="PX109" s="368"/>
      <c r="PY109" s="368"/>
      <c r="PZ109" s="368"/>
      <c r="QA109" s="368"/>
      <c r="QB109" s="368"/>
      <c r="QC109" s="368"/>
      <c r="QD109" s="368"/>
      <c r="QE109" s="368"/>
      <c r="QF109" s="368"/>
      <c r="QG109" s="368"/>
      <c r="QH109" s="368"/>
      <c r="QI109" s="368"/>
      <c r="QJ109" s="368"/>
      <c r="QK109" s="368"/>
      <c r="QL109" s="368"/>
      <c r="QM109" s="368"/>
      <c r="QN109" s="368"/>
      <c r="QO109" s="368"/>
      <c r="QP109" s="368"/>
      <c r="QQ109" s="368"/>
      <c r="QR109" s="368"/>
      <c r="QS109" s="368"/>
      <c r="QT109" s="368"/>
      <c r="QU109" s="368"/>
      <c r="QV109" s="368"/>
      <c r="QW109" s="368"/>
      <c r="QX109" s="368"/>
      <c r="QY109" s="368"/>
      <c r="QZ109" s="368"/>
      <c r="RA109" s="368"/>
      <c r="RB109" s="368"/>
      <c r="RC109" s="368"/>
      <c r="RD109" s="368"/>
      <c r="RE109" s="368"/>
      <c r="RF109" s="368"/>
      <c r="RG109" s="368"/>
      <c r="RH109" s="368"/>
      <c r="RI109" s="368"/>
      <c r="RJ109" s="368"/>
      <c r="RK109" s="368"/>
      <c r="RL109" s="368"/>
      <c r="RM109" s="368"/>
      <c r="RN109" s="368"/>
      <c r="RO109" s="368"/>
      <c r="RP109" s="368"/>
      <c r="RQ109" s="368"/>
      <c r="RR109" s="368"/>
      <c r="RS109" s="368"/>
      <c r="RT109" s="368"/>
      <c r="RU109" s="368"/>
      <c r="RV109" s="368"/>
      <c r="RW109" s="368"/>
      <c r="RX109" s="368"/>
      <c r="RY109" s="368"/>
      <c r="RZ109" s="368"/>
      <c r="SA109" s="368"/>
      <c r="SB109" s="368"/>
      <c r="SC109" s="368"/>
      <c r="SD109" s="368"/>
      <c r="SE109" s="368"/>
      <c r="SF109" s="368"/>
      <c r="SG109" s="368"/>
      <c r="SH109" s="368"/>
      <c r="SI109" s="368"/>
      <c r="SJ109" s="368"/>
      <c r="SK109" s="368"/>
      <c r="SL109" s="368"/>
      <c r="SM109" s="368"/>
      <c r="SN109" s="368"/>
      <c r="SO109" s="368"/>
      <c r="SP109" s="368"/>
      <c r="SQ109" s="368"/>
      <c r="SR109" s="368"/>
      <c r="SS109" s="368"/>
      <c r="ST109" s="368"/>
      <c r="SU109" s="368"/>
      <c r="SV109" s="368"/>
      <c r="SW109" s="368"/>
      <c r="SX109" s="368"/>
      <c r="SY109" s="368"/>
      <c r="SZ109" s="368"/>
      <c r="TA109" s="368"/>
      <c r="TB109" s="368"/>
      <c r="TC109" s="368"/>
      <c r="TD109" s="368"/>
      <c r="TE109" s="368"/>
      <c r="TF109" s="368"/>
      <c r="TG109" s="368"/>
      <c r="TH109" s="368"/>
      <c r="TI109" s="368"/>
      <c r="TJ109" s="368"/>
      <c r="TK109" s="368"/>
      <c r="TL109" s="368"/>
      <c r="TM109" s="368"/>
      <c r="TN109" s="368"/>
      <c r="TO109" s="368"/>
      <c r="TP109" s="368"/>
      <c r="TQ109" s="368"/>
      <c r="TR109" s="368"/>
      <c r="TS109" s="368"/>
      <c r="TT109" s="368"/>
      <c r="TU109" s="368"/>
      <c r="TV109" s="368"/>
      <c r="TW109" s="368"/>
      <c r="TX109" s="368"/>
      <c r="TY109" s="368"/>
      <c r="TZ109" s="368"/>
      <c r="UA109" s="368"/>
      <c r="UB109" s="368"/>
      <c r="UC109" s="368"/>
      <c r="UD109" s="368"/>
      <c r="UE109" s="368"/>
      <c r="UF109" s="368"/>
      <c r="UG109" s="368"/>
      <c r="UH109" s="368"/>
      <c r="UI109" s="368"/>
      <c r="UJ109" s="368"/>
      <c r="UK109" s="368"/>
      <c r="UL109" s="368"/>
      <c r="UM109" s="368"/>
      <c r="UN109" s="368"/>
      <c r="UO109" s="368"/>
      <c r="UP109" s="368"/>
      <c r="UQ109" s="368"/>
      <c r="UR109" s="368"/>
      <c r="US109" s="368"/>
      <c r="UT109" s="368"/>
      <c r="UU109" s="368"/>
      <c r="UV109" s="368"/>
      <c r="UW109" s="368"/>
      <c r="UX109" s="368"/>
      <c r="UY109" s="368"/>
      <c r="UZ109" s="368"/>
      <c r="VA109" s="368"/>
      <c r="VB109" s="368"/>
      <c r="VC109" s="368"/>
      <c r="VD109" s="368"/>
      <c r="VE109" s="368"/>
      <c r="VF109" s="368"/>
      <c r="VG109" s="368"/>
      <c r="VH109" s="368"/>
      <c r="VI109" s="368"/>
      <c r="VJ109" s="368"/>
      <c r="VK109" s="368"/>
      <c r="VL109" s="368"/>
      <c r="VM109" s="368"/>
      <c r="VN109" s="368"/>
      <c r="VO109" s="368"/>
      <c r="VP109" s="368"/>
      <c r="VQ109" s="368"/>
      <c r="VR109" s="368"/>
      <c r="VS109" s="368"/>
      <c r="VT109" s="368"/>
      <c r="VU109" s="368"/>
      <c r="VV109" s="368"/>
      <c r="VW109" s="368"/>
      <c r="VX109" s="368"/>
      <c r="VY109" s="368"/>
      <c r="VZ109" s="368"/>
      <c r="WA109" s="368"/>
      <c r="WB109" s="368"/>
      <c r="WC109" s="368"/>
      <c r="WD109" s="368"/>
      <c r="WE109" s="368"/>
      <c r="WF109" s="368"/>
      <c r="WG109" s="368"/>
      <c r="WH109" s="368"/>
      <c r="WI109" s="368"/>
      <c r="WJ109" s="368"/>
      <c r="WK109" s="368"/>
      <c r="WL109" s="368"/>
      <c r="WM109" s="368"/>
      <c r="WN109" s="368"/>
      <c r="WO109" s="368"/>
      <c r="WP109" s="368"/>
      <c r="WQ109" s="368"/>
      <c r="WR109" s="368"/>
      <c r="WS109" s="368"/>
      <c r="WT109" s="368"/>
      <c r="WU109" s="368"/>
      <c r="WV109" s="368"/>
      <c r="WW109" s="368"/>
      <c r="WX109" s="368"/>
      <c r="WY109" s="368"/>
      <c r="WZ109" s="368"/>
      <c r="XA109" s="368"/>
      <c r="XB109" s="368"/>
      <c r="XC109" s="368"/>
      <c r="XD109" s="368"/>
      <c r="XE109" s="368"/>
      <c r="XF109" s="368"/>
      <c r="XG109" s="368"/>
      <c r="XH109" s="368"/>
      <c r="XI109" s="368"/>
      <c r="XJ109" s="368"/>
      <c r="XK109" s="368"/>
      <c r="XL109" s="368"/>
      <c r="XM109" s="368"/>
      <c r="XN109" s="368"/>
      <c r="XO109" s="368"/>
      <c r="XP109" s="368"/>
      <c r="XQ109" s="368"/>
      <c r="XR109" s="368"/>
      <c r="XS109" s="368"/>
      <c r="XT109" s="368"/>
      <c r="XU109" s="368"/>
      <c r="XV109" s="368"/>
      <c r="XW109" s="368"/>
      <c r="XX109" s="368"/>
      <c r="XY109" s="368"/>
      <c r="XZ109" s="368"/>
      <c r="YA109" s="368"/>
      <c r="YB109" s="368"/>
      <c r="YC109" s="368"/>
      <c r="YD109" s="368"/>
      <c r="YE109" s="368"/>
      <c r="YF109" s="368"/>
      <c r="YG109" s="368"/>
      <c r="YH109" s="368"/>
      <c r="YI109" s="368"/>
      <c r="YJ109" s="368"/>
      <c r="YK109" s="368"/>
      <c r="YL109" s="368"/>
      <c r="YM109" s="368"/>
      <c r="YN109" s="368"/>
      <c r="YO109" s="368"/>
      <c r="YP109" s="368"/>
      <c r="YQ109" s="368"/>
      <c r="YR109" s="368"/>
      <c r="YS109" s="368"/>
      <c r="YT109" s="368"/>
      <c r="YU109" s="368"/>
      <c r="YV109" s="368"/>
      <c r="YW109" s="368"/>
      <c r="YX109" s="368"/>
      <c r="YY109" s="368"/>
      <c r="YZ109" s="368"/>
      <c r="ZA109" s="368"/>
      <c r="ZB109" s="368"/>
      <c r="ZC109" s="368"/>
      <c r="ZD109" s="368"/>
      <c r="ZE109" s="368"/>
      <c r="ZF109" s="368"/>
      <c r="ZG109" s="368"/>
      <c r="ZH109" s="368"/>
      <c r="ZI109" s="368"/>
      <c r="ZJ109" s="368"/>
      <c r="ZK109" s="368"/>
      <c r="ZL109" s="368"/>
      <c r="ZM109" s="368"/>
      <c r="ZN109" s="368"/>
      <c r="ZO109" s="368"/>
      <c r="ZP109" s="368"/>
      <c r="ZQ109" s="368"/>
      <c r="ZR109" s="368"/>
      <c r="ZS109" s="368"/>
      <c r="ZT109" s="368"/>
      <c r="ZU109" s="368"/>
      <c r="ZV109" s="368"/>
      <c r="ZW109" s="368"/>
      <c r="ZX109" s="368"/>
      <c r="ZY109" s="368"/>
      <c r="ZZ109" s="368"/>
      <c r="AAA109" s="368"/>
      <c r="AAB109" s="368"/>
      <c r="AAC109" s="368"/>
      <c r="AAD109" s="368"/>
      <c r="AAE109" s="368"/>
      <c r="AAF109" s="368"/>
      <c r="AAG109" s="368"/>
      <c r="AAH109" s="368"/>
      <c r="AAI109" s="368"/>
      <c r="AAJ109" s="368"/>
      <c r="AAK109" s="368"/>
      <c r="AAL109" s="368"/>
      <c r="AAM109" s="368"/>
      <c r="AAN109" s="368"/>
      <c r="AAO109" s="368"/>
      <c r="AAP109" s="368"/>
      <c r="AAQ109" s="368"/>
      <c r="AAR109" s="368"/>
      <c r="AAS109" s="368"/>
      <c r="AAT109" s="368"/>
      <c r="AAU109" s="368"/>
      <c r="AAV109" s="368"/>
      <c r="AAW109" s="368"/>
      <c r="AAX109" s="368"/>
      <c r="AAY109" s="368"/>
      <c r="AAZ109" s="368"/>
      <c r="ABA109" s="368"/>
      <c r="ABB109" s="368"/>
      <c r="ABC109" s="368"/>
      <c r="ABD109" s="368"/>
      <c r="ABE109" s="368"/>
      <c r="ABF109" s="368"/>
      <c r="ABG109" s="368"/>
      <c r="ABH109" s="368"/>
      <c r="ABI109" s="368"/>
      <c r="ABJ109" s="368"/>
      <c r="ABK109" s="368"/>
      <c r="ABL109" s="368"/>
      <c r="ABM109" s="368"/>
      <c r="ABN109" s="368"/>
      <c r="ABO109" s="368"/>
      <c r="ABP109" s="368"/>
      <c r="ABQ109" s="368"/>
      <c r="ABR109" s="368"/>
      <c r="ABS109" s="368"/>
      <c r="ABT109" s="368"/>
      <c r="ABU109" s="368"/>
      <c r="ABV109" s="368"/>
      <c r="ABW109" s="368"/>
      <c r="ABX109" s="368"/>
      <c r="ABY109" s="368"/>
      <c r="ABZ109" s="368"/>
      <c r="ACA109" s="368"/>
      <c r="ACB109" s="368"/>
      <c r="ACC109" s="368"/>
      <c r="ACD109" s="368"/>
      <c r="ACE109" s="368"/>
      <c r="ACF109" s="368"/>
      <c r="ACG109" s="368"/>
      <c r="ACH109" s="368"/>
      <c r="ACI109" s="368"/>
      <c r="ACJ109" s="368"/>
      <c r="ACK109" s="368"/>
      <c r="ACL109" s="368"/>
      <c r="ACM109" s="368"/>
      <c r="ACN109" s="368"/>
      <c r="ACO109" s="368"/>
      <c r="ACP109" s="368"/>
      <c r="ACQ109" s="368"/>
      <c r="ACR109" s="368"/>
      <c r="ACS109" s="368"/>
      <c r="ACT109" s="368"/>
      <c r="ACU109" s="368"/>
      <c r="ACV109" s="368"/>
      <c r="ACW109" s="368"/>
      <c r="ACX109" s="368"/>
      <c r="ACY109" s="368"/>
      <c r="ACZ109" s="368"/>
      <c r="ADA109" s="368"/>
      <c r="ADB109" s="368"/>
      <c r="ADC109" s="368"/>
      <c r="ADD109" s="368"/>
      <c r="ADE109" s="368"/>
      <c r="ADF109" s="368"/>
      <c r="ADG109" s="368"/>
      <c r="ADH109" s="368"/>
      <c r="ADI109" s="368"/>
      <c r="ADJ109" s="368"/>
      <c r="ADK109" s="368"/>
      <c r="ADL109" s="368"/>
      <c r="ADM109" s="368"/>
      <c r="ADN109" s="368"/>
      <c r="ADO109" s="368"/>
      <c r="ADP109" s="368"/>
      <c r="ADQ109" s="368"/>
      <c r="ADR109" s="368"/>
      <c r="ADS109" s="368"/>
      <c r="ADT109" s="368"/>
      <c r="ADU109" s="368"/>
      <c r="ADV109" s="368"/>
      <c r="ADW109" s="368"/>
      <c r="ADX109" s="368"/>
      <c r="ADY109" s="368"/>
      <c r="ADZ109" s="368"/>
      <c r="AEA109" s="368"/>
      <c r="AEB109" s="368"/>
      <c r="AEC109" s="368"/>
      <c r="AED109" s="368"/>
      <c r="AEE109" s="368"/>
      <c r="AEF109" s="368"/>
      <c r="AEG109" s="368"/>
      <c r="AEH109" s="368"/>
      <c r="AEI109" s="368"/>
      <c r="AEJ109" s="368"/>
      <c r="AEK109" s="368"/>
      <c r="AEL109" s="368"/>
      <c r="AEM109" s="368"/>
      <c r="AEN109" s="368"/>
      <c r="AEO109" s="368"/>
      <c r="AEP109" s="368"/>
      <c r="AEQ109" s="368"/>
      <c r="AER109" s="368"/>
      <c r="AES109" s="368"/>
      <c r="AET109" s="368"/>
      <c r="AEU109" s="368"/>
      <c r="AEV109" s="368"/>
      <c r="AEW109" s="368"/>
      <c r="AEX109" s="368"/>
      <c r="AEY109" s="368"/>
      <c r="AEZ109" s="368"/>
      <c r="AFA109" s="368"/>
      <c r="AFB109" s="368"/>
      <c r="AFC109" s="368"/>
      <c r="AFD109" s="368"/>
      <c r="AFE109" s="368"/>
      <c r="AFF109" s="368"/>
      <c r="AFG109" s="368"/>
      <c r="AFH109" s="368"/>
      <c r="AFI109" s="368"/>
      <c r="AFJ109" s="368"/>
      <c r="AFK109" s="368"/>
      <c r="AFL109" s="368"/>
      <c r="AFM109" s="368"/>
      <c r="AFN109" s="368"/>
      <c r="AFO109" s="368"/>
      <c r="AFP109" s="368"/>
      <c r="AFQ109" s="368"/>
      <c r="AFR109" s="368"/>
      <c r="AFS109" s="368"/>
      <c r="AFT109" s="368"/>
      <c r="AFU109" s="368"/>
      <c r="AFV109" s="368"/>
      <c r="AFW109" s="368"/>
      <c r="AFX109" s="368"/>
      <c r="AFY109" s="368"/>
      <c r="AFZ109" s="368"/>
      <c r="AGA109" s="368"/>
      <c r="AGB109" s="368"/>
      <c r="AGC109" s="368"/>
      <c r="AGD109" s="368"/>
      <c r="AGE109" s="368"/>
      <c r="AGF109" s="368"/>
      <c r="AGG109" s="368"/>
      <c r="AGH109" s="368"/>
      <c r="AGI109" s="368"/>
      <c r="AGJ109" s="368"/>
      <c r="AGK109" s="368"/>
      <c r="AGL109" s="368"/>
      <c r="AGM109" s="368"/>
      <c r="AGN109" s="368"/>
      <c r="AGO109" s="368"/>
      <c r="AGP109" s="368"/>
      <c r="AGQ109" s="368"/>
      <c r="AGR109" s="368"/>
      <c r="AGS109" s="368"/>
      <c r="AGT109" s="368"/>
      <c r="AGU109" s="368"/>
      <c r="AGV109" s="368"/>
      <c r="AGW109" s="368"/>
      <c r="AGX109" s="368"/>
      <c r="AGY109" s="368"/>
      <c r="AGZ109" s="368"/>
      <c r="AHA109" s="368"/>
      <c r="AHB109" s="368"/>
      <c r="AHC109" s="368"/>
      <c r="AHD109" s="368"/>
      <c r="AHE109" s="368"/>
      <c r="AHF109" s="368"/>
      <c r="AHG109" s="368"/>
      <c r="AHH109" s="368"/>
      <c r="AHI109" s="368"/>
      <c r="AHJ109" s="368"/>
      <c r="AHK109" s="368"/>
      <c r="AHL109" s="368"/>
      <c r="AHM109" s="368"/>
      <c r="AHN109" s="368"/>
      <c r="AHO109" s="368"/>
      <c r="AHP109" s="368"/>
      <c r="AHQ109" s="368"/>
      <c r="AHR109" s="368"/>
      <c r="AHS109" s="368"/>
      <c r="AHT109" s="368"/>
      <c r="AHU109" s="368"/>
      <c r="AHV109" s="368"/>
      <c r="AHW109" s="368"/>
      <c r="AHX109" s="368"/>
      <c r="AHY109" s="368"/>
      <c r="AHZ109" s="368"/>
      <c r="AIA109" s="368"/>
      <c r="AIB109" s="368"/>
      <c r="AIC109" s="368"/>
      <c r="AID109" s="368"/>
      <c r="AIE109" s="368"/>
      <c r="AIF109" s="368"/>
      <c r="AIG109" s="368"/>
      <c r="AIH109" s="368"/>
      <c r="AII109" s="368"/>
      <c r="AIJ109" s="368"/>
      <c r="AIK109" s="368"/>
      <c r="AIL109" s="368"/>
      <c r="AIM109" s="368"/>
      <c r="AIN109" s="368"/>
      <c r="AIO109" s="368"/>
      <c r="AIP109" s="368"/>
      <c r="AIQ109" s="368"/>
      <c r="AIR109" s="368"/>
      <c r="AIS109" s="368"/>
      <c r="AIT109" s="368"/>
      <c r="AIU109" s="368"/>
      <c r="AIV109" s="368"/>
      <c r="AIW109" s="368"/>
      <c r="AIX109" s="368"/>
      <c r="AIY109" s="368"/>
      <c r="AIZ109" s="368"/>
      <c r="AJA109" s="368"/>
      <c r="AJB109" s="368"/>
      <c r="AJC109" s="368"/>
      <c r="AJD109" s="368"/>
      <c r="AJE109" s="368"/>
      <c r="AJF109" s="368"/>
      <c r="AJG109" s="368"/>
      <c r="AJH109" s="368"/>
      <c r="AJI109" s="368"/>
      <c r="AJJ109" s="368"/>
      <c r="AJK109" s="368"/>
      <c r="AJL109" s="368"/>
      <c r="AJM109" s="368"/>
      <c r="AJN109" s="368"/>
      <c r="AJO109" s="368"/>
      <c r="AJP109" s="368"/>
      <c r="AJQ109" s="368"/>
      <c r="AJR109" s="368"/>
      <c r="AJS109" s="368"/>
      <c r="AJT109" s="368"/>
      <c r="AJU109" s="368"/>
      <c r="AJV109" s="368"/>
      <c r="AJW109" s="368"/>
      <c r="AJX109" s="368"/>
      <c r="AJY109" s="368"/>
      <c r="AJZ109" s="368"/>
      <c r="AKA109" s="368"/>
      <c r="AKB109" s="368"/>
      <c r="AKC109" s="368"/>
      <c r="AKD109" s="368"/>
      <c r="AKE109" s="368"/>
      <c r="AKF109" s="368"/>
      <c r="AKG109" s="368"/>
      <c r="AKH109" s="368"/>
      <c r="AKI109" s="368"/>
      <c r="AKJ109" s="368"/>
      <c r="AKK109" s="368"/>
      <c r="AKL109" s="368"/>
      <c r="AKM109" s="368"/>
      <c r="AKN109" s="368"/>
    </row>
    <row r="110" spans="1:976" s="14" customFormat="1" ht="22.5" customHeight="1" x14ac:dyDescent="0.2">
      <c r="A110" s="408" t="s">
        <v>262</v>
      </c>
      <c r="B110" s="408"/>
      <c r="C110" s="408" t="s">
        <v>221</v>
      </c>
      <c r="D110" s="408" t="s">
        <v>222</v>
      </c>
      <c r="E110" s="409">
        <v>412735</v>
      </c>
      <c r="F110" s="409">
        <v>1574</v>
      </c>
      <c r="G110" s="409">
        <v>240</v>
      </c>
      <c r="H110" s="409">
        <v>0</v>
      </c>
      <c r="I110" s="410">
        <v>45863</v>
      </c>
      <c r="J110" s="408" t="s">
        <v>395</v>
      </c>
      <c r="K110" s="408" t="s">
        <v>583</v>
      </c>
      <c r="L110" s="411">
        <v>130.61000000000001</v>
      </c>
      <c r="M110" s="411">
        <v>9.67</v>
      </c>
      <c r="N110" s="450">
        <v>140.28</v>
      </c>
      <c r="O110" s="408"/>
      <c r="P110" s="412">
        <v>45867</v>
      </c>
      <c r="Q110" s="411">
        <v>140.28</v>
      </c>
      <c r="R110" s="408" t="s">
        <v>584</v>
      </c>
      <c r="S110" s="411">
        <v>0</v>
      </c>
      <c r="T110" s="411">
        <v>0</v>
      </c>
      <c r="U110" s="411">
        <v>0</v>
      </c>
      <c r="V110" s="411">
        <v>0</v>
      </c>
      <c r="W110" s="408"/>
      <c r="X110" s="408" t="s">
        <v>293</v>
      </c>
      <c r="Y110" s="408" t="s">
        <v>294</v>
      </c>
      <c r="Z110" s="408" t="s">
        <v>53</v>
      </c>
      <c r="AA110" s="408" t="s">
        <v>228</v>
      </c>
      <c r="AB110" s="408" t="s">
        <v>239</v>
      </c>
      <c r="AC110" s="408" t="s">
        <v>240</v>
      </c>
      <c r="AD110" s="408" t="s">
        <v>231</v>
      </c>
      <c r="AE110" s="408" t="s">
        <v>232</v>
      </c>
      <c r="AF110" s="408" t="s">
        <v>231</v>
      </c>
      <c r="AG110" s="408" t="s">
        <v>232</v>
      </c>
      <c r="AH110" s="408"/>
      <c r="AI110" s="408"/>
      <c r="AJ110" s="408"/>
      <c r="AK110" s="408" t="s">
        <v>585</v>
      </c>
      <c r="AL110" s="409">
        <v>1</v>
      </c>
      <c r="AM110" s="409">
        <v>0</v>
      </c>
      <c r="AN110" s="410">
        <v>45867</v>
      </c>
      <c r="AO110" s="410">
        <v>45866</v>
      </c>
      <c r="AP110" s="411">
        <v>140.28</v>
      </c>
      <c r="AQ110" s="410">
        <v>45865</v>
      </c>
    </row>
    <row r="111" spans="1:976" s="14" customFormat="1" ht="22.5" customHeight="1" x14ac:dyDescent="0.2">
      <c r="A111" s="408" t="s">
        <v>262</v>
      </c>
      <c r="B111" s="408"/>
      <c r="C111" s="408" t="s">
        <v>221</v>
      </c>
      <c r="D111" s="408" t="s">
        <v>222</v>
      </c>
      <c r="E111" s="409">
        <v>412747</v>
      </c>
      <c r="F111" s="409">
        <v>1587</v>
      </c>
      <c r="G111" s="409">
        <v>244</v>
      </c>
      <c r="H111" s="409">
        <v>0</v>
      </c>
      <c r="I111" s="410">
        <v>45866</v>
      </c>
      <c r="J111" s="408" t="s">
        <v>263</v>
      </c>
      <c r="K111" s="408" t="s">
        <v>586</v>
      </c>
      <c r="L111" s="411">
        <v>188.06</v>
      </c>
      <c r="M111" s="411">
        <v>10.34</v>
      </c>
      <c r="N111" s="450">
        <v>198.4</v>
      </c>
      <c r="O111" s="408"/>
      <c r="P111" s="412">
        <v>45867</v>
      </c>
      <c r="Q111" s="411">
        <v>198.4</v>
      </c>
      <c r="R111" s="408" t="s">
        <v>587</v>
      </c>
      <c r="S111" s="411">
        <v>0</v>
      </c>
      <c r="T111" s="411">
        <v>0</v>
      </c>
      <c r="U111" s="411">
        <v>0</v>
      </c>
      <c r="V111" s="411">
        <v>0</v>
      </c>
      <c r="W111" s="408"/>
      <c r="X111" s="408" t="s">
        <v>293</v>
      </c>
      <c r="Y111" s="408" t="s">
        <v>294</v>
      </c>
      <c r="Z111" s="408" t="s">
        <v>53</v>
      </c>
      <c r="AA111" s="408" t="s">
        <v>228</v>
      </c>
      <c r="AB111" s="408" t="s">
        <v>239</v>
      </c>
      <c r="AC111" s="408" t="s">
        <v>240</v>
      </c>
      <c r="AD111" s="408" t="s">
        <v>231</v>
      </c>
      <c r="AE111" s="408" t="s">
        <v>232</v>
      </c>
      <c r="AF111" s="408" t="s">
        <v>231</v>
      </c>
      <c r="AG111" s="408" t="s">
        <v>232</v>
      </c>
      <c r="AH111" s="408"/>
      <c r="AI111" s="408"/>
      <c r="AJ111" s="408"/>
      <c r="AK111" s="408" t="s">
        <v>588</v>
      </c>
      <c r="AL111" s="409">
        <v>1</v>
      </c>
      <c r="AM111" s="409">
        <v>0</v>
      </c>
      <c r="AN111" s="410">
        <v>45867</v>
      </c>
      <c r="AO111" s="410">
        <v>45866</v>
      </c>
      <c r="AP111" s="411">
        <v>198.4</v>
      </c>
      <c r="AQ111" s="410">
        <v>45865</v>
      </c>
    </row>
    <row r="112" spans="1:976" s="363" customFormat="1" ht="22.5" customHeight="1" x14ac:dyDescent="0.2">
      <c r="A112" s="358" t="s">
        <v>262</v>
      </c>
      <c r="B112" s="358"/>
      <c r="C112" s="358" t="s">
        <v>221</v>
      </c>
      <c r="D112" s="358" t="s">
        <v>222</v>
      </c>
      <c r="E112" s="359">
        <v>412809</v>
      </c>
      <c r="F112" s="359">
        <v>1621</v>
      </c>
      <c r="G112" s="359">
        <v>251</v>
      </c>
      <c r="H112" s="359">
        <v>0</v>
      </c>
      <c r="I112" s="360">
        <v>45869</v>
      </c>
      <c r="J112" s="358" t="s">
        <v>395</v>
      </c>
      <c r="K112" s="358" t="s">
        <v>589</v>
      </c>
      <c r="L112" s="361">
        <v>55.83</v>
      </c>
      <c r="M112" s="361">
        <v>3.41</v>
      </c>
      <c r="N112" s="448">
        <v>59.24</v>
      </c>
      <c r="O112" s="358"/>
      <c r="P112" s="362">
        <v>45874</v>
      </c>
      <c r="Q112" s="361">
        <v>59.24</v>
      </c>
      <c r="R112" s="358" t="s">
        <v>590</v>
      </c>
      <c r="S112" s="361">
        <v>0</v>
      </c>
      <c r="T112" s="361">
        <v>0</v>
      </c>
      <c r="U112" s="361">
        <v>0</v>
      </c>
      <c r="V112" s="361">
        <v>0</v>
      </c>
      <c r="W112" s="358"/>
      <c r="X112" s="358" t="s">
        <v>293</v>
      </c>
      <c r="Y112" s="358" t="s">
        <v>294</v>
      </c>
      <c r="Z112" s="358" t="s">
        <v>591</v>
      </c>
      <c r="AA112" s="358" t="s">
        <v>228</v>
      </c>
      <c r="AB112" s="358" t="s">
        <v>235</v>
      </c>
      <c r="AC112" s="358" t="s">
        <v>31</v>
      </c>
      <c r="AD112" s="358" t="s">
        <v>231</v>
      </c>
      <c r="AE112" s="358" t="s">
        <v>232</v>
      </c>
      <c r="AF112" s="358" t="s">
        <v>231</v>
      </c>
      <c r="AG112" s="358" t="s">
        <v>232</v>
      </c>
      <c r="AH112" s="358"/>
      <c r="AI112" s="358"/>
      <c r="AJ112" s="358"/>
      <c r="AK112" s="358" t="s">
        <v>592</v>
      </c>
      <c r="AL112" s="359">
        <v>1</v>
      </c>
      <c r="AM112" s="359">
        <v>0</v>
      </c>
      <c r="AN112" s="360">
        <v>45874</v>
      </c>
      <c r="AO112" s="360">
        <v>45873</v>
      </c>
      <c r="AP112" s="361">
        <v>59.24</v>
      </c>
      <c r="AQ112" s="360">
        <v>45872</v>
      </c>
      <c r="AR112" s="368"/>
      <c r="AS112" s="368"/>
      <c r="AT112" s="368"/>
      <c r="AU112" s="368"/>
      <c r="AV112" s="368"/>
      <c r="AW112" s="368"/>
      <c r="AX112" s="368"/>
      <c r="AY112" s="368"/>
      <c r="AZ112" s="368"/>
      <c r="BA112" s="368"/>
      <c r="BB112" s="368"/>
      <c r="BC112" s="368"/>
      <c r="BD112" s="368"/>
      <c r="BE112" s="368"/>
      <c r="BF112" s="368"/>
      <c r="BG112" s="368"/>
      <c r="BH112" s="368"/>
      <c r="BI112" s="368"/>
      <c r="BJ112" s="368"/>
      <c r="BK112" s="368"/>
      <c r="BL112" s="368"/>
      <c r="BM112" s="368"/>
      <c r="BN112" s="368"/>
      <c r="BO112" s="368"/>
      <c r="BP112" s="368"/>
      <c r="BQ112" s="368"/>
      <c r="BR112" s="368"/>
      <c r="BS112" s="368"/>
      <c r="BT112" s="368"/>
      <c r="BU112" s="368"/>
      <c r="BV112" s="368"/>
      <c r="BW112" s="368"/>
      <c r="BX112" s="368"/>
      <c r="BY112" s="368"/>
      <c r="BZ112" s="368"/>
      <c r="CA112" s="368"/>
      <c r="CB112" s="368"/>
      <c r="CC112" s="368"/>
      <c r="CD112" s="368"/>
      <c r="CE112" s="368"/>
      <c r="CF112" s="368"/>
      <c r="CG112" s="368"/>
      <c r="CH112" s="368"/>
      <c r="CI112" s="368"/>
      <c r="CJ112" s="368"/>
      <c r="CK112" s="368"/>
      <c r="CL112" s="368"/>
      <c r="CM112" s="368"/>
      <c r="CN112" s="368"/>
      <c r="CO112" s="368"/>
      <c r="CP112" s="368"/>
      <c r="CQ112" s="368"/>
      <c r="CR112" s="368"/>
      <c r="CS112" s="368"/>
      <c r="CT112" s="368"/>
      <c r="CU112" s="368"/>
      <c r="CV112" s="368"/>
      <c r="CW112" s="368"/>
      <c r="CX112" s="368"/>
      <c r="CY112" s="368"/>
      <c r="CZ112" s="368"/>
      <c r="DA112" s="368"/>
      <c r="DB112" s="368"/>
      <c r="DC112" s="368"/>
      <c r="DD112" s="368"/>
      <c r="DE112" s="368"/>
      <c r="DF112" s="368"/>
      <c r="DG112" s="368"/>
      <c r="DH112" s="368"/>
      <c r="DI112" s="368"/>
      <c r="DJ112" s="368"/>
      <c r="DK112" s="368"/>
      <c r="DL112" s="368"/>
      <c r="DM112" s="368"/>
      <c r="DN112" s="368"/>
      <c r="DO112" s="368"/>
      <c r="DP112" s="368"/>
      <c r="DQ112" s="368"/>
      <c r="DR112" s="368"/>
      <c r="DS112" s="368"/>
      <c r="DT112" s="368"/>
      <c r="DU112" s="368"/>
      <c r="DV112" s="368"/>
      <c r="DW112" s="368"/>
      <c r="DX112" s="368"/>
      <c r="DY112" s="368"/>
      <c r="DZ112" s="368"/>
      <c r="EA112" s="368"/>
      <c r="EB112" s="368"/>
      <c r="EC112" s="368"/>
      <c r="ED112" s="368"/>
      <c r="EE112" s="368"/>
      <c r="EF112" s="368"/>
      <c r="EG112" s="368"/>
      <c r="EH112" s="368"/>
      <c r="EI112" s="368"/>
      <c r="EJ112" s="368"/>
      <c r="EK112" s="368"/>
      <c r="EL112" s="368"/>
      <c r="EM112" s="368"/>
      <c r="EN112" s="368"/>
      <c r="EO112" s="368"/>
      <c r="EP112" s="368"/>
      <c r="EQ112" s="368"/>
      <c r="ER112" s="368"/>
      <c r="ES112" s="368"/>
      <c r="ET112" s="368"/>
      <c r="EU112" s="368"/>
      <c r="EV112" s="368"/>
      <c r="EW112" s="368"/>
      <c r="EX112" s="368"/>
      <c r="EY112" s="368"/>
      <c r="EZ112" s="368"/>
      <c r="FA112" s="368"/>
      <c r="FB112" s="368"/>
      <c r="FC112" s="368"/>
      <c r="FD112" s="368"/>
      <c r="FE112" s="368"/>
      <c r="FF112" s="368"/>
      <c r="FG112" s="368"/>
      <c r="FH112" s="368"/>
      <c r="FI112" s="368"/>
      <c r="FJ112" s="368"/>
      <c r="FK112" s="368"/>
      <c r="FL112" s="368"/>
      <c r="FM112" s="368"/>
      <c r="FN112" s="368"/>
      <c r="FO112" s="368"/>
      <c r="FP112" s="368"/>
      <c r="FQ112" s="368"/>
      <c r="FR112" s="368"/>
      <c r="FS112" s="368"/>
      <c r="FT112" s="368"/>
      <c r="FU112" s="368"/>
      <c r="FV112" s="368"/>
      <c r="FW112" s="368"/>
      <c r="FX112" s="368"/>
      <c r="FY112" s="368"/>
      <c r="FZ112" s="368"/>
      <c r="GA112" s="368"/>
      <c r="GB112" s="368"/>
      <c r="GC112" s="368"/>
      <c r="GD112" s="368"/>
      <c r="GE112" s="368"/>
      <c r="GF112" s="368"/>
      <c r="GG112" s="368"/>
      <c r="GH112" s="368"/>
      <c r="GI112" s="368"/>
      <c r="GJ112" s="368"/>
      <c r="GK112" s="368"/>
      <c r="GL112" s="368"/>
      <c r="GM112" s="368"/>
      <c r="GN112" s="368"/>
      <c r="GO112" s="368"/>
      <c r="GP112" s="368"/>
      <c r="GQ112" s="368"/>
      <c r="GR112" s="368"/>
      <c r="GS112" s="368"/>
      <c r="GT112" s="368"/>
      <c r="GU112" s="368"/>
      <c r="GV112" s="368"/>
      <c r="GW112" s="368"/>
      <c r="GX112" s="368"/>
      <c r="GY112" s="368"/>
      <c r="GZ112" s="368"/>
      <c r="HA112" s="368"/>
      <c r="HB112" s="368"/>
      <c r="HC112" s="368"/>
      <c r="HD112" s="368"/>
      <c r="HE112" s="368"/>
      <c r="HF112" s="368"/>
      <c r="HG112" s="368"/>
      <c r="HH112" s="368"/>
      <c r="HI112" s="368"/>
      <c r="HJ112" s="368"/>
      <c r="HK112" s="368"/>
      <c r="HL112" s="368"/>
      <c r="HM112" s="368"/>
      <c r="HN112" s="368"/>
      <c r="HO112" s="368"/>
      <c r="HP112" s="368"/>
      <c r="HQ112" s="368"/>
      <c r="HR112" s="368"/>
      <c r="HS112" s="368"/>
      <c r="HT112" s="368"/>
      <c r="HU112" s="368"/>
      <c r="HV112" s="368"/>
      <c r="HW112" s="368"/>
      <c r="HX112" s="368"/>
      <c r="HY112" s="368"/>
      <c r="HZ112" s="368"/>
      <c r="IA112" s="368"/>
      <c r="IB112" s="368"/>
      <c r="IC112" s="368"/>
      <c r="ID112" s="368"/>
      <c r="IE112" s="368"/>
      <c r="IF112" s="368"/>
      <c r="IG112" s="368"/>
      <c r="IH112" s="368"/>
      <c r="II112" s="368"/>
      <c r="IJ112" s="368"/>
      <c r="IK112" s="368"/>
      <c r="IL112" s="368"/>
      <c r="IM112" s="368"/>
      <c r="IN112" s="368"/>
      <c r="IO112" s="368"/>
      <c r="IP112" s="368"/>
      <c r="IQ112" s="368"/>
      <c r="IR112" s="368"/>
      <c r="IS112" s="368"/>
      <c r="IT112" s="368"/>
      <c r="IU112" s="368"/>
      <c r="IV112" s="368"/>
      <c r="IW112" s="368"/>
      <c r="IX112" s="368"/>
      <c r="IY112" s="368"/>
      <c r="IZ112" s="368"/>
      <c r="JA112" s="368"/>
      <c r="JB112" s="368"/>
      <c r="JC112" s="368"/>
      <c r="JD112" s="368"/>
      <c r="JE112" s="368"/>
      <c r="JF112" s="368"/>
      <c r="JG112" s="368"/>
      <c r="JH112" s="368"/>
      <c r="JI112" s="368"/>
      <c r="JJ112" s="368"/>
      <c r="JK112" s="368"/>
      <c r="JL112" s="368"/>
      <c r="JM112" s="368"/>
      <c r="JN112" s="368"/>
      <c r="JO112" s="368"/>
      <c r="JP112" s="368"/>
      <c r="JQ112" s="368"/>
      <c r="JR112" s="368"/>
      <c r="JS112" s="368"/>
      <c r="JT112" s="368"/>
      <c r="JU112" s="368"/>
      <c r="JV112" s="368"/>
      <c r="JW112" s="368"/>
      <c r="JX112" s="368"/>
      <c r="JY112" s="368"/>
      <c r="JZ112" s="368"/>
      <c r="KA112" s="368"/>
      <c r="KB112" s="368"/>
      <c r="KC112" s="368"/>
      <c r="KD112" s="368"/>
      <c r="KE112" s="368"/>
      <c r="KF112" s="368"/>
      <c r="KG112" s="368"/>
      <c r="KH112" s="368"/>
      <c r="KI112" s="368"/>
      <c r="KJ112" s="368"/>
      <c r="KK112" s="368"/>
      <c r="KL112" s="368"/>
      <c r="KM112" s="368"/>
      <c r="KN112" s="368"/>
      <c r="KO112" s="368"/>
      <c r="KP112" s="368"/>
      <c r="KQ112" s="368"/>
      <c r="KR112" s="368"/>
      <c r="KS112" s="368"/>
      <c r="KT112" s="368"/>
      <c r="KU112" s="368"/>
      <c r="KV112" s="368"/>
      <c r="KW112" s="368"/>
      <c r="KX112" s="368"/>
      <c r="KY112" s="368"/>
      <c r="KZ112" s="368"/>
      <c r="LA112" s="368"/>
      <c r="LB112" s="368"/>
      <c r="LC112" s="368"/>
      <c r="LD112" s="368"/>
      <c r="LE112" s="368"/>
      <c r="LF112" s="368"/>
      <c r="LG112" s="368"/>
      <c r="LH112" s="368"/>
      <c r="LI112" s="368"/>
      <c r="LJ112" s="368"/>
      <c r="LK112" s="368"/>
      <c r="LL112" s="368"/>
      <c r="LM112" s="368"/>
      <c r="LN112" s="368"/>
      <c r="LO112" s="368"/>
      <c r="LP112" s="368"/>
      <c r="LQ112" s="368"/>
      <c r="LR112" s="368"/>
      <c r="LS112" s="368"/>
      <c r="LT112" s="368"/>
      <c r="LU112" s="368"/>
      <c r="LV112" s="368"/>
      <c r="LW112" s="368"/>
      <c r="LX112" s="368"/>
      <c r="LY112" s="368"/>
      <c r="LZ112" s="368"/>
      <c r="MA112" s="368"/>
      <c r="MB112" s="368"/>
      <c r="MC112" s="368"/>
      <c r="MD112" s="368"/>
      <c r="ME112" s="368"/>
      <c r="MF112" s="368"/>
      <c r="MG112" s="368"/>
      <c r="MH112" s="368"/>
      <c r="MI112" s="368"/>
      <c r="MJ112" s="368"/>
      <c r="MK112" s="368"/>
      <c r="ML112" s="368"/>
      <c r="MM112" s="368"/>
      <c r="MN112" s="368"/>
      <c r="MO112" s="368"/>
      <c r="MP112" s="368"/>
      <c r="MQ112" s="368"/>
      <c r="MR112" s="368"/>
      <c r="MS112" s="368"/>
      <c r="MT112" s="368"/>
      <c r="MU112" s="368"/>
      <c r="MV112" s="368"/>
      <c r="MW112" s="368"/>
      <c r="MX112" s="368"/>
      <c r="MY112" s="368"/>
      <c r="MZ112" s="368"/>
      <c r="NA112" s="368"/>
      <c r="NB112" s="368"/>
      <c r="NC112" s="368"/>
      <c r="ND112" s="368"/>
      <c r="NE112" s="368"/>
      <c r="NF112" s="368"/>
      <c r="NG112" s="368"/>
      <c r="NH112" s="368"/>
      <c r="NI112" s="368"/>
      <c r="NJ112" s="368"/>
      <c r="NK112" s="368"/>
      <c r="NL112" s="368"/>
      <c r="NM112" s="368"/>
      <c r="NN112" s="368"/>
      <c r="NO112" s="368"/>
      <c r="NP112" s="368"/>
      <c r="NQ112" s="368"/>
      <c r="NR112" s="368"/>
      <c r="NS112" s="368"/>
      <c r="NT112" s="368"/>
      <c r="NU112" s="368"/>
      <c r="NV112" s="368"/>
      <c r="NW112" s="368"/>
      <c r="NX112" s="368"/>
      <c r="NY112" s="368"/>
      <c r="NZ112" s="368"/>
      <c r="OA112" s="368"/>
      <c r="OB112" s="368"/>
      <c r="OC112" s="368"/>
      <c r="OD112" s="368"/>
      <c r="OE112" s="368"/>
      <c r="OF112" s="368"/>
      <c r="OG112" s="368"/>
      <c r="OH112" s="368"/>
      <c r="OI112" s="368"/>
      <c r="OJ112" s="368"/>
      <c r="OK112" s="368"/>
      <c r="OL112" s="368"/>
      <c r="OM112" s="368"/>
      <c r="ON112" s="368"/>
      <c r="OO112" s="368"/>
      <c r="OP112" s="368"/>
      <c r="OQ112" s="368"/>
      <c r="OR112" s="368"/>
      <c r="OS112" s="368"/>
      <c r="OT112" s="368"/>
      <c r="OU112" s="368"/>
      <c r="OV112" s="368"/>
      <c r="OW112" s="368"/>
      <c r="OX112" s="368"/>
      <c r="OY112" s="368"/>
      <c r="OZ112" s="368"/>
      <c r="PA112" s="368"/>
      <c r="PB112" s="368"/>
      <c r="PC112" s="368"/>
      <c r="PD112" s="368"/>
      <c r="PE112" s="368"/>
      <c r="PF112" s="368"/>
      <c r="PG112" s="368"/>
      <c r="PH112" s="368"/>
      <c r="PI112" s="368"/>
      <c r="PJ112" s="368"/>
      <c r="PK112" s="368"/>
      <c r="PL112" s="368"/>
      <c r="PM112" s="368"/>
      <c r="PN112" s="368"/>
      <c r="PO112" s="368"/>
      <c r="PP112" s="368"/>
      <c r="PQ112" s="368"/>
      <c r="PR112" s="368"/>
      <c r="PS112" s="368"/>
      <c r="PT112" s="368"/>
      <c r="PU112" s="368"/>
      <c r="PV112" s="368"/>
      <c r="PW112" s="368"/>
      <c r="PX112" s="368"/>
      <c r="PY112" s="368"/>
      <c r="PZ112" s="368"/>
      <c r="QA112" s="368"/>
      <c r="QB112" s="368"/>
      <c r="QC112" s="368"/>
      <c r="QD112" s="368"/>
      <c r="QE112" s="368"/>
      <c r="QF112" s="368"/>
      <c r="QG112" s="368"/>
      <c r="QH112" s="368"/>
      <c r="QI112" s="368"/>
      <c r="QJ112" s="368"/>
      <c r="QK112" s="368"/>
      <c r="QL112" s="368"/>
      <c r="QM112" s="368"/>
      <c r="QN112" s="368"/>
      <c r="QO112" s="368"/>
      <c r="QP112" s="368"/>
      <c r="QQ112" s="368"/>
      <c r="QR112" s="368"/>
      <c r="QS112" s="368"/>
      <c r="QT112" s="368"/>
      <c r="QU112" s="368"/>
      <c r="QV112" s="368"/>
      <c r="QW112" s="368"/>
      <c r="QX112" s="368"/>
      <c r="QY112" s="368"/>
      <c r="QZ112" s="368"/>
      <c r="RA112" s="368"/>
      <c r="RB112" s="368"/>
      <c r="RC112" s="368"/>
      <c r="RD112" s="368"/>
      <c r="RE112" s="368"/>
      <c r="RF112" s="368"/>
      <c r="RG112" s="368"/>
      <c r="RH112" s="368"/>
      <c r="RI112" s="368"/>
      <c r="RJ112" s="368"/>
      <c r="RK112" s="368"/>
      <c r="RL112" s="368"/>
      <c r="RM112" s="368"/>
      <c r="RN112" s="368"/>
      <c r="RO112" s="368"/>
      <c r="RP112" s="368"/>
      <c r="RQ112" s="368"/>
      <c r="RR112" s="368"/>
      <c r="RS112" s="368"/>
      <c r="RT112" s="368"/>
      <c r="RU112" s="368"/>
      <c r="RV112" s="368"/>
      <c r="RW112" s="368"/>
      <c r="RX112" s="368"/>
      <c r="RY112" s="368"/>
      <c r="RZ112" s="368"/>
      <c r="SA112" s="368"/>
      <c r="SB112" s="368"/>
      <c r="SC112" s="368"/>
      <c r="SD112" s="368"/>
      <c r="SE112" s="368"/>
      <c r="SF112" s="368"/>
      <c r="SG112" s="368"/>
      <c r="SH112" s="368"/>
      <c r="SI112" s="368"/>
      <c r="SJ112" s="368"/>
      <c r="SK112" s="368"/>
      <c r="SL112" s="368"/>
      <c r="SM112" s="368"/>
      <c r="SN112" s="368"/>
      <c r="SO112" s="368"/>
      <c r="SP112" s="368"/>
      <c r="SQ112" s="368"/>
      <c r="SR112" s="368"/>
      <c r="SS112" s="368"/>
      <c r="ST112" s="368"/>
      <c r="SU112" s="368"/>
      <c r="SV112" s="368"/>
      <c r="SW112" s="368"/>
      <c r="SX112" s="368"/>
      <c r="SY112" s="368"/>
      <c r="SZ112" s="368"/>
      <c r="TA112" s="368"/>
      <c r="TB112" s="368"/>
      <c r="TC112" s="368"/>
      <c r="TD112" s="368"/>
      <c r="TE112" s="368"/>
      <c r="TF112" s="368"/>
      <c r="TG112" s="368"/>
      <c r="TH112" s="368"/>
      <c r="TI112" s="368"/>
      <c r="TJ112" s="368"/>
      <c r="TK112" s="368"/>
      <c r="TL112" s="368"/>
      <c r="TM112" s="368"/>
      <c r="TN112" s="368"/>
      <c r="TO112" s="368"/>
      <c r="TP112" s="368"/>
      <c r="TQ112" s="368"/>
      <c r="TR112" s="368"/>
      <c r="TS112" s="368"/>
      <c r="TT112" s="368"/>
      <c r="TU112" s="368"/>
      <c r="TV112" s="368"/>
      <c r="TW112" s="368"/>
      <c r="TX112" s="368"/>
      <c r="TY112" s="368"/>
      <c r="TZ112" s="368"/>
      <c r="UA112" s="368"/>
      <c r="UB112" s="368"/>
      <c r="UC112" s="368"/>
      <c r="UD112" s="368"/>
      <c r="UE112" s="368"/>
      <c r="UF112" s="368"/>
      <c r="UG112" s="368"/>
      <c r="UH112" s="368"/>
      <c r="UI112" s="368"/>
      <c r="UJ112" s="368"/>
      <c r="UK112" s="368"/>
      <c r="UL112" s="368"/>
      <c r="UM112" s="368"/>
      <c r="UN112" s="368"/>
      <c r="UO112" s="368"/>
      <c r="UP112" s="368"/>
      <c r="UQ112" s="368"/>
      <c r="UR112" s="368"/>
      <c r="US112" s="368"/>
      <c r="UT112" s="368"/>
      <c r="UU112" s="368"/>
      <c r="UV112" s="368"/>
      <c r="UW112" s="368"/>
      <c r="UX112" s="368"/>
      <c r="UY112" s="368"/>
      <c r="UZ112" s="368"/>
      <c r="VA112" s="368"/>
      <c r="VB112" s="368"/>
      <c r="VC112" s="368"/>
      <c r="VD112" s="368"/>
      <c r="VE112" s="368"/>
      <c r="VF112" s="368"/>
      <c r="VG112" s="368"/>
      <c r="VH112" s="368"/>
      <c r="VI112" s="368"/>
      <c r="VJ112" s="368"/>
      <c r="VK112" s="368"/>
      <c r="VL112" s="368"/>
      <c r="VM112" s="368"/>
      <c r="VN112" s="368"/>
      <c r="VO112" s="368"/>
      <c r="VP112" s="368"/>
      <c r="VQ112" s="368"/>
      <c r="VR112" s="368"/>
      <c r="VS112" s="368"/>
      <c r="VT112" s="368"/>
      <c r="VU112" s="368"/>
      <c r="VV112" s="368"/>
      <c r="VW112" s="368"/>
      <c r="VX112" s="368"/>
      <c r="VY112" s="368"/>
      <c r="VZ112" s="368"/>
      <c r="WA112" s="368"/>
      <c r="WB112" s="368"/>
      <c r="WC112" s="368"/>
      <c r="WD112" s="368"/>
      <c r="WE112" s="368"/>
      <c r="WF112" s="368"/>
      <c r="WG112" s="368"/>
      <c r="WH112" s="368"/>
      <c r="WI112" s="368"/>
      <c r="WJ112" s="368"/>
      <c r="WK112" s="368"/>
      <c r="WL112" s="368"/>
      <c r="WM112" s="368"/>
      <c r="WN112" s="368"/>
      <c r="WO112" s="368"/>
      <c r="WP112" s="368"/>
      <c r="WQ112" s="368"/>
      <c r="WR112" s="368"/>
      <c r="WS112" s="368"/>
      <c r="WT112" s="368"/>
      <c r="WU112" s="368"/>
      <c r="WV112" s="368"/>
      <c r="WW112" s="368"/>
      <c r="WX112" s="368"/>
      <c r="WY112" s="368"/>
      <c r="WZ112" s="368"/>
      <c r="XA112" s="368"/>
      <c r="XB112" s="368"/>
      <c r="XC112" s="368"/>
      <c r="XD112" s="368"/>
      <c r="XE112" s="368"/>
      <c r="XF112" s="368"/>
      <c r="XG112" s="368"/>
      <c r="XH112" s="368"/>
      <c r="XI112" s="368"/>
      <c r="XJ112" s="368"/>
      <c r="XK112" s="368"/>
      <c r="XL112" s="368"/>
      <c r="XM112" s="368"/>
      <c r="XN112" s="368"/>
      <c r="XO112" s="368"/>
      <c r="XP112" s="368"/>
      <c r="XQ112" s="368"/>
      <c r="XR112" s="368"/>
      <c r="XS112" s="368"/>
      <c r="XT112" s="368"/>
      <c r="XU112" s="368"/>
      <c r="XV112" s="368"/>
      <c r="XW112" s="368"/>
      <c r="XX112" s="368"/>
      <c r="XY112" s="368"/>
      <c r="XZ112" s="368"/>
      <c r="YA112" s="368"/>
      <c r="YB112" s="368"/>
      <c r="YC112" s="368"/>
      <c r="YD112" s="368"/>
      <c r="YE112" s="368"/>
      <c r="YF112" s="368"/>
      <c r="YG112" s="368"/>
      <c r="YH112" s="368"/>
      <c r="YI112" s="368"/>
      <c r="YJ112" s="368"/>
      <c r="YK112" s="368"/>
      <c r="YL112" s="368"/>
      <c r="YM112" s="368"/>
      <c r="YN112" s="368"/>
      <c r="YO112" s="368"/>
      <c r="YP112" s="368"/>
      <c r="YQ112" s="368"/>
      <c r="YR112" s="368"/>
      <c r="YS112" s="368"/>
      <c r="YT112" s="368"/>
      <c r="YU112" s="368"/>
      <c r="YV112" s="368"/>
      <c r="YW112" s="368"/>
      <c r="YX112" s="368"/>
      <c r="YY112" s="368"/>
      <c r="YZ112" s="368"/>
      <c r="ZA112" s="368"/>
      <c r="ZB112" s="368"/>
      <c r="ZC112" s="368"/>
      <c r="ZD112" s="368"/>
      <c r="ZE112" s="368"/>
      <c r="ZF112" s="368"/>
      <c r="ZG112" s="368"/>
      <c r="ZH112" s="368"/>
      <c r="ZI112" s="368"/>
      <c r="ZJ112" s="368"/>
      <c r="ZK112" s="368"/>
      <c r="ZL112" s="368"/>
      <c r="ZM112" s="368"/>
      <c r="ZN112" s="368"/>
      <c r="ZO112" s="368"/>
      <c r="ZP112" s="368"/>
      <c r="ZQ112" s="368"/>
      <c r="ZR112" s="368"/>
      <c r="ZS112" s="368"/>
      <c r="ZT112" s="368"/>
      <c r="ZU112" s="368"/>
      <c r="ZV112" s="368"/>
      <c r="ZW112" s="368"/>
      <c r="ZX112" s="368"/>
      <c r="ZY112" s="368"/>
      <c r="ZZ112" s="368"/>
      <c r="AAA112" s="368"/>
      <c r="AAB112" s="368"/>
      <c r="AAC112" s="368"/>
      <c r="AAD112" s="368"/>
      <c r="AAE112" s="368"/>
      <c r="AAF112" s="368"/>
      <c r="AAG112" s="368"/>
      <c r="AAH112" s="368"/>
      <c r="AAI112" s="368"/>
      <c r="AAJ112" s="368"/>
      <c r="AAK112" s="368"/>
      <c r="AAL112" s="368"/>
      <c r="AAM112" s="368"/>
      <c r="AAN112" s="368"/>
      <c r="AAO112" s="368"/>
      <c r="AAP112" s="368"/>
      <c r="AAQ112" s="368"/>
      <c r="AAR112" s="368"/>
      <c r="AAS112" s="368"/>
      <c r="AAT112" s="368"/>
      <c r="AAU112" s="368"/>
      <c r="AAV112" s="368"/>
      <c r="AAW112" s="368"/>
      <c r="AAX112" s="368"/>
      <c r="AAY112" s="368"/>
      <c r="AAZ112" s="368"/>
      <c r="ABA112" s="368"/>
      <c r="ABB112" s="368"/>
      <c r="ABC112" s="368"/>
      <c r="ABD112" s="368"/>
      <c r="ABE112" s="368"/>
      <c r="ABF112" s="368"/>
      <c r="ABG112" s="368"/>
      <c r="ABH112" s="368"/>
      <c r="ABI112" s="368"/>
      <c r="ABJ112" s="368"/>
      <c r="ABK112" s="368"/>
      <c r="ABL112" s="368"/>
      <c r="ABM112" s="368"/>
      <c r="ABN112" s="368"/>
      <c r="ABO112" s="368"/>
      <c r="ABP112" s="368"/>
      <c r="ABQ112" s="368"/>
      <c r="ABR112" s="368"/>
      <c r="ABS112" s="368"/>
      <c r="ABT112" s="368"/>
      <c r="ABU112" s="368"/>
      <c r="ABV112" s="368"/>
      <c r="ABW112" s="368"/>
      <c r="ABX112" s="368"/>
      <c r="ABY112" s="368"/>
      <c r="ABZ112" s="368"/>
      <c r="ACA112" s="368"/>
      <c r="ACB112" s="368"/>
      <c r="ACC112" s="368"/>
      <c r="ACD112" s="368"/>
      <c r="ACE112" s="368"/>
      <c r="ACF112" s="368"/>
      <c r="ACG112" s="368"/>
      <c r="ACH112" s="368"/>
      <c r="ACI112" s="368"/>
      <c r="ACJ112" s="368"/>
      <c r="ACK112" s="368"/>
      <c r="ACL112" s="368"/>
      <c r="ACM112" s="368"/>
      <c r="ACN112" s="368"/>
      <c r="ACO112" s="368"/>
      <c r="ACP112" s="368"/>
      <c r="ACQ112" s="368"/>
      <c r="ACR112" s="368"/>
      <c r="ACS112" s="368"/>
      <c r="ACT112" s="368"/>
      <c r="ACU112" s="368"/>
      <c r="ACV112" s="368"/>
      <c r="ACW112" s="368"/>
      <c r="ACX112" s="368"/>
      <c r="ACY112" s="368"/>
      <c r="ACZ112" s="368"/>
      <c r="ADA112" s="368"/>
      <c r="ADB112" s="368"/>
      <c r="ADC112" s="368"/>
      <c r="ADD112" s="368"/>
      <c r="ADE112" s="368"/>
      <c r="ADF112" s="368"/>
      <c r="ADG112" s="368"/>
      <c r="ADH112" s="368"/>
      <c r="ADI112" s="368"/>
      <c r="ADJ112" s="368"/>
      <c r="ADK112" s="368"/>
      <c r="ADL112" s="368"/>
      <c r="ADM112" s="368"/>
      <c r="ADN112" s="368"/>
      <c r="ADO112" s="368"/>
      <c r="ADP112" s="368"/>
      <c r="ADQ112" s="368"/>
      <c r="ADR112" s="368"/>
      <c r="ADS112" s="368"/>
      <c r="ADT112" s="368"/>
      <c r="ADU112" s="368"/>
      <c r="ADV112" s="368"/>
      <c r="ADW112" s="368"/>
      <c r="ADX112" s="368"/>
      <c r="ADY112" s="368"/>
      <c r="ADZ112" s="368"/>
      <c r="AEA112" s="368"/>
      <c r="AEB112" s="368"/>
      <c r="AEC112" s="368"/>
      <c r="AED112" s="368"/>
      <c r="AEE112" s="368"/>
      <c r="AEF112" s="368"/>
      <c r="AEG112" s="368"/>
      <c r="AEH112" s="368"/>
      <c r="AEI112" s="368"/>
      <c r="AEJ112" s="368"/>
      <c r="AEK112" s="368"/>
      <c r="AEL112" s="368"/>
      <c r="AEM112" s="368"/>
      <c r="AEN112" s="368"/>
      <c r="AEO112" s="368"/>
      <c r="AEP112" s="368"/>
      <c r="AEQ112" s="368"/>
      <c r="AER112" s="368"/>
      <c r="AES112" s="368"/>
      <c r="AET112" s="368"/>
      <c r="AEU112" s="368"/>
      <c r="AEV112" s="368"/>
      <c r="AEW112" s="368"/>
      <c r="AEX112" s="368"/>
      <c r="AEY112" s="368"/>
      <c r="AEZ112" s="368"/>
      <c r="AFA112" s="368"/>
      <c r="AFB112" s="368"/>
      <c r="AFC112" s="368"/>
      <c r="AFD112" s="368"/>
      <c r="AFE112" s="368"/>
      <c r="AFF112" s="368"/>
      <c r="AFG112" s="368"/>
      <c r="AFH112" s="368"/>
      <c r="AFI112" s="368"/>
      <c r="AFJ112" s="368"/>
      <c r="AFK112" s="368"/>
      <c r="AFL112" s="368"/>
      <c r="AFM112" s="368"/>
      <c r="AFN112" s="368"/>
      <c r="AFO112" s="368"/>
      <c r="AFP112" s="368"/>
      <c r="AFQ112" s="368"/>
      <c r="AFR112" s="368"/>
      <c r="AFS112" s="368"/>
      <c r="AFT112" s="368"/>
      <c r="AFU112" s="368"/>
      <c r="AFV112" s="368"/>
      <c r="AFW112" s="368"/>
      <c r="AFX112" s="368"/>
      <c r="AFY112" s="368"/>
      <c r="AFZ112" s="368"/>
      <c r="AGA112" s="368"/>
      <c r="AGB112" s="368"/>
      <c r="AGC112" s="368"/>
      <c r="AGD112" s="368"/>
      <c r="AGE112" s="368"/>
      <c r="AGF112" s="368"/>
      <c r="AGG112" s="368"/>
      <c r="AGH112" s="368"/>
      <c r="AGI112" s="368"/>
      <c r="AGJ112" s="368"/>
      <c r="AGK112" s="368"/>
      <c r="AGL112" s="368"/>
      <c r="AGM112" s="368"/>
      <c r="AGN112" s="368"/>
      <c r="AGO112" s="368"/>
      <c r="AGP112" s="368"/>
      <c r="AGQ112" s="368"/>
      <c r="AGR112" s="368"/>
      <c r="AGS112" s="368"/>
      <c r="AGT112" s="368"/>
      <c r="AGU112" s="368"/>
      <c r="AGV112" s="368"/>
      <c r="AGW112" s="368"/>
      <c r="AGX112" s="368"/>
      <c r="AGY112" s="368"/>
      <c r="AGZ112" s="368"/>
      <c r="AHA112" s="368"/>
      <c r="AHB112" s="368"/>
      <c r="AHC112" s="368"/>
      <c r="AHD112" s="368"/>
      <c r="AHE112" s="368"/>
      <c r="AHF112" s="368"/>
      <c r="AHG112" s="368"/>
      <c r="AHH112" s="368"/>
      <c r="AHI112" s="368"/>
      <c r="AHJ112" s="368"/>
      <c r="AHK112" s="368"/>
      <c r="AHL112" s="368"/>
      <c r="AHM112" s="368"/>
      <c r="AHN112" s="368"/>
      <c r="AHO112" s="368"/>
      <c r="AHP112" s="368"/>
      <c r="AHQ112" s="368"/>
      <c r="AHR112" s="368"/>
      <c r="AHS112" s="368"/>
      <c r="AHT112" s="368"/>
      <c r="AHU112" s="368"/>
      <c r="AHV112" s="368"/>
      <c r="AHW112" s="368"/>
      <c r="AHX112" s="368"/>
      <c r="AHY112" s="368"/>
      <c r="AHZ112" s="368"/>
      <c r="AIA112" s="368"/>
      <c r="AIB112" s="368"/>
      <c r="AIC112" s="368"/>
      <c r="AID112" s="368"/>
      <c r="AIE112" s="368"/>
      <c r="AIF112" s="368"/>
      <c r="AIG112" s="368"/>
      <c r="AIH112" s="368"/>
      <c r="AII112" s="368"/>
      <c r="AIJ112" s="368"/>
      <c r="AIK112" s="368"/>
      <c r="AIL112" s="368"/>
      <c r="AIM112" s="368"/>
      <c r="AIN112" s="368"/>
      <c r="AIO112" s="368"/>
      <c r="AIP112" s="368"/>
      <c r="AIQ112" s="368"/>
      <c r="AIR112" s="368"/>
      <c r="AIS112" s="368"/>
      <c r="AIT112" s="368"/>
      <c r="AIU112" s="368"/>
      <c r="AIV112" s="368"/>
      <c r="AIW112" s="368"/>
      <c r="AIX112" s="368"/>
      <c r="AIY112" s="368"/>
      <c r="AIZ112" s="368"/>
      <c r="AJA112" s="368"/>
      <c r="AJB112" s="368"/>
      <c r="AJC112" s="368"/>
      <c r="AJD112" s="368"/>
      <c r="AJE112" s="368"/>
      <c r="AJF112" s="368"/>
      <c r="AJG112" s="368"/>
      <c r="AJH112" s="368"/>
      <c r="AJI112" s="368"/>
      <c r="AJJ112" s="368"/>
      <c r="AJK112" s="368"/>
      <c r="AJL112" s="368"/>
      <c r="AJM112" s="368"/>
      <c r="AJN112" s="368"/>
      <c r="AJO112" s="368"/>
      <c r="AJP112" s="368"/>
      <c r="AJQ112" s="368"/>
      <c r="AJR112" s="368"/>
      <c r="AJS112" s="368"/>
      <c r="AJT112" s="368"/>
      <c r="AJU112" s="368"/>
      <c r="AJV112" s="368"/>
      <c r="AJW112" s="368"/>
      <c r="AJX112" s="368"/>
      <c r="AJY112" s="368"/>
      <c r="AJZ112" s="368"/>
      <c r="AKA112" s="368"/>
      <c r="AKB112" s="368"/>
      <c r="AKC112" s="368"/>
      <c r="AKD112" s="368"/>
      <c r="AKE112" s="368"/>
      <c r="AKF112" s="368"/>
      <c r="AKG112" s="368"/>
      <c r="AKH112" s="368"/>
      <c r="AKI112" s="368"/>
      <c r="AKJ112" s="368"/>
      <c r="AKK112" s="368"/>
      <c r="AKL112" s="368"/>
      <c r="AKM112" s="368"/>
      <c r="AKN112" s="368"/>
    </row>
    <row r="113" spans="1:976" s="14" customFormat="1" ht="22.5" customHeight="1" x14ac:dyDescent="0.2">
      <c r="A113" s="408" t="s">
        <v>262</v>
      </c>
      <c r="B113" s="408"/>
      <c r="C113" s="408" t="s">
        <v>221</v>
      </c>
      <c r="D113" s="408" t="s">
        <v>222</v>
      </c>
      <c r="E113" s="409">
        <v>412814</v>
      </c>
      <c r="F113" s="409">
        <v>1620</v>
      </c>
      <c r="G113" s="409">
        <v>251</v>
      </c>
      <c r="H113" s="409">
        <v>0</v>
      </c>
      <c r="I113" s="410">
        <v>45869</v>
      </c>
      <c r="J113" s="408" t="s">
        <v>395</v>
      </c>
      <c r="K113" s="408" t="s">
        <v>593</v>
      </c>
      <c r="L113" s="411">
        <v>140.94999999999999</v>
      </c>
      <c r="M113" s="411">
        <v>7.75</v>
      </c>
      <c r="N113" s="450">
        <v>148.69999999999999</v>
      </c>
      <c r="O113" s="408"/>
      <c r="P113" s="412">
        <v>45874</v>
      </c>
      <c r="Q113" s="411">
        <v>148.69999999999999</v>
      </c>
      <c r="R113" s="408" t="s">
        <v>594</v>
      </c>
      <c r="S113" s="411">
        <v>0</v>
      </c>
      <c r="T113" s="411">
        <v>0</v>
      </c>
      <c r="U113" s="411">
        <v>0</v>
      </c>
      <c r="V113" s="411">
        <v>0</v>
      </c>
      <c r="W113" s="408"/>
      <c r="X113" s="408" t="s">
        <v>293</v>
      </c>
      <c r="Y113" s="408" t="s">
        <v>294</v>
      </c>
      <c r="Z113" s="408" t="s">
        <v>53</v>
      </c>
      <c r="AA113" s="408" t="s">
        <v>228</v>
      </c>
      <c r="AB113" s="408" t="s">
        <v>239</v>
      </c>
      <c r="AC113" s="408" t="s">
        <v>240</v>
      </c>
      <c r="AD113" s="408" t="s">
        <v>231</v>
      </c>
      <c r="AE113" s="408" t="s">
        <v>232</v>
      </c>
      <c r="AF113" s="408" t="s">
        <v>231</v>
      </c>
      <c r="AG113" s="408" t="s">
        <v>232</v>
      </c>
      <c r="AH113" s="408"/>
      <c r="AI113" s="408"/>
      <c r="AJ113" s="408"/>
      <c r="AK113" s="408" t="s">
        <v>595</v>
      </c>
      <c r="AL113" s="409">
        <v>1</v>
      </c>
      <c r="AM113" s="409">
        <v>0</v>
      </c>
      <c r="AN113" s="410">
        <v>45874</v>
      </c>
      <c r="AO113" s="410">
        <v>45873</v>
      </c>
      <c r="AP113" s="411">
        <v>148.69999999999999</v>
      </c>
      <c r="AQ113" s="410">
        <v>45872</v>
      </c>
    </row>
    <row r="114" spans="1:976" s="375" customFormat="1" ht="22.5" customHeight="1" x14ac:dyDescent="0.2">
      <c r="A114" s="428" t="s">
        <v>408</v>
      </c>
      <c r="B114" s="428"/>
      <c r="C114" s="428" t="s">
        <v>221</v>
      </c>
      <c r="D114" s="428" t="s">
        <v>222</v>
      </c>
      <c r="E114" s="429">
        <v>412849</v>
      </c>
      <c r="F114" s="429">
        <v>1618</v>
      </c>
      <c r="G114" s="429">
        <v>250</v>
      </c>
      <c r="H114" s="429">
        <v>1</v>
      </c>
      <c r="I114" s="430">
        <v>45869</v>
      </c>
      <c r="J114" s="428" t="s">
        <v>281</v>
      </c>
      <c r="K114" s="428" t="s">
        <v>596</v>
      </c>
      <c r="L114" s="431">
        <v>10.82</v>
      </c>
      <c r="M114" s="431">
        <v>2.16</v>
      </c>
      <c r="N114" s="441">
        <v>12.98</v>
      </c>
      <c r="O114" s="428"/>
      <c r="P114" s="432">
        <v>45874</v>
      </c>
      <c r="Q114" s="431">
        <v>12.98</v>
      </c>
      <c r="R114" s="428"/>
      <c r="S114" s="431">
        <v>0</v>
      </c>
      <c r="T114" s="431">
        <v>0</v>
      </c>
      <c r="U114" s="431">
        <v>0</v>
      </c>
      <c r="V114" s="431">
        <v>0</v>
      </c>
      <c r="W114" s="428"/>
      <c r="X114" s="428" t="s">
        <v>597</v>
      </c>
      <c r="Y114" s="428" t="s">
        <v>598</v>
      </c>
      <c r="Z114" s="428" t="s">
        <v>42</v>
      </c>
      <c r="AA114" s="428" t="s">
        <v>228</v>
      </c>
      <c r="AB114" s="428" t="s">
        <v>235</v>
      </c>
      <c r="AC114" s="428" t="s">
        <v>236</v>
      </c>
      <c r="AD114" s="428" t="s">
        <v>231</v>
      </c>
      <c r="AE114" s="428" t="s">
        <v>232</v>
      </c>
      <c r="AF114" s="428" t="s">
        <v>231</v>
      </c>
      <c r="AG114" s="428" t="s">
        <v>232</v>
      </c>
      <c r="AH114" s="428"/>
      <c r="AI114" s="428"/>
      <c r="AJ114" s="428"/>
      <c r="AK114" s="428"/>
      <c r="AL114" s="429">
        <v>1</v>
      </c>
      <c r="AM114" s="429">
        <v>0</v>
      </c>
      <c r="AN114" s="430">
        <v>45874</v>
      </c>
      <c r="AO114" s="430">
        <v>45873</v>
      </c>
      <c r="AP114" s="431">
        <v>12.98</v>
      </c>
      <c r="AQ114" s="430">
        <v>45872</v>
      </c>
      <c r="AR114" s="368"/>
      <c r="AS114" s="368"/>
      <c r="AT114" s="368"/>
      <c r="AU114" s="368"/>
      <c r="AV114" s="368"/>
      <c r="AW114" s="368"/>
      <c r="AX114" s="368"/>
      <c r="AY114" s="368"/>
      <c r="AZ114" s="368"/>
      <c r="BA114" s="368"/>
      <c r="BB114" s="368"/>
      <c r="BC114" s="368"/>
      <c r="BD114" s="368"/>
      <c r="BE114" s="368"/>
      <c r="BF114" s="368"/>
      <c r="BG114" s="368"/>
      <c r="BH114" s="368"/>
      <c r="BI114" s="368"/>
      <c r="BJ114" s="368"/>
      <c r="BK114" s="368"/>
      <c r="BL114" s="368"/>
      <c r="BM114" s="368"/>
      <c r="BN114" s="368"/>
      <c r="BO114" s="368"/>
      <c r="BP114" s="368"/>
      <c r="BQ114" s="368"/>
      <c r="BR114" s="368"/>
      <c r="BS114" s="368"/>
      <c r="BT114" s="368"/>
      <c r="BU114" s="368"/>
      <c r="BV114" s="368"/>
      <c r="BW114" s="368"/>
      <c r="BX114" s="368"/>
      <c r="BY114" s="368"/>
      <c r="BZ114" s="368"/>
      <c r="CA114" s="368"/>
      <c r="CB114" s="368"/>
      <c r="CC114" s="368"/>
      <c r="CD114" s="368"/>
      <c r="CE114" s="368"/>
      <c r="CF114" s="368"/>
      <c r="CG114" s="368"/>
      <c r="CH114" s="368"/>
      <c r="CI114" s="368"/>
      <c r="CJ114" s="368"/>
      <c r="CK114" s="368"/>
      <c r="CL114" s="368"/>
      <c r="CM114" s="368"/>
      <c r="CN114" s="368"/>
      <c r="CO114" s="368"/>
      <c r="CP114" s="368"/>
      <c r="CQ114" s="368"/>
      <c r="CR114" s="368"/>
      <c r="CS114" s="368"/>
      <c r="CT114" s="368"/>
      <c r="CU114" s="368"/>
      <c r="CV114" s="368"/>
      <c r="CW114" s="368"/>
      <c r="CX114" s="368"/>
      <c r="CY114" s="368"/>
      <c r="CZ114" s="368"/>
      <c r="DA114" s="368"/>
      <c r="DB114" s="368"/>
      <c r="DC114" s="368"/>
      <c r="DD114" s="368"/>
      <c r="DE114" s="368"/>
      <c r="DF114" s="368"/>
      <c r="DG114" s="368"/>
      <c r="DH114" s="368"/>
      <c r="DI114" s="368"/>
      <c r="DJ114" s="368"/>
      <c r="DK114" s="368"/>
      <c r="DL114" s="368"/>
      <c r="DM114" s="368"/>
      <c r="DN114" s="368"/>
      <c r="DO114" s="368"/>
      <c r="DP114" s="368"/>
      <c r="DQ114" s="368"/>
      <c r="DR114" s="368"/>
      <c r="DS114" s="368"/>
      <c r="DT114" s="368"/>
      <c r="DU114" s="368"/>
      <c r="DV114" s="368"/>
      <c r="DW114" s="368"/>
      <c r="DX114" s="368"/>
      <c r="DY114" s="368"/>
      <c r="DZ114" s="368"/>
      <c r="EA114" s="368"/>
      <c r="EB114" s="368"/>
      <c r="EC114" s="368"/>
      <c r="ED114" s="368"/>
      <c r="EE114" s="368"/>
      <c r="EF114" s="368"/>
      <c r="EG114" s="368"/>
      <c r="EH114" s="368"/>
      <c r="EI114" s="368"/>
      <c r="EJ114" s="368"/>
      <c r="EK114" s="368"/>
      <c r="EL114" s="368"/>
      <c r="EM114" s="368"/>
      <c r="EN114" s="368"/>
      <c r="EO114" s="368"/>
      <c r="EP114" s="368"/>
      <c r="EQ114" s="368"/>
      <c r="ER114" s="368"/>
      <c r="ES114" s="368"/>
      <c r="ET114" s="368"/>
      <c r="EU114" s="368"/>
      <c r="EV114" s="368"/>
      <c r="EW114" s="368"/>
      <c r="EX114" s="368"/>
      <c r="EY114" s="368"/>
      <c r="EZ114" s="368"/>
      <c r="FA114" s="368"/>
      <c r="FB114" s="368"/>
      <c r="FC114" s="368"/>
      <c r="FD114" s="368"/>
      <c r="FE114" s="368"/>
      <c r="FF114" s="368"/>
      <c r="FG114" s="368"/>
      <c r="FH114" s="368"/>
      <c r="FI114" s="368"/>
      <c r="FJ114" s="368"/>
      <c r="FK114" s="368"/>
      <c r="FL114" s="368"/>
      <c r="FM114" s="368"/>
      <c r="FN114" s="368"/>
      <c r="FO114" s="368"/>
      <c r="FP114" s="368"/>
      <c r="FQ114" s="368"/>
      <c r="FR114" s="368"/>
      <c r="FS114" s="368"/>
      <c r="FT114" s="368"/>
      <c r="FU114" s="368"/>
      <c r="FV114" s="368"/>
      <c r="FW114" s="368"/>
      <c r="FX114" s="368"/>
      <c r="FY114" s="368"/>
      <c r="FZ114" s="368"/>
      <c r="GA114" s="368"/>
      <c r="GB114" s="368"/>
      <c r="GC114" s="368"/>
      <c r="GD114" s="368"/>
      <c r="GE114" s="368"/>
      <c r="GF114" s="368"/>
      <c r="GG114" s="368"/>
      <c r="GH114" s="368"/>
      <c r="GI114" s="368"/>
      <c r="GJ114" s="368"/>
      <c r="GK114" s="368"/>
      <c r="GL114" s="368"/>
      <c r="GM114" s="368"/>
      <c r="GN114" s="368"/>
      <c r="GO114" s="368"/>
      <c r="GP114" s="368"/>
      <c r="GQ114" s="368"/>
      <c r="GR114" s="368"/>
      <c r="GS114" s="368"/>
      <c r="GT114" s="368"/>
      <c r="GU114" s="368"/>
      <c r="GV114" s="368"/>
      <c r="GW114" s="368"/>
      <c r="GX114" s="368"/>
      <c r="GY114" s="368"/>
      <c r="GZ114" s="368"/>
      <c r="HA114" s="368"/>
      <c r="HB114" s="368"/>
      <c r="HC114" s="368"/>
      <c r="HD114" s="368"/>
      <c r="HE114" s="368"/>
      <c r="HF114" s="368"/>
      <c r="HG114" s="368"/>
      <c r="HH114" s="368"/>
      <c r="HI114" s="368"/>
      <c r="HJ114" s="368"/>
      <c r="HK114" s="368"/>
      <c r="HL114" s="368"/>
      <c r="HM114" s="368"/>
      <c r="HN114" s="368"/>
      <c r="HO114" s="368"/>
      <c r="HP114" s="368"/>
      <c r="HQ114" s="368"/>
      <c r="HR114" s="368"/>
      <c r="HS114" s="368"/>
      <c r="HT114" s="368"/>
      <c r="HU114" s="368"/>
      <c r="HV114" s="368"/>
      <c r="HW114" s="368"/>
      <c r="HX114" s="368"/>
      <c r="HY114" s="368"/>
      <c r="HZ114" s="368"/>
      <c r="IA114" s="368"/>
      <c r="IB114" s="368"/>
      <c r="IC114" s="368"/>
      <c r="ID114" s="368"/>
      <c r="IE114" s="368"/>
      <c r="IF114" s="368"/>
      <c r="IG114" s="368"/>
      <c r="IH114" s="368"/>
      <c r="II114" s="368"/>
      <c r="IJ114" s="368"/>
      <c r="IK114" s="368"/>
      <c r="IL114" s="368"/>
      <c r="IM114" s="368"/>
      <c r="IN114" s="368"/>
      <c r="IO114" s="368"/>
      <c r="IP114" s="368"/>
      <c r="IQ114" s="368"/>
      <c r="IR114" s="368"/>
      <c r="IS114" s="368"/>
      <c r="IT114" s="368"/>
      <c r="IU114" s="368"/>
      <c r="IV114" s="368"/>
      <c r="IW114" s="368"/>
      <c r="IX114" s="368"/>
      <c r="IY114" s="368"/>
      <c r="IZ114" s="368"/>
      <c r="JA114" s="368"/>
      <c r="JB114" s="368"/>
      <c r="JC114" s="368"/>
      <c r="JD114" s="368"/>
      <c r="JE114" s="368"/>
      <c r="JF114" s="368"/>
      <c r="JG114" s="368"/>
      <c r="JH114" s="368"/>
      <c r="JI114" s="368"/>
      <c r="JJ114" s="368"/>
      <c r="JK114" s="368"/>
      <c r="JL114" s="368"/>
      <c r="JM114" s="368"/>
      <c r="JN114" s="368"/>
      <c r="JO114" s="368"/>
      <c r="JP114" s="368"/>
      <c r="JQ114" s="368"/>
      <c r="JR114" s="368"/>
      <c r="JS114" s="368"/>
      <c r="JT114" s="368"/>
      <c r="JU114" s="368"/>
      <c r="JV114" s="368"/>
      <c r="JW114" s="368"/>
      <c r="JX114" s="368"/>
      <c r="JY114" s="368"/>
      <c r="JZ114" s="368"/>
      <c r="KA114" s="368"/>
      <c r="KB114" s="368"/>
      <c r="KC114" s="368"/>
      <c r="KD114" s="368"/>
      <c r="KE114" s="368"/>
      <c r="KF114" s="368"/>
      <c r="KG114" s="368"/>
      <c r="KH114" s="368"/>
      <c r="KI114" s="368"/>
      <c r="KJ114" s="368"/>
      <c r="KK114" s="368"/>
      <c r="KL114" s="368"/>
      <c r="KM114" s="368"/>
      <c r="KN114" s="368"/>
      <c r="KO114" s="368"/>
      <c r="KP114" s="368"/>
      <c r="KQ114" s="368"/>
      <c r="KR114" s="368"/>
      <c r="KS114" s="368"/>
      <c r="KT114" s="368"/>
      <c r="KU114" s="368"/>
      <c r="KV114" s="368"/>
      <c r="KW114" s="368"/>
      <c r="KX114" s="368"/>
      <c r="KY114" s="368"/>
      <c r="KZ114" s="368"/>
      <c r="LA114" s="368"/>
      <c r="LB114" s="368"/>
      <c r="LC114" s="368"/>
      <c r="LD114" s="368"/>
      <c r="LE114" s="368"/>
      <c r="LF114" s="368"/>
      <c r="LG114" s="368"/>
      <c r="LH114" s="368"/>
      <c r="LI114" s="368"/>
      <c r="LJ114" s="368"/>
      <c r="LK114" s="368"/>
      <c r="LL114" s="368"/>
      <c r="LM114" s="368"/>
      <c r="LN114" s="368"/>
      <c r="LO114" s="368"/>
      <c r="LP114" s="368"/>
      <c r="LQ114" s="368"/>
      <c r="LR114" s="368"/>
      <c r="LS114" s="368"/>
      <c r="LT114" s="368"/>
      <c r="LU114" s="368"/>
      <c r="LV114" s="368"/>
      <c r="LW114" s="368"/>
      <c r="LX114" s="368"/>
      <c r="LY114" s="368"/>
      <c r="LZ114" s="368"/>
      <c r="MA114" s="368"/>
      <c r="MB114" s="368"/>
      <c r="MC114" s="368"/>
      <c r="MD114" s="368"/>
      <c r="ME114" s="368"/>
      <c r="MF114" s="368"/>
      <c r="MG114" s="368"/>
      <c r="MH114" s="368"/>
      <c r="MI114" s="368"/>
      <c r="MJ114" s="368"/>
      <c r="MK114" s="368"/>
      <c r="ML114" s="368"/>
      <c r="MM114" s="368"/>
      <c r="MN114" s="368"/>
      <c r="MO114" s="368"/>
      <c r="MP114" s="368"/>
      <c r="MQ114" s="368"/>
      <c r="MR114" s="368"/>
      <c r="MS114" s="368"/>
      <c r="MT114" s="368"/>
      <c r="MU114" s="368"/>
      <c r="MV114" s="368"/>
      <c r="MW114" s="368"/>
      <c r="MX114" s="368"/>
      <c r="MY114" s="368"/>
      <c r="MZ114" s="368"/>
      <c r="NA114" s="368"/>
      <c r="NB114" s="368"/>
      <c r="NC114" s="368"/>
      <c r="ND114" s="368"/>
      <c r="NE114" s="368"/>
      <c r="NF114" s="368"/>
      <c r="NG114" s="368"/>
      <c r="NH114" s="368"/>
      <c r="NI114" s="368"/>
      <c r="NJ114" s="368"/>
      <c r="NK114" s="368"/>
      <c r="NL114" s="368"/>
      <c r="NM114" s="368"/>
      <c r="NN114" s="368"/>
      <c r="NO114" s="368"/>
      <c r="NP114" s="368"/>
      <c r="NQ114" s="368"/>
      <c r="NR114" s="368"/>
      <c r="NS114" s="368"/>
      <c r="NT114" s="368"/>
      <c r="NU114" s="368"/>
      <c r="NV114" s="368"/>
      <c r="NW114" s="368"/>
      <c r="NX114" s="368"/>
      <c r="NY114" s="368"/>
      <c r="NZ114" s="368"/>
      <c r="OA114" s="368"/>
      <c r="OB114" s="368"/>
      <c r="OC114" s="368"/>
      <c r="OD114" s="368"/>
      <c r="OE114" s="368"/>
      <c r="OF114" s="368"/>
      <c r="OG114" s="368"/>
      <c r="OH114" s="368"/>
      <c r="OI114" s="368"/>
      <c r="OJ114" s="368"/>
      <c r="OK114" s="368"/>
      <c r="OL114" s="368"/>
      <c r="OM114" s="368"/>
      <c r="ON114" s="368"/>
      <c r="OO114" s="368"/>
      <c r="OP114" s="368"/>
      <c r="OQ114" s="368"/>
      <c r="OR114" s="368"/>
      <c r="OS114" s="368"/>
      <c r="OT114" s="368"/>
      <c r="OU114" s="368"/>
      <c r="OV114" s="368"/>
      <c r="OW114" s="368"/>
      <c r="OX114" s="368"/>
      <c r="OY114" s="368"/>
      <c r="OZ114" s="368"/>
      <c r="PA114" s="368"/>
      <c r="PB114" s="368"/>
      <c r="PC114" s="368"/>
      <c r="PD114" s="368"/>
      <c r="PE114" s="368"/>
      <c r="PF114" s="368"/>
      <c r="PG114" s="368"/>
      <c r="PH114" s="368"/>
      <c r="PI114" s="368"/>
      <c r="PJ114" s="368"/>
      <c r="PK114" s="368"/>
      <c r="PL114" s="368"/>
      <c r="PM114" s="368"/>
      <c r="PN114" s="368"/>
      <c r="PO114" s="368"/>
      <c r="PP114" s="368"/>
      <c r="PQ114" s="368"/>
      <c r="PR114" s="368"/>
      <c r="PS114" s="368"/>
      <c r="PT114" s="368"/>
      <c r="PU114" s="368"/>
      <c r="PV114" s="368"/>
      <c r="PW114" s="368"/>
      <c r="PX114" s="368"/>
      <c r="PY114" s="368"/>
      <c r="PZ114" s="368"/>
      <c r="QA114" s="368"/>
      <c r="QB114" s="368"/>
      <c r="QC114" s="368"/>
      <c r="QD114" s="368"/>
      <c r="QE114" s="368"/>
      <c r="QF114" s="368"/>
      <c r="QG114" s="368"/>
      <c r="QH114" s="368"/>
      <c r="QI114" s="368"/>
      <c r="QJ114" s="368"/>
      <c r="QK114" s="368"/>
      <c r="QL114" s="368"/>
      <c r="QM114" s="368"/>
      <c r="QN114" s="368"/>
      <c r="QO114" s="368"/>
      <c r="QP114" s="368"/>
      <c r="QQ114" s="368"/>
      <c r="QR114" s="368"/>
      <c r="QS114" s="368"/>
      <c r="QT114" s="368"/>
      <c r="QU114" s="368"/>
      <c r="QV114" s="368"/>
      <c r="QW114" s="368"/>
      <c r="QX114" s="368"/>
      <c r="QY114" s="368"/>
      <c r="QZ114" s="368"/>
      <c r="RA114" s="368"/>
      <c r="RB114" s="368"/>
      <c r="RC114" s="368"/>
      <c r="RD114" s="368"/>
      <c r="RE114" s="368"/>
      <c r="RF114" s="368"/>
      <c r="RG114" s="368"/>
      <c r="RH114" s="368"/>
      <c r="RI114" s="368"/>
      <c r="RJ114" s="368"/>
      <c r="RK114" s="368"/>
      <c r="RL114" s="368"/>
      <c r="RM114" s="368"/>
      <c r="RN114" s="368"/>
      <c r="RO114" s="368"/>
      <c r="RP114" s="368"/>
      <c r="RQ114" s="368"/>
      <c r="RR114" s="368"/>
      <c r="RS114" s="368"/>
      <c r="RT114" s="368"/>
      <c r="RU114" s="368"/>
      <c r="RV114" s="368"/>
      <c r="RW114" s="368"/>
      <c r="RX114" s="368"/>
      <c r="RY114" s="368"/>
      <c r="RZ114" s="368"/>
      <c r="SA114" s="368"/>
      <c r="SB114" s="368"/>
      <c r="SC114" s="368"/>
      <c r="SD114" s="368"/>
      <c r="SE114" s="368"/>
      <c r="SF114" s="368"/>
      <c r="SG114" s="368"/>
      <c r="SH114" s="368"/>
      <c r="SI114" s="368"/>
      <c r="SJ114" s="368"/>
      <c r="SK114" s="368"/>
      <c r="SL114" s="368"/>
      <c r="SM114" s="368"/>
      <c r="SN114" s="368"/>
      <c r="SO114" s="368"/>
      <c r="SP114" s="368"/>
      <c r="SQ114" s="368"/>
      <c r="SR114" s="368"/>
      <c r="SS114" s="368"/>
      <c r="ST114" s="368"/>
      <c r="SU114" s="368"/>
      <c r="SV114" s="368"/>
      <c r="SW114" s="368"/>
      <c r="SX114" s="368"/>
      <c r="SY114" s="368"/>
      <c r="SZ114" s="368"/>
      <c r="TA114" s="368"/>
      <c r="TB114" s="368"/>
      <c r="TC114" s="368"/>
      <c r="TD114" s="368"/>
      <c r="TE114" s="368"/>
      <c r="TF114" s="368"/>
      <c r="TG114" s="368"/>
      <c r="TH114" s="368"/>
      <c r="TI114" s="368"/>
      <c r="TJ114" s="368"/>
      <c r="TK114" s="368"/>
      <c r="TL114" s="368"/>
      <c r="TM114" s="368"/>
      <c r="TN114" s="368"/>
      <c r="TO114" s="368"/>
      <c r="TP114" s="368"/>
      <c r="TQ114" s="368"/>
      <c r="TR114" s="368"/>
      <c r="TS114" s="368"/>
      <c r="TT114" s="368"/>
      <c r="TU114" s="368"/>
      <c r="TV114" s="368"/>
      <c r="TW114" s="368"/>
      <c r="TX114" s="368"/>
      <c r="TY114" s="368"/>
      <c r="TZ114" s="368"/>
      <c r="UA114" s="368"/>
      <c r="UB114" s="368"/>
      <c r="UC114" s="368"/>
      <c r="UD114" s="368"/>
      <c r="UE114" s="368"/>
      <c r="UF114" s="368"/>
      <c r="UG114" s="368"/>
      <c r="UH114" s="368"/>
      <c r="UI114" s="368"/>
      <c r="UJ114" s="368"/>
      <c r="UK114" s="368"/>
      <c r="UL114" s="368"/>
      <c r="UM114" s="368"/>
      <c r="UN114" s="368"/>
      <c r="UO114" s="368"/>
      <c r="UP114" s="368"/>
      <c r="UQ114" s="368"/>
      <c r="UR114" s="368"/>
      <c r="US114" s="368"/>
      <c r="UT114" s="368"/>
      <c r="UU114" s="368"/>
      <c r="UV114" s="368"/>
      <c r="UW114" s="368"/>
      <c r="UX114" s="368"/>
      <c r="UY114" s="368"/>
      <c r="UZ114" s="368"/>
      <c r="VA114" s="368"/>
      <c r="VB114" s="368"/>
      <c r="VC114" s="368"/>
      <c r="VD114" s="368"/>
      <c r="VE114" s="368"/>
      <c r="VF114" s="368"/>
      <c r="VG114" s="368"/>
      <c r="VH114" s="368"/>
      <c r="VI114" s="368"/>
      <c r="VJ114" s="368"/>
      <c r="VK114" s="368"/>
      <c r="VL114" s="368"/>
      <c r="VM114" s="368"/>
      <c r="VN114" s="368"/>
      <c r="VO114" s="368"/>
      <c r="VP114" s="368"/>
      <c r="VQ114" s="368"/>
      <c r="VR114" s="368"/>
      <c r="VS114" s="368"/>
      <c r="VT114" s="368"/>
      <c r="VU114" s="368"/>
      <c r="VV114" s="368"/>
      <c r="VW114" s="368"/>
      <c r="VX114" s="368"/>
      <c r="VY114" s="368"/>
      <c r="VZ114" s="368"/>
      <c r="WA114" s="368"/>
      <c r="WB114" s="368"/>
      <c r="WC114" s="368"/>
      <c r="WD114" s="368"/>
      <c r="WE114" s="368"/>
      <c r="WF114" s="368"/>
      <c r="WG114" s="368"/>
      <c r="WH114" s="368"/>
      <c r="WI114" s="368"/>
      <c r="WJ114" s="368"/>
      <c r="WK114" s="368"/>
      <c r="WL114" s="368"/>
      <c r="WM114" s="368"/>
      <c r="WN114" s="368"/>
      <c r="WO114" s="368"/>
      <c r="WP114" s="368"/>
      <c r="WQ114" s="368"/>
      <c r="WR114" s="368"/>
      <c r="WS114" s="368"/>
      <c r="WT114" s="368"/>
      <c r="WU114" s="368"/>
      <c r="WV114" s="368"/>
      <c r="WW114" s="368"/>
      <c r="WX114" s="368"/>
      <c r="WY114" s="368"/>
      <c r="WZ114" s="368"/>
      <c r="XA114" s="368"/>
      <c r="XB114" s="368"/>
      <c r="XC114" s="368"/>
      <c r="XD114" s="368"/>
      <c r="XE114" s="368"/>
      <c r="XF114" s="368"/>
      <c r="XG114" s="368"/>
      <c r="XH114" s="368"/>
      <c r="XI114" s="368"/>
      <c r="XJ114" s="368"/>
      <c r="XK114" s="368"/>
      <c r="XL114" s="368"/>
      <c r="XM114" s="368"/>
      <c r="XN114" s="368"/>
      <c r="XO114" s="368"/>
      <c r="XP114" s="368"/>
      <c r="XQ114" s="368"/>
      <c r="XR114" s="368"/>
      <c r="XS114" s="368"/>
      <c r="XT114" s="368"/>
      <c r="XU114" s="368"/>
      <c r="XV114" s="368"/>
      <c r="XW114" s="368"/>
      <c r="XX114" s="368"/>
      <c r="XY114" s="368"/>
      <c r="XZ114" s="368"/>
      <c r="YA114" s="368"/>
      <c r="YB114" s="368"/>
      <c r="YC114" s="368"/>
      <c r="YD114" s="368"/>
      <c r="YE114" s="368"/>
      <c r="YF114" s="368"/>
      <c r="YG114" s="368"/>
      <c r="YH114" s="368"/>
      <c r="YI114" s="368"/>
      <c r="YJ114" s="368"/>
      <c r="YK114" s="368"/>
      <c r="YL114" s="368"/>
      <c r="YM114" s="368"/>
      <c r="YN114" s="368"/>
      <c r="YO114" s="368"/>
      <c r="YP114" s="368"/>
      <c r="YQ114" s="368"/>
      <c r="YR114" s="368"/>
      <c r="YS114" s="368"/>
      <c r="YT114" s="368"/>
      <c r="YU114" s="368"/>
      <c r="YV114" s="368"/>
      <c r="YW114" s="368"/>
      <c r="YX114" s="368"/>
      <c r="YY114" s="368"/>
      <c r="YZ114" s="368"/>
      <c r="ZA114" s="368"/>
      <c r="ZB114" s="368"/>
      <c r="ZC114" s="368"/>
      <c r="ZD114" s="368"/>
      <c r="ZE114" s="368"/>
      <c r="ZF114" s="368"/>
      <c r="ZG114" s="368"/>
      <c r="ZH114" s="368"/>
      <c r="ZI114" s="368"/>
      <c r="ZJ114" s="368"/>
      <c r="ZK114" s="368"/>
      <c r="ZL114" s="368"/>
      <c r="ZM114" s="368"/>
      <c r="ZN114" s="368"/>
      <c r="ZO114" s="368"/>
      <c r="ZP114" s="368"/>
      <c r="ZQ114" s="368"/>
      <c r="ZR114" s="368"/>
      <c r="ZS114" s="368"/>
      <c r="ZT114" s="368"/>
      <c r="ZU114" s="368"/>
      <c r="ZV114" s="368"/>
      <c r="ZW114" s="368"/>
      <c r="ZX114" s="368"/>
      <c r="ZY114" s="368"/>
      <c r="ZZ114" s="368"/>
      <c r="AAA114" s="368"/>
      <c r="AAB114" s="368"/>
      <c r="AAC114" s="368"/>
      <c r="AAD114" s="368"/>
      <c r="AAE114" s="368"/>
      <c r="AAF114" s="368"/>
      <c r="AAG114" s="368"/>
      <c r="AAH114" s="368"/>
      <c r="AAI114" s="368"/>
      <c r="AAJ114" s="368"/>
      <c r="AAK114" s="368"/>
      <c r="AAL114" s="368"/>
      <c r="AAM114" s="368"/>
      <c r="AAN114" s="368"/>
      <c r="AAO114" s="368"/>
      <c r="AAP114" s="368"/>
      <c r="AAQ114" s="368"/>
      <c r="AAR114" s="368"/>
      <c r="AAS114" s="368"/>
      <c r="AAT114" s="368"/>
      <c r="AAU114" s="368"/>
      <c r="AAV114" s="368"/>
      <c r="AAW114" s="368"/>
      <c r="AAX114" s="368"/>
      <c r="AAY114" s="368"/>
      <c r="AAZ114" s="368"/>
      <c r="ABA114" s="368"/>
      <c r="ABB114" s="368"/>
      <c r="ABC114" s="368"/>
      <c r="ABD114" s="368"/>
      <c r="ABE114" s="368"/>
      <c r="ABF114" s="368"/>
      <c r="ABG114" s="368"/>
      <c r="ABH114" s="368"/>
      <c r="ABI114" s="368"/>
      <c r="ABJ114" s="368"/>
      <c r="ABK114" s="368"/>
      <c r="ABL114" s="368"/>
      <c r="ABM114" s="368"/>
      <c r="ABN114" s="368"/>
      <c r="ABO114" s="368"/>
      <c r="ABP114" s="368"/>
      <c r="ABQ114" s="368"/>
      <c r="ABR114" s="368"/>
      <c r="ABS114" s="368"/>
      <c r="ABT114" s="368"/>
      <c r="ABU114" s="368"/>
      <c r="ABV114" s="368"/>
      <c r="ABW114" s="368"/>
      <c r="ABX114" s="368"/>
      <c r="ABY114" s="368"/>
      <c r="ABZ114" s="368"/>
      <c r="ACA114" s="368"/>
      <c r="ACB114" s="368"/>
      <c r="ACC114" s="368"/>
      <c r="ACD114" s="368"/>
      <c r="ACE114" s="368"/>
      <c r="ACF114" s="368"/>
      <c r="ACG114" s="368"/>
      <c r="ACH114" s="368"/>
      <c r="ACI114" s="368"/>
      <c r="ACJ114" s="368"/>
      <c r="ACK114" s="368"/>
      <c r="ACL114" s="368"/>
      <c r="ACM114" s="368"/>
      <c r="ACN114" s="368"/>
      <c r="ACO114" s="368"/>
      <c r="ACP114" s="368"/>
      <c r="ACQ114" s="368"/>
      <c r="ACR114" s="368"/>
      <c r="ACS114" s="368"/>
      <c r="ACT114" s="368"/>
      <c r="ACU114" s="368"/>
      <c r="ACV114" s="368"/>
      <c r="ACW114" s="368"/>
      <c r="ACX114" s="368"/>
      <c r="ACY114" s="368"/>
      <c r="ACZ114" s="368"/>
      <c r="ADA114" s="368"/>
      <c r="ADB114" s="368"/>
      <c r="ADC114" s="368"/>
      <c r="ADD114" s="368"/>
      <c r="ADE114" s="368"/>
      <c r="ADF114" s="368"/>
      <c r="ADG114" s="368"/>
      <c r="ADH114" s="368"/>
      <c r="ADI114" s="368"/>
      <c r="ADJ114" s="368"/>
      <c r="ADK114" s="368"/>
      <c r="ADL114" s="368"/>
      <c r="ADM114" s="368"/>
      <c r="ADN114" s="368"/>
      <c r="ADO114" s="368"/>
      <c r="ADP114" s="368"/>
      <c r="ADQ114" s="368"/>
      <c r="ADR114" s="368"/>
      <c r="ADS114" s="368"/>
      <c r="ADT114" s="368"/>
      <c r="ADU114" s="368"/>
      <c r="ADV114" s="368"/>
      <c r="ADW114" s="368"/>
      <c r="ADX114" s="368"/>
      <c r="ADY114" s="368"/>
      <c r="ADZ114" s="368"/>
      <c r="AEA114" s="368"/>
      <c r="AEB114" s="368"/>
      <c r="AEC114" s="368"/>
      <c r="AED114" s="368"/>
      <c r="AEE114" s="368"/>
      <c r="AEF114" s="368"/>
      <c r="AEG114" s="368"/>
      <c r="AEH114" s="368"/>
      <c r="AEI114" s="368"/>
      <c r="AEJ114" s="368"/>
      <c r="AEK114" s="368"/>
      <c r="AEL114" s="368"/>
      <c r="AEM114" s="368"/>
      <c r="AEN114" s="368"/>
      <c r="AEO114" s="368"/>
      <c r="AEP114" s="368"/>
      <c r="AEQ114" s="368"/>
      <c r="AER114" s="368"/>
      <c r="AES114" s="368"/>
      <c r="AET114" s="368"/>
      <c r="AEU114" s="368"/>
      <c r="AEV114" s="368"/>
      <c r="AEW114" s="368"/>
      <c r="AEX114" s="368"/>
      <c r="AEY114" s="368"/>
      <c r="AEZ114" s="368"/>
      <c r="AFA114" s="368"/>
      <c r="AFB114" s="368"/>
      <c r="AFC114" s="368"/>
      <c r="AFD114" s="368"/>
      <c r="AFE114" s="368"/>
      <c r="AFF114" s="368"/>
      <c r="AFG114" s="368"/>
      <c r="AFH114" s="368"/>
      <c r="AFI114" s="368"/>
      <c r="AFJ114" s="368"/>
      <c r="AFK114" s="368"/>
      <c r="AFL114" s="368"/>
      <c r="AFM114" s="368"/>
      <c r="AFN114" s="368"/>
      <c r="AFO114" s="368"/>
      <c r="AFP114" s="368"/>
      <c r="AFQ114" s="368"/>
      <c r="AFR114" s="368"/>
      <c r="AFS114" s="368"/>
      <c r="AFT114" s="368"/>
      <c r="AFU114" s="368"/>
      <c r="AFV114" s="368"/>
      <c r="AFW114" s="368"/>
      <c r="AFX114" s="368"/>
      <c r="AFY114" s="368"/>
      <c r="AFZ114" s="368"/>
      <c r="AGA114" s="368"/>
      <c r="AGB114" s="368"/>
      <c r="AGC114" s="368"/>
      <c r="AGD114" s="368"/>
      <c r="AGE114" s="368"/>
      <c r="AGF114" s="368"/>
      <c r="AGG114" s="368"/>
      <c r="AGH114" s="368"/>
      <c r="AGI114" s="368"/>
      <c r="AGJ114" s="368"/>
      <c r="AGK114" s="368"/>
      <c r="AGL114" s="368"/>
      <c r="AGM114" s="368"/>
      <c r="AGN114" s="368"/>
      <c r="AGO114" s="368"/>
      <c r="AGP114" s="368"/>
      <c r="AGQ114" s="368"/>
      <c r="AGR114" s="368"/>
      <c r="AGS114" s="368"/>
      <c r="AGT114" s="368"/>
      <c r="AGU114" s="368"/>
      <c r="AGV114" s="368"/>
      <c r="AGW114" s="368"/>
      <c r="AGX114" s="368"/>
      <c r="AGY114" s="368"/>
      <c r="AGZ114" s="368"/>
      <c r="AHA114" s="368"/>
      <c r="AHB114" s="368"/>
      <c r="AHC114" s="368"/>
      <c r="AHD114" s="368"/>
      <c r="AHE114" s="368"/>
      <c r="AHF114" s="368"/>
      <c r="AHG114" s="368"/>
      <c r="AHH114" s="368"/>
      <c r="AHI114" s="368"/>
      <c r="AHJ114" s="368"/>
      <c r="AHK114" s="368"/>
      <c r="AHL114" s="368"/>
      <c r="AHM114" s="368"/>
      <c r="AHN114" s="368"/>
      <c r="AHO114" s="368"/>
      <c r="AHP114" s="368"/>
      <c r="AHQ114" s="368"/>
      <c r="AHR114" s="368"/>
      <c r="AHS114" s="368"/>
      <c r="AHT114" s="368"/>
      <c r="AHU114" s="368"/>
      <c r="AHV114" s="368"/>
      <c r="AHW114" s="368"/>
      <c r="AHX114" s="368"/>
      <c r="AHY114" s="368"/>
      <c r="AHZ114" s="368"/>
      <c r="AIA114" s="368"/>
      <c r="AIB114" s="368"/>
      <c r="AIC114" s="368"/>
      <c r="AID114" s="368"/>
      <c r="AIE114" s="368"/>
      <c r="AIF114" s="368"/>
      <c r="AIG114" s="368"/>
      <c r="AIH114" s="368"/>
      <c r="AII114" s="368"/>
      <c r="AIJ114" s="368"/>
      <c r="AIK114" s="368"/>
      <c r="AIL114" s="368"/>
      <c r="AIM114" s="368"/>
      <c r="AIN114" s="368"/>
      <c r="AIO114" s="368"/>
      <c r="AIP114" s="368"/>
      <c r="AIQ114" s="368"/>
      <c r="AIR114" s="368"/>
      <c r="AIS114" s="368"/>
      <c r="AIT114" s="368"/>
      <c r="AIU114" s="368"/>
      <c r="AIV114" s="368"/>
      <c r="AIW114" s="368"/>
      <c r="AIX114" s="368"/>
      <c r="AIY114" s="368"/>
      <c r="AIZ114" s="368"/>
      <c r="AJA114" s="368"/>
      <c r="AJB114" s="368"/>
      <c r="AJC114" s="368"/>
      <c r="AJD114" s="368"/>
      <c r="AJE114" s="368"/>
      <c r="AJF114" s="368"/>
      <c r="AJG114" s="368"/>
      <c r="AJH114" s="368"/>
      <c r="AJI114" s="368"/>
      <c r="AJJ114" s="368"/>
      <c r="AJK114" s="368"/>
      <c r="AJL114" s="368"/>
      <c r="AJM114" s="368"/>
      <c r="AJN114" s="368"/>
      <c r="AJO114" s="368"/>
      <c r="AJP114" s="368"/>
      <c r="AJQ114" s="368"/>
      <c r="AJR114" s="368"/>
      <c r="AJS114" s="368"/>
      <c r="AJT114" s="368"/>
      <c r="AJU114" s="368"/>
      <c r="AJV114" s="368"/>
      <c r="AJW114" s="368"/>
      <c r="AJX114" s="368"/>
      <c r="AJY114" s="368"/>
      <c r="AJZ114" s="368"/>
      <c r="AKA114" s="368"/>
      <c r="AKB114" s="368"/>
      <c r="AKC114" s="368"/>
      <c r="AKD114" s="368"/>
      <c r="AKE114" s="368"/>
      <c r="AKF114" s="368"/>
      <c r="AKG114" s="368"/>
      <c r="AKH114" s="368"/>
      <c r="AKI114" s="368"/>
      <c r="AKJ114" s="368"/>
      <c r="AKK114" s="368"/>
      <c r="AKL114" s="368"/>
      <c r="AKM114" s="368"/>
      <c r="AKN114" s="368"/>
    </row>
    <row r="115" spans="1:976" s="346" customFormat="1" ht="22.5" customHeight="1" x14ac:dyDescent="0.2">
      <c r="A115" s="370" t="s">
        <v>408</v>
      </c>
      <c r="B115" s="370"/>
      <c r="C115" s="370" t="s">
        <v>221</v>
      </c>
      <c r="D115" s="370" t="s">
        <v>222</v>
      </c>
      <c r="E115" s="371">
        <v>412851</v>
      </c>
      <c r="F115" s="371">
        <v>1618</v>
      </c>
      <c r="G115" s="371">
        <v>250</v>
      </c>
      <c r="H115" s="371">
        <v>1</v>
      </c>
      <c r="I115" s="372">
        <v>45869</v>
      </c>
      <c r="J115" s="370" t="s">
        <v>281</v>
      </c>
      <c r="K115" s="370" t="s">
        <v>599</v>
      </c>
      <c r="L115" s="373">
        <v>61.83</v>
      </c>
      <c r="M115" s="373">
        <v>12.36</v>
      </c>
      <c r="N115" s="444">
        <v>74.19</v>
      </c>
      <c r="O115" s="370"/>
      <c r="P115" s="374">
        <v>45874</v>
      </c>
      <c r="Q115" s="373">
        <v>74.19</v>
      </c>
      <c r="R115" s="370"/>
      <c r="S115" s="373">
        <v>0</v>
      </c>
      <c r="T115" s="373">
        <v>0</v>
      </c>
      <c r="U115" s="373">
        <v>0</v>
      </c>
      <c r="V115" s="373">
        <v>0</v>
      </c>
      <c r="W115" s="370"/>
      <c r="X115" s="370" t="s">
        <v>597</v>
      </c>
      <c r="Y115" s="370" t="s">
        <v>598</v>
      </c>
      <c r="Z115" s="370" t="s">
        <v>42</v>
      </c>
      <c r="AA115" s="370" t="s">
        <v>228</v>
      </c>
      <c r="AB115" s="370" t="s">
        <v>235</v>
      </c>
      <c r="AC115" s="370" t="s">
        <v>331</v>
      </c>
      <c r="AD115" s="370" t="s">
        <v>231</v>
      </c>
      <c r="AE115" s="370" t="s">
        <v>232</v>
      </c>
      <c r="AF115" s="370" t="s">
        <v>231</v>
      </c>
      <c r="AG115" s="370" t="s">
        <v>232</v>
      </c>
      <c r="AH115" s="370"/>
      <c r="AI115" s="370"/>
      <c r="AJ115" s="370"/>
      <c r="AK115" s="370"/>
      <c r="AL115" s="371">
        <v>1</v>
      </c>
      <c r="AM115" s="371">
        <v>0</v>
      </c>
      <c r="AN115" s="372">
        <v>45874</v>
      </c>
      <c r="AO115" s="372">
        <v>45873</v>
      </c>
      <c r="AP115" s="373">
        <v>74.19</v>
      </c>
      <c r="AQ115" s="372">
        <v>45872</v>
      </c>
      <c r="AR115" s="368"/>
      <c r="AS115" s="368"/>
      <c r="AT115" s="368"/>
      <c r="AU115" s="368"/>
      <c r="AV115" s="368"/>
      <c r="AW115" s="368"/>
      <c r="AX115" s="368"/>
      <c r="AY115" s="368"/>
      <c r="AZ115" s="368"/>
      <c r="BA115" s="368"/>
      <c r="BB115" s="368"/>
      <c r="BC115" s="368"/>
      <c r="BD115" s="368"/>
      <c r="BE115" s="368"/>
      <c r="BF115" s="368"/>
      <c r="BG115" s="368"/>
      <c r="BH115" s="368"/>
      <c r="BI115" s="368"/>
      <c r="BJ115" s="368"/>
      <c r="BK115" s="368"/>
      <c r="BL115" s="368"/>
      <c r="BM115" s="368"/>
      <c r="BN115" s="368"/>
      <c r="BO115" s="368"/>
      <c r="BP115" s="368"/>
      <c r="BQ115" s="368"/>
      <c r="BR115" s="368"/>
      <c r="BS115" s="368"/>
      <c r="BT115" s="368"/>
      <c r="BU115" s="368"/>
      <c r="BV115" s="368"/>
      <c r="BW115" s="368"/>
      <c r="BX115" s="368"/>
      <c r="BY115" s="368"/>
      <c r="BZ115" s="368"/>
      <c r="CA115" s="368"/>
      <c r="CB115" s="368"/>
      <c r="CC115" s="368"/>
      <c r="CD115" s="368"/>
      <c r="CE115" s="368"/>
      <c r="CF115" s="368"/>
      <c r="CG115" s="368"/>
      <c r="CH115" s="368"/>
      <c r="CI115" s="368"/>
      <c r="CJ115" s="368"/>
      <c r="CK115" s="368"/>
      <c r="CL115" s="368"/>
      <c r="CM115" s="368"/>
      <c r="CN115" s="368"/>
      <c r="CO115" s="368"/>
      <c r="CP115" s="368"/>
      <c r="CQ115" s="368"/>
      <c r="CR115" s="368"/>
      <c r="CS115" s="368"/>
      <c r="CT115" s="368"/>
      <c r="CU115" s="368"/>
      <c r="CV115" s="368"/>
      <c r="CW115" s="368"/>
      <c r="CX115" s="368"/>
      <c r="CY115" s="368"/>
      <c r="CZ115" s="368"/>
      <c r="DA115" s="368"/>
      <c r="DB115" s="368"/>
      <c r="DC115" s="368"/>
      <c r="DD115" s="368"/>
      <c r="DE115" s="368"/>
      <c r="DF115" s="368"/>
      <c r="DG115" s="368"/>
      <c r="DH115" s="368"/>
      <c r="DI115" s="368"/>
      <c r="DJ115" s="368"/>
      <c r="DK115" s="368"/>
      <c r="DL115" s="368"/>
      <c r="DM115" s="368"/>
      <c r="DN115" s="368"/>
      <c r="DO115" s="368"/>
      <c r="DP115" s="368"/>
      <c r="DQ115" s="368"/>
      <c r="DR115" s="368"/>
      <c r="DS115" s="368"/>
      <c r="DT115" s="368"/>
      <c r="DU115" s="368"/>
      <c r="DV115" s="368"/>
      <c r="DW115" s="368"/>
      <c r="DX115" s="368"/>
      <c r="DY115" s="368"/>
      <c r="DZ115" s="368"/>
      <c r="EA115" s="368"/>
      <c r="EB115" s="368"/>
      <c r="EC115" s="368"/>
      <c r="ED115" s="368"/>
      <c r="EE115" s="368"/>
      <c r="EF115" s="368"/>
      <c r="EG115" s="368"/>
      <c r="EH115" s="368"/>
      <c r="EI115" s="368"/>
      <c r="EJ115" s="368"/>
      <c r="EK115" s="368"/>
      <c r="EL115" s="368"/>
      <c r="EM115" s="368"/>
      <c r="EN115" s="368"/>
      <c r="EO115" s="368"/>
      <c r="EP115" s="368"/>
      <c r="EQ115" s="368"/>
      <c r="ER115" s="368"/>
      <c r="ES115" s="368"/>
      <c r="ET115" s="368"/>
      <c r="EU115" s="368"/>
      <c r="EV115" s="368"/>
      <c r="EW115" s="368"/>
      <c r="EX115" s="368"/>
      <c r="EY115" s="368"/>
      <c r="EZ115" s="368"/>
      <c r="FA115" s="368"/>
      <c r="FB115" s="368"/>
      <c r="FC115" s="368"/>
      <c r="FD115" s="368"/>
      <c r="FE115" s="368"/>
      <c r="FF115" s="368"/>
      <c r="FG115" s="368"/>
      <c r="FH115" s="368"/>
      <c r="FI115" s="368"/>
      <c r="FJ115" s="368"/>
      <c r="FK115" s="368"/>
      <c r="FL115" s="368"/>
      <c r="FM115" s="368"/>
      <c r="FN115" s="368"/>
      <c r="FO115" s="368"/>
      <c r="FP115" s="368"/>
      <c r="FQ115" s="368"/>
      <c r="FR115" s="368"/>
      <c r="FS115" s="368"/>
      <c r="FT115" s="368"/>
      <c r="FU115" s="368"/>
      <c r="FV115" s="368"/>
      <c r="FW115" s="368"/>
      <c r="FX115" s="368"/>
      <c r="FY115" s="368"/>
      <c r="FZ115" s="368"/>
      <c r="GA115" s="368"/>
      <c r="GB115" s="368"/>
      <c r="GC115" s="368"/>
      <c r="GD115" s="368"/>
      <c r="GE115" s="368"/>
      <c r="GF115" s="368"/>
      <c r="GG115" s="368"/>
      <c r="GH115" s="368"/>
      <c r="GI115" s="368"/>
      <c r="GJ115" s="368"/>
      <c r="GK115" s="368"/>
      <c r="GL115" s="368"/>
      <c r="GM115" s="368"/>
      <c r="GN115" s="368"/>
      <c r="GO115" s="368"/>
      <c r="GP115" s="368"/>
      <c r="GQ115" s="368"/>
      <c r="GR115" s="368"/>
      <c r="GS115" s="368"/>
      <c r="GT115" s="368"/>
      <c r="GU115" s="368"/>
      <c r="GV115" s="368"/>
      <c r="GW115" s="368"/>
      <c r="GX115" s="368"/>
      <c r="GY115" s="368"/>
      <c r="GZ115" s="368"/>
      <c r="HA115" s="368"/>
      <c r="HB115" s="368"/>
      <c r="HC115" s="368"/>
      <c r="HD115" s="368"/>
      <c r="HE115" s="368"/>
      <c r="HF115" s="368"/>
      <c r="HG115" s="368"/>
      <c r="HH115" s="368"/>
      <c r="HI115" s="368"/>
      <c r="HJ115" s="368"/>
      <c r="HK115" s="368"/>
      <c r="HL115" s="368"/>
      <c r="HM115" s="368"/>
      <c r="HN115" s="368"/>
      <c r="HO115" s="368"/>
      <c r="HP115" s="368"/>
      <c r="HQ115" s="368"/>
      <c r="HR115" s="368"/>
      <c r="HS115" s="368"/>
      <c r="HT115" s="368"/>
      <c r="HU115" s="368"/>
      <c r="HV115" s="368"/>
      <c r="HW115" s="368"/>
      <c r="HX115" s="368"/>
      <c r="HY115" s="368"/>
      <c r="HZ115" s="368"/>
      <c r="IA115" s="368"/>
      <c r="IB115" s="368"/>
      <c r="IC115" s="368"/>
      <c r="ID115" s="368"/>
      <c r="IE115" s="368"/>
      <c r="IF115" s="368"/>
      <c r="IG115" s="368"/>
      <c r="IH115" s="368"/>
      <c r="II115" s="368"/>
      <c r="IJ115" s="368"/>
      <c r="IK115" s="368"/>
      <c r="IL115" s="368"/>
      <c r="IM115" s="368"/>
      <c r="IN115" s="368"/>
      <c r="IO115" s="368"/>
      <c r="IP115" s="368"/>
      <c r="IQ115" s="368"/>
      <c r="IR115" s="368"/>
      <c r="IS115" s="368"/>
      <c r="IT115" s="368"/>
      <c r="IU115" s="368"/>
      <c r="IV115" s="368"/>
      <c r="IW115" s="368"/>
      <c r="IX115" s="368"/>
      <c r="IY115" s="368"/>
      <c r="IZ115" s="368"/>
      <c r="JA115" s="368"/>
      <c r="JB115" s="368"/>
      <c r="JC115" s="368"/>
      <c r="JD115" s="368"/>
      <c r="JE115" s="368"/>
      <c r="JF115" s="368"/>
      <c r="JG115" s="368"/>
      <c r="JH115" s="368"/>
      <c r="JI115" s="368"/>
      <c r="JJ115" s="368"/>
      <c r="JK115" s="368"/>
      <c r="JL115" s="368"/>
      <c r="JM115" s="368"/>
      <c r="JN115" s="368"/>
      <c r="JO115" s="368"/>
      <c r="JP115" s="368"/>
      <c r="JQ115" s="368"/>
      <c r="JR115" s="368"/>
      <c r="JS115" s="368"/>
      <c r="JT115" s="368"/>
      <c r="JU115" s="368"/>
      <c r="JV115" s="368"/>
      <c r="JW115" s="368"/>
      <c r="JX115" s="368"/>
      <c r="JY115" s="368"/>
      <c r="JZ115" s="368"/>
      <c r="KA115" s="368"/>
      <c r="KB115" s="368"/>
      <c r="KC115" s="368"/>
      <c r="KD115" s="368"/>
      <c r="KE115" s="368"/>
      <c r="KF115" s="368"/>
      <c r="KG115" s="368"/>
      <c r="KH115" s="368"/>
      <c r="KI115" s="368"/>
      <c r="KJ115" s="368"/>
      <c r="KK115" s="368"/>
      <c r="KL115" s="368"/>
      <c r="KM115" s="368"/>
      <c r="KN115" s="368"/>
      <c r="KO115" s="368"/>
      <c r="KP115" s="368"/>
      <c r="KQ115" s="368"/>
      <c r="KR115" s="368"/>
      <c r="KS115" s="368"/>
      <c r="KT115" s="368"/>
      <c r="KU115" s="368"/>
      <c r="KV115" s="368"/>
      <c r="KW115" s="368"/>
      <c r="KX115" s="368"/>
      <c r="KY115" s="368"/>
      <c r="KZ115" s="368"/>
      <c r="LA115" s="368"/>
      <c r="LB115" s="368"/>
      <c r="LC115" s="368"/>
      <c r="LD115" s="368"/>
      <c r="LE115" s="368"/>
      <c r="LF115" s="368"/>
      <c r="LG115" s="368"/>
      <c r="LH115" s="368"/>
      <c r="LI115" s="368"/>
      <c r="LJ115" s="368"/>
      <c r="LK115" s="368"/>
      <c r="LL115" s="368"/>
      <c r="LM115" s="368"/>
      <c r="LN115" s="368"/>
      <c r="LO115" s="368"/>
      <c r="LP115" s="368"/>
      <c r="LQ115" s="368"/>
      <c r="LR115" s="368"/>
      <c r="LS115" s="368"/>
      <c r="LT115" s="368"/>
      <c r="LU115" s="368"/>
      <c r="LV115" s="368"/>
      <c r="LW115" s="368"/>
      <c r="LX115" s="368"/>
      <c r="LY115" s="368"/>
      <c r="LZ115" s="368"/>
      <c r="MA115" s="368"/>
      <c r="MB115" s="368"/>
      <c r="MC115" s="368"/>
      <c r="MD115" s="368"/>
      <c r="ME115" s="368"/>
      <c r="MF115" s="368"/>
      <c r="MG115" s="368"/>
      <c r="MH115" s="368"/>
      <c r="MI115" s="368"/>
      <c r="MJ115" s="368"/>
      <c r="MK115" s="368"/>
      <c r="ML115" s="368"/>
      <c r="MM115" s="368"/>
      <c r="MN115" s="368"/>
      <c r="MO115" s="368"/>
      <c r="MP115" s="368"/>
      <c r="MQ115" s="368"/>
      <c r="MR115" s="368"/>
      <c r="MS115" s="368"/>
      <c r="MT115" s="368"/>
      <c r="MU115" s="368"/>
      <c r="MV115" s="368"/>
      <c r="MW115" s="368"/>
      <c r="MX115" s="368"/>
      <c r="MY115" s="368"/>
      <c r="MZ115" s="368"/>
      <c r="NA115" s="368"/>
      <c r="NB115" s="368"/>
      <c r="NC115" s="368"/>
      <c r="ND115" s="368"/>
      <c r="NE115" s="368"/>
      <c r="NF115" s="368"/>
      <c r="NG115" s="368"/>
      <c r="NH115" s="368"/>
      <c r="NI115" s="368"/>
      <c r="NJ115" s="368"/>
      <c r="NK115" s="368"/>
      <c r="NL115" s="368"/>
      <c r="NM115" s="368"/>
      <c r="NN115" s="368"/>
      <c r="NO115" s="368"/>
      <c r="NP115" s="368"/>
      <c r="NQ115" s="368"/>
      <c r="NR115" s="368"/>
      <c r="NS115" s="368"/>
      <c r="NT115" s="368"/>
      <c r="NU115" s="368"/>
      <c r="NV115" s="368"/>
      <c r="NW115" s="368"/>
      <c r="NX115" s="368"/>
      <c r="NY115" s="368"/>
      <c r="NZ115" s="368"/>
      <c r="OA115" s="368"/>
      <c r="OB115" s="368"/>
      <c r="OC115" s="368"/>
      <c r="OD115" s="368"/>
      <c r="OE115" s="368"/>
      <c r="OF115" s="368"/>
      <c r="OG115" s="368"/>
      <c r="OH115" s="368"/>
      <c r="OI115" s="368"/>
      <c r="OJ115" s="368"/>
      <c r="OK115" s="368"/>
      <c r="OL115" s="368"/>
      <c r="OM115" s="368"/>
      <c r="ON115" s="368"/>
      <c r="OO115" s="368"/>
      <c r="OP115" s="368"/>
      <c r="OQ115" s="368"/>
      <c r="OR115" s="368"/>
      <c r="OS115" s="368"/>
      <c r="OT115" s="368"/>
      <c r="OU115" s="368"/>
      <c r="OV115" s="368"/>
      <c r="OW115" s="368"/>
      <c r="OX115" s="368"/>
      <c r="OY115" s="368"/>
      <c r="OZ115" s="368"/>
      <c r="PA115" s="368"/>
      <c r="PB115" s="368"/>
      <c r="PC115" s="368"/>
      <c r="PD115" s="368"/>
      <c r="PE115" s="368"/>
      <c r="PF115" s="368"/>
      <c r="PG115" s="368"/>
      <c r="PH115" s="368"/>
      <c r="PI115" s="368"/>
      <c r="PJ115" s="368"/>
      <c r="PK115" s="368"/>
      <c r="PL115" s="368"/>
      <c r="PM115" s="368"/>
      <c r="PN115" s="368"/>
      <c r="PO115" s="368"/>
      <c r="PP115" s="368"/>
      <c r="PQ115" s="368"/>
      <c r="PR115" s="368"/>
      <c r="PS115" s="368"/>
      <c r="PT115" s="368"/>
      <c r="PU115" s="368"/>
      <c r="PV115" s="368"/>
      <c r="PW115" s="368"/>
      <c r="PX115" s="368"/>
      <c r="PY115" s="368"/>
      <c r="PZ115" s="368"/>
      <c r="QA115" s="368"/>
      <c r="QB115" s="368"/>
      <c r="QC115" s="368"/>
      <c r="QD115" s="368"/>
      <c r="QE115" s="368"/>
      <c r="QF115" s="368"/>
      <c r="QG115" s="368"/>
      <c r="QH115" s="368"/>
      <c r="QI115" s="368"/>
      <c r="QJ115" s="368"/>
      <c r="QK115" s="368"/>
      <c r="QL115" s="368"/>
      <c r="QM115" s="368"/>
      <c r="QN115" s="368"/>
      <c r="QO115" s="368"/>
      <c r="QP115" s="368"/>
      <c r="QQ115" s="368"/>
      <c r="QR115" s="368"/>
      <c r="QS115" s="368"/>
      <c r="QT115" s="368"/>
      <c r="QU115" s="368"/>
      <c r="QV115" s="368"/>
      <c r="QW115" s="368"/>
      <c r="QX115" s="368"/>
      <c r="QY115" s="368"/>
      <c r="QZ115" s="368"/>
      <c r="RA115" s="368"/>
      <c r="RB115" s="368"/>
      <c r="RC115" s="368"/>
      <c r="RD115" s="368"/>
      <c r="RE115" s="368"/>
      <c r="RF115" s="368"/>
      <c r="RG115" s="368"/>
      <c r="RH115" s="368"/>
      <c r="RI115" s="368"/>
      <c r="RJ115" s="368"/>
      <c r="RK115" s="368"/>
      <c r="RL115" s="368"/>
      <c r="RM115" s="368"/>
      <c r="RN115" s="368"/>
      <c r="RO115" s="368"/>
      <c r="RP115" s="368"/>
      <c r="RQ115" s="368"/>
      <c r="RR115" s="368"/>
      <c r="RS115" s="368"/>
      <c r="RT115" s="368"/>
      <c r="RU115" s="368"/>
      <c r="RV115" s="368"/>
      <c r="RW115" s="368"/>
      <c r="RX115" s="368"/>
      <c r="RY115" s="368"/>
      <c r="RZ115" s="368"/>
      <c r="SA115" s="368"/>
      <c r="SB115" s="368"/>
      <c r="SC115" s="368"/>
      <c r="SD115" s="368"/>
      <c r="SE115" s="368"/>
      <c r="SF115" s="368"/>
      <c r="SG115" s="368"/>
      <c r="SH115" s="368"/>
      <c r="SI115" s="368"/>
      <c r="SJ115" s="368"/>
      <c r="SK115" s="368"/>
      <c r="SL115" s="368"/>
      <c r="SM115" s="368"/>
      <c r="SN115" s="368"/>
      <c r="SO115" s="368"/>
      <c r="SP115" s="368"/>
      <c r="SQ115" s="368"/>
      <c r="SR115" s="368"/>
      <c r="SS115" s="368"/>
      <c r="ST115" s="368"/>
      <c r="SU115" s="368"/>
      <c r="SV115" s="368"/>
      <c r="SW115" s="368"/>
      <c r="SX115" s="368"/>
      <c r="SY115" s="368"/>
      <c r="SZ115" s="368"/>
      <c r="TA115" s="368"/>
      <c r="TB115" s="368"/>
      <c r="TC115" s="368"/>
      <c r="TD115" s="368"/>
      <c r="TE115" s="368"/>
      <c r="TF115" s="368"/>
      <c r="TG115" s="368"/>
      <c r="TH115" s="368"/>
      <c r="TI115" s="368"/>
      <c r="TJ115" s="368"/>
      <c r="TK115" s="368"/>
      <c r="TL115" s="368"/>
      <c r="TM115" s="368"/>
      <c r="TN115" s="368"/>
      <c r="TO115" s="368"/>
      <c r="TP115" s="368"/>
      <c r="TQ115" s="368"/>
      <c r="TR115" s="368"/>
      <c r="TS115" s="368"/>
      <c r="TT115" s="368"/>
      <c r="TU115" s="368"/>
      <c r="TV115" s="368"/>
      <c r="TW115" s="368"/>
      <c r="TX115" s="368"/>
      <c r="TY115" s="368"/>
      <c r="TZ115" s="368"/>
      <c r="UA115" s="368"/>
      <c r="UB115" s="368"/>
      <c r="UC115" s="368"/>
      <c r="UD115" s="368"/>
      <c r="UE115" s="368"/>
      <c r="UF115" s="368"/>
      <c r="UG115" s="368"/>
      <c r="UH115" s="368"/>
      <c r="UI115" s="368"/>
      <c r="UJ115" s="368"/>
      <c r="UK115" s="368"/>
      <c r="UL115" s="368"/>
      <c r="UM115" s="368"/>
      <c r="UN115" s="368"/>
      <c r="UO115" s="368"/>
      <c r="UP115" s="368"/>
      <c r="UQ115" s="368"/>
      <c r="UR115" s="368"/>
      <c r="US115" s="368"/>
      <c r="UT115" s="368"/>
      <c r="UU115" s="368"/>
      <c r="UV115" s="368"/>
      <c r="UW115" s="368"/>
      <c r="UX115" s="368"/>
      <c r="UY115" s="368"/>
      <c r="UZ115" s="368"/>
      <c r="VA115" s="368"/>
      <c r="VB115" s="368"/>
      <c r="VC115" s="368"/>
      <c r="VD115" s="368"/>
      <c r="VE115" s="368"/>
      <c r="VF115" s="368"/>
      <c r="VG115" s="368"/>
      <c r="VH115" s="368"/>
      <c r="VI115" s="368"/>
      <c r="VJ115" s="368"/>
      <c r="VK115" s="368"/>
      <c r="VL115" s="368"/>
      <c r="VM115" s="368"/>
      <c r="VN115" s="368"/>
      <c r="VO115" s="368"/>
      <c r="VP115" s="368"/>
      <c r="VQ115" s="368"/>
      <c r="VR115" s="368"/>
      <c r="VS115" s="368"/>
      <c r="VT115" s="368"/>
      <c r="VU115" s="368"/>
      <c r="VV115" s="368"/>
      <c r="VW115" s="368"/>
      <c r="VX115" s="368"/>
      <c r="VY115" s="368"/>
      <c r="VZ115" s="368"/>
      <c r="WA115" s="368"/>
      <c r="WB115" s="368"/>
      <c r="WC115" s="368"/>
      <c r="WD115" s="368"/>
      <c r="WE115" s="368"/>
      <c r="WF115" s="368"/>
      <c r="WG115" s="368"/>
      <c r="WH115" s="368"/>
      <c r="WI115" s="368"/>
      <c r="WJ115" s="368"/>
      <c r="WK115" s="368"/>
      <c r="WL115" s="368"/>
      <c r="WM115" s="368"/>
      <c r="WN115" s="368"/>
      <c r="WO115" s="368"/>
      <c r="WP115" s="368"/>
      <c r="WQ115" s="368"/>
      <c r="WR115" s="368"/>
      <c r="WS115" s="368"/>
      <c r="WT115" s="368"/>
      <c r="WU115" s="368"/>
      <c r="WV115" s="368"/>
      <c r="WW115" s="368"/>
      <c r="WX115" s="368"/>
      <c r="WY115" s="368"/>
      <c r="WZ115" s="368"/>
      <c r="XA115" s="368"/>
      <c r="XB115" s="368"/>
      <c r="XC115" s="368"/>
      <c r="XD115" s="368"/>
      <c r="XE115" s="368"/>
      <c r="XF115" s="368"/>
      <c r="XG115" s="368"/>
      <c r="XH115" s="368"/>
      <c r="XI115" s="368"/>
      <c r="XJ115" s="368"/>
      <c r="XK115" s="368"/>
      <c r="XL115" s="368"/>
      <c r="XM115" s="368"/>
      <c r="XN115" s="368"/>
      <c r="XO115" s="368"/>
      <c r="XP115" s="368"/>
      <c r="XQ115" s="368"/>
      <c r="XR115" s="368"/>
      <c r="XS115" s="368"/>
      <c r="XT115" s="368"/>
      <c r="XU115" s="368"/>
      <c r="XV115" s="368"/>
      <c r="XW115" s="368"/>
      <c r="XX115" s="368"/>
      <c r="XY115" s="368"/>
      <c r="XZ115" s="368"/>
      <c r="YA115" s="368"/>
      <c r="YB115" s="368"/>
      <c r="YC115" s="368"/>
      <c r="YD115" s="368"/>
      <c r="YE115" s="368"/>
      <c r="YF115" s="368"/>
      <c r="YG115" s="368"/>
      <c r="YH115" s="368"/>
      <c r="YI115" s="368"/>
      <c r="YJ115" s="368"/>
      <c r="YK115" s="368"/>
      <c r="YL115" s="368"/>
      <c r="YM115" s="368"/>
      <c r="YN115" s="368"/>
      <c r="YO115" s="368"/>
      <c r="YP115" s="368"/>
      <c r="YQ115" s="368"/>
      <c r="YR115" s="368"/>
      <c r="YS115" s="368"/>
      <c r="YT115" s="368"/>
      <c r="YU115" s="368"/>
      <c r="YV115" s="368"/>
      <c r="YW115" s="368"/>
      <c r="YX115" s="368"/>
      <c r="YY115" s="368"/>
      <c r="YZ115" s="368"/>
      <c r="ZA115" s="368"/>
      <c r="ZB115" s="368"/>
      <c r="ZC115" s="368"/>
      <c r="ZD115" s="368"/>
      <c r="ZE115" s="368"/>
      <c r="ZF115" s="368"/>
      <c r="ZG115" s="368"/>
      <c r="ZH115" s="368"/>
      <c r="ZI115" s="368"/>
      <c r="ZJ115" s="368"/>
      <c r="ZK115" s="368"/>
      <c r="ZL115" s="368"/>
      <c r="ZM115" s="368"/>
      <c r="ZN115" s="368"/>
      <c r="ZO115" s="368"/>
      <c r="ZP115" s="368"/>
      <c r="ZQ115" s="368"/>
      <c r="ZR115" s="368"/>
      <c r="ZS115" s="368"/>
      <c r="ZT115" s="368"/>
      <c r="ZU115" s="368"/>
      <c r="ZV115" s="368"/>
      <c r="ZW115" s="368"/>
      <c r="ZX115" s="368"/>
      <c r="ZY115" s="368"/>
      <c r="ZZ115" s="368"/>
      <c r="AAA115" s="368"/>
      <c r="AAB115" s="368"/>
      <c r="AAC115" s="368"/>
      <c r="AAD115" s="368"/>
      <c r="AAE115" s="368"/>
      <c r="AAF115" s="368"/>
      <c r="AAG115" s="368"/>
      <c r="AAH115" s="368"/>
      <c r="AAI115" s="368"/>
      <c r="AAJ115" s="368"/>
      <c r="AAK115" s="368"/>
      <c r="AAL115" s="368"/>
      <c r="AAM115" s="368"/>
      <c r="AAN115" s="368"/>
      <c r="AAO115" s="368"/>
      <c r="AAP115" s="368"/>
      <c r="AAQ115" s="368"/>
      <c r="AAR115" s="368"/>
      <c r="AAS115" s="368"/>
      <c r="AAT115" s="368"/>
      <c r="AAU115" s="368"/>
      <c r="AAV115" s="368"/>
      <c r="AAW115" s="368"/>
      <c r="AAX115" s="368"/>
      <c r="AAY115" s="368"/>
      <c r="AAZ115" s="368"/>
      <c r="ABA115" s="368"/>
      <c r="ABB115" s="368"/>
      <c r="ABC115" s="368"/>
      <c r="ABD115" s="368"/>
      <c r="ABE115" s="368"/>
      <c r="ABF115" s="368"/>
      <c r="ABG115" s="368"/>
      <c r="ABH115" s="368"/>
      <c r="ABI115" s="368"/>
      <c r="ABJ115" s="368"/>
      <c r="ABK115" s="368"/>
      <c r="ABL115" s="368"/>
      <c r="ABM115" s="368"/>
      <c r="ABN115" s="368"/>
      <c r="ABO115" s="368"/>
      <c r="ABP115" s="368"/>
      <c r="ABQ115" s="368"/>
      <c r="ABR115" s="368"/>
      <c r="ABS115" s="368"/>
      <c r="ABT115" s="368"/>
      <c r="ABU115" s="368"/>
      <c r="ABV115" s="368"/>
      <c r="ABW115" s="368"/>
      <c r="ABX115" s="368"/>
      <c r="ABY115" s="368"/>
      <c r="ABZ115" s="368"/>
      <c r="ACA115" s="368"/>
      <c r="ACB115" s="368"/>
      <c r="ACC115" s="368"/>
      <c r="ACD115" s="368"/>
      <c r="ACE115" s="368"/>
      <c r="ACF115" s="368"/>
      <c r="ACG115" s="368"/>
      <c r="ACH115" s="368"/>
      <c r="ACI115" s="368"/>
      <c r="ACJ115" s="368"/>
      <c r="ACK115" s="368"/>
      <c r="ACL115" s="368"/>
      <c r="ACM115" s="368"/>
      <c r="ACN115" s="368"/>
      <c r="ACO115" s="368"/>
      <c r="ACP115" s="368"/>
      <c r="ACQ115" s="368"/>
      <c r="ACR115" s="368"/>
      <c r="ACS115" s="368"/>
      <c r="ACT115" s="368"/>
      <c r="ACU115" s="368"/>
      <c r="ACV115" s="368"/>
      <c r="ACW115" s="368"/>
      <c r="ACX115" s="368"/>
      <c r="ACY115" s="368"/>
      <c r="ACZ115" s="368"/>
      <c r="ADA115" s="368"/>
      <c r="ADB115" s="368"/>
      <c r="ADC115" s="368"/>
      <c r="ADD115" s="368"/>
      <c r="ADE115" s="368"/>
      <c r="ADF115" s="368"/>
      <c r="ADG115" s="368"/>
      <c r="ADH115" s="368"/>
      <c r="ADI115" s="368"/>
      <c r="ADJ115" s="368"/>
      <c r="ADK115" s="368"/>
      <c r="ADL115" s="368"/>
      <c r="ADM115" s="368"/>
      <c r="ADN115" s="368"/>
      <c r="ADO115" s="368"/>
      <c r="ADP115" s="368"/>
      <c r="ADQ115" s="368"/>
      <c r="ADR115" s="368"/>
      <c r="ADS115" s="368"/>
      <c r="ADT115" s="368"/>
      <c r="ADU115" s="368"/>
      <c r="ADV115" s="368"/>
      <c r="ADW115" s="368"/>
      <c r="ADX115" s="368"/>
      <c r="ADY115" s="368"/>
      <c r="ADZ115" s="368"/>
      <c r="AEA115" s="368"/>
      <c r="AEB115" s="368"/>
      <c r="AEC115" s="368"/>
      <c r="AED115" s="368"/>
      <c r="AEE115" s="368"/>
      <c r="AEF115" s="368"/>
      <c r="AEG115" s="368"/>
      <c r="AEH115" s="368"/>
      <c r="AEI115" s="368"/>
      <c r="AEJ115" s="368"/>
      <c r="AEK115" s="368"/>
      <c r="AEL115" s="368"/>
      <c r="AEM115" s="368"/>
      <c r="AEN115" s="368"/>
      <c r="AEO115" s="368"/>
      <c r="AEP115" s="368"/>
      <c r="AEQ115" s="368"/>
      <c r="AER115" s="368"/>
      <c r="AES115" s="368"/>
      <c r="AET115" s="368"/>
      <c r="AEU115" s="368"/>
      <c r="AEV115" s="368"/>
      <c r="AEW115" s="368"/>
      <c r="AEX115" s="368"/>
      <c r="AEY115" s="368"/>
      <c r="AEZ115" s="368"/>
      <c r="AFA115" s="368"/>
      <c r="AFB115" s="368"/>
      <c r="AFC115" s="368"/>
      <c r="AFD115" s="368"/>
      <c r="AFE115" s="368"/>
      <c r="AFF115" s="368"/>
      <c r="AFG115" s="368"/>
      <c r="AFH115" s="368"/>
      <c r="AFI115" s="368"/>
      <c r="AFJ115" s="368"/>
      <c r="AFK115" s="368"/>
      <c r="AFL115" s="368"/>
      <c r="AFM115" s="368"/>
      <c r="AFN115" s="368"/>
      <c r="AFO115" s="368"/>
      <c r="AFP115" s="368"/>
      <c r="AFQ115" s="368"/>
      <c r="AFR115" s="368"/>
      <c r="AFS115" s="368"/>
      <c r="AFT115" s="368"/>
      <c r="AFU115" s="368"/>
      <c r="AFV115" s="368"/>
      <c r="AFW115" s="368"/>
      <c r="AFX115" s="368"/>
      <c r="AFY115" s="368"/>
      <c r="AFZ115" s="368"/>
      <c r="AGA115" s="368"/>
      <c r="AGB115" s="368"/>
      <c r="AGC115" s="368"/>
      <c r="AGD115" s="368"/>
      <c r="AGE115" s="368"/>
      <c r="AGF115" s="368"/>
      <c r="AGG115" s="368"/>
      <c r="AGH115" s="368"/>
      <c r="AGI115" s="368"/>
      <c r="AGJ115" s="368"/>
      <c r="AGK115" s="368"/>
      <c r="AGL115" s="368"/>
      <c r="AGM115" s="368"/>
      <c r="AGN115" s="368"/>
      <c r="AGO115" s="368"/>
      <c r="AGP115" s="368"/>
      <c r="AGQ115" s="368"/>
      <c r="AGR115" s="368"/>
      <c r="AGS115" s="368"/>
      <c r="AGT115" s="368"/>
      <c r="AGU115" s="368"/>
      <c r="AGV115" s="368"/>
      <c r="AGW115" s="368"/>
      <c r="AGX115" s="368"/>
      <c r="AGY115" s="368"/>
      <c r="AGZ115" s="368"/>
      <c r="AHA115" s="368"/>
      <c r="AHB115" s="368"/>
      <c r="AHC115" s="368"/>
      <c r="AHD115" s="368"/>
      <c r="AHE115" s="368"/>
      <c r="AHF115" s="368"/>
      <c r="AHG115" s="368"/>
      <c r="AHH115" s="368"/>
      <c r="AHI115" s="368"/>
      <c r="AHJ115" s="368"/>
      <c r="AHK115" s="368"/>
      <c r="AHL115" s="368"/>
      <c r="AHM115" s="368"/>
      <c r="AHN115" s="368"/>
      <c r="AHO115" s="368"/>
      <c r="AHP115" s="368"/>
      <c r="AHQ115" s="368"/>
      <c r="AHR115" s="368"/>
      <c r="AHS115" s="368"/>
      <c r="AHT115" s="368"/>
      <c r="AHU115" s="368"/>
      <c r="AHV115" s="368"/>
      <c r="AHW115" s="368"/>
      <c r="AHX115" s="368"/>
      <c r="AHY115" s="368"/>
      <c r="AHZ115" s="368"/>
      <c r="AIA115" s="368"/>
      <c r="AIB115" s="368"/>
      <c r="AIC115" s="368"/>
      <c r="AID115" s="368"/>
      <c r="AIE115" s="368"/>
      <c r="AIF115" s="368"/>
      <c r="AIG115" s="368"/>
      <c r="AIH115" s="368"/>
      <c r="AII115" s="368"/>
      <c r="AIJ115" s="368"/>
      <c r="AIK115" s="368"/>
      <c r="AIL115" s="368"/>
      <c r="AIM115" s="368"/>
      <c r="AIN115" s="368"/>
      <c r="AIO115" s="368"/>
      <c r="AIP115" s="368"/>
      <c r="AIQ115" s="368"/>
      <c r="AIR115" s="368"/>
      <c r="AIS115" s="368"/>
      <c r="AIT115" s="368"/>
      <c r="AIU115" s="368"/>
      <c r="AIV115" s="368"/>
      <c r="AIW115" s="368"/>
      <c r="AIX115" s="368"/>
      <c r="AIY115" s="368"/>
      <c r="AIZ115" s="368"/>
      <c r="AJA115" s="368"/>
      <c r="AJB115" s="368"/>
      <c r="AJC115" s="368"/>
      <c r="AJD115" s="368"/>
      <c r="AJE115" s="368"/>
      <c r="AJF115" s="368"/>
      <c r="AJG115" s="368"/>
      <c r="AJH115" s="368"/>
      <c r="AJI115" s="368"/>
      <c r="AJJ115" s="368"/>
      <c r="AJK115" s="368"/>
      <c r="AJL115" s="368"/>
      <c r="AJM115" s="368"/>
      <c r="AJN115" s="368"/>
      <c r="AJO115" s="368"/>
      <c r="AJP115" s="368"/>
      <c r="AJQ115" s="368"/>
      <c r="AJR115" s="368"/>
      <c r="AJS115" s="368"/>
      <c r="AJT115" s="368"/>
      <c r="AJU115" s="368"/>
      <c r="AJV115" s="368"/>
      <c r="AJW115" s="368"/>
      <c r="AJX115" s="368"/>
      <c r="AJY115" s="368"/>
      <c r="AJZ115" s="368"/>
      <c r="AKA115" s="368"/>
      <c r="AKB115" s="368"/>
      <c r="AKC115" s="368"/>
      <c r="AKD115" s="368"/>
      <c r="AKE115" s="368"/>
      <c r="AKF115" s="368"/>
      <c r="AKG115" s="368"/>
      <c r="AKH115" s="368"/>
      <c r="AKI115" s="368"/>
      <c r="AKJ115" s="368"/>
      <c r="AKK115" s="368"/>
      <c r="AKL115" s="368"/>
      <c r="AKM115" s="368"/>
      <c r="AKN115" s="368"/>
    </row>
    <row r="116" spans="1:976" s="375" customFormat="1" ht="22.5" customHeight="1" x14ac:dyDescent="0.2">
      <c r="A116" s="428" t="s">
        <v>262</v>
      </c>
      <c r="B116" s="428"/>
      <c r="C116" s="428" t="s">
        <v>221</v>
      </c>
      <c r="D116" s="428" t="s">
        <v>222</v>
      </c>
      <c r="E116" s="429">
        <v>412852</v>
      </c>
      <c r="F116" s="429">
        <v>1629</v>
      </c>
      <c r="G116" s="429">
        <v>254</v>
      </c>
      <c r="H116" s="429">
        <v>0</v>
      </c>
      <c r="I116" s="430">
        <v>45874</v>
      </c>
      <c r="J116" s="428" t="s">
        <v>395</v>
      </c>
      <c r="K116" s="428" t="s">
        <v>600</v>
      </c>
      <c r="L116" s="431">
        <v>187.85</v>
      </c>
      <c r="M116" s="431">
        <v>11.6</v>
      </c>
      <c r="N116" s="441">
        <v>199.45</v>
      </c>
      <c r="O116" s="428"/>
      <c r="P116" s="432">
        <v>45888</v>
      </c>
      <c r="Q116" s="431">
        <v>199.45</v>
      </c>
      <c r="R116" s="428" t="s">
        <v>601</v>
      </c>
      <c r="S116" s="431">
        <v>0</v>
      </c>
      <c r="T116" s="431">
        <v>0</v>
      </c>
      <c r="U116" s="431">
        <v>0</v>
      </c>
      <c r="V116" s="431">
        <v>0</v>
      </c>
      <c r="W116" s="428"/>
      <c r="X116" s="428" t="s">
        <v>293</v>
      </c>
      <c r="Y116" s="428" t="s">
        <v>294</v>
      </c>
      <c r="Z116" s="428" t="s">
        <v>42</v>
      </c>
      <c r="AA116" s="428" t="s">
        <v>228</v>
      </c>
      <c r="AB116" s="428" t="s">
        <v>235</v>
      </c>
      <c r="AC116" s="428" t="s">
        <v>236</v>
      </c>
      <c r="AD116" s="428" t="s">
        <v>231</v>
      </c>
      <c r="AE116" s="428" t="s">
        <v>232</v>
      </c>
      <c r="AF116" s="428" t="s">
        <v>231</v>
      </c>
      <c r="AG116" s="428" t="s">
        <v>232</v>
      </c>
      <c r="AH116" s="428"/>
      <c r="AI116" s="428"/>
      <c r="AJ116" s="428"/>
      <c r="AK116" s="428" t="s">
        <v>602</v>
      </c>
      <c r="AL116" s="429">
        <v>1</v>
      </c>
      <c r="AM116" s="429">
        <v>0</v>
      </c>
      <c r="AN116" s="430">
        <v>45888</v>
      </c>
      <c r="AO116" s="430">
        <v>45887</v>
      </c>
      <c r="AP116" s="431">
        <v>199.45</v>
      </c>
      <c r="AQ116" s="430">
        <v>45886</v>
      </c>
      <c r="AR116" s="368"/>
      <c r="AS116" s="368"/>
      <c r="AT116" s="368"/>
      <c r="AU116" s="368"/>
      <c r="AV116" s="368"/>
      <c r="AW116" s="368"/>
      <c r="AX116" s="368"/>
      <c r="AY116" s="368"/>
      <c r="AZ116" s="368"/>
      <c r="BA116" s="368"/>
      <c r="BB116" s="368"/>
      <c r="BC116" s="368"/>
      <c r="BD116" s="368"/>
      <c r="BE116" s="368"/>
      <c r="BF116" s="368"/>
      <c r="BG116" s="368"/>
      <c r="BH116" s="368"/>
      <c r="BI116" s="368"/>
      <c r="BJ116" s="368"/>
      <c r="BK116" s="368"/>
      <c r="BL116" s="368"/>
      <c r="BM116" s="368"/>
      <c r="BN116" s="368"/>
      <c r="BO116" s="368"/>
      <c r="BP116" s="368"/>
      <c r="BQ116" s="368"/>
      <c r="BR116" s="368"/>
      <c r="BS116" s="368"/>
      <c r="BT116" s="368"/>
      <c r="BU116" s="368"/>
      <c r="BV116" s="368"/>
      <c r="BW116" s="368"/>
      <c r="BX116" s="368"/>
      <c r="BY116" s="368"/>
      <c r="BZ116" s="368"/>
      <c r="CA116" s="368"/>
      <c r="CB116" s="368"/>
      <c r="CC116" s="368"/>
      <c r="CD116" s="368"/>
      <c r="CE116" s="368"/>
      <c r="CF116" s="368"/>
      <c r="CG116" s="368"/>
      <c r="CH116" s="368"/>
      <c r="CI116" s="368"/>
      <c r="CJ116" s="368"/>
      <c r="CK116" s="368"/>
      <c r="CL116" s="368"/>
      <c r="CM116" s="368"/>
      <c r="CN116" s="368"/>
      <c r="CO116" s="368"/>
      <c r="CP116" s="368"/>
      <c r="CQ116" s="368"/>
      <c r="CR116" s="368"/>
      <c r="CS116" s="368"/>
      <c r="CT116" s="368"/>
      <c r="CU116" s="368"/>
      <c r="CV116" s="368"/>
      <c r="CW116" s="368"/>
      <c r="CX116" s="368"/>
      <c r="CY116" s="368"/>
      <c r="CZ116" s="368"/>
      <c r="DA116" s="368"/>
      <c r="DB116" s="368"/>
      <c r="DC116" s="368"/>
      <c r="DD116" s="368"/>
      <c r="DE116" s="368"/>
      <c r="DF116" s="368"/>
      <c r="DG116" s="368"/>
      <c r="DH116" s="368"/>
      <c r="DI116" s="368"/>
      <c r="DJ116" s="368"/>
      <c r="DK116" s="368"/>
      <c r="DL116" s="368"/>
      <c r="DM116" s="368"/>
      <c r="DN116" s="368"/>
      <c r="DO116" s="368"/>
      <c r="DP116" s="368"/>
      <c r="DQ116" s="368"/>
      <c r="DR116" s="368"/>
      <c r="DS116" s="368"/>
      <c r="DT116" s="368"/>
      <c r="DU116" s="368"/>
      <c r="DV116" s="368"/>
      <c r="DW116" s="368"/>
      <c r="DX116" s="368"/>
      <c r="DY116" s="368"/>
      <c r="DZ116" s="368"/>
      <c r="EA116" s="368"/>
      <c r="EB116" s="368"/>
      <c r="EC116" s="368"/>
      <c r="ED116" s="368"/>
      <c r="EE116" s="368"/>
      <c r="EF116" s="368"/>
      <c r="EG116" s="368"/>
      <c r="EH116" s="368"/>
      <c r="EI116" s="368"/>
      <c r="EJ116" s="368"/>
      <c r="EK116" s="368"/>
      <c r="EL116" s="368"/>
      <c r="EM116" s="368"/>
      <c r="EN116" s="368"/>
      <c r="EO116" s="368"/>
      <c r="EP116" s="368"/>
      <c r="EQ116" s="368"/>
      <c r="ER116" s="368"/>
      <c r="ES116" s="368"/>
      <c r="ET116" s="368"/>
      <c r="EU116" s="368"/>
      <c r="EV116" s="368"/>
      <c r="EW116" s="368"/>
      <c r="EX116" s="368"/>
      <c r="EY116" s="368"/>
      <c r="EZ116" s="368"/>
      <c r="FA116" s="368"/>
      <c r="FB116" s="368"/>
      <c r="FC116" s="368"/>
      <c r="FD116" s="368"/>
      <c r="FE116" s="368"/>
      <c r="FF116" s="368"/>
      <c r="FG116" s="368"/>
      <c r="FH116" s="368"/>
      <c r="FI116" s="368"/>
      <c r="FJ116" s="368"/>
      <c r="FK116" s="368"/>
      <c r="FL116" s="368"/>
      <c r="FM116" s="368"/>
      <c r="FN116" s="368"/>
      <c r="FO116" s="368"/>
      <c r="FP116" s="368"/>
      <c r="FQ116" s="368"/>
      <c r="FR116" s="368"/>
      <c r="FS116" s="368"/>
      <c r="FT116" s="368"/>
      <c r="FU116" s="368"/>
      <c r="FV116" s="368"/>
      <c r="FW116" s="368"/>
      <c r="FX116" s="368"/>
      <c r="FY116" s="368"/>
      <c r="FZ116" s="368"/>
      <c r="GA116" s="368"/>
      <c r="GB116" s="368"/>
      <c r="GC116" s="368"/>
      <c r="GD116" s="368"/>
      <c r="GE116" s="368"/>
      <c r="GF116" s="368"/>
      <c r="GG116" s="368"/>
      <c r="GH116" s="368"/>
      <c r="GI116" s="368"/>
      <c r="GJ116" s="368"/>
      <c r="GK116" s="368"/>
      <c r="GL116" s="368"/>
      <c r="GM116" s="368"/>
      <c r="GN116" s="368"/>
      <c r="GO116" s="368"/>
      <c r="GP116" s="368"/>
      <c r="GQ116" s="368"/>
      <c r="GR116" s="368"/>
      <c r="GS116" s="368"/>
      <c r="GT116" s="368"/>
      <c r="GU116" s="368"/>
      <c r="GV116" s="368"/>
      <c r="GW116" s="368"/>
      <c r="GX116" s="368"/>
      <c r="GY116" s="368"/>
      <c r="GZ116" s="368"/>
      <c r="HA116" s="368"/>
      <c r="HB116" s="368"/>
      <c r="HC116" s="368"/>
      <c r="HD116" s="368"/>
      <c r="HE116" s="368"/>
      <c r="HF116" s="368"/>
      <c r="HG116" s="368"/>
      <c r="HH116" s="368"/>
      <c r="HI116" s="368"/>
      <c r="HJ116" s="368"/>
      <c r="HK116" s="368"/>
      <c r="HL116" s="368"/>
      <c r="HM116" s="368"/>
      <c r="HN116" s="368"/>
      <c r="HO116" s="368"/>
      <c r="HP116" s="368"/>
      <c r="HQ116" s="368"/>
      <c r="HR116" s="368"/>
      <c r="HS116" s="368"/>
      <c r="HT116" s="368"/>
      <c r="HU116" s="368"/>
      <c r="HV116" s="368"/>
      <c r="HW116" s="368"/>
      <c r="HX116" s="368"/>
      <c r="HY116" s="368"/>
      <c r="HZ116" s="368"/>
      <c r="IA116" s="368"/>
      <c r="IB116" s="368"/>
      <c r="IC116" s="368"/>
      <c r="ID116" s="368"/>
      <c r="IE116" s="368"/>
      <c r="IF116" s="368"/>
      <c r="IG116" s="368"/>
      <c r="IH116" s="368"/>
      <c r="II116" s="368"/>
      <c r="IJ116" s="368"/>
      <c r="IK116" s="368"/>
      <c r="IL116" s="368"/>
      <c r="IM116" s="368"/>
      <c r="IN116" s="368"/>
      <c r="IO116" s="368"/>
      <c r="IP116" s="368"/>
      <c r="IQ116" s="368"/>
      <c r="IR116" s="368"/>
      <c r="IS116" s="368"/>
      <c r="IT116" s="368"/>
      <c r="IU116" s="368"/>
      <c r="IV116" s="368"/>
      <c r="IW116" s="368"/>
      <c r="IX116" s="368"/>
      <c r="IY116" s="368"/>
      <c r="IZ116" s="368"/>
      <c r="JA116" s="368"/>
      <c r="JB116" s="368"/>
      <c r="JC116" s="368"/>
      <c r="JD116" s="368"/>
      <c r="JE116" s="368"/>
      <c r="JF116" s="368"/>
      <c r="JG116" s="368"/>
      <c r="JH116" s="368"/>
      <c r="JI116" s="368"/>
      <c r="JJ116" s="368"/>
      <c r="JK116" s="368"/>
      <c r="JL116" s="368"/>
      <c r="JM116" s="368"/>
      <c r="JN116" s="368"/>
      <c r="JO116" s="368"/>
      <c r="JP116" s="368"/>
      <c r="JQ116" s="368"/>
      <c r="JR116" s="368"/>
      <c r="JS116" s="368"/>
      <c r="JT116" s="368"/>
      <c r="JU116" s="368"/>
      <c r="JV116" s="368"/>
      <c r="JW116" s="368"/>
      <c r="JX116" s="368"/>
      <c r="JY116" s="368"/>
      <c r="JZ116" s="368"/>
      <c r="KA116" s="368"/>
      <c r="KB116" s="368"/>
      <c r="KC116" s="368"/>
      <c r="KD116" s="368"/>
      <c r="KE116" s="368"/>
      <c r="KF116" s="368"/>
      <c r="KG116" s="368"/>
      <c r="KH116" s="368"/>
      <c r="KI116" s="368"/>
      <c r="KJ116" s="368"/>
      <c r="KK116" s="368"/>
      <c r="KL116" s="368"/>
      <c r="KM116" s="368"/>
      <c r="KN116" s="368"/>
      <c r="KO116" s="368"/>
      <c r="KP116" s="368"/>
      <c r="KQ116" s="368"/>
      <c r="KR116" s="368"/>
      <c r="KS116" s="368"/>
      <c r="KT116" s="368"/>
      <c r="KU116" s="368"/>
      <c r="KV116" s="368"/>
      <c r="KW116" s="368"/>
      <c r="KX116" s="368"/>
      <c r="KY116" s="368"/>
      <c r="KZ116" s="368"/>
      <c r="LA116" s="368"/>
      <c r="LB116" s="368"/>
      <c r="LC116" s="368"/>
      <c r="LD116" s="368"/>
      <c r="LE116" s="368"/>
      <c r="LF116" s="368"/>
      <c r="LG116" s="368"/>
      <c r="LH116" s="368"/>
      <c r="LI116" s="368"/>
      <c r="LJ116" s="368"/>
      <c r="LK116" s="368"/>
      <c r="LL116" s="368"/>
      <c r="LM116" s="368"/>
      <c r="LN116" s="368"/>
      <c r="LO116" s="368"/>
      <c r="LP116" s="368"/>
      <c r="LQ116" s="368"/>
      <c r="LR116" s="368"/>
      <c r="LS116" s="368"/>
      <c r="LT116" s="368"/>
      <c r="LU116" s="368"/>
      <c r="LV116" s="368"/>
      <c r="LW116" s="368"/>
      <c r="LX116" s="368"/>
      <c r="LY116" s="368"/>
      <c r="LZ116" s="368"/>
      <c r="MA116" s="368"/>
      <c r="MB116" s="368"/>
      <c r="MC116" s="368"/>
      <c r="MD116" s="368"/>
      <c r="ME116" s="368"/>
      <c r="MF116" s="368"/>
      <c r="MG116" s="368"/>
      <c r="MH116" s="368"/>
      <c r="MI116" s="368"/>
      <c r="MJ116" s="368"/>
      <c r="MK116" s="368"/>
      <c r="ML116" s="368"/>
      <c r="MM116" s="368"/>
      <c r="MN116" s="368"/>
      <c r="MO116" s="368"/>
      <c r="MP116" s="368"/>
      <c r="MQ116" s="368"/>
      <c r="MR116" s="368"/>
      <c r="MS116" s="368"/>
      <c r="MT116" s="368"/>
      <c r="MU116" s="368"/>
      <c r="MV116" s="368"/>
      <c r="MW116" s="368"/>
      <c r="MX116" s="368"/>
      <c r="MY116" s="368"/>
      <c r="MZ116" s="368"/>
      <c r="NA116" s="368"/>
      <c r="NB116" s="368"/>
      <c r="NC116" s="368"/>
      <c r="ND116" s="368"/>
      <c r="NE116" s="368"/>
      <c r="NF116" s="368"/>
      <c r="NG116" s="368"/>
      <c r="NH116" s="368"/>
      <c r="NI116" s="368"/>
      <c r="NJ116" s="368"/>
      <c r="NK116" s="368"/>
      <c r="NL116" s="368"/>
      <c r="NM116" s="368"/>
      <c r="NN116" s="368"/>
      <c r="NO116" s="368"/>
      <c r="NP116" s="368"/>
      <c r="NQ116" s="368"/>
      <c r="NR116" s="368"/>
      <c r="NS116" s="368"/>
      <c r="NT116" s="368"/>
      <c r="NU116" s="368"/>
      <c r="NV116" s="368"/>
      <c r="NW116" s="368"/>
      <c r="NX116" s="368"/>
      <c r="NY116" s="368"/>
      <c r="NZ116" s="368"/>
      <c r="OA116" s="368"/>
      <c r="OB116" s="368"/>
      <c r="OC116" s="368"/>
      <c r="OD116" s="368"/>
      <c r="OE116" s="368"/>
      <c r="OF116" s="368"/>
      <c r="OG116" s="368"/>
      <c r="OH116" s="368"/>
      <c r="OI116" s="368"/>
      <c r="OJ116" s="368"/>
      <c r="OK116" s="368"/>
      <c r="OL116" s="368"/>
      <c r="OM116" s="368"/>
      <c r="ON116" s="368"/>
      <c r="OO116" s="368"/>
      <c r="OP116" s="368"/>
      <c r="OQ116" s="368"/>
      <c r="OR116" s="368"/>
      <c r="OS116" s="368"/>
      <c r="OT116" s="368"/>
      <c r="OU116" s="368"/>
      <c r="OV116" s="368"/>
      <c r="OW116" s="368"/>
      <c r="OX116" s="368"/>
      <c r="OY116" s="368"/>
      <c r="OZ116" s="368"/>
      <c r="PA116" s="368"/>
      <c r="PB116" s="368"/>
      <c r="PC116" s="368"/>
      <c r="PD116" s="368"/>
      <c r="PE116" s="368"/>
      <c r="PF116" s="368"/>
      <c r="PG116" s="368"/>
      <c r="PH116" s="368"/>
      <c r="PI116" s="368"/>
      <c r="PJ116" s="368"/>
      <c r="PK116" s="368"/>
      <c r="PL116" s="368"/>
      <c r="PM116" s="368"/>
      <c r="PN116" s="368"/>
      <c r="PO116" s="368"/>
      <c r="PP116" s="368"/>
      <c r="PQ116" s="368"/>
      <c r="PR116" s="368"/>
      <c r="PS116" s="368"/>
      <c r="PT116" s="368"/>
      <c r="PU116" s="368"/>
      <c r="PV116" s="368"/>
      <c r="PW116" s="368"/>
      <c r="PX116" s="368"/>
      <c r="PY116" s="368"/>
      <c r="PZ116" s="368"/>
      <c r="QA116" s="368"/>
      <c r="QB116" s="368"/>
      <c r="QC116" s="368"/>
      <c r="QD116" s="368"/>
      <c r="QE116" s="368"/>
      <c r="QF116" s="368"/>
      <c r="QG116" s="368"/>
      <c r="QH116" s="368"/>
      <c r="QI116" s="368"/>
      <c r="QJ116" s="368"/>
      <c r="QK116" s="368"/>
      <c r="QL116" s="368"/>
      <c r="QM116" s="368"/>
      <c r="QN116" s="368"/>
      <c r="QO116" s="368"/>
      <c r="QP116" s="368"/>
      <c r="QQ116" s="368"/>
      <c r="QR116" s="368"/>
      <c r="QS116" s="368"/>
      <c r="QT116" s="368"/>
      <c r="QU116" s="368"/>
      <c r="QV116" s="368"/>
      <c r="QW116" s="368"/>
      <c r="QX116" s="368"/>
      <c r="QY116" s="368"/>
      <c r="QZ116" s="368"/>
      <c r="RA116" s="368"/>
      <c r="RB116" s="368"/>
      <c r="RC116" s="368"/>
      <c r="RD116" s="368"/>
      <c r="RE116" s="368"/>
      <c r="RF116" s="368"/>
      <c r="RG116" s="368"/>
      <c r="RH116" s="368"/>
      <c r="RI116" s="368"/>
      <c r="RJ116" s="368"/>
      <c r="RK116" s="368"/>
      <c r="RL116" s="368"/>
      <c r="RM116" s="368"/>
      <c r="RN116" s="368"/>
      <c r="RO116" s="368"/>
      <c r="RP116" s="368"/>
      <c r="RQ116" s="368"/>
      <c r="RR116" s="368"/>
      <c r="RS116" s="368"/>
      <c r="RT116" s="368"/>
      <c r="RU116" s="368"/>
      <c r="RV116" s="368"/>
      <c r="RW116" s="368"/>
      <c r="RX116" s="368"/>
      <c r="RY116" s="368"/>
      <c r="RZ116" s="368"/>
      <c r="SA116" s="368"/>
      <c r="SB116" s="368"/>
      <c r="SC116" s="368"/>
      <c r="SD116" s="368"/>
      <c r="SE116" s="368"/>
      <c r="SF116" s="368"/>
      <c r="SG116" s="368"/>
      <c r="SH116" s="368"/>
      <c r="SI116" s="368"/>
      <c r="SJ116" s="368"/>
      <c r="SK116" s="368"/>
      <c r="SL116" s="368"/>
      <c r="SM116" s="368"/>
      <c r="SN116" s="368"/>
      <c r="SO116" s="368"/>
      <c r="SP116" s="368"/>
      <c r="SQ116" s="368"/>
      <c r="SR116" s="368"/>
      <c r="SS116" s="368"/>
      <c r="ST116" s="368"/>
      <c r="SU116" s="368"/>
      <c r="SV116" s="368"/>
      <c r="SW116" s="368"/>
      <c r="SX116" s="368"/>
      <c r="SY116" s="368"/>
      <c r="SZ116" s="368"/>
      <c r="TA116" s="368"/>
      <c r="TB116" s="368"/>
      <c r="TC116" s="368"/>
      <c r="TD116" s="368"/>
      <c r="TE116" s="368"/>
      <c r="TF116" s="368"/>
      <c r="TG116" s="368"/>
      <c r="TH116" s="368"/>
      <c r="TI116" s="368"/>
      <c r="TJ116" s="368"/>
      <c r="TK116" s="368"/>
      <c r="TL116" s="368"/>
      <c r="TM116" s="368"/>
      <c r="TN116" s="368"/>
      <c r="TO116" s="368"/>
      <c r="TP116" s="368"/>
      <c r="TQ116" s="368"/>
      <c r="TR116" s="368"/>
      <c r="TS116" s="368"/>
      <c r="TT116" s="368"/>
      <c r="TU116" s="368"/>
      <c r="TV116" s="368"/>
      <c r="TW116" s="368"/>
      <c r="TX116" s="368"/>
      <c r="TY116" s="368"/>
      <c r="TZ116" s="368"/>
      <c r="UA116" s="368"/>
      <c r="UB116" s="368"/>
      <c r="UC116" s="368"/>
      <c r="UD116" s="368"/>
      <c r="UE116" s="368"/>
      <c r="UF116" s="368"/>
      <c r="UG116" s="368"/>
      <c r="UH116" s="368"/>
      <c r="UI116" s="368"/>
      <c r="UJ116" s="368"/>
      <c r="UK116" s="368"/>
      <c r="UL116" s="368"/>
      <c r="UM116" s="368"/>
      <c r="UN116" s="368"/>
      <c r="UO116" s="368"/>
      <c r="UP116" s="368"/>
      <c r="UQ116" s="368"/>
      <c r="UR116" s="368"/>
      <c r="US116" s="368"/>
      <c r="UT116" s="368"/>
      <c r="UU116" s="368"/>
      <c r="UV116" s="368"/>
      <c r="UW116" s="368"/>
      <c r="UX116" s="368"/>
      <c r="UY116" s="368"/>
      <c r="UZ116" s="368"/>
      <c r="VA116" s="368"/>
      <c r="VB116" s="368"/>
      <c r="VC116" s="368"/>
      <c r="VD116" s="368"/>
      <c r="VE116" s="368"/>
      <c r="VF116" s="368"/>
      <c r="VG116" s="368"/>
      <c r="VH116" s="368"/>
      <c r="VI116" s="368"/>
      <c r="VJ116" s="368"/>
      <c r="VK116" s="368"/>
      <c r="VL116" s="368"/>
      <c r="VM116" s="368"/>
      <c r="VN116" s="368"/>
      <c r="VO116" s="368"/>
      <c r="VP116" s="368"/>
      <c r="VQ116" s="368"/>
      <c r="VR116" s="368"/>
      <c r="VS116" s="368"/>
      <c r="VT116" s="368"/>
      <c r="VU116" s="368"/>
      <c r="VV116" s="368"/>
      <c r="VW116" s="368"/>
      <c r="VX116" s="368"/>
      <c r="VY116" s="368"/>
      <c r="VZ116" s="368"/>
      <c r="WA116" s="368"/>
      <c r="WB116" s="368"/>
      <c r="WC116" s="368"/>
      <c r="WD116" s="368"/>
      <c r="WE116" s="368"/>
      <c r="WF116" s="368"/>
      <c r="WG116" s="368"/>
      <c r="WH116" s="368"/>
      <c r="WI116" s="368"/>
      <c r="WJ116" s="368"/>
      <c r="WK116" s="368"/>
      <c r="WL116" s="368"/>
      <c r="WM116" s="368"/>
      <c r="WN116" s="368"/>
      <c r="WO116" s="368"/>
      <c r="WP116" s="368"/>
      <c r="WQ116" s="368"/>
      <c r="WR116" s="368"/>
      <c r="WS116" s="368"/>
      <c r="WT116" s="368"/>
      <c r="WU116" s="368"/>
      <c r="WV116" s="368"/>
      <c r="WW116" s="368"/>
      <c r="WX116" s="368"/>
      <c r="WY116" s="368"/>
      <c r="WZ116" s="368"/>
      <c r="XA116" s="368"/>
      <c r="XB116" s="368"/>
      <c r="XC116" s="368"/>
      <c r="XD116" s="368"/>
      <c r="XE116" s="368"/>
      <c r="XF116" s="368"/>
      <c r="XG116" s="368"/>
      <c r="XH116" s="368"/>
      <c r="XI116" s="368"/>
      <c r="XJ116" s="368"/>
      <c r="XK116" s="368"/>
      <c r="XL116" s="368"/>
      <c r="XM116" s="368"/>
      <c r="XN116" s="368"/>
      <c r="XO116" s="368"/>
      <c r="XP116" s="368"/>
      <c r="XQ116" s="368"/>
      <c r="XR116" s="368"/>
      <c r="XS116" s="368"/>
      <c r="XT116" s="368"/>
      <c r="XU116" s="368"/>
      <c r="XV116" s="368"/>
      <c r="XW116" s="368"/>
      <c r="XX116" s="368"/>
      <c r="XY116" s="368"/>
      <c r="XZ116" s="368"/>
      <c r="YA116" s="368"/>
      <c r="YB116" s="368"/>
      <c r="YC116" s="368"/>
      <c r="YD116" s="368"/>
      <c r="YE116" s="368"/>
      <c r="YF116" s="368"/>
      <c r="YG116" s="368"/>
      <c r="YH116" s="368"/>
      <c r="YI116" s="368"/>
      <c r="YJ116" s="368"/>
      <c r="YK116" s="368"/>
      <c r="YL116" s="368"/>
      <c r="YM116" s="368"/>
      <c r="YN116" s="368"/>
      <c r="YO116" s="368"/>
      <c r="YP116" s="368"/>
      <c r="YQ116" s="368"/>
      <c r="YR116" s="368"/>
      <c r="YS116" s="368"/>
      <c r="YT116" s="368"/>
      <c r="YU116" s="368"/>
      <c r="YV116" s="368"/>
      <c r="YW116" s="368"/>
      <c r="YX116" s="368"/>
      <c r="YY116" s="368"/>
      <c r="YZ116" s="368"/>
      <c r="ZA116" s="368"/>
      <c r="ZB116" s="368"/>
      <c r="ZC116" s="368"/>
      <c r="ZD116" s="368"/>
      <c r="ZE116" s="368"/>
      <c r="ZF116" s="368"/>
      <c r="ZG116" s="368"/>
      <c r="ZH116" s="368"/>
      <c r="ZI116" s="368"/>
      <c r="ZJ116" s="368"/>
      <c r="ZK116" s="368"/>
      <c r="ZL116" s="368"/>
      <c r="ZM116" s="368"/>
      <c r="ZN116" s="368"/>
      <c r="ZO116" s="368"/>
      <c r="ZP116" s="368"/>
      <c r="ZQ116" s="368"/>
      <c r="ZR116" s="368"/>
      <c r="ZS116" s="368"/>
      <c r="ZT116" s="368"/>
      <c r="ZU116" s="368"/>
      <c r="ZV116" s="368"/>
      <c r="ZW116" s="368"/>
      <c r="ZX116" s="368"/>
      <c r="ZY116" s="368"/>
      <c r="ZZ116" s="368"/>
      <c r="AAA116" s="368"/>
      <c r="AAB116" s="368"/>
      <c r="AAC116" s="368"/>
      <c r="AAD116" s="368"/>
      <c r="AAE116" s="368"/>
      <c r="AAF116" s="368"/>
      <c r="AAG116" s="368"/>
      <c r="AAH116" s="368"/>
      <c r="AAI116" s="368"/>
      <c r="AAJ116" s="368"/>
      <c r="AAK116" s="368"/>
      <c r="AAL116" s="368"/>
      <c r="AAM116" s="368"/>
      <c r="AAN116" s="368"/>
      <c r="AAO116" s="368"/>
      <c r="AAP116" s="368"/>
      <c r="AAQ116" s="368"/>
      <c r="AAR116" s="368"/>
      <c r="AAS116" s="368"/>
      <c r="AAT116" s="368"/>
      <c r="AAU116" s="368"/>
      <c r="AAV116" s="368"/>
      <c r="AAW116" s="368"/>
      <c r="AAX116" s="368"/>
      <c r="AAY116" s="368"/>
      <c r="AAZ116" s="368"/>
      <c r="ABA116" s="368"/>
      <c r="ABB116" s="368"/>
      <c r="ABC116" s="368"/>
      <c r="ABD116" s="368"/>
      <c r="ABE116" s="368"/>
      <c r="ABF116" s="368"/>
      <c r="ABG116" s="368"/>
      <c r="ABH116" s="368"/>
      <c r="ABI116" s="368"/>
      <c r="ABJ116" s="368"/>
      <c r="ABK116" s="368"/>
      <c r="ABL116" s="368"/>
      <c r="ABM116" s="368"/>
      <c r="ABN116" s="368"/>
      <c r="ABO116" s="368"/>
      <c r="ABP116" s="368"/>
      <c r="ABQ116" s="368"/>
      <c r="ABR116" s="368"/>
      <c r="ABS116" s="368"/>
      <c r="ABT116" s="368"/>
      <c r="ABU116" s="368"/>
      <c r="ABV116" s="368"/>
      <c r="ABW116" s="368"/>
      <c r="ABX116" s="368"/>
      <c r="ABY116" s="368"/>
      <c r="ABZ116" s="368"/>
      <c r="ACA116" s="368"/>
      <c r="ACB116" s="368"/>
      <c r="ACC116" s="368"/>
      <c r="ACD116" s="368"/>
      <c r="ACE116" s="368"/>
      <c r="ACF116" s="368"/>
      <c r="ACG116" s="368"/>
      <c r="ACH116" s="368"/>
      <c r="ACI116" s="368"/>
      <c r="ACJ116" s="368"/>
      <c r="ACK116" s="368"/>
      <c r="ACL116" s="368"/>
      <c r="ACM116" s="368"/>
      <c r="ACN116" s="368"/>
      <c r="ACO116" s="368"/>
      <c r="ACP116" s="368"/>
      <c r="ACQ116" s="368"/>
      <c r="ACR116" s="368"/>
      <c r="ACS116" s="368"/>
      <c r="ACT116" s="368"/>
      <c r="ACU116" s="368"/>
      <c r="ACV116" s="368"/>
      <c r="ACW116" s="368"/>
      <c r="ACX116" s="368"/>
      <c r="ACY116" s="368"/>
      <c r="ACZ116" s="368"/>
      <c r="ADA116" s="368"/>
      <c r="ADB116" s="368"/>
      <c r="ADC116" s="368"/>
      <c r="ADD116" s="368"/>
      <c r="ADE116" s="368"/>
      <c r="ADF116" s="368"/>
      <c r="ADG116" s="368"/>
      <c r="ADH116" s="368"/>
      <c r="ADI116" s="368"/>
      <c r="ADJ116" s="368"/>
      <c r="ADK116" s="368"/>
      <c r="ADL116" s="368"/>
      <c r="ADM116" s="368"/>
      <c r="ADN116" s="368"/>
      <c r="ADO116" s="368"/>
      <c r="ADP116" s="368"/>
      <c r="ADQ116" s="368"/>
      <c r="ADR116" s="368"/>
      <c r="ADS116" s="368"/>
      <c r="ADT116" s="368"/>
      <c r="ADU116" s="368"/>
      <c r="ADV116" s="368"/>
      <c r="ADW116" s="368"/>
      <c r="ADX116" s="368"/>
      <c r="ADY116" s="368"/>
      <c r="ADZ116" s="368"/>
      <c r="AEA116" s="368"/>
      <c r="AEB116" s="368"/>
      <c r="AEC116" s="368"/>
      <c r="AED116" s="368"/>
      <c r="AEE116" s="368"/>
      <c r="AEF116" s="368"/>
      <c r="AEG116" s="368"/>
      <c r="AEH116" s="368"/>
      <c r="AEI116" s="368"/>
      <c r="AEJ116" s="368"/>
      <c r="AEK116" s="368"/>
      <c r="AEL116" s="368"/>
      <c r="AEM116" s="368"/>
      <c r="AEN116" s="368"/>
      <c r="AEO116" s="368"/>
      <c r="AEP116" s="368"/>
      <c r="AEQ116" s="368"/>
      <c r="AER116" s="368"/>
      <c r="AES116" s="368"/>
      <c r="AET116" s="368"/>
      <c r="AEU116" s="368"/>
      <c r="AEV116" s="368"/>
      <c r="AEW116" s="368"/>
      <c r="AEX116" s="368"/>
      <c r="AEY116" s="368"/>
      <c r="AEZ116" s="368"/>
      <c r="AFA116" s="368"/>
      <c r="AFB116" s="368"/>
      <c r="AFC116" s="368"/>
      <c r="AFD116" s="368"/>
      <c r="AFE116" s="368"/>
      <c r="AFF116" s="368"/>
      <c r="AFG116" s="368"/>
      <c r="AFH116" s="368"/>
      <c r="AFI116" s="368"/>
      <c r="AFJ116" s="368"/>
      <c r="AFK116" s="368"/>
      <c r="AFL116" s="368"/>
      <c r="AFM116" s="368"/>
      <c r="AFN116" s="368"/>
      <c r="AFO116" s="368"/>
      <c r="AFP116" s="368"/>
      <c r="AFQ116" s="368"/>
      <c r="AFR116" s="368"/>
      <c r="AFS116" s="368"/>
      <c r="AFT116" s="368"/>
      <c r="AFU116" s="368"/>
      <c r="AFV116" s="368"/>
      <c r="AFW116" s="368"/>
      <c r="AFX116" s="368"/>
      <c r="AFY116" s="368"/>
      <c r="AFZ116" s="368"/>
      <c r="AGA116" s="368"/>
      <c r="AGB116" s="368"/>
      <c r="AGC116" s="368"/>
      <c r="AGD116" s="368"/>
      <c r="AGE116" s="368"/>
      <c r="AGF116" s="368"/>
      <c r="AGG116" s="368"/>
      <c r="AGH116" s="368"/>
      <c r="AGI116" s="368"/>
      <c r="AGJ116" s="368"/>
      <c r="AGK116" s="368"/>
      <c r="AGL116" s="368"/>
      <c r="AGM116" s="368"/>
      <c r="AGN116" s="368"/>
      <c r="AGO116" s="368"/>
      <c r="AGP116" s="368"/>
      <c r="AGQ116" s="368"/>
      <c r="AGR116" s="368"/>
      <c r="AGS116" s="368"/>
      <c r="AGT116" s="368"/>
      <c r="AGU116" s="368"/>
      <c r="AGV116" s="368"/>
      <c r="AGW116" s="368"/>
      <c r="AGX116" s="368"/>
      <c r="AGY116" s="368"/>
      <c r="AGZ116" s="368"/>
      <c r="AHA116" s="368"/>
      <c r="AHB116" s="368"/>
      <c r="AHC116" s="368"/>
      <c r="AHD116" s="368"/>
      <c r="AHE116" s="368"/>
      <c r="AHF116" s="368"/>
      <c r="AHG116" s="368"/>
      <c r="AHH116" s="368"/>
      <c r="AHI116" s="368"/>
      <c r="AHJ116" s="368"/>
      <c r="AHK116" s="368"/>
      <c r="AHL116" s="368"/>
      <c r="AHM116" s="368"/>
      <c r="AHN116" s="368"/>
      <c r="AHO116" s="368"/>
      <c r="AHP116" s="368"/>
      <c r="AHQ116" s="368"/>
      <c r="AHR116" s="368"/>
      <c r="AHS116" s="368"/>
      <c r="AHT116" s="368"/>
      <c r="AHU116" s="368"/>
      <c r="AHV116" s="368"/>
      <c r="AHW116" s="368"/>
      <c r="AHX116" s="368"/>
      <c r="AHY116" s="368"/>
      <c r="AHZ116" s="368"/>
      <c r="AIA116" s="368"/>
      <c r="AIB116" s="368"/>
      <c r="AIC116" s="368"/>
      <c r="AID116" s="368"/>
      <c r="AIE116" s="368"/>
      <c r="AIF116" s="368"/>
      <c r="AIG116" s="368"/>
      <c r="AIH116" s="368"/>
      <c r="AII116" s="368"/>
      <c r="AIJ116" s="368"/>
      <c r="AIK116" s="368"/>
      <c r="AIL116" s="368"/>
      <c r="AIM116" s="368"/>
      <c r="AIN116" s="368"/>
      <c r="AIO116" s="368"/>
      <c r="AIP116" s="368"/>
      <c r="AIQ116" s="368"/>
      <c r="AIR116" s="368"/>
      <c r="AIS116" s="368"/>
      <c r="AIT116" s="368"/>
      <c r="AIU116" s="368"/>
      <c r="AIV116" s="368"/>
      <c r="AIW116" s="368"/>
      <c r="AIX116" s="368"/>
      <c r="AIY116" s="368"/>
      <c r="AIZ116" s="368"/>
      <c r="AJA116" s="368"/>
      <c r="AJB116" s="368"/>
      <c r="AJC116" s="368"/>
      <c r="AJD116" s="368"/>
      <c r="AJE116" s="368"/>
      <c r="AJF116" s="368"/>
      <c r="AJG116" s="368"/>
      <c r="AJH116" s="368"/>
      <c r="AJI116" s="368"/>
      <c r="AJJ116" s="368"/>
      <c r="AJK116" s="368"/>
      <c r="AJL116" s="368"/>
      <c r="AJM116" s="368"/>
      <c r="AJN116" s="368"/>
      <c r="AJO116" s="368"/>
      <c r="AJP116" s="368"/>
      <c r="AJQ116" s="368"/>
      <c r="AJR116" s="368"/>
      <c r="AJS116" s="368"/>
      <c r="AJT116" s="368"/>
      <c r="AJU116" s="368"/>
      <c r="AJV116" s="368"/>
      <c r="AJW116" s="368"/>
      <c r="AJX116" s="368"/>
      <c r="AJY116" s="368"/>
      <c r="AJZ116" s="368"/>
      <c r="AKA116" s="368"/>
      <c r="AKB116" s="368"/>
      <c r="AKC116" s="368"/>
      <c r="AKD116" s="368"/>
      <c r="AKE116" s="368"/>
      <c r="AKF116" s="368"/>
      <c r="AKG116" s="368"/>
      <c r="AKH116" s="368"/>
      <c r="AKI116" s="368"/>
      <c r="AKJ116" s="368"/>
      <c r="AKK116" s="368"/>
      <c r="AKL116" s="368"/>
      <c r="AKM116" s="368"/>
      <c r="AKN116" s="368"/>
    </row>
    <row r="117" spans="1:976" s="375" customFormat="1" ht="22.5" customHeight="1" x14ac:dyDescent="0.2">
      <c r="A117" s="428" t="s">
        <v>262</v>
      </c>
      <c r="B117" s="428"/>
      <c r="C117" s="428" t="s">
        <v>221</v>
      </c>
      <c r="D117" s="428" t="s">
        <v>222</v>
      </c>
      <c r="E117" s="429">
        <v>412853</v>
      </c>
      <c r="F117" s="429">
        <v>1630</v>
      </c>
      <c r="G117" s="429">
        <v>254</v>
      </c>
      <c r="H117" s="429">
        <v>0</v>
      </c>
      <c r="I117" s="430">
        <v>45874</v>
      </c>
      <c r="J117" s="428" t="s">
        <v>395</v>
      </c>
      <c r="K117" s="428" t="s">
        <v>603</v>
      </c>
      <c r="L117" s="431">
        <v>31.74</v>
      </c>
      <c r="M117" s="431">
        <v>2.02</v>
      </c>
      <c r="N117" s="441">
        <v>33.76</v>
      </c>
      <c r="O117" s="428"/>
      <c r="P117" s="432">
        <v>45888</v>
      </c>
      <c r="Q117" s="431">
        <v>33.76</v>
      </c>
      <c r="R117" s="428" t="s">
        <v>604</v>
      </c>
      <c r="S117" s="431">
        <v>0</v>
      </c>
      <c r="T117" s="431">
        <v>0</v>
      </c>
      <c r="U117" s="431">
        <v>0</v>
      </c>
      <c r="V117" s="431">
        <v>0</v>
      </c>
      <c r="W117" s="428"/>
      <c r="X117" s="428" t="s">
        <v>293</v>
      </c>
      <c r="Y117" s="428" t="s">
        <v>294</v>
      </c>
      <c r="Z117" s="428" t="s">
        <v>42</v>
      </c>
      <c r="AA117" s="428" t="s">
        <v>228</v>
      </c>
      <c r="AB117" s="428" t="s">
        <v>235</v>
      </c>
      <c r="AC117" s="428" t="s">
        <v>236</v>
      </c>
      <c r="AD117" s="428" t="s">
        <v>231</v>
      </c>
      <c r="AE117" s="428" t="s">
        <v>232</v>
      </c>
      <c r="AF117" s="428" t="s">
        <v>231</v>
      </c>
      <c r="AG117" s="428" t="s">
        <v>232</v>
      </c>
      <c r="AH117" s="428"/>
      <c r="AI117" s="428"/>
      <c r="AJ117" s="428"/>
      <c r="AK117" s="428" t="s">
        <v>605</v>
      </c>
      <c r="AL117" s="429">
        <v>1</v>
      </c>
      <c r="AM117" s="429">
        <v>0</v>
      </c>
      <c r="AN117" s="430">
        <v>45888</v>
      </c>
      <c r="AO117" s="430">
        <v>45887</v>
      </c>
      <c r="AP117" s="431">
        <v>33.76</v>
      </c>
      <c r="AQ117" s="430">
        <v>45886</v>
      </c>
      <c r="AR117" s="368"/>
      <c r="AS117" s="368"/>
      <c r="AT117" s="368"/>
      <c r="AU117" s="368"/>
      <c r="AV117" s="368"/>
      <c r="AW117" s="368"/>
      <c r="AX117" s="368"/>
      <c r="AY117" s="368"/>
      <c r="AZ117" s="368"/>
      <c r="BA117" s="368"/>
      <c r="BB117" s="368"/>
      <c r="BC117" s="368"/>
      <c r="BD117" s="368"/>
      <c r="BE117" s="368"/>
      <c r="BF117" s="368"/>
      <c r="BG117" s="368"/>
      <c r="BH117" s="368"/>
      <c r="BI117" s="368"/>
      <c r="BJ117" s="368"/>
      <c r="BK117" s="368"/>
      <c r="BL117" s="368"/>
      <c r="BM117" s="368"/>
      <c r="BN117" s="368"/>
      <c r="BO117" s="368"/>
      <c r="BP117" s="368"/>
      <c r="BQ117" s="368"/>
      <c r="BR117" s="368"/>
      <c r="BS117" s="368"/>
      <c r="BT117" s="368"/>
      <c r="BU117" s="368"/>
      <c r="BV117" s="368"/>
      <c r="BW117" s="368"/>
      <c r="BX117" s="368"/>
      <c r="BY117" s="368"/>
      <c r="BZ117" s="368"/>
      <c r="CA117" s="368"/>
      <c r="CB117" s="368"/>
      <c r="CC117" s="368"/>
      <c r="CD117" s="368"/>
      <c r="CE117" s="368"/>
      <c r="CF117" s="368"/>
      <c r="CG117" s="368"/>
      <c r="CH117" s="368"/>
      <c r="CI117" s="368"/>
      <c r="CJ117" s="368"/>
      <c r="CK117" s="368"/>
      <c r="CL117" s="368"/>
      <c r="CM117" s="368"/>
      <c r="CN117" s="368"/>
      <c r="CO117" s="368"/>
      <c r="CP117" s="368"/>
      <c r="CQ117" s="368"/>
      <c r="CR117" s="368"/>
      <c r="CS117" s="368"/>
      <c r="CT117" s="368"/>
      <c r="CU117" s="368"/>
      <c r="CV117" s="368"/>
      <c r="CW117" s="368"/>
      <c r="CX117" s="368"/>
      <c r="CY117" s="368"/>
      <c r="CZ117" s="368"/>
      <c r="DA117" s="368"/>
      <c r="DB117" s="368"/>
      <c r="DC117" s="368"/>
      <c r="DD117" s="368"/>
      <c r="DE117" s="368"/>
      <c r="DF117" s="368"/>
      <c r="DG117" s="368"/>
      <c r="DH117" s="368"/>
      <c r="DI117" s="368"/>
      <c r="DJ117" s="368"/>
      <c r="DK117" s="368"/>
      <c r="DL117" s="368"/>
      <c r="DM117" s="368"/>
      <c r="DN117" s="368"/>
      <c r="DO117" s="368"/>
      <c r="DP117" s="368"/>
      <c r="DQ117" s="368"/>
      <c r="DR117" s="368"/>
      <c r="DS117" s="368"/>
      <c r="DT117" s="368"/>
      <c r="DU117" s="368"/>
      <c r="DV117" s="368"/>
      <c r="DW117" s="368"/>
      <c r="DX117" s="368"/>
      <c r="DY117" s="368"/>
      <c r="DZ117" s="368"/>
      <c r="EA117" s="368"/>
      <c r="EB117" s="368"/>
      <c r="EC117" s="368"/>
      <c r="ED117" s="368"/>
      <c r="EE117" s="368"/>
      <c r="EF117" s="368"/>
      <c r="EG117" s="368"/>
      <c r="EH117" s="368"/>
      <c r="EI117" s="368"/>
      <c r="EJ117" s="368"/>
      <c r="EK117" s="368"/>
      <c r="EL117" s="368"/>
      <c r="EM117" s="368"/>
      <c r="EN117" s="368"/>
      <c r="EO117" s="368"/>
      <c r="EP117" s="368"/>
      <c r="EQ117" s="368"/>
      <c r="ER117" s="368"/>
      <c r="ES117" s="368"/>
      <c r="ET117" s="368"/>
      <c r="EU117" s="368"/>
      <c r="EV117" s="368"/>
      <c r="EW117" s="368"/>
      <c r="EX117" s="368"/>
      <c r="EY117" s="368"/>
      <c r="EZ117" s="368"/>
      <c r="FA117" s="368"/>
      <c r="FB117" s="368"/>
      <c r="FC117" s="368"/>
      <c r="FD117" s="368"/>
      <c r="FE117" s="368"/>
      <c r="FF117" s="368"/>
      <c r="FG117" s="368"/>
      <c r="FH117" s="368"/>
      <c r="FI117" s="368"/>
      <c r="FJ117" s="368"/>
      <c r="FK117" s="368"/>
      <c r="FL117" s="368"/>
      <c r="FM117" s="368"/>
      <c r="FN117" s="368"/>
      <c r="FO117" s="368"/>
      <c r="FP117" s="368"/>
      <c r="FQ117" s="368"/>
      <c r="FR117" s="368"/>
      <c r="FS117" s="368"/>
      <c r="FT117" s="368"/>
      <c r="FU117" s="368"/>
      <c r="FV117" s="368"/>
      <c r="FW117" s="368"/>
      <c r="FX117" s="368"/>
      <c r="FY117" s="368"/>
      <c r="FZ117" s="368"/>
      <c r="GA117" s="368"/>
      <c r="GB117" s="368"/>
      <c r="GC117" s="368"/>
      <c r="GD117" s="368"/>
      <c r="GE117" s="368"/>
      <c r="GF117" s="368"/>
      <c r="GG117" s="368"/>
      <c r="GH117" s="368"/>
      <c r="GI117" s="368"/>
      <c r="GJ117" s="368"/>
      <c r="GK117" s="368"/>
      <c r="GL117" s="368"/>
      <c r="GM117" s="368"/>
      <c r="GN117" s="368"/>
      <c r="GO117" s="368"/>
      <c r="GP117" s="368"/>
      <c r="GQ117" s="368"/>
      <c r="GR117" s="368"/>
      <c r="GS117" s="368"/>
      <c r="GT117" s="368"/>
      <c r="GU117" s="368"/>
      <c r="GV117" s="368"/>
      <c r="GW117" s="368"/>
      <c r="GX117" s="368"/>
      <c r="GY117" s="368"/>
      <c r="GZ117" s="368"/>
      <c r="HA117" s="368"/>
      <c r="HB117" s="368"/>
      <c r="HC117" s="368"/>
      <c r="HD117" s="368"/>
      <c r="HE117" s="368"/>
      <c r="HF117" s="368"/>
      <c r="HG117" s="368"/>
      <c r="HH117" s="368"/>
      <c r="HI117" s="368"/>
      <c r="HJ117" s="368"/>
      <c r="HK117" s="368"/>
      <c r="HL117" s="368"/>
      <c r="HM117" s="368"/>
      <c r="HN117" s="368"/>
      <c r="HO117" s="368"/>
      <c r="HP117" s="368"/>
      <c r="HQ117" s="368"/>
      <c r="HR117" s="368"/>
      <c r="HS117" s="368"/>
      <c r="HT117" s="368"/>
      <c r="HU117" s="368"/>
      <c r="HV117" s="368"/>
      <c r="HW117" s="368"/>
      <c r="HX117" s="368"/>
      <c r="HY117" s="368"/>
      <c r="HZ117" s="368"/>
      <c r="IA117" s="368"/>
      <c r="IB117" s="368"/>
      <c r="IC117" s="368"/>
      <c r="ID117" s="368"/>
      <c r="IE117" s="368"/>
      <c r="IF117" s="368"/>
      <c r="IG117" s="368"/>
      <c r="IH117" s="368"/>
      <c r="II117" s="368"/>
      <c r="IJ117" s="368"/>
      <c r="IK117" s="368"/>
      <c r="IL117" s="368"/>
      <c r="IM117" s="368"/>
      <c r="IN117" s="368"/>
      <c r="IO117" s="368"/>
      <c r="IP117" s="368"/>
      <c r="IQ117" s="368"/>
      <c r="IR117" s="368"/>
      <c r="IS117" s="368"/>
      <c r="IT117" s="368"/>
      <c r="IU117" s="368"/>
      <c r="IV117" s="368"/>
      <c r="IW117" s="368"/>
      <c r="IX117" s="368"/>
      <c r="IY117" s="368"/>
      <c r="IZ117" s="368"/>
      <c r="JA117" s="368"/>
      <c r="JB117" s="368"/>
      <c r="JC117" s="368"/>
      <c r="JD117" s="368"/>
      <c r="JE117" s="368"/>
      <c r="JF117" s="368"/>
      <c r="JG117" s="368"/>
      <c r="JH117" s="368"/>
      <c r="JI117" s="368"/>
      <c r="JJ117" s="368"/>
      <c r="JK117" s="368"/>
      <c r="JL117" s="368"/>
      <c r="JM117" s="368"/>
      <c r="JN117" s="368"/>
      <c r="JO117" s="368"/>
      <c r="JP117" s="368"/>
      <c r="JQ117" s="368"/>
      <c r="JR117" s="368"/>
      <c r="JS117" s="368"/>
      <c r="JT117" s="368"/>
      <c r="JU117" s="368"/>
      <c r="JV117" s="368"/>
      <c r="JW117" s="368"/>
      <c r="JX117" s="368"/>
      <c r="JY117" s="368"/>
      <c r="JZ117" s="368"/>
      <c r="KA117" s="368"/>
      <c r="KB117" s="368"/>
      <c r="KC117" s="368"/>
      <c r="KD117" s="368"/>
      <c r="KE117" s="368"/>
      <c r="KF117" s="368"/>
      <c r="KG117" s="368"/>
      <c r="KH117" s="368"/>
      <c r="KI117" s="368"/>
      <c r="KJ117" s="368"/>
      <c r="KK117" s="368"/>
      <c r="KL117" s="368"/>
      <c r="KM117" s="368"/>
      <c r="KN117" s="368"/>
      <c r="KO117" s="368"/>
      <c r="KP117" s="368"/>
      <c r="KQ117" s="368"/>
      <c r="KR117" s="368"/>
      <c r="KS117" s="368"/>
      <c r="KT117" s="368"/>
      <c r="KU117" s="368"/>
      <c r="KV117" s="368"/>
      <c r="KW117" s="368"/>
      <c r="KX117" s="368"/>
      <c r="KY117" s="368"/>
      <c r="KZ117" s="368"/>
      <c r="LA117" s="368"/>
      <c r="LB117" s="368"/>
      <c r="LC117" s="368"/>
      <c r="LD117" s="368"/>
      <c r="LE117" s="368"/>
      <c r="LF117" s="368"/>
      <c r="LG117" s="368"/>
      <c r="LH117" s="368"/>
      <c r="LI117" s="368"/>
      <c r="LJ117" s="368"/>
      <c r="LK117" s="368"/>
      <c r="LL117" s="368"/>
      <c r="LM117" s="368"/>
      <c r="LN117" s="368"/>
      <c r="LO117" s="368"/>
      <c r="LP117" s="368"/>
      <c r="LQ117" s="368"/>
      <c r="LR117" s="368"/>
      <c r="LS117" s="368"/>
      <c r="LT117" s="368"/>
      <c r="LU117" s="368"/>
      <c r="LV117" s="368"/>
      <c r="LW117" s="368"/>
      <c r="LX117" s="368"/>
      <c r="LY117" s="368"/>
      <c r="LZ117" s="368"/>
      <c r="MA117" s="368"/>
      <c r="MB117" s="368"/>
      <c r="MC117" s="368"/>
      <c r="MD117" s="368"/>
      <c r="ME117" s="368"/>
      <c r="MF117" s="368"/>
      <c r="MG117" s="368"/>
      <c r="MH117" s="368"/>
      <c r="MI117" s="368"/>
      <c r="MJ117" s="368"/>
      <c r="MK117" s="368"/>
      <c r="ML117" s="368"/>
      <c r="MM117" s="368"/>
      <c r="MN117" s="368"/>
      <c r="MO117" s="368"/>
      <c r="MP117" s="368"/>
      <c r="MQ117" s="368"/>
      <c r="MR117" s="368"/>
      <c r="MS117" s="368"/>
      <c r="MT117" s="368"/>
      <c r="MU117" s="368"/>
      <c r="MV117" s="368"/>
      <c r="MW117" s="368"/>
      <c r="MX117" s="368"/>
      <c r="MY117" s="368"/>
      <c r="MZ117" s="368"/>
      <c r="NA117" s="368"/>
      <c r="NB117" s="368"/>
      <c r="NC117" s="368"/>
      <c r="ND117" s="368"/>
      <c r="NE117" s="368"/>
      <c r="NF117" s="368"/>
      <c r="NG117" s="368"/>
      <c r="NH117" s="368"/>
      <c r="NI117" s="368"/>
      <c r="NJ117" s="368"/>
      <c r="NK117" s="368"/>
      <c r="NL117" s="368"/>
      <c r="NM117" s="368"/>
      <c r="NN117" s="368"/>
      <c r="NO117" s="368"/>
      <c r="NP117" s="368"/>
      <c r="NQ117" s="368"/>
      <c r="NR117" s="368"/>
      <c r="NS117" s="368"/>
      <c r="NT117" s="368"/>
      <c r="NU117" s="368"/>
      <c r="NV117" s="368"/>
      <c r="NW117" s="368"/>
      <c r="NX117" s="368"/>
      <c r="NY117" s="368"/>
      <c r="NZ117" s="368"/>
      <c r="OA117" s="368"/>
      <c r="OB117" s="368"/>
      <c r="OC117" s="368"/>
      <c r="OD117" s="368"/>
      <c r="OE117" s="368"/>
      <c r="OF117" s="368"/>
      <c r="OG117" s="368"/>
      <c r="OH117" s="368"/>
      <c r="OI117" s="368"/>
      <c r="OJ117" s="368"/>
      <c r="OK117" s="368"/>
      <c r="OL117" s="368"/>
      <c r="OM117" s="368"/>
      <c r="ON117" s="368"/>
      <c r="OO117" s="368"/>
      <c r="OP117" s="368"/>
      <c r="OQ117" s="368"/>
      <c r="OR117" s="368"/>
      <c r="OS117" s="368"/>
      <c r="OT117" s="368"/>
      <c r="OU117" s="368"/>
      <c r="OV117" s="368"/>
      <c r="OW117" s="368"/>
      <c r="OX117" s="368"/>
      <c r="OY117" s="368"/>
      <c r="OZ117" s="368"/>
      <c r="PA117" s="368"/>
      <c r="PB117" s="368"/>
      <c r="PC117" s="368"/>
      <c r="PD117" s="368"/>
      <c r="PE117" s="368"/>
      <c r="PF117" s="368"/>
      <c r="PG117" s="368"/>
      <c r="PH117" s="368"/>
      <c r="PI117" s="368"/>
      <c r="PJ117" s="368"/>
      <c r="PK117" s="368"/>
      <c r="PL117" s="368"/>
      <c r="PM117" s="368"/>
      <c r="PN117" s="368"/>
      <c r="PO117" s="368"/>
      <c r="PP117" s="368"/>
      <c r="PQ117" s="368"/>
      <c r="PR117" s="368"/>
      <c r="PS117" s="368"/>
      <c r="PT117" s="368"/>
      <c r="PU117" s="368"/>
      <c r="PV117" s="368"/>
      <c r="PW117" s="368"/>
      <c r="PX117" s="368"/>
      <c r="PY117" s="368"/>
      <c r="PZ117" s="368"/>
      <c r="QA117" s="368"/>
      <c r="QB117" s="368"/>
      <c r="QC117" s="368"/>
      <c r="QD117" s="368"/>
      <c r="QE117" s="368"/>
      <c r="QF117" s="368"/>
      <c r="QG117" s="368"/>
      <c r="QH117" s="368"/>
      <c r="QI117" s="368"/>
      <c r="QJ117" s="368"/>
      <c r="QK117" s="368"/>
      <c r="QL117" s="368"/>
      <c r="QM117" s="368"/>
      <c r="QN117" s="368"/>
      <c r="QO117" s="368"/>
      <c r="QP117" s="368"/>
      <c r="QQ117" s="368"/>
      <c r="QR117" s="368"/>
      <c r="QS117" s="368"/>
      <c r="QT117" s="368"/>
      <c r="QU117" s="368"/>
      <c r="QV117" s="368"/>
      <c r="QW117" s="368"/>
      <c r="QX117" s="368"/>
      <c r="QY117" s="368"/>
      <c r="QZ117" s="368"/>
      <c r="RA117" s="368"/>
      <c r="RB117" s="368"/>
      <c r="RC117" s="368"/>
      <c r="RD117" s="368"/>
      <c r="RE117" s="368"/>
      <c r="RF117" s="368"/>
      <c r="RG117" s="368"/>
      <c r="RH117" s="368"/>
      <c r="RI117" s="368"/>
      <c r="RJ117" s="368"/>
      <c r="RK117" s="368"/>
      <c r="RL117" s="368"/>
      <c r="RM117" s="368"/>
      <c r="RN117" s="368"/>
      <c r="RO117" s="368"/>
      <c r="RP117" s="368"/>
      <c r="RQ117" s="368"/>
      <c r="RR117" s="368"/>
      <c r="RS117" s="368"/>
      <c r="RT117" s="368"/>
      <c r="RU117" s="368"/>
      <c r="RV117" s="368"/>
      <c r="RW117" s="368"/>
      <c r="RX117" s="368"/>
      <c r="RY117" s="368"/>
      <c r="RZ117" s="368"/>
      <c r="SA117" s="368"/>
      <c r="SB117" s="368"/>
      <c r="SC117" s="368"/>
      <c r="SD117" s="368"/>
      <c r="SE117" s="368"/>
      <c r="SF117" s="368"/>
      <c r="SG117" s="368"/>
      <c r="SH117" s="368"/>
      <c r="SI117" s="368"/>
      <c r="SJ117" s="368"/>
      <c r="SK117" s="368"/>
      <c r="SL117" s="368"/>
      <c r="SM117" s="368"/>
      <c r="SN117" s="368"/>
      <c r="SO117" s="368"/>
      <c r="SP117" s="368"/>
      <c r="SQ117" s="368"/>
      <c r="SR117" s="368"/>
      <c r="SS117" s="368"/>
      <c r="ST117" s="368"/>
      <c r="SU117" s="368"/>
      <c r="SV117" s="368"/>
      <c r="SW117" s="368"/>
      <c r="SX117" s="368"/>
      <c r="SY117" s="368"/>
      <c r="SZ117" s="368"/>
      <c r="TA117" s="368"/>
      <c r="TB117" s="368"/>
      <c r="TC117" s="368"/>
      <c r="TD117" s="368"/>
      <c r="TE117" s="368"/>
      <c r="TF117" s="368"/>
      <c r="TG117" s="368"/>
      <c r="TH117" s="368"/>
      <c r="TI117" s="368"/>
      <c r="TJ117" s="368"/>
      <c r="TK117" s="368"/>
      <c r="TL117" s="368"/>
      <c r="TM117" s="368"/>
      <c r="TN117" s="368"/>
      <c r="TO117" s="368"/>
      <c r="TP117" s="368"/>
      <c r="TQ117" s="368"/>
      <c r="TR117" s="368"/>
      <c r="TS117" s="368"/>
      <c r="TT117" s="368"/>
      <c r="TU117" s="368"/>
      <c r="TV117" s="368"/>
      <c r="TW117" s="368"/>
      <c r="TX117" s="368"/>
      <c r="TY117" s="368"/>
      <c r="TZ117" s="368"/>
      <c r="UA117" s="368"/>
      <c r="UB117" s="368"/>
      <c r="UC117" s="368"/>
      <c r="UD117" s="368"/>
      <c r="UE117" s="368"/>
      <c r="UF117" s="368"/>
      <c r="UG117" s="368"/>
      <c r="UH117" s="368"/>
      <c r="UI117" s="368"/>
      <c r="UJ117" s="368"/>
      <c r="UK117" s="368"/>
      <c r="UL117" s="368"/>
      <c r="UM117" s="368"/>
      <c r="UN117" s="368"/>
      <c r="UO117" s="368"/>
      <c r="UP117" s="368"/>
      <c r="UQ117" s="368"/>
      <c r="UR117" s="368"/>
      <c r="US117" s="368"/>
      <c r="UT117" s="368"/>
      <c r="UU117" s="368"/>
      <c r="UV117" s="368"/>
      <c r="UW117" s="368"/>
      <c r="UX117" s="368"/>
      <c r="UY117" s="368"/>
      <c r="UZ117" s="368"/>
      <c r="VA117" s="368"/>
      <c r="VB117" s="368"/>
      <c r="VC117" s="368"/>
      <c r="VD117" s="368"/>
      <c r="VE117" s="368"/>
      <c r="VF117" s="368"/>
      <c r="VG117" s="368"/>
      <c r="VH117" s="368"/>
      <c r="VI117" s="368"/>
      <c r="VJ117" s="368"/>
      <c r="VK117" s="368"/>
      <c r="VL117" s="368"/>
      <c r="VM117" s="368"/>
      <c r="VN117" s="368"/>
      <c r="VO117" s="368"/>
      <c r="VP117" s="368"/>
      <c r="VQ117" s="368"/>
      <c r="VR117" s="368"/>
      <c r="VS117" s="368"/>
      <c r="VT117" s="368"/>
      <c r="VU117" s="368"/>
      <c r="VV117" s="368"/>
      <c r="VW117" s="368"/>
      <c r="VX117" s="368"/>
      <c r="VY117" s="368"/>
      <c r="VZ117" s="368"/>
      <c r="WA117" s="368"/>
      <c r="WB117" s="368"/>
      <c r="WC117" s="368"/>
      <c r="WD117" s="368"/>
      <c r="WE117" s="368"/>
      <c r="WF117" s="368"/>
      <c r="WG117" s="368"/>
      <c r="WH117" s="368"/>
      <c r="WI117" s="368"/>
      <c r="WJ117" s="368"/>
      <c r="WK117" s="368"/>
      <c r="WL117" s="368"/>
      <c r="WM117" s="368"/>
      <c r="WN117" s="368"/>
      <c r="WO117" s="368"/>
      <c r="WP117" s="368"/>
      <c r="WQ117" s="368"/>
      <c r="WR117" s="368"/>
      <c r="WS117" s="368"/>
      <c r="WT117" s="368"/>
      <c r="WU117" s="368"/>
      <c r="WV117" s="368"/>
      <c r="WW117" s="368"/>
      <c r="WX117" s="368"/>
      <c r="WY117" s="368"/>
      <c r="WZ117" s="368"/>
      <c r="XA117" s="368"/>
      <c r="XB117" s="368"/>
      <c r="XC117" s="368"/>
      <c r="XD117" s="368"/>
      <c r="XE117" s="368"/>
      <c r="XF117" s="368"/>
      <c r="XG117" s="368"/>
      <c r="XH117" s="368"/>
      <c r="XI117" s="368"/>
      <c r="XJ117" s="368"/>
      <c r="XK117" s="368"/>
      <c r="XL117" s="368"/>
      <c r="XM117" s="368"/>
      <c r="XN117" s="368"/>
      <c r="XO117" s="368"/>
      <c r="XP117" s="368"/>
      <c r="XQ117" s="368"/>
      <c r="XR117" s="368"/>
      <c r="XS117" s="368"/>
      <c r="XT117" s="368"/>
      <c r="XU117" s="368"/>
      <c r="XV117" s="368"/>
      <c r="XW117" s="368"/>
      <c r="XX117" s="368"/>
      <c r="XY117" s="368"/>
      <c r="XZ117" s="368"/>
      <c r="YA117" s="368"/>
      <c r="YB117" s="368"/>
      <c r="YC117" s="368"/>
      <c r="YD117" s="368"/>
      <c r="YE117" s="368"/>
      <c r="YF117" s="368"/>
      <c r="YG117" s="368"/>
      <c r="YH117" s="368"/>
      <c r="YI117" s="368"/>
      <c r="YJ117" s="368"/>
      <c r="YK117" s="368"/>
      <c r="YL117" s="368"/>
      <c r="YM117" s="368"/>
      <c r="YN117" s="368"/>
      <c r="YO117" s="368"/>
      <c r="YP117" s="368"/>
      <c r="YQ117" s="368"/>
      <c r="YR117" s="368"/>
      <c r="YS117" s="368"/>
      <c r="YT117" s="368"/>
      <c r="YU117" s="368"/>
      <c r="YV117" s="368"/>
      <c r="YW117" s="368"/>
      <c r="YX117" s="368"/>
      <c r="YY117" s="368"/>
      <c r="YZ117" s="368"/>
      <c r="ZA117" s="368"/>
      <c r="ZB117" s="368"/>
      <c r="ZC117" s="368"/>
      <c r="ZD117" s="368"/>
      <c r="ZE117" s="368"/>
      <c r="ZF117" s="368"/>
      <c r="ZG117" s="368"/>
      <c r="ZH117" s="368"/>
      <c r="ZI117" s="368"/>
      <c r="ZJ117" s="368"/>
      <c r="ZK117" s="368"/>
      <c r="ZL117" s="368"/>
      <c r="ZM117" s="368"/>
      <c r="ZN117" s="368"/>
      <c r="ZO117" s="368"/>
      <c r="ZP117" s="368"/>
      <c r="ZQ117" s="368"/>
      <c r="ZR117" s="368"/>
      <c r="ZS117" s="368"/>
      <c r="ZT117" s="368"/>
      <c r="ZU117" s="368"/>
      <c r="ZV117" s="368"/>
      <c r="ZW117" s="368"/>
      <c r="ZX117" s="368"/>
      <c r="ZY117" s="368"/>
      <c r="ZZ117" s="368"/>
      <c r="AAA117" s="368"/>
      <c r="AAB117" s="368"/>
      <c r="AAC117" s="368"/>
      <c r="AAD117" s="368"/>
      <c r="AAE117" s="368"/>
      <c r="AAF117" s="368"/>
      <c r="AAG117" s="368"/>
      <c r="AAH117" s="368"/>
      <c r="AAI117" s="368"/>
      <c r="AAJ117" s="368"/>
      <c r="AAK117" s="368"/>
      <c r="AAL117" s="368"/>
      <c r="AAM117" s="368"/>
      <c r="AAN117" s="368"/>
      <c r="AAO117" s="368"/>
      <c r="AAP117" s="368"/>
      <c r="AAQ117" s="368"/>
      <c r="AAR117" s="368"/>
      <c r="AAS117" s="368"/>
      <c r="AAT117" s="368"/>
      <c r="AAU117" s="368"/>
      <c r="AAV117" s="368"/>
      <c r="AAW117" s="368"/>
      <c r="AAX117" s="368"/>
      <c r="AAY117" s="368"/>
      <c r="AAZ117" s="368"/>
      <c r="ABA117" s="368"/>
      <c r="ABB117" s="368"/>
      <c r="ABC117" s="368"/>
      <c r="ABD117" s="368"/>
      <c r="ABE117" s="368"/>
      <c r="ABF117" s="368"/>
      <c r="ABG117" s="368"/>
      <c r="ABH117" s="368"/>
      <c r="ABI117" s="368"/>
      <c r="ABJ117" s="368"/>
      <c r="ABK117" s="368"/>
      <c r="ABL117" s="368"/>
      <c r="ABM117" s="368"/>
      <c r="ABN117" s="368"/>
      <c r="ABO117" s="368"/>
      <c r="ABP117" s="368"/>
      <c r="ABQ117" s="368"/>
      <c r="ABR117" s="368"/>
      <c r="ABS117" s="368"/>
      <c r="ABT117" s="368"/>
      <c r="ABU117" s="368"/>
      <c r="ABV117" s="368"/>
      <c r="ABW117" s="368"/>
      <c r="ABX117" s="368"/>
      <c r="ABY117" s="368"/>
      <c r="ABZ117" s="368"/>
      <c r="ACA117" s="368"/>
      <c r="ACB117" s="368"/>
      <c r="ACC117" s="368"/>
      <c r="ACD117" s="368"/>
      <c r="ACE117" s="368"/>
      <c r="ACF117" s="368"/>
      <c r="ACG117" s="368"/>
      <c r="ACH117" s="368"/>
      <c r="ACI117" s="368"/>
      <c r="ACJ117" s="368"/>
      <c r="ACK117" s="368"/>
      <c r="ACL117" s="368"/>
      <c r="ACM117" s="368"/>
      <c r="ACN117" s="368"/>
      <c r="ACO117" s="368"/>
      <c r="ACP117" s="368"/>
      <c r="ACQ117" s="368"/>
      <c r="ACR117" s="368"/>
      <c r="ACS117" s="368"/>
      <c r="ACT117" s="368"/>
      <c r="ACU117" s="368"/>
      <c r="ACV117" s="368"/>
      <c r="ACW117" s="368"/>
      <c r="ACX117" s="368"/>
      <c r="ACY117" s="368"/>
      <c r="ACZ117" s="368"/>
      <c r="ADA117" s="368"/>
      <c r="ADB117" s="368"/>
      <c r="ADC117" s="368"/>
      <c r="ADD117" s="368"/>
      <c r="ADE117" s="368"/>
      <c r="ADF117" s="368"/>
      <c r="ADG117" s="368"/>
      <c r="ADH117" s="368"/>
      <c r="ADI117" s="368"/>
      <c r="ADJ117" s="368"/>
      <c r="ADK117" s="368"/>
      <c r="ADL117" s="368"/>
      <c r="ADM117" s="368"/>
      <c r="ADN117" s="368"/>
      <c r="ADO117" s="368"/>
      <c r="ADP117" s="368"/>
      <c r="ADQ117" s="368"/>
      <c r="ADR117" s="368"/>
      <c r="ADS117" s="368"/>
      <c r="ADT117" s="368"/>
      <c r="ADU117" s="368"/>
      <c r="ADV117" s="368"/>
      <c r="ADW117" s="368"/>
      <c r="ADX117" s="368"/>
      <c r="ADY117" s="368"/>
      <c r="ADZ117" s="368"/>
      <c r="AEA117" s="368"/>
      <c r="AEB117" s="368"/>
      <c r="AEC117" s="368"/>
      <c r="AED117" s="368"/>
      <c r="AEE117" s="368"/>
      <c r="AEF117" s="368"/>
      <c r="AEG117" s="368"/>
      <c r="AEH117" s="368"/>
      <c r="AEI117" s="368"/>
      <c r="AEJ117" s="368"/>
      <c r="AEK117" s="368"/>
      <c r="AEL117" s="368"/>
      <c r="AEM117" s="368"/>
      <c r="AEN117" s="368"/>
      <c r="AEO117" s="368"/>
      <c r="AEP117" s="368"/>
      <c r="AEQ117" s="368"/>
      <c r="AER117" s="368"/>
      <c r="AES117" s="368"/>
      <c r="AET117" s="368"/>
      <c r="AEU117" s="368"/>
      <c r="AEV117" s="368"/>
      <c r="AEW117" s="368"/>
      <c r="AEX117" s="368"/>
      <c r="AEY117" s="368"/>
      <c r="AEZ117" s="368"/>
      <c r="AFA117" s="368"/>
      <c r="AFB117" s="368"/>
      <c r="AFC117" s="368"/>
      <c r="AFD117" s="368"/>
      <c r="AFE117" s="368"/>
      <c r="AFF117" s="368"/>
      <c r="AFG117" s="368"/>
      <c r="AFH117" s="368"/>
      <c r="AFI117" s="368"/>
      <c r="AFJ117" s="368"/>
      <c r="AFK117" s="368"/>
      <c r="AFL117" s="368"/>
      <c r="AFM117" s="368"/>
      <c r="AFN117" s="368"/>
      <c r="AFO117" s="368"/>
      <c r="AFP117" s="368"/>
      <c r="AFQ117" s="368"/>
      <c r="AFR117" s="368"/>
      <c r="AFS117" s="368"/>
      <c r="AFT117" s="368"/>
      <c r="AFU117" s="368"/>
      <c r="AFV117" s="368"/>
      <c r="AFW117" s="368"/>
      <c r="AFX117" s="368"/>
      <c r="AFY117" s="368"/>
      <c r="AFZ117" s="368"/>
      <c r="AGA117" s="368"/>
      <c r="AGB117" s="368"/>
      <c r="AGC117" s="368"/>
      <c r="AGD117" s="368"/>
      <c r="AGE117" s="368"/>
      <c r="AGF117" s="368"/>
      <c r="AGG117" s="368"/>
      <c r="AGH117" s="368"/>
      <c r="AGI117" s="368"/>
      <c r="AGJ117" s="368"/>
      <c r="AGK117" s="368"/>
      <c r="AGL117" s="368"/>
      <c r="AGM117" s="368"/>
      <c r="AGN117" s="368"/>
      <c r="AGO117" s="368"/>
      <c r="AGP117" s="368"/>
      <c r="AGQ117" s="368"/>
      <c r="AGR117" s="368"/>
      <c r="AGS117" s="368"/>
      <c r="AGT117" s="368"/>
      <c r="AGU117" s="368"/>
      <c r="AGV117" s="368"/>
      <c r="AGW117" s="368"/>
      <c r="AGX117" s="368"/>
      <c r="AGY117" s="368"/>
      <c r="AGZ117" s="368"/>
      <c r="AHA117" s="368"/>
      <c r="AHB117" s="368"/>
      <c r="AHC117" s="368"/>
      <c r="AHD117" s="368"/>
      <c r="AHE117" s="368"/>
      <c r="AHF117" s="368"/>
      <c r="AHG117" s="368"/>
      <c r="AHH117" s="368"/>
      <c r="AHI117" s="368"/>
      <c r="AHJ117" s="368"/>
      <c r="AHK117" s="368"/>
      <c r="AHL117" s="368"/>
      <c r="AHM117" s="368"/>
      <c r="AHN117" s="368"/>
      <c r="AHO117" s="368"/>
      <c r="AHP117" s="368"/>
      <c r="AHQ117" s="368"/>
      <c r="AHR117" s="368"/>
      <c r="AHS117" s="368"/>
      <c r="AHT117" s="368"/>
      <c r="AHU117" s="368"/>
      <c r="AHV117" s="368"/>
      <c r="AHW117" s="368"/>
      <c r="AHX117" s="368"/>
      <c r="AHY117" s="368"/>
      <c r="AHZ117" s="368"/>
      <c r="AIA117" s="368"/>
      <c r="AIB117" s="368"/>
      <c r="AIC117" s="368"/>
      <c r="AID117" s="368"/>
      <c r="AIE117" s="368"/>
      <c r="AIF117" s="368"/>
      <c r="AIG117" s="368"/>
      <c r="AIH117" s="368"/>
      <c r="AII117" s="368"/>
      <c r="AIJ117" s="368"/>
      <c r="AIK117" s="368"/>
      <c r="AIL117" s="368"/>
      <c r="AIM117" s="368"/>
      <c r="AIN117" s="368"/>
      <c r="AIO117" s="368"/>
      <c r="AIP117" s="368"/>
      <c r="AIQ117" s="368"/>
      <c r="AIR117" s="368"/>
      <c r="AIS117" s="368"/>
      <c r="AIT117" s="368"/>
      <c r="AIU117" s="368"/>
      <c r="AIV117" s="368"/>
      <c r="AIW117" s="368"/>
      <c r="AIX117" s="368"/>
      <c r="AIY117" s="368"/>
      <c r="AIZ117" s="368"/>
      <c r="AJA117" s="368"/>
      <c r="AJB117" s="368"/>
      <c r="AJC117" s="368"/>
      <c r="AJD117" s="368"/>
      <c r="AJE117" s="368"/>
      <c r="AJF117" s="368"/>
      <c r="AJG117" s="368"/>
      <c r="AJH117" s="368"/>
      <c r="AJI117" s="368"/>
      <c r="AJJ117" s="368"/>
      <c r="AJK117" s="368"/>
      <c r="AJL117" s="368"/>
      <c r="AJM117" s="368"/>
      <c r="AJN117" s="368"/>
      <c r="AJO117" s="368"/>
      <c r="AJP117" s="368"/>
      <c r="AJQ117" s="368"/>
      <c r="AJR117" s="368"/>
      <c r="AJS117" s="368"/>
      <c r="AJT117" s="368"/>
      <c r="AJU117" s="368"/>
      <c r="AJV117" s="368"/>
      <c r="AJW117" s="368"/>
      <c r="AJX117" s="368"/>
      <c r="AJY117" s="368"/>
      <c r="AJZ117" s="368"/>
      <c r="AKA117" s="368"/>
      <c r="AKB117" s="368"/>
      <c r="AKC117" s="368"/>
      <c r="AKD117" s="368"/>
      <c r="AKE117" s="368"/>
      <c r="AKF117" s="368"/>
      <c r="AKG117" s="368"/>
      <c r="AKH117" s="368"/>
      <c r="AKI117" s="368"/>
      <c r="AKJ117" s="368"/>
      <c r="AKK117" s="368"/>
      <c r="AKL117" s="368"/>
      <c r="AKM117" s="368"/>
      <c r="AKN117" s="368"/>
    </row>
    <row r="118" spans="1:976" s="375" customFormat="1" ht="22.5" customHeight="1" x14ac:dyDescent="0.2">
      <c r="A118" s="428" t="s">
        <v>262</v>
      </c>
      <c r="B118" s="428"/>
      <c r="C118" s="428" t="s">
        <v>221</v>
      </c>
      <c r="D118" s="428" t="s">
        <v>222</v>
      </c>
      <c r="E118" s="429">
        <v>412854</v>
      </c>
      <c r="F118" s="429">
        <v>1631</v>
      </c>
      <c r="G118" s="429">
        <v>254</v>
      </c>
      <c r="H118" s="429">
        <v>0</v>
      </c>
      <c r="I118" s="430">
        <v>45874</v>
      </c>
      <c r="J118" s="428" t="s">
        <v>395</v>
      </c>
      <c r="K118" s="428" t="s">
        <v>606</v>
      </c>
      <c r="L118" s="431">
        <v>91.9</v>
      </c>
      <c r="M118" s="431">
        <v>5.05</v>
      </c>
      <c r="N118" s="441">
        <v>96.95</v>
      </c>
      <c r="O118" s="428"/>
      <c r="P118" s="432">
        <v>45888</v>
      </c>
      <c r="Q118" s="431">
        <v>96.95</v>
      </c>
      <c r="R118" s="428" t="s">
        <v>607</v>
      </c>
      <c r="S118" s="431">
        <v>0</v>
      </c>
      <c r="T118" s="431">
        <v>0</v>
      </c>
      <c r="U118" s="431">
        <v>0</v>
      </c>
      <c r="V118" s="431">
        <v>0</v>
      </c>
      <c r="W118" s="428"/>
      <c r="X118" s="428" t="s">
        <v>293</v>
      </c>
      <c r="Y118" s="428" t="s">
        <v>294</v>
      </c>
      <c r="Z118" s="428" t="s">
        <v>42</v>
      </c>
      <c r="AA118" s="428" t="s">
        <v>228</v>
      </c>
      <c r="AB118" s="428" t="s">
        <v>235</v>
      </c>
      <c r="AC118" s="428" t="s">
        <v>236</v>
      </c>
      <c r="AD118" s="428" t="s">
        <v>231</v>
      </c>
      <c r="AE118" s="428" t="s">
        <v>232</v>
      </c>
      <c r="AF118" s="428" t="s">
        <v>231</v>
      </c>
      <c r="AG118" s="428" t="s">
        <v>232</v>
      </c>
      <c r="AH118" s="428"/>
      <c r="AI118" s="428"/>
      <c r="AJ118" s="428"/>
      <c r="AK118" s="428" t="s">
        <v>608</v>
      </c>
      <c r="AL118" s="429">
        <v>1</v>
      </c>
      <c r="AM118" s="429">
        <v>0</v>
      </c>
      <c r="AN118" s="430">
        <v>45888</v>
      </c>
      <c r="AO118" s="430">
        <v>45887</v>
      </c>
      <c r="AP118" s="431">
        <v>96.95</v>
      </c>
      <c r="AQ118" s="430">
        <v>45886</v>
      </c>
      <c r="AR118" s="368"/>
      <c r="AS118" s="368"/>
      <c r="AT118" s="368"/>
      <c r="AU118" s="368"/>
      <c r="AV118" s="368"/>
      <c r="AW118" s="368"/>
      <c r="AX118" s="368"/>
      <c r="AY118" s="368"/>
      <c r="AZ118" s="368"/>
      <c r="BA118" s="368"/>
      <c r="BB118" s="368"/>
      <c r="BC118" s="368"/>
      <c r="BD118" s="368"/>
      <c r="BE118" s="368"/>
      <c r="BF118" s="368"/>
      <c r="BG118" s="368"/>
      <c r="BH118" s="368"/>
      <c r="BI118" s="368"/>
      <c r="BJ118" s="368"/>
      <c r="BK118" s="368"/>
      <c r="BL118" s="368"/>
      <c r="BM118" s="368"/>
      <c r="BN118" s="368"/>
      <c r="BO118" s="368"/>
      <c r="BP118" s="368"/>
      <c r="BQ118" s="368"/>
      <c r="BR118" s="368"/>
      <c r="BS118" s="368"/>
      <c r="BT118" s="368"/>
      <c r="BU118" s="368"/>
      <c r="BV118" s="368"/>
      <c r="BW118" s="368"/>
      <c r="BX118" s="368"/>
      <c r="BY118" s="368"/>
      <c r="BZ118" s="368"/>
      <c r="CA118" s="368"/>
      <c r="CB118" s="368"/>
      <c r="CC118" s="368"/>
      <c r="CD118" s="368"/>
      <c r="CE118" s="368"/>
      <c r="CF118" s="368"/>
      <c r="CG118" s="368"/>
      <c r="CH118" s="368"/>
      <c r="CI118" s="368"/>
      <c r="CJ118" s="368"/>
      <c r="CK118" s="368"/>
      <c r="CL118" s="368"/>
      <c r="CM118" s="368"/>
      <c r="CN118" s="368"/>
      <c r="CO118" s="368"/>
      <c r="CP118" s="368"/>
      <c r="CQ118" s="368"/>
      <c r="CR118" s="368"/>
      <c r="CS118" s="368"/>
      <c r="CT118" s="368"/>
      <c r="CU118" s="368"/>
      <c r="CV118" s="368"/>
      <c r="CW118" s="368"/>
      <c r="CX118" s="368"/>
      <c r="CY118" s="368"/>
      <c r="CZ118" s="368"/>
      <c r="DA118" s="368"/>
      <c r="DB118" s="368"/>
      <c r="DC118" s="368"/>
      <c r="DD118" s="368"/>
      <c r="DE118" s="368"/>
      <c r="DF118" s="368"/>
      <c r="DG118" s="368"/>
      <c r="DH118" s="368"/>
      <c r="DI118" s="368"/>
      <c r="DJ118" s="368"/>
      <c r="DK118" s="368"/>
      <c r="DL118" s="368"/>
      <c r="DM118" s="368"/>
      <c r="DN118" s="368"/>
      <c r="DO118" s="368"/>
      <c r="DP118" s="368"/>
      <c r="DQ118" s="368"/>
      <c r="DR118" s="368"/>
      <c r="DS118" s="368"/>
      <c r="DT118" s="368"/>
      <c r="DU118" s="368"/>
      <c r="DV118" s="368"/>
      <c r="DW118" s="368"/>
      <c r="DX118" s="368"/>
      <c r="DY118" s="368"/>
      <c r="DZ118" s="368"/>
      <c r="EA118" s="368"/>
      <c r="EB118" s="368"/>
      <c r="EC118" s="368"/>
      <c r="ED118" s="368"/>
      <c r="EE118" s="368"/>
      <c r="EF118" s="368"/>
      <c r="EG118" s="368"/>
      <c r="EH118" s="368"/>
      <c r="EI118" s="368"/>
      <c r="EJ118" s="368"/>
      <c r="EK118" s="368"/>
      <c r="EL118" s="368"/>
      <c r="EM118" s="368"/>
      <c r="EN118" s="368"/>
      <c r="EO118" s="368"/>
      <c r="EP118" s="368"/>
      <c r="EQ118" s="368"/>
      <c r="ER118" s="368"/>
      <c r="ES118" s="368"/>
      <c r="ET118" s="368"/>
      <c r="EU118" s="368"/>
      <c r="EV118" s="368"/>
      <c r="EW118" s="368"/>
      <c r="EX118" s="368"/>
      <c r="EY118" s="368"/>
      <c r="EZ118" s="368"/>
      <c r="FA118" s="368"/>
      <c r="FB118" s="368"/>
      <c r="FC118" s="368"/>
      <c r="FD118" s="368"/>
      <c r="FE118" s="368"/>
      <c r="FF118" s="368"/>
      <c r="FG118" s="368"/>
      <c r="FH118" s="368"/>
      <c r="FI118" s="368"/>
      <c r="FJ118" s="368"/>
      <c r="FK118" s="368"/>
      <c r="FL118" s="368"/>
      <c r="FM118" s="368"/>
      <c r="FN118" s="368"/>
      <c r="FO118" s="368"/>
      <c r="FP118" s="368"/>
      <c r="FQ118" s="368"/>
      <c r="FR118" s="368"/>
      <c r="FS118" s="368"/>
      <c r="FT118" s="368"/>
      <c r="FU118" s="368"/>
      <c r="FV118" s="368"/>
      <c r="FW118" s="368"/>
      <c r="FX118" s="368"/>
      <c r="FY118" s="368"/>
      <c r="FZ118" s="368"/>
      <c r="GA118" s="368"/>
      <c r="GB118" s="368"/>
      <c r="GC118" s="368"/>
      <c r="GD118" s="368"/>
      <c r="GE118" s="368"/>
      <c r="GF118" s="368"/>
      <c r="GG118" s="368"/>
      <c r="GH118" s="368"/>
      <c r="GI118" s="368"/>
      <c r="GJ118" s="368"/>
      <c r="GK118" s="368"/>
      <c r="GL118" s="368"/>
      <c r="GM118" s="368"/>
      <c r="GN118" s="368"/>
      <c r="GO118" s="368"/>
      <c r="GP118" s="368"/>
      <c r="GQ118" s="368"/>
      <c r="GR118" s="368"/>
      <c r="GS118" s="368"/>
      <c r="GT118" s="368"/>
      <c r="GU118" s="368"/>
      <c r="GV118" s="368"/>
      <c r="GW118" s="368"/>
      <c r="GX118" s="368"/>
      <c r="GY118" s="368"/>
      <c r="GZ118" s="368"/>
      <c r="HA118" s="368"/>
      <c r="HB118" s="368"/>
      <c r="HC118" s="368"/>
      <c r="HD118" s="368"/>
      <c r="HE118" s="368"/>
      <c r="HF118" s="368"/>
      <c r="HG118" s="368"/>
      <c r="HH118" s="368"/>
      <c r="HI118" s="368"/>
      <c r="HJ118" s="368"/>
      <c r="HK118" s="368"/>
      <c r="HL118" s="368"/>
      <c r="HM118" s="368"/>
      <c r="HN118" s="368"/>
      <c r="HO118" s="368"/>
      <c r="HP118" s="368"/>
      <c r="HQ118" s="368"/>
      <c r="HR118" s="368"/>
      <c r="HS118" s="368"/>
      <c r="HT118" s="368"/>
      <c r="HU118" s="368"/>
      <c r="HV118" s="368"/>
      <c r="HW118" s="368"/>
      <c r="HX118" s="368"/>
      <c r="HY118" s="368"/>
      <c r="HZ118" s="368"/>
      <c r="IA118" s="368"/>
      <c r="IB118" s="368"/>
      <c r="IC118" s="368"/>
      <c r="ID118" s="368"/>
      <c r="IE118" s="368"/>
      <c r="IF118" s="368"/>
      <c r="IG118" s="368"/>
      <c r="IH118" s="368"/>
      <c r="II118" s="368"/>
      <c r="IJ118" s="368"/>
      <c r="IK118" s="368"/>
      <c r="IL118" s="368"/>
      <c r="IM118" s="368"/>
      <c r="IN118" s="368"/>
      <c r="IO118" s="368"/>
      <c r="IP118" s="368"/>
      <c r="IQ118" s="368"/>
      <c r="IR118" s="368"/>
      <c r="IS118" s="368"/>
      <c r="IT118" s="368"/>
      <c r="IU118" s="368"/>
      <c r="IV118" s="368"/>
      <c r="IW118" s="368"/>
      <c r="IX118" s="368"/>
      <c r="IY118" s="368"/>
      <c r="IZ118" s="368"/>
      <c r="JA118" s="368"/>
      <c r="JB118" s="368"/>
      <c r="JC118" s="368"/>
      <c r="JD118" s="368"/>
      <c r="JE118" s="368"/>
      <c r="JF118" s="368"/>
      <c r="JG118" s="368"/>
      <c r="JH118" s="368"/>
      <c r="JI118" s="368"/>
      <c r="JJ118" s="368"/>
      <c r="JK118" s="368"/>
      <c r="JL118" s="368"/>
      <c r="JM118" s="368"/>
      <c r="JN118" s="368"/>
      <c r="JO118" s="368"/>
      <c r="JP118" s="368"/>
      <c r="JQ118" s="368"/>
      <c r="JR118" s="368"/>
      <c r="JS118" s="368"/>
      <c r="JT118" s="368"/>
      <c r="JU118" s="368"/>
      <c r="JV118" s="368"/>
      <c r="JW118" s="368"/>
      <c r="JX118" s="368"/>
      <c r="JY118" s="368"/>
      <c r="JZ118" s="368"/>
      <c r="KA118" s="368"/>
      <c r="KB118" s="368"/>
      <c r="KC118" s="368"/>
      <c r="KD118" s="368"/>
      <c r="KE118" s="368"/>
      <c r="KF118" s="368"/>
      <c r="KG118" s="368"/>
      <c r="KH118" s="368"/>
      <c r="KI118" s="368"/>
      <c r="KJ118" s="368"/>
      <c r="KK118" s="368"/>
      <c r="KL118" s="368"/>
      <c r="KM118" s="368"/>
      <c r="KN118" s="368"/>
      <c r="KO118" s="368"/>
      <c r="KP118" s="368"/>
      <c r="KQ118" s="368"/>
      <c r="KR118" s="368"/>
      <c r="KS118" s="368"/>
      <c r="KT118" s="368"/>
      <c r="KU118" s="368"/>
      <c r="KV118" s="368"/>
      <c r="KW118" s="368"/>
      <c r="KX118" s="368"/>
      <c r="KY118" s="368"/>
      <c r="KZ118" s="368"/>
      <c r="LA118" s="368"/>
      <c r="LB118" s="368"/>
      <c r="LC118" s="368"/>
      <c r="LD118" s="368"/>
      <c r="LE118" s="368"/>
      <c r="LF118" s="368"/>
      <c r="LG118" s="368"/>
      <c r="LH118" s="368"/>
      <c r="LI118" s="368"/>
      <c r="LJ118" s="368"/>
      <c r="LK118" s="368"/>
      <c r="LL118" s="368"/>
      <c r="LM118" s="368"/>
      <c r="LN118" s="368"/>
      <c r="LO118" s="368"/>
      <c r="LP118" s="368"/>
      <c r="LQ118" s="368"/>
      <c r="LR118" s="368"/>
      <c r="LS118" s="368"/>
      <c r="LT118" s="368"/>
      <c r="LU118" s="368"/>
      <c r="LV118" s="368"/>
      <c r="LW118" s="368"/>
      <c r="LX118" s="368"/>
      <c r="LY118" s="368"/>
      <c r="LZ118" s="368"/>
      <c r="MA118" s="368"/>
      <c r="MB118" s="368"/>
      <c r="MC118" s="368"/>
      <c r="MD118" s="368"/>
      <c r="ME118" s="368"/>
      <c r="MF118" s="368"/>
      <c r="MG118" s="368"/>
      <c r="MH118" s="368"/>
      <c r="MI118" s="368"/>
      <c r="MJ118" s="368"/>
      <c r="MK118" s="368"/>
      <c r="ML118" s="368"/>
      <c r="MM118" s="368"/>
      <c r="MN118" s="368"/>
      <c r="MO118" s="368"/>
      <c r="MP118" s="368"/>
      <c r="MQ118" s="368"/>
      <c r="MR118" s="368"/>
      <c r="MS118" s="368"/>
      <c r="MT118" s="368"/>
      <c r="MU118" s="368"/>
      <c r="MV118" s="368"/>
      <c r="MW118" s="368"/>
      <c r="MX118" s="368"/>
      <c r="MY118" s="368"/>
      <c r="MZ118" s="368"/>
      <c r="NA118" s="368"/>
      <c r="NB118" s="368"/>
      <c r="NC118" s="368"/>
      <c r="ND118" s="368"/>
      <c r="NE118" s="368"/>
      <c r="NF118" s="368"/>
      <c r="NG118" s="368"/>
      <c r="NH118" s="368"/>
      <c r="NI118" s="368"/>
      <c r="NJ118" s="368"/>
      <c r="NK118" s="368"/>
      <c r="NL118" s="368"/>
      <c r="NM118" s="368"/>
      <c r="NN118" s="368"/>
      <c r="NO118" s="368"/>
      <c r="NP118" s="368"/>
      <c r="NQ118" s="368"/>
      <c r="NR118" s="368"/>
      <c r="NS118" s="368"/>
      <c r="NT118" s="368"/>
      <c r="NU118" s="368"/>
      <c r="NV118" s="368"/>
      <c r="NW118" s="368"/>
      <c r="NX118" s="368"/>
      <c r="NY118" s="368"/>
      <c r="NZ118" s="368"/>
      <c r="OA118" s="368"/>
      <c r="OB118" s="368"/>
      <c r="OC118" s="368"/>
      <c r="OD118" s="368"/>
      <c r="OE118" s="368"/>
      <c r="OF118" s="368"/>
      <c r="OG118" s="368"/>
      <c r="OH118" s="368"/>
      <c r="OI118" s="368"/>
      <c r="OJ118" s="368"/>
      <c r="OK118" s="368"/>
      <c r="OL118" s="368"/>
      <c r="OM118" s="368"/>
      <c r="ON118" s="368"/>
      <c r="OO118" s="368"/>
      <c r="OP118" s="368"/>
      <c r="OQ118" s="368"/>
      <c r="OR118" s="368"/>
      <c r="OS118" s="368"/>
      <c r="OT118" s="368"/>
      <c r="OU118" s="368"/>
      <c r="OV118" s="368"/>
      <c r="OW118" s="368"/>
      <c r="OX118" s="368"/>
      <c r="OY118" s="368"/>
      <c r="OZ118" s="368"/>
      <c r="PA118" s="368"/>
      <c r="PB118" s="368"/>
      <c r="PC118" s="368"/>
      <c r="PD118" s="368"/>
      <c r="PE118" s="368"/>
      <c r="PF118" s="368"/>
      <c r="PG118" s="368"/>
      <c r="PH118" s="368"/>
      <c r="PI118" s="368"/>
      <c r="PJ118" s="368"/>
      <c r="PK118" s="368"/>
      <c r="PL118" s="368"/>
      <c r="PM118" s="368"/>
      <c r="PN118" s="368"/>
      <c r="PO118" s="368"/>
      <c r="PP118" s="368"/>
      <c r="PQ118" s="368"/>
      <c r="PR118" s="368"/>
      <c r="PS118" s="368"/>
      <c r="PT118" s="368"/>
      <c r="PU118" s="368"/>
      <c r="PV118" s="368"/>
      <c r="PW118" s="368"/>
      <c r="PX118" s="368"/>
      <c r="PY118" s="368"/>
      <c r="PZ118" s="368"/>
      <c r="QA118" s="368"/>
      <c r="QB118" s="368"/>
      <c r="QC118" s="368"/>
      <c r="QD118" s="368"/>
      <c r="QE118" s="368"/>
      <c r="QF118" s="368"/>
      <c r="QG118" s="368"/>
      <c r="QH118" s="368"/>
      <c r="QI118" s="368"/>
      <c r="QJ118" s="368"/>
      <c r="QK118" s="368"/>
      <c r="QL118" s="368"/>
      <c r="QM118" s="368"/>
      <c r="QN118" s="368"/>
      <c r="QO118" s="368"/>
      <c r="QP118" s="368"/>
      <c r="QQ118" s="368"/>
      <c r="QR118" s="368"/>
      <c r="QS118" s="368"/>
      <c r="QT118" s="368"/>
      <c r="QU118" s="368"/>
      <c r="QV118" s="368"/>
      <c r="QW118" s="368"/>
      <c r="QX118" s="368"/>
      <c r="QY118" s="368"/>
      <c r="QZ118" s="368"/>
      <c r="RA118" s="368"/>
      <c r="RB118" s="368"/>
      <c r="RC118" s="368"/>
      <c r="RD118" s="368"/>
      <c r="RE118" s="368"/>
      <c r="RF118" s="368"/>
      <c r="RG118" s="368"/>
      <c r="RH118" s="368"/>
      <c r="RI118" s="368"/>
      <c r="RJ118" s="368"/>
      <c r="RK118" s="368"/>
      <c r="RL118" s="368"/>
      <c r="RM118" s="368"/>
      <c r="RN118" s="368"/>
      <c r="RO118" s="368"/>
      <c r="RP118" s="368"/>
      <c r="RQ118" s="368"/>
      <c r="RR118" s="368"/>
      <c r="RS118" s="368"/>
      <c r="RT118" s="368"/>
      <c r="RU118" s="368"/>
      <c r="RV118" s="368"/>
      <c r="RW118" s="368"/>
      <c r="RX118" s="368"/>
      <c r="RY118" s="368"/>
      <c r="RZ118" s="368"/>
      <c r="SA118" s="368"/>
      <c r="SB118" s="368"/>
      <c r="SC118" s="368"/>
      <c r="SD118" s="368"/>
      <c r="SE118" s="368"/>
      <c r="SF118" s="368"/>
      <c r="SG118" s="368"/>
      <c r="SH118" s="368"/>
      <c r="SI118" s="368"/>
      <c r="SJ118" s="368"/>
      <c r="SK118" s="368"/>
      <c r="SL118" s="368"/>
      <c r="SM118" s="368"/>
      <c r="SN118" s="368"/>
      <c r="SO118" s="368"/>
      <c r="SP118" s="368"/>
      <c r="SQ118" s="368"/>
      <c r="SR118" s="368"/>
      <c r="SS118" s="368"/>
      <c r="ST118" s="368"/>
      <c r="SU118" s="368"/>
      <c r="SV118" s="368"/>
      <c r="SW118" s="368"/>
      <c r="SX118" s="368"/>
      <c r="SY118" s="368"/>
      <c r="SZ118" s="368"/>
      <c r="TA118" s="368"/>
      <c r="TB118" s="368"/>
      <c r="TC118" s="368"/>
      <c r="TD118" s="368"/>
      <c r="TE118" s="368"/>
      <c r="TF118" s="368"/>
      <c r="TG118" s="368"/>
      <c r="TH118" s="368"/>
      <c r="TI118" s="368"/>
      <c r="TJ118" s="368"/>
      <c r="TK118" s="368"/>
      <c r="TL118" s="368"/>
      <c r="TM118" s="368"/>
      <c r="TN118" s="368"/>
      <c r="TO118" s="368"/>
      <c r="TP118" s="368"/>
      <c r="TQ118" s="368"/>
      <c r="TR118" s="368"/>
      <c r="TS118" s="368"/>
      <c r="TT118" s="368"/>
      <c r="TU118" s="368"/>
      <c r="TV118" s="368"/>
      <c r="TW118" s="368"/>
      <c r="TX118" s="368"/>
      <c r="TY118" s="368"/>
      <c r="TZ118" s="368"/>
      <c r="UA118" s="368"/>
      <c r="UB118" s="368"/>
      <c r="UC118" s="368"/>
      <c r="UD118" s="368"/>
      <c r="UE118" s="368"/>
      <c r="UF118" s="368"/>
      <c r="UG118" s="368"/>
      <c r="UH118" s="368"/>
      <c r="UI118" s="368"/>
      <c r="UJ118" s="368"/>
      <c r="UK118" s="368"/>
      <c r="UL118" s="368"/>
      <c r="UM118" s="368"/>
      <c r="UN118" s="368"/>
      <c r="UO118" s="368"/>
      <c r="UP118" s="368"/>
      <c r="UQ118" s="368"/>
      <c r="UR118" s="368"/>
      <c r="US118" s="368"/>
      <c r="UT118" s="368"/>
      <c r="UU118" s="368"/>
      <c r="UV118" s="368"/>
      <c r="UW118" s="368"/>
      <c r="UX118" s="368"/>
      <c r="UY118" s="368"/>
      <c r="UZ118" s="368"/>
      <c r="VA118" s="368"/>
      <c r="VB118" s="368"/>
      <c r="VC118" s="368"/>
      <c r="VD118" s="368"/>
      <c r="VE118" s="368"/>
      <c r="VF118" s="368"/>
      <c r="VG118" s="368"/>
      <c r="VH118" s="368"/>
      <c r="VI118" s="368"/>
      <c r="VJ118" s="368"/>
      <c r="VK118" s="368"/>
      <c r="VL118" s="368"/>
      <c r="VM118" s="368"/>
      <c r="VN118" s="368"/>
      <c r="VO118" s="368"/>
      <c r="VP118" s="368"/>
      <c r="VQ118" s="368"/>
      <c r="VR118" s="368"/>
      <c r="VS118" s="368"/>
      <c r="VT118" s="368"/>
      <c r="VU118" s="368"/>
      <c r="VV118" s="368"/>
      <c r="VW118" s="368"/>
      <c r="VX118" s="368"/>
      <c r="VY118" s="368"/>
      <c r="VZ118" s="368"/>
      <c r="WA118" s="368"/>
      <c r="WB118" s="368"/>
      <c r="WC118" s="368"/>
      <c r="WD118" s="368"/>
      <c r="WE118" s="368"/>
      <c r="WF118" s="368"/>
      <c r="WG118" s="368"/>
      <c r="WH118" s="368"/>
      <c r="WI118" s="368"/>
      <c r="WJ118" s="368"/>
      <c r="WK118" s="368"/>
      <c r="WL118" s="368"/>
      <c r="WM118" s="368"/>
      <c r="WN118" s="368"/>
      <c r="WO118" s="368"/>
      <c r="WP118" s="368"/>
      <c r="WQ118" s="368"/>
      <c r="WR118" s="368"/>
      <c r="WS118" s="368"/>
      <c r="WT118" s="368"/>
      <c r="WU118" s="368"/>
      <c r="WV118" s="368"/>
      <c r="WW118" s="368"/>
      <c r="WX118" s="368"/>
      <c r="WY118" s="368"/>
      <c r="WZ118" s="368"/>
      <c r="XA118" s="368"/>
      <c r="XB118" s="368"/>
      <c r="XC118" s="368"/>
      <c r="XD118" s="368"/>
      <c r="XE118" s="368"/>
      <c r="XF118" s="368"/>
      <c r="XG118" s="368"/>
      <c r="XH118" s="368"/>
      <c r="XI118" s="368"/>
      <c r="XJ118" s="368"/>
      <c r="XK118" s="368"/>
      <c r="XL118" s="368"/>
      <c r="XM118" s="368"/>
      <c r="XN118" s="368"/>
      <c r="XO118" s="368"/>
      <c r="XP118" s="368"/>
      <c r="XQ118" s="368"/>
      <c r="XR118" s="368"/>
      <c r="XS118" s="368"/>
      <c r="XT118" s="368"/>
      <c r="XU118" s="368"/>
      <c r="XV118" s="368"/>
      <c r="XW118" s="368"/>
      <c r="XX118" s="368"/>
      <c r="XY118" s="368"/>
      <c r="XZ118" s="368"/>
      <c r="YA118" s="368"/>
      <c r="YB118" s="368"/>
      <c r="YC118" s="368"/>
      <c r="YD118" s="368"/>
      <c r="YE118" s="368"/>
      <c r="YF118" s="368"/>
      <c r="YG118" s="368"/>
      <c r="YH118" s="368"/>
      <c r="YI118" s="368"/>
      <c r="YJ118" s="368"/>
      <c r="YK118" s="368"/>
      <c r="YL118" s="368"/>
      <c r="YM118" s="368"/>
      <c r="YN118" s="368"/>
      <c r="YO118" s="368"/>
      <c r="YP118" s="368"/>
      <c r="YQ118" s="368"/>
      <c r="YR118" s="368"/>
      <c r="YS118" s="368"/>
      <c r="YT118" s="368"/>
      <c r="YU118" s="368"/>
      <c r="YV118" s="368"/>
      <c r="YW118" s="368"/>
      <c r="YX118" s="368"/>
      <c r="YY118" s="368"/>
      <c r="YZ118" s="368"/>
      <c r="ZA118" s="368"/>
      <c r="ZB118" s="368"/>
      <c r="ZC118" s="368"/>
      <c r="ZD118" s="368"/>
      <c r="ZE118" s="368"/>
      <c r="ZF118" s="368"/>
      <c r="ZG118" s="368"/>
      <c r="ZH118" s="368"/>
      <c r="ZI118" s="368"/>
      <c r="ZJ118" s="368"/>
      <c r="ZK118" s="368"/>
      <c r="ZL118" s="368"/>
      <c r="ZM118" s="368"/>
      <c r="ZN118" s="368"/>
      <c r="ZO118" s="368"/>
      <c r="ZP118" s="368"/>
      <c r="ZQ118" s="368"/>
      <c r="ZR118" s="368"/>
      <c r="ZS118" s="368"/>
      <c r="ZT118" s="368"/>
      <c r="ZU118" s="368"/>
      <c r="ZV118" s="368"/>
      <c r="ZW118" s="368"/>
      <c r="ZX118" s="368"/>
      <c r="ZY118" s="368"/>
      <c r="ZZ118" s="368"/>
      <c r="AAA118" s="368"/>
      <c r="AAB118" s="368"/>
      <c r="AAC118" s="368"/>
      <c r="AAD118" s="368"/>
      <c r="AAE118" s="368"/>
      <c r="AAF118" s="368"/>
      <c r="AAG118" s="368"/>
      <c r="AAH118" s="368"/>
      <c r="AAI118" s="368"/>
      <c r="AAJ118" s="368"/>
      <c r="AAK118" s="368"/>
      <c r="AAL118" s="368"/>
      <c r="AAM118" s="368"/>
      <c r="AAN118" s="368"/>
      <c r="AAO118" s="368"/>
      <c r="AAP118" s="368"/>
      <c r="AAQ118" s="368"/>
      <c r="AAR118" s="368"/>
      <c r="AAS118" s="368"/>
      <c r="AAT118" s="368"/>
      <c r="AAU118" s="368"/>
      <c r="AAV118" s="368"/>
      <c r="AAW118" s="368"/>
      <c r="AAX118" s="368"/>
      <c r="AAY118" s="368"/>
      <c r="AAZ118" s="368"/>
      <c r="ABA118" s="368"/>
      <c r="ABB118" s="368"/>
      <c r="ABC118" s="368"/>
      <c r="ABD118" s="368"/>
      <c r="ABE118" s="368"/>
      <c r="ABF118" s="368"/>
      <c r="ABG118" s="368"/>
      <c r="ABH118" s="368"/>
      <c r="ABI118" s="368"/>
      <c r="ABJ118" s="368"/>
      <c r="ABK118" s="368"/>
      <c r="ABL118" s="368"/>
      <c r="ABM118" s="368"/>
      <c r="ABN118" s="368"/>
      <c r="ABO118" s="368"/>
      <c r="ABP118" s="368"/>
      <c r="ABQ118" s="368"/>
      <c r="ABR118" s="368"/>
      <c r="ABS118" s="368"/>
      <c r="ABT118" s="368"/>
      <c r="ABU118" s="368"/>
      <c r="ABV118" s="368"/>
      <c r="ABW118" s="368"/>
      <c r="ABX118" s="368"/>
      <c r="ABY118" s="368"/>
      <c r="ABZ118" s="368"/>
      <c r="ACA118" s="368"/>
      <c r="ACB118" s="368"/>
      <c r="ACC118" s="368"/>
      <c r="ACD118" s="368"/>
      <c r="ACE118" s="368"/>
      <c r="ACF118" s="368"/>
      <c r="ACG118" s="368"/>
      <c r="ACH118" s="368"/>
      <c r="ACI118" s="368"/>
      <c r="ACJ118" s="368"/>
      <c r="ACK118" s="368"/>
      <c r="ACL118" s="368"/>
      <c r="ACM118" s="368"/>
      <c r="ACN118" s="368"/>
      <c r="ACO118" s="368"/>
      <c r="ACP118" s="368"/>
      <c r="ACQ118" s="368"/>
      <c r="ACR118" s="368"/>
      <c r="ACS118" s="368"/>
      <c r="ACT118" s="368"/>
      <c r="ACU118" s="368"/>
      <c r="ACV118" s="368"/>
      <c r="ACW118" s="368"/>
      <c r="ACX118" s="368"/>
      <c r="ACY118" s="368"/>
      <c r="ACZ118" s="368"/>
      <c r="ADA118" s="368"/>
      <c r="ADB118" s="368"/>
      <c r="ADC118" s="368"/>
      <c r="ADD118" s="368"/>
      <c r="ADE118" s="368"/>
      <c r="ADF118" s="368"/>
      <c r="ADG118" s="368"/>
      <c r="ADH118" s="368"/>
      <c r="ADI118" s="368"/>
      <c r="ADJ118" s="368"/>
      <c r="ADK118" s="368"/>
      <c r="ADL118" s="368"/>
      <c r="ADM118" s="368"/>
      <c r="ADN118" s="368"/>
      <c r="ADO118" s="368"/>
      <c r="ADP118" s="368"/>
      <c r="ADQ118" s="368"/>
      <c r="ADR118" s="368"/>
      <c r="ADS118" s="368"/>
      <c r="ADT118" s="368"/>
      <c r="ADU118" s="368"/>
      <c r="ADV118" s="368"/>
      <c r="ADW118" s="368"/>
      <c r="ADX118" s="368"/>
      <c r="ADY118" s="368"/>
      <c r="ADZ118" s="368"/>
      <c r="AEA118" s="368"/>
      <c r="AEB118" s="368"/>
      <c r="AEC118" s="368"/>
      <c r="AED118" s="368"/>
      <c r="AEE118" s="368"/>
      <c r="AEF118" s="368"/>
      <c r="AEG118" s="368"/>
      <c r="AEH118" s="368"/>
      <c r="AEI118" s="368"/>
      <c r="AEJ118" s="368"/>
      <c r="AEK118" s="368"/>
      <c r="AEL118" s="368"/>
      <c r="AEM118" s="368"/>
      <c r="AEN118" s="368"/>
      <c r="AEO118" s="368"/>
      <c r="AEP118" s="368"/>
      <c r="AEQ118" s="368"/>
      <c r="AER118" s="368"/>
      <c r="AES118" s="368"/>
      <c r="AET118" s="368"/>
      <c r="AEU118" s="368"/>
      <c r="AEV118" s="368"/>
      <c r="AEW118" s="368"/>
      <c r="AEX118" s="368"/>
      <c r="AEY118" s="368"/>
      <c r="AEZ118" s="368"/>
      <c r="AFA118" s="368"/>
      <c r="AFB118" s="368"/>
      <c r="AFC118" s="368"/>
      <c r="AFD118" s="368"/>
      <c r="AFE118" s="368"/>
      <c r="AFF118" s="368"/>
      <c r="AFG118" s="368"/>
      <c r="AFH118" s="368"/>
      <c r="AFI118" s="368"/>
      <c r="AFJ118" s="368"/>
      <c r="AFK118" s="368"/>
      <c r="AFL118" s="368"/>
      <c r="AFM118" s="368"/>
      <c r="AFN118" s="368"/>
      <c r="AFO118" s="368"/>
      <c r="AFP118" s="368"/>
      <c r="AFQ118" s="368"/>
      <c r="AFR118" s="368"/>
      <c r="AFS118" s="368"/>
      <c r="AFT118" s="368"/>
      <c r="AFU118" s="368"/>
      <c r="AFV118" s="368"/>
      <c r="AFW118" s="368"/>
      <c r="AFX118" s="368"/>
      <c r="AFY118" s="368"/>
      <c r="AFZ118" s="368"/>
      <c r="AGA118" s="368"/>
      <c r="AGB118" s="368"/>
      <c r="AGC118" s="368"/>
      <c r="AGD118" s="368"/>
      <c r="AGE118" s="368"/>
      <c r="AGF118" s="368"/>
      <c r="AGG118" s="368"/>
      <c r="AGH118" s="368"/>
      <c r="AGI118" s="368"/>
      <c r="AGJ118" s="368"/>
      <c r="AGK118" s="368"/>
      <c r="AGL118" s="368"/>
      <c r="AGM118" s="368"/>
      <c r="AGN118" s="368"/>
      <c r="AGO118" s="368"/>
      <c r="AGP118" s="368"/>
      <c r="AGQ118" s="368"/>
      <c r="AGR118" s="368"/>
      <c r="AGS118" s="368"/>
      <c r="AGT118" s="368"/>
      <c r="AGU118" s="368"/>
      <c r="AGV118" s="368"/>
      <c r="AGW118" s="368"/>
      <c r="AGX118" s="368"/>
      <c r="AGY118" s="368"/>
      <c r="AGZ118" s="368"/>
      <c r="AHA118" s="368"/>
      <c r="AHB118" s="368"/>
      <c r="AHC118" s="368"/>
      <c r="AHD118" s="368"/>
      <c r="AHE118" s="368"/>
      <c r="AHF118" s="368"/>
      <c r="AHG118" s="368"/>
      <c r="AHH118" s="368"/>
      <c r="AHI118" s="368"/>
      <c r="AHJ118" s="368"/>
      <c r="AHK118" s="368"/>
      <c r="AHL118" s="368"/>
      <c r="AHM118" s="368"/>
      <c r="AHN118" s="368"/>
      <c r="AHO118" s="368"/>
      <c r="AHP118" s="368"/>
      <c r="AHQ118" s="368"/>
      <c r="AHR118" s="368"/>
      <c r="AHS118" s="368"/>
      <c r="AHT118" s="368"/>
      <c r="AHU118" s="368"/>
      <c r="AHV118" s="368"/>
      <c r="AHW118" s="368"/>
      <c r="AHX118" s="368"/>
      <c r="AHY118" s="368"/>
      <c r="AHZ118" s="368"/>
      <c r="AIA118" s="368"/>
      <c r="AIB118" s="368"/>
      <c r="AIC118" s="368"/>
      <c r="AID118" s="368"/>
      <c r="AIE118" s="368"/>
      <c r="AIF118" s="368"/>
      <c r="AIG118" s="368"/>
      <c r="AIH118" s="368"/>
      <c r="AII118" s="368"/>
      <c r="AIJ118" s="368"/>
      <c r="AIK118" s="368"/>
      <c r="AIL118" s="368"/>
      <c r="AIM118" s="368"/>
      <c r="AIN118" s="368"/>
      <c r="AIO118" s="368"/>
      <c r="AIP118" s="368"/>
      <c r="AIQ118" s="368"/>
      <c r="AIR118" s="368"/>
      <c r="AIS118" s="368"/>
      <c r="AIT118" s="368"/>
      <c r="AIU118" s="368"/>
      <c r="AIV118" s="368"/>
      <c r="AIW118" s="368"/>
      <c r="AIX118" s="368"/>
      <c r="AIY118" s="368"/>
      <c r="AIZ118" s="368"/>
      <c r="AJA118" s="368"/>
      <c r="AJB118" s="368"/>
      <c r="AJC118" s="368"/>
      <c r="AJD118" s="368"/>
      <c r="AJE118" s="368"/>
      <c r="AJF118" s="368"/>
      <c r="AJG118" s="368"/>
      <c r="AJH118" s="368"/>
      <c r="AJI118" s="368"/>
      <c r="AJJ118" s="368"/>
      <c r="AJK118" s="368"/>
      <c r="AJL118" s="368"/>
      <c r="AJM118" s="368"/>
      <c r="AJN118" s="368"/>
      <c r="AJO118" s="368"/>
      <c r="AJP118" s="368"/>
      <c r="AJQ118" s="368"/>
      <c r="AJR118" s="368"/>
      <c r="AJS118" s="368"/>
      <c r="AJT118" s="368"/>
      <c r="AJU118" s="368"/>
      <c r="AJV118" s="368"/>
      <c r="AJW118" s="368"/>
      <c r="AJX118" s="368"/>
      <c r="AJY118" s="368"/>
      <c r="AJZ118" s="368"/>
      <c r="AKA118" s="368"/>
      <c r="AKB118" s="368"/>
      <c r="AKC118" s="368"/>
      <c r="AKD118" s="368"/>
      <c r="AKE118" s="368"/>
      <c r="AKF118" s="368"/>
      <c r="AKG118" s="368"/>
      <c r="AKH118" s="368"/>
      <c r="AKI118" s="368"/>
      <c r="AKJ118" s="368"/>
      <c r="AKK118" s="368"/>
      <c r="AKL118" s="368"/>
      <c r="AKM118" s="368"/>
      <c r="AKN118" s="368"/>
    </row>
    <row r="119" spans="1:976" s="375" customFormat="1" ht="22.5" customHeight="1" x14ac:dyDescent="0.2">
      <c r="A119" s="428" t="s">
        <v>262</v>
      </c>
      <c r="B119" s="428"/>
      <c r="C119" s="428" t="s">
        <v>221</v>
      </c>
      <c r="D119" s="428" t="s">
        <v>222</v>
      </c>
      <c r="E119" s="429">
        <v>412855</v>
      </c>
      <c r="F119" s="429">
        <v>1635</v>
      </c>
      <c r="G119" s="429">
        <v>254</v>
      </c>
      <c r="H119" s="429">
        <v>0</v>
      </c>
      <c r="I119" s="430">
        <v>45874</v>
      </c>
      <c r="J119" s="428" t="s">
        <v>395</v>
      </c>
      <c r="K119" s="428" t="s">
        <v>609</v>
      </c>
      <c r="L119" s="431">
        <v>140.19</v>
      </c>
      <c r="M119" s="431">
        <v>9.69</v>
      </c>
      <c r="N119" s="441">
        <v>149.88</v>
      </c>
      <c r="O119" s="428"/>
      <c r="P119" s="432">
        <v>45888</v>
      </c>
      <c r="Q119" s="431">
        <v>149.88</v>
      </c>
      <c r="R119" s="428" t="s">
        <v>610</v>
      </c>
      <c r="S119" s="431">
        <v>0</v>
      </c>
      <c r="T119" s="431">
        <v>0</v>
      </c>
      <c r="U119" s="431">
        <v>0</v>
      </c>
      <c r="V119" s="431">
        <v>0</v>
      </c>
      <c r="W119" s="428"/>
      <c r="X119" s="428" t="s">
        <v>293</v>
      </c>
      <c r="Y119" s="428" t="s">
        <v>294</v>
      </c>
      <c r="Z119" s="428" t="s">
        <v>42</v>
      </c>
      <c r="AA119" s="428" t="s">
        <v>228</v>
      </c>
      <c r="AB119" s="428" t="s">
        <v>235</v>
      </c>
      <c r="AC119" s="428" t="s">
        <v>236</v>
      </c>
      <c r="AD119" s="428" t="s">
        <v>231</v>
      </c>
      <c r="AE119" s="428" t="s">
        <v>232</v>
      </c>
      <c r="AF119" s="428" t="s">
        <v>231</v>
      </c>
      <c r="AG119" s="428" t="s">
        <v>232</v>
      </c>
      <c r="AH119" s="428"/>
      <c r="AI119" s="428"/>
      <c r="AJ119" s="428"/>
      <c r="AK119" s="428" t="s">
        <v>611</v>
      </c>
      <c r="AL119" s="429">
        <v>1</v>
      </c>
      <c r="AM119" s="429">
        <v>0</v>
      </c>
      <c r="AN119" s="430">
        <v>45888</v>
      </c>
      <c r="AO119" s="430">
        <v>45887</v>
      </c>
      <c r="AP119" s="431">
        <v>149.88</v>
      </c>
      <c r="AQ119" s="430">
        <v>45886</v>
      </c>
      <c r="AR119" s="368"/>
      <c r="AS119" s="368"/>
      <c r="AT119" s="368"/>
      <c r="AU119" s="368"/>
      <c r="AV119" s="368"/>
      <c r="AW119" s="368"/>
      <c r="AX119" s="368"/>
      <c r="AY119" s="368"/>
      <c r="AZ119" s="368"/>
      <c r="BA119" s="368"/>
      <c r="BB119" s="368"/>
      <c r="BC119" s="368"/>
      <c r="BD119" s="368"/>
      <c r="BE119" s="368"/>
      <c r="BF119" s="368"/>
      <c r="BG119" s="368"/>
      <c r="BH119" s="368"/>
      <c r="BI119" s="368"/>
      <c r="BJ119" s="368"/>
      <c r="BK119" s="368"/>
      <c r="BL119" s="368"/>
      <c r="BM119" s="368"/>
      <c r="BN119" s="368"/>
      <c r="BO119" s="368"/>
      <c r="BP119" s="368"/>
      <c r="BQ119" s="368"/>
      <c r="BR119" s="368"/>
      <c r="BS119" s="368"/>
      <c r="BT119" s="368"/>
      <c r="BU119" s="368"/>
      <c r="BV119" s="368"/>
      <c r="BW119" s="368"/>
      <c r="BX119" s="368"/>
      <c r="BY119" s="368"/>
      <c r="BZ119" s="368"/>
      <c r="CA119" s="368"/>
      <c r="CB119" s="368"/>
      <c r="CC119" s="368"/>
      <c r="CD119" s="368"/>
      <c r="CE119" s="368"/>
      <c r="CF119" s="368"/>
      <c r="CG119" s="368"/>
      <c r="CH119" s="368"/>
      <c r="CI119" s="368"/>
      <c r="CJ119" s="368"/>
      <c r="CK119" s="368"/>
      <c r="CL119" s="368"/>
      <c r="CM119" s="368"/>
      <c r="CN119" s="368"/>
      <c r="CO119" s="368"/>
      <c r="CP119" s="368"/>
      <c r="CQ119" s="368"/>
      <c r="CR119" s="368"/>
      <c r="CS119" s="368"/>
      <c r="CT119" s="368"/>
      <c r="CU119" s="368"/>
      <c r="CV119" s="368"/>
      <c r="CW119" s="368"/>
      <c r="CX119" s="368"/>
      <c r="CY119" s="368"/>
      <c r="CZ119" s="368"/>
      <c r="DA119" s="368"/>
      <c r="DB119" s="368"/>
      <c r="DC119" s="368"/>
      <c r="DD119" s="368"/>
      <c r="DE119" s="368"/>
      <c r="DF119" s="368"/>
      <c r="DG119" s="368"/>
      <c r="DH119" s="368"/>
      <c r="DI119" s="368"/>
      <c r="DJ119" s="368"/>
      <c r="DK119" s="368"/>
      <c r="DL119" s="368"/>
      <c r="DM119" s="368"/>
      <c r="DN119" s="368"/>
      <c r="DO119" s="368"/>
      <c r="DP119" s="368"/>
      <c r="DQ119" s="368"/>
      <c r="DR119" s="368"/>
      <c r="DS119" s="368"/>
      <c r="DT119" s="368"/>
      <c r="DU119" s="368"/>
      <c r="DV119" s="368"/>
      <c r="DW119" s="368"/>
      <c r="DX119" s="368"/>
      <c r="DY119" s="368"/>
      <c r="DZ119" s="368"/>
      <c r="EA119" s="368"/>
      <c r="EB119" s="368"/>
      <c r="EC119" s="368"/>
      <c r="ED119" s="368"/>
      <c r="EE119" s="368"/>
      <c r="EF119" s="368"/>
      <c r="EG119" s="368"/>
      <c r="EH119" s="368"/>
      <c r="EI119" s="368"/>
      <c r="EJ119" s="368"/>
      <c r="EK119" s="368"/>
      <c r="EL119" s="368"/>
      <c r="EM119" s="368"/>
      <c r="EN119" s="368"/>
      <c r="EO119" s="368"/>
      <c r="EP119" s="368"/>
      <c r="EQ119" s="368"/>
      <c r="ER119" s="368"/>
      <c r="ES119" s="368"/>
      <c r="ET119" s="368"/>
      <c r="EU119" s="368"/>
      <c r="EV119" s="368"/>
      <c r="EW119" s="368"/>
      <c r="EX119" s="368"/>
      <c r="EY119" s="368"/>
      <c r="EZ119" s="368"/>
      <c r="FA119" s="368"/>
      <c r="FB119" s="368"/>
      <c r="FC119" s="368"/>
      <c r="FD119" s="368"/>
      <c r="FE119" s="368"/>
      <c r="FF119" s="368"/>
      <c r="FG119" s="368"/>
      <c r="FH119" s="368"/>
      <c r="FI119" s="368"/>
      <c r="FJ119" s="368"/>
      <c r="FK119" s="368"/>
      <c r="FL119" s="368"/>
      <c r="FM119" s="368"/>
      <c r="FN119" s="368"/>
      <c r="FO119" s="368"/>
      <c r="FP119" s="368"/>
      <c r="FQ119" s="368"/>
      <c r="FR119" s="368"/>
      <c r="FS119" s="368"/>
      <c r="FT119" s="368"/>
      <c r="FU119" s="368"/>
      <c r="FV119" s="368"/>
      <c r="FW119" s="368"/>
      <c r="FX119" s="368"/>
      <c r="FY119" s="368"/>
      <c r="FZ119" s="368"/>
      <c r="GA119" s="368"/>
      <c r="GB119" s="368"/>
      <c r="GC119" s="368"/>
      <c r="GD119" s="368"/>
      <c r="GE119" s="368"/>
      <c r="GF119" s="368"/>
      <c r="GG119" s="368"/>
      <c r="GH119" s="368"/>
      <c r="GI119" s="368"/>
      <c r="GJ119" s="368"/>
      <c r="GK119" s="368"/>
      <c r="GL119" s="368"/>
      <c r="GM119" s="368"/>
      <c r="GN119" s="368"/>
      <c r="GO119" s="368"/>
      <c r="GP119" s="368"/>
      <c r="GQ119" s="368"/>
      <c r="GR119" s="368"/>
      <c r="GS119" s="368"/>
      <c r="GT119" s="368"/>
      <c r="GU119" s="368"/>
      <c r="GV119" s="368"/>
      <c r="GW119" s="368"/>
      <c r="GX119" s="368"/>
      <c r="GY119" s="368"/>
      <c r="GZ119" s="368"/>
      <c r="HA119" s="368"/>
      <c r="HB119" s="368"/>
      <c r="HC119" s="368"/>
      <c r="HD119" s="368"/>
      <c r="HE119" s="368"/>
      <c r="HF119" s="368"/>
      <c r="HG119" s="368"/>
      <c r="HH119" s="368"/>
      <c r="HI119" s="368"/>
      <c r="HJ119" s="368"/>
      <c r="HK119" s="368"/>
      <c r="HL119" s="368"/>
      <c r="HM119" s="368"/>
      <c r="HN119" s="368"/>
      <c r="HO119" s="368"/>
      <c r="HP119" s="368"/>
      <c r="HQ119" s="368"/>
      <c r="HR119" s="368"/>
      <c r="HS119" s="368"/>
      <c r="HT119" s="368"/>
      <c r="HU119" s="368"/>
      <c r="HV119" s="368"/>
      <c r="HW119" s="368"/>
      <c r="HX119" s="368"/>
      <c r="HY119" s="368"/>
      <c r="HZ119" s="368"/>
      <c r="IA119" s="368"/>
      <c r="IB119" s="368"/>
      <c r="IC119" s="368"/>
      <c r="ID119" s="368"/>
      <c r="IE119" s="368"/>
      <c r="IF119" s="368"/>
      <c r="IG119" s="368"/>
      <c r="IH119" s="368"/>
      <c r="II119" s="368"/>
      <c r="IJ119" s="368"/>
      <c r="IK119" s="368"/>
      <c r="IL119" s="368"/>
      <c r="IM119" s="368"/>
      <c r="IN119" s="368"/>
      <c r="IO119" s="368"/>
      <c r="IP119" s="368"/>
      <c r="IQ119" s="368"/>
      <c r="IR119" s="368"/>
      <c r="IS119" s="368"/>
      <c r="IT119" s="368"/>
      <c r="IU119" s="368"/>
      <c r="IV119" s="368"/>
      <c r="IW119" s="368"/>
      <c r="IX119" s="368"/>
      <c r="IY119" s="368"/>
      <c r="IZ119" s="368"/>
      <c r="JA119" s="368"/>
      <c r="JB119" s="368"/>
      <c r="JC119" s="368"/>
      <c r="JD119" s="368"/>
      <c r="JE119" s="368"/>
      <c r="JF119" s="368"/>
      <c r="JG119" s="368"/>
      <c r="JH119" s="368"/>
      <c r="JI119" s="368"/>
      <c r="JJ119" s="368"/>
      <c r="JK119" s="368"/>
      <c r="JL119" s="368"/>
      <c r="JM119" s="368"/>
      <c r="JN119" s="368"/>
      <c r="JO119" s="368"/>
      <c r="JP119" s="368"/>
      <c r="JQ119" s="368"/>
      <c r="JR119" s="368"/>
      <c r="JS119" s="368"/>
      <c r="JT119" s="368"/>
      <c r="JU119" s="368"/>
      <c r="JV119" s="368"/>
      <c r="JW119" s="368"/>
      <c r="JX119" s="368"/>
      <c r="JY119" s="368"/>
      <c r="JZ119" s="368"/>
      <c r="KA119" s="368"/>
      <c r="KB119" s="368"/>
      <c r="KC119" s="368"/>
      <c r="KD119" s="368"/>
      <c r="KE119" s="368"/>
      <c r="KF119" s="368"/>
      <c r="KG119" s="368"/>
      <c r="KH119" s="368"/>
      <c r="KI119" s="368"/>
      <c r="KJ119" s="368"/>
      <c r="KK119" s="368"/>
      <c r="KL119" s="368"/>
      <c r="KM119" s="368"/>
      <c r="KN119" s="368"/>
      <c r="KO119" s="368"/>
      <c r="KP119" s="368"/>
      <c r="KQ119" s="368"/>
      <c r="KR119" s="368"/>
      <c r="KS119" s="368"/>
      <c r="KT119" s="368"/>
      <c r="KU119" s="368"/>
      <c r="KV119" s="368"/>
      <c r="KW119" s="368"/>
      <c r="KX119" s="368"/>
      <c r="KY119" s="368"/>
      <c r="KZ119" s="368"/>
      <c r="LA119" s="368"/>
      <c r="LB119" s="368"/>
      <c r="LC119" s="368"/>
      <c r="LD119" s="368"/>
      <c r="LE119" s="368"/>
      <c r="LF119" s="368"/>
      <c r="LG119" s="368"/>
      <c r="LH119" s="368"/>
      <c r="LI119" s="368"/>
      <c r="LJ119" s="368"/>
      <c r="LK119" s="368"/>
      <c r="LL119" s="368"/>
      <c r="LM119" s="368"/>
      <c r="LN119" s="368"/>
      <c r="LO119" s="368"/>
      <c r="LP119" s="368"/>
      <c r="LQ119" s="368"/>
      <c r="LR119" s="368"/>
      <c r="LS119" s="368"/>
      <c r="LT119" s="368"/>
      <c r="LU119" s="368"/>
      <c r="LV119" s="368"/>
      <c r="LW119" s="368"/>
      <c r="LX119" s="368"/>
      <c r="LY119" s="368"/>
      <c r="LZ119" s="368"/>
      <c r="MA119" s="368"/>
      <c r="MB119" s="368"/>
      <c r="MC119" s="368"/>
      <c r="MD119" s="368"/>
      <c r="ME119" s="368"/>
      <c r="MF119" s="368"/>
      <c r="MG119" s="368"/>
      <c r="MH119" s="368"/>
      <c r="MI119" s="368"/>
      <c r="MJ119" s="368"/>
      <c r="MK119" s="368"/>
      <c r="ML119" s="368"/>
      <c r="MM119" s="368"/>
      <c r="MN119" s="368"/>
      <c r="MO119" s="368"/>
      <c r="MP119" s="368"/>
      <c r="MQ119" s="368"/>
      <c r="MR119" s="368"/>
      <c r="MS119" s="368"/>
      <c r="MT119" s="368"/>
      <c r="MU119" s="368"/>
      <c r="MV119" s="368"/>
      <c r="MW119" s="368"/>
      <c r="MX119" s="368"/>
      <c r="MY119" s="368"/>
      <c r="MZ119" s="368"/>
      <c r="NA119" s="368"/>
      <c r="NB119" s="368"/>
      <c r="NC119" s="368"/>
      <c r="ND119" s="368"/>
      <c r="NE119" s="368"/>
      <c r="NF119" s="368"/>
      <c r="NG119" s="368"/>
      <c r="NH119" s="368"/>
      <c r="NI119" s="368"/>
      <c r="NJ119" s="368"/>
      <c r="NK119" s="368"/>
      <c r="NL119" s="368"/>
      <c r="NM119" s="368"/>
      <c r="NN119" s="368"/>
      <c r="NO119" s="368"/>
      <c r="NP119" s="368"/>
      <c r="NQ119" s="368"/>
      <c r="NR119" s="368"/>
      <c r="NS119" s="368"/>
      <c r="NT119" s="368"/>
      <c r="NU119" s="368"/>
      <c r="NV119" s="368"/>
      <c r="NW119" s="368"/>
      <c r="NX119" s="368"/>
      <c r="NY119" s="368"/>
      <c r="NZ119" s="368"/>
      <c r="OA119" s="368"/>
      <c r="OB119" s="368"/>
      <c r="OC119" s="368"/>
      <c r="OD119" s="368"/>
      <c r="OE119" s="368"/>
      <c r="OF119" s="368"/>
      <c r="OG119" s="368"/>
      <c r="OH119" s="368"/>
      <c r="OI119" s="368"/>
      <c r="OJ119" s="368"/>
      <c r="OK119" s="368"/>
      <c r="OL119" s="368"/>
      <c r="OM119" s="368"/>
      <c r="ON119" s="368"/>
      <c r="OO119" s="368"/>
      <c r="OP119" s="368"/>
      <c r="OQ119" s="368"/>
      <c r="OR119" s="368"/>
      <c r="OS119" s="368"/>
      <c r="OT119" s="368"/>
      <c r="OU119" s="368"/>
      <c r="OV119" s="368"/>
      <c r="OW119" s="368"/>
      <c r="OX119" s="368"/>
      <c r="OY119" s="368"/>
      <c r="OZ119" s="368"/>
      <c r="PA119" s="368"/>
      <c r="PB119" s="368"/>
      <c r="PC119" s="368"/>
      <c r="PD119" s="368"/>
      <c r="PE119" s="368"/>
      <c r="PF119" s="368"/>
      <c r="PG119" s="368"/>
      <c r="PH119" s="368"/>
      <c r="PI119" s="368"/>
      <c r="PJ119" s="368"/>
      <c r="PK119" s="368"/>
      <c r="PL119" s="368"/>
      <c r="PM119" s="368"/>
      <c r="PN119" s="368"/>
      <c r="PO119" s="368"/>
      <c r="PP119" s="368"/>
      <c r="PQ119" s="368"/>
      <c r="PR119" s="368"/>
      <c r="PS119" s="368"/>
      <c r="PT119" s="368"/>
      <c r="PU119" s="368"/>
      <c r="PV119" s="368"/>
      <c r="PW119" s="368"/>
      <c r="PX119" s="368"/>
      <c r="PY119" s="368"/>
      <c r="PZ119" s="368"/>
      <c r="QA119" s="368"/>
      <c r="QB119" s="368"/>
      <c r="QC119" s="368"/>
      <c r="QD119" s="368"/>
      <c r="QE119" s="368"/>
      <c r="QF119" s="368"/>
      <c r="QG119" s="368"/>
      <c r="QH119" s="368"/>
      <c r="QI119" s="368"/>
      <c r="QJ119" s="368"/>
      <c r="QK119" s="368"/>
      <c r="QL119" s="368"/>
      <c r="QM119" s="368"/>
      <c r="QN119" s="368"/>
      <c r="QO119" s="368"/>
      <c r="QP119" s="368"/>
      <c r="QQ119" s="368"/>
      <c r="QR119" s="368"/>
      <c r="QS119" s="368"/>
      <c r="QT119" s="368"/>
      <c r="QU119" s="368"/>
      <c r="QV119" s="368"/>
      <c r="QW119" s="368"/>
      <c r="QX119" s="368"/>
      <c r="QY119" s="368"/>
      <c r="QZ119" s="368"/>
      <c r="RA119" s="368"/>
      <c r="RB119" s="368"/>
      <c r="RC119" s="368"/>
      <c r="RD119" s="368"/>
      <c r="RE119" s="368"/>
      <c r="RF119" s="368"/>
      <c r="RG119" s="368"/>
      <c r="RH119" s="368"/>
      <c r="RI119" s="368"/>
      <c r="RJ119" s="368"/>
      <c r="RK119" s="368"/>
      <c r="RL119" s="368"/>
      <c r="RM119" s="368"/>
      <c r="RN119" s="368"/>
      <c r="RO119" s="368"/>
      <c r="RP119" s="368"/>
      <c r="RQ119" s="368"/>
      <c r="RR119" s="368"/>
      <c r="RS119" s="368"/>
      <c r="RT119" s="368"/>
      <c r="RU119" s="368"/>
      <c r="RV119" s="368"/>
      <c r="RW119" s="368"/>
      <c r="RX119" s="368"/>
      <c r="RY119" s="368"/>
      <c r="RZ119" s="368"/>
      <c r="SA119" s="368"/>
      <c r="SB119" s="368"/>
      <c r="SC119" s="368"/>
      <c r="SD119" s="368"/>
      <c r="SE119" s="368"/>
      <c r="SF119" s="368"/>
      <c r="SG119" s="368"/>
      <c r="SH119" s="368"/>
      <c r="SI119" s="368"/>
      <c r="SJ119" s="368"/>
      <c r="SK119" s="368"/>
      <c r="SL119" s="368"/>
      <c r="SM119" s="368"/>
      <c r="SN119" s="368"/>
      <c r="SO119" s="368"/>
      <c r="SP119" s="368"/>
      <c r="SQ119" s="368"/>
      <c r="SR119" s="368"/>
      <c r="SS119" s="368"/>
      <c r="ST119" s="368"/>
      <c r="SU119" s="368"/>
      <c r="SV119" s="368"/>
      <c r="SW119" s="368"/>
      <c r="SX119" s="368"/>
      <c r="SY119" s="368"/>
      <c r="SZ119" s="368"/>
      <c r="TA119" s="368"/>
      <c r="TB119" s="368"/>
      <c r="TC119" s="368"/>
      <c r="TD119" s="368"/>
      <c r="TE119" s="368"/>
      <c r="TF119" s="368"/>
      <c r="TG119" s="368"/>
      <c r="TH119" s="368"/>
      <c r="TI119" s="368"/>
      <c r="TJ119" s="368"/>
      <c r="TK119" s="368"/>
      <c r="TL119" s="368"/>
      <c r="TM119" s="368"/>
      <c r="TN119" s="368"/>
      <c r="TO119" s="368"/>
      <c r="TP119" s="368"/>
      <c r="TQ119" s="368"/>
      <c r="TR119" s="368"/>
      <c r="TS119" s="368"/>
      <c r="TT119" s="368"/>
      <c r="TU119" s="368"/>
      <c r="TV119" s="368"/>
      <c r="TW119" s="368"/>
      <c r="TX119" s="368"/>
      <c r="TY119" s="368"/>
      <c r="TZ119" s="368"/>
      <c r="UA119" s="368"/>
      <c r="UB119" s="368"/>
      <c r="UC119" s="368"/>
      <c r="UD119" s="368"/>
      <c r="UE119" s="368"/>
      <c r="UF119" s="368"/>
      <c r="UG119" s="368"/>
      <c r="UH119" s="368"/>
      <c r="UI119" s="368"/>
      <c r="UJ119" s="368"/>
      <c r="UK119" s="368"/>
      <c r="UL119" s="368"/>
      <c r="UM119" s="368"/>
      <c r="UN119" s="368"/>
      <c r="UO119" s="368"/>
      <c r="UP119" s="368"/>
      <c r="UQ119" s="368"/>
      <c r="UR119" s="368"/>
      <c r="US119" s="368"/>
      <c r="UT119" s="368"/>
      <c r="UU119" s="368"/>
      <c r="UV119" s="368"/>
      <c r="UW119" s="368"/>
      <c r="UX119" s="368"/>
      <c r="UY119" s="368"/>
      <c r="UZ119" s="368"/>
      <c r="VA119" s="368"/>
      <c r="VB119" s="368"/>
      <c r="VC119" s="368"/>
      <c r="VD119" s="368"/>
      <c r="VE119" s="368"/>
      <c r="VF119" s="368"/>
      <c r="VG119" s="368"/>
      <c r="VH119" s="368"/>
      <c r="VI119" s="368"/>
      <c r="VJ119" s="368"/>
      <c r="VK119" s="368"/>
      <c r="VL119" s="368"/>
      <c r="VM119" s="368"/>
      <c r="VN119" s="368"/>
      <c r="VO119" s="368"/>
      <c r="VP119" s="368"/>
      <c r="VQ119" s="368"/>
      <c r="VR119" s="368"/>
      <c r="VS119" s="368"/>
      <c r="VT119" s="368"/>
      <c r="VU119" s="368"/>
      <c r="VV119" s="368"/>
      <c r="VW119" s="368"/>
      <c r="VX119" s="368"/>
      <c r="VY119" s="368"/>
      <c r="VZ119" s="368"/>
      <c r="WA119" s="368"/>
      <c r="WB119" s="368"/>
      <c r="WC119" s="368"/>
      <c r="WD119" s="368"/>
      <c r="WE119" s="368"/>
      <c r="WF119" s="368"/>
      <c r="WG119" s="368"/>
      <c r="WH119" s="368"/>
      <c r="WI119" s="368"/>
      <c r="WJ119" s="368"/>
      <c r="WK119" s="368"/>
      <c r="WL119" s="368"/>
      <c r="WM119" s="368"/>
      <c r="WN119" s="368"/>
      <c r="WO119" s="368"/>
      <c r="WP119" s="368"/>
      <c r="WQ119" s="368"/>
      <c r="WR119" s="368"/>
      <c r="WS119" s="368"/>
      <c r="WT119" s="368"/>
      <c r="WU119" s="368"/>
      <c r="WV119" s="368"/>
      <c r="WW119" s="368"/>
      <c r="WX119" s="368"/>
      <c r="WY119" s="368"/>
      <c r="WZ119" s="368"/>
      <c r="XA119" s="368"/>
      <c r="XB119" s="368"/>
      <c r="XC119" s="368"/>
      <c r="XD119" s="368"/>
      <c r="XE119" s="368"/>
      <c r="XF119" s="368"/>
      <c r="XG119" s="368"/>
      <c r="XH119" s="368"/>
      <c r="XI119" s="368"/>
      <c r="XJ119" s="368"/>
      <c r="XK119" s="368"/>
      <c r="XL119" s="368"/>
      <c r="XM119" s="368"/>
      <c r="XN119" s="368"/>
      <c r="XO119" s="368"/>
      <c r="XP119" s="368"/>
      <c r="XQ119" s="368"/>
      <c r="XR119" s="368"/>
      <c r="XS119" s="368"/>
      <c r="XT119" s="368"/>
      <c r="XU119" s="368"/>
      <c r="XV119" s="368"/>
      <c r="XW119" s="368"/>
      <c r="XX119" s="368"/>
      <c r="XY119" s="368"/>
      <c r="XZ119" s="368"/>
      <c r="YA119" s="368"/>
      <c r="YB119" s="368"/>
      <c r="YC119" s="368"/>
      <c r="YD119" s="368"/>
      <c r="YE119" s="368"/>
      <c r="YF119" s="368"/>
      <c r="YG119" s="368"/>
      <c r="YH119" s="368"/>
      <c r="YI119" s="368"/>
      <c r="YJ119" s="368"/>
      <c r="YK119" s="368"/>
      <c r="YL119" s="368"/>
      <c r="YM119" s="368"/>
      <c r="YN119" s="368"/>
      <c r="YO119" s="368"/>
      <c r="YP119" s="368"/>
      <c r="YQ119" s="368"/>
      <c r="YR119" s="368"/>
      <c r="YS119" s="368"/>
      <c r="YT119" s="368"/>
      <c r="YU119" s="368"/>
      <c r="YV119" s="368"/>
      <c r="YW119" s="368"/>
      <c r="YX119" s="368"/>
      <c r="YY119" s="368"/>
      <c r="YZ119" s="368"/>
      <c r="ZA119" s="368"/>
      <c r="ZB119" s="368"/>
      <c r="ZC119" s="368"/>
      <c r="ZD119" s="368"/>
      <c r="ZE119" s="368"/>
      <c r="ZF119" s="368"/>
      <c r="ZG119" s="368"/>
      <c r="ZH119" s="368"/>
      <c r="ZI119" s="368"/>
      <c r="ZJ119" s="368"/>
      <c r="ZK119" s="368"/>
      <c r="ZL119" s="368"/>
      <c r="ZM119" s="368"/>
      <c r="ZN119" s="368"/>
      <c r="ZO119" s="368"/>
      <c r="ZP119" s="368"/>
      <c r="ZQ119" s="368"/>
      <c r="ZR119" s="368"/>
      <c r="ZS119" s="368"/>
      <c r="ZT119" s="368"/>
      <c r="ZU119" s="368"/>
      <c r="ZV119" s="368"/>
      <c r="ZW119" s="368"/>
      <c r="ZX119" s="368"/>
      <c r="ZY119" s="368"/>
      <c r="ZZ119" s="368"/>
      <c r="AAA119" s="368"/>
      <c r="AAB119" s="368"/>
      <c r="AAC119" s="368"/>
      <c r="AAD119" s="368"/>
      <c r="AAE119" s="368"/>
      <c r="AAF119" s="368"/>
      <c r="AAG119" s="368"/>
      <c r="AAH119" s="368"/>
      <c r="AAI119" s="368"/>
      <c r="AAJ119" s="368"/>
      <c r="AAK119" s="368"/>
      <c r="AAL119" s="368"/>
      <c r="AAM119" s="368"/>
      <c r="AAN119" s="368"/>
      <c r="AAO119" s="368"/>
      <c r="AAP119" s="368"/>
      <c r="AAQ119" s="368"/>
      <c r="AAR119" s="368"/>
      <c r="AAS119" s="368"/>
      <c r="AAT119" s="368"/>
      <c r="AAU119" s="368"/>
      <c r="AAV119" s="368"/>
      <c r="AAW119" s="368"/>
      <c r="AAX119" s="368"/>
      <c r="AAY119" s="368"/>
      <c r="AAZ119" s="368"/>
      <c r="ABA119" s="368"/>
      <c r="ABB119" s="368"/>
      <c r="ABC119" s="368"/>
      <c r="ABD119" s="368"/>
      <c r="ABE119" s="368"/>
      <c r="ABF119" s="368"/>
      <c r="ABG119" s="368"/>
      <c r="ABH119" s="368"/>
      <c r="ABI119" s="368"/>
      <c r="ABJ119" s="368"/>
      <c r="ABK119" s="368"/>
      <c r="ABL119" s="368"/>
      <c r="ABM119" s="368"/>
      <c r="ABN119" s="368"/>
      <c r="ABO119" s="368"/>
      <c r="ABP119" s="368"/>
      <c r="ABQ119" s="368"/>
      <c r="ABR119" s="368"/>
      <c r="ABS119" s="368"/>
      <c r="ABT119" s="368"/>
      <c r="ABU119" s="368"/>
      <c r="ABV119" s="368"/>
      <c r="ABW119" s="368"/>
      <c r="ABX119" s="368"/>
      <c r="ABY119" s="368"/>
      <c r="ABZ119" s="368"/>
      <c r="ACA119" s="368"/>
      <c r="ACB119" s="368"/>
      <c r="ACC119" s="368"/>
      <c r="ACD119" s="368"/>
      <c r="ACE119" s="368"/>
      <c r="ACF119" s="368"/>
      <c r="ACG119" s="368"/>
      <c r="ACH119" s="368"/>
      <c r="ACI119" s="368"/>
      <c r="ACJ119" s="368"/>
      <c r="ACK119" s="368"/>
      <c r="ACL119" s="368"/>
      <c r="ACM119" s="368"/>
      <c r="ACN119" s="368"/>
      <c r="ACO119" s="368"/>
      <c r="ACP119" s="368"/>
      <c r="ACQ119" s="368"/>
      <c r="ACR119" s="368"/>
      <c r="ACS119" s="368"/>
      <c r="ACT119" s="368"/>
      <c r="ACU119" s="368"/>
      <c r="ACV119" s="368"/>
      <c r="ACW119" s="368"/>
      <c r="ACX119" s="368"/>
      <c r="ACY119" s="368"/>
      <c r="ACZ119" s="368"/>
      <c r="ADA119" s="368"/>
      <c r="ADB119" s="368"/>
      <c r="ADC119" s="368"/>
      <c r="ADD119" s="368"/>
      <c r="ADE119" s="368"/>
      <c r="ADF119" s="368"/>
      <c r="ADG119" s="368"/>
      <c r="ADH119" s="368"/>
      <c r="ADI119" s="368"/>
      <c r="ADJ119" s="368"/>
      <c r="ADK119" s="368"/>
      <c r="ADL119" s="368"/>
      <c r="ADM119" s="368"/>
      <c r="ADN119" s="368"/>
      <c r="ADO119" s="368"/>
      <c r="ADP119" s="368"/>
      <c r="ADQ119" s="368"/>
      <c r="ADR119" s="368"/>
      <c r="ADS119" s="368"/>
      <c r="ADT119" s="368"/>
      <c r="ADU119" s="368"/>
      <c r="ADV119" s="368"/>
      <c r="ADW119" s="368"/>
      <c r="ADX119" s="368"/>
      <c r="ADY119" s="368"/>
      <c r="ADZ119" s="368"/>
      <c r="AEA119" s="368"/>
      <c r="AEB119" s="368"/>
      <c r="AEC119" s="368"/>
      <c r="AED119" s="368"/>
      <c r="AEE119" s="368"/>
      <c r="AEF119" s="368"/>
      <c r="AEG119" s="368"/>
      <c r="AEH119" s="368"/>
      <c r="AEI119" s="368"/>
      <c r="AEJ119" s="368"/>
      <c r="AEK119" s="368"/>
      <c r="AEL119" s="368"/>
      <c r="AEM119" s="368"/>
      <c r="AEN119" s="368"/>
      <c r="AEO119" s="368"/>
      <c r="AEP119" s="368"/>
      <c r="AEQ119" s="368"/>
      <c r="AER119" s="368"/>
      <c r="AES119" s="368"/>
      <c r="AET119" s="368"/>
      <c r="AEU119" s="368"/>
      <c r="AEV119" s="368"/>
      <c r="AEW119" s="368"/>
      <c r="AEX119" s="368"/>
      <c r="AEY119" s="368"/>
      <c r="AEZ119" s="368"/>
      <c r="AFA119" s="368"/>
      <c r="AFB119" s="368"/>
      <c r="AFC119" s="368"/>
      <c r="AFD119" s="368"/>
      <c r="AFE119" s="368"/>
      <c r="AFF119" s="368"/>
      <c r="AFG119" s="368"/>
      <c r="AFH119" s="368"/>
      <c r="AFI119" s="368"/>
      <c r="AFJ119" s="368"/>
      <c r="AFK119" s="368"/>
      <c r="AFL119" s="368"/>
      <c r="AFM119" s="368"/>
      <c r="AFN119" s="368"/>
      <c r="AFO119" s="368"/>
      <c r="AFP119" s="368"/>
      <c r="AFQ119" s="368"/>
      <c r="AFR119" s="368"/>
      <c r="AFS119" s="368"/>
      <c r="AFT119" s="368"/>
      <c r="AFU119" s="368"/>
      <c r="AFV119" s="368"/>
      <c r="AFW119" s="368"/>
      <c r="AFX119" s="368"/>
      <c r="AFY119" s="368"/>
      <c r="AFZ119" s="368"/>
      <c r="AGA119" s="368"/>
      <c r="AGB119" s="368"/>
      <c r="AGC119" s="368"/>
      <c r="AGD119" s="368"/>
      <c r="AGE119" s="368"/>
      <c r="AGF119" s="368"/>
      <c r="AGG119" s="368"/>
      <c r="AGH119" s="368"/>
      <c r="AGI119" s="368"/>
      <c r="AGJ119" s="368"/>
      <c r="AGK119" s="368"/>
      <c r="AGL119" s="368"/>
      <c r="AGM119" s="368"/>
      <c r="AGN119" s="368"/>
      <c r="AGO119" s="368"/>
      <c r="AGP119" s="368"/>
      <c r="AGQ119" s="368"/>
      <c r="AGR119" s="368"/>
      <c r="AGS119" s="368"/>
      <c r="AGT119" s="368"/>
      <c r="AGU119" s="368"/>
      <c r="AGV119" s="368"/>
      <c r="AGW119" s="368"/>
      <c r="AGX119" s="368"/>
      <c r="AGY119" s="368"/>
      <c r="AGZ119" s="368"/>
      <c r="AHA119" s="368"/>
      <c r="AHB119" s="368"/>
      <c r="AHC119" s="368"/>
      <c r="AHD119" s="368"/>
      <c r="AHE119" s="368"/>
      <c r="AHF119" s="368"/>
      <c r="AHG119" s="368"/>
      <c r="AHH119" s="368"/>
      <c r="AHI119" s="368"/>
      <c r="AHJ119" s="368"/>
      <c r="AHK119" s="368"/>
      <c r="AHL119" s="368"/>
      <c r="AHM119" s="368"/>
      <c r="AHN119" s="368"/>
      <c r="AHO119" s="368"/>
      <c r="AHP119" s="368"/>
      <c r="AHQ119" s="368"/>
      <c r="AHR119" s="368"/>
      <c r="AHS119" s="368"/>
      <c r="AHT119" s="368"/>
      <c r="AHU119" s="368"/>
      <c r="AHV119" s="368"/>
      <c r="AHW119" s="368"/>
      <c r="AHX119" s="368"/>
      <c r="AHY119" s="368"/>
      <c r="AHZ119" s="368"/>
      <c r="AIA119" s="368"/>
      <c r="AIB119" s="368"/>
      <c r="AIC119" s="368"/>
      <c r="AID119" s="368"/>
      <c r="AIE119" s="368"/>
      <c r="AIF119" s="368"/>
      <c r="AIG119" s="368"/>
      <c r="AIH119" s="368"/>
      <c r="AII119" s="368"/>
      <c r="AIJ119" s="368"/>
      <c r="AIK119" s="368"/>
      <c r="AIL119" s="368"/>
      <c r="AIM119" s="368"/>
      <c r="AIN119" s="368"/>
      <c r="AIO119" s="368"/>
      <c r="AIP119" s="368"/>
      <c r="AIQ119" s="368"/>
      <c r="AIR119" s="368"/>
      <c r="AIS119" s="368"/>
      <c r="AIT119" s="368"/>
      <c r="AIU119" s="368"/>
      <c r="AIV119" s="368"/>
      <c r="AIW119" s="368"/>
      <c r="AIX119" s="368"/>
      <c r="AIY119" s="368"/>
      <c r="AIZ119" s="368"/>
      <c r="AJA119" s="368"/>
      <c r="AJB119" s="368"/>
      <c r="AJC119" s="368"/>
      <c r="AJD119" s="368"/>
      <c r="AJE119" s="368"/>
      <c r="AJF119" s="368"/>
      <c r="AJG119" s="368"/>
      <c r="AJH119" s="368"/>
      <c r="AJI119" s="368"/>
      <c r="AJJ119" s="368"/>
      <c r="AJK119" s="368"/>
      <c r="AJL119" s="368"/>
      <c r="AJM119" s="368"/>
      <c r="AJN119" s="368"/>
      <c r="AJO119" s="368"/>
      <c r="AJP119" s="368"/>
      <c r="AJQ119" s="368"/>
      <c r="AJR119" s="368"/>
      <c r="AJS119" s="368"/>
      <c r="AJT119" s="368"/>
      <c r="AJU119" s="368"/>
      <c r="AJV119" s="368"/>
      <c r="AJW119" s="368"/>
      <c r="AJX119" s="368"/>
      <c r="AJY119" s="368"/>
      <c r="AJZ119" s="368"/>
      <c r="AKA119" s="368"/>
      <c r="AKB119" s="368"/>
      <c r="AKC119" s="368"/>
      <c r="AKD119" s="368"/>
      <c r="AKE119" s="368"/>
      <c r="AKF119" s="368"/>
      <c r="AKG119" s="368"/>
      <c r="AKH119" s="368"/>
      <c r="AKI119" s="368"/>
      <c r="AKJ119" s="368"/>
      <c r="AKK119" s="368"/>
      <c r="AKL119" s="368"/>
      <c r="AKM119" s="368"/>
      <c r="AKN119" s="368"/>
    </row>
    <row r="120" spans="1:976" s="375" customFormat="1" ht="22.5" customHeight="1" x14ac:dyDescent="0.2">
      <c r="A120" s="428" t="s">
        <v>262</v>
      </c>
      <c r="B120" s="428"/>
      <c r="C120" s="428" t="s">
        <v>221</v>
      </c>
      <c r="D120" s="428" t="s">
        <v>222</v>
      </c>
      <c r="E120" s="429">
        <v>412856</v>
      </c>
      <c r="F120" s="429">
        <v>1634</v>
      </c>
      <c r="G120" s="429">
        <v>254</v>
      </c>
      <c r="H120" s="429">
        <v>0</v>
      </c>
      <c r="I120" s="430">
        <v>45874</v>
      </c>
      <c r="J120" s="428" t="s">
        <v>395</v>
      </c>
      <c r="K120" s="428" t="s">
        <v>612</v>
      </c>
      <c r="L120" s="431">
        <v>128.36000000000001</v>
      </c>
      <c r="M120" s="431">
        <v>8.26</v>
      </c>
      <c r="N120" s="441">
        <v>136.62</v>
      </c>
      <c r="O120" s="428"/>
      <c r="P120" s="432">
        <v>45888</v>
      </c>
      <c r="Q120" s="431">
        <v>136.62</v>
      </c>
      <c r="R120" s="428" t="s">
        <v>613</v>
      </c>
      <c r="S120" s="431">
        <v>0</v>
      </c>
      <c r="T120" s="431">
        <v>0</v>
      </c>
      <c r="U120" s="431">
        <v>0</v>
      </c>
      <c r="V120" s="431">
        <v>0</v>
      </c>
      <c r="W120" s="428"/>
      <c r="X120" s="428" t="s">
        <v>293</v>
      </c>
      <c r="Y120" s="428" t="s">
        <v>294</v>
      </c>
      <c r="Z120" s="428" t="s">
        <v>42</v>
      </c>
      <c r="AA120" s="428" t="s">
        <v>228</v>
      </c>
      <c r="AB120" s="428" t="s">
        <v>235</v>
      </c>
      <c r="AC120" s="428" t="s">
        <v>236</v>
      </c>
      <c r="AD120" s="428" t="s">
        <v>231</v>
      </c>
      <c r="AE120" s="428" t="s">
        <v>232</v>
      </c>
      <c r="AF120" s="428" t="s">
        <v>231</v>
      </c>
      <c r="AG120" s="428" t="s">
        <v>232</v>
      </c>
      <c r="AH120" s="428"/>
      <c r="AI120" s="428"/>
      <c r="AJ120" s="428"/>
      <c r="AK120" s="428" t="s">
        <v>614</v>
      </c>
      <c r="AL120" s="429">
        <v>1</v>
      </c>
      <c r="AM120" s="429">
        <v>0</v>
      </c>
      <c r="AN120" s="430">
        <v>45888</v>
      </c>
      <c r="AO120" s="430">
        <v>45887</v>
      </c>
      <c r="AP120" s="431">
        <v>136.62</v>
      </c>
      <c r="AQ120" s="430">
        <v>45886</v>
      </c>
      <c r="AR120" s="368"/>
      <c r="AS120" s="368"/>
      <c r="AT120" s="368"/>
      <c r="AU120" s="368"/>
      <c r="AV120" s="368"/>
      <c r="AW120" s="368"/>
      <c r="AX120" s="368"/>
      <c r="AY120" s="368"/>
      <c r="AZ120" s="368"/>
      <c r="BA120" s="368"/>
      <c r="BB120" s="368"/>
      <c r="BC120" s="368"/>
      <c r="BD120" s="368"/>
      <c r="BE120" s="368"/>
      <c r="BF120" s="368"/>
      <c r="BG120" s="368"/>
      <c r="BH120" s="368"/>
      <c r="BI120" s="368"/>
      <c r="BJ120" s="368"/>
      <c r="BK120" s="368"/>
      <c r="BL120" s="368"/>
      <c r="BM120" s="368"/>
      <c r="BN120" s="368"/>
      <c r="BO120" s="368"/>
      <c r="BP120" s="368"/>
      <c r="BQ120" s="368"/>
      <c r="BR120" s="368"/>
      <c r="BS120" s="368"/>
      <c r="BT120" s="368"/>
      <c r="BU120" s="368"/>
      <c r="BV120" s="368"/>
      <c r="BW120" s="368"/>
      <c r="BX120" s="368"/>
      <c r="BY120" s="368"/>
      <c r="BZ120" s="368"/>
      <c r="CA120" s="368"/>
      <c r="CB120" s="368"/>
      <c r="CC120" s="368"/>
      <c r="CD120" s="368"/>
      <c r="CE120" s="368"/>
      <c r="CF120" s="368"/>
      <c r="CG120" s="368"/>
      <c r="CH120" s="368"/>
      <c r="CI120" s="368"/>
      <c r="CJ120" s="368"/>
      <c r="CK120" s="368"/>
      <c r="CL120" s="368"/>
      <c r="CM120" s="368"/>
      <c r="CN120" s="368"/>
      <c r="CO120" s="368"/>
      <c r="CP120" s="368"/>
      <c r="CQ120" s="368"/>
      <c r="CR120" s="368"/>
      <c r="CS120" s="368"/>
      <c r="CT120" s="368"/>
      <c r="CU120" s="368"/>
      <c r="CV120" s="368"/>
      <c r="CW120" s="368"/>
      <c r="CX120" s="368"/>
      <c r="CY120" s="368"/>
      <c r="CZ120" s="368"/>
      <c r="DA120" s="368"/>
      <c r="DB120" s="368"/>
      <c r="DC120" s="368"/>
      <c r="DD120" s="368"/>
      <c r="DE120" s="368"/>
      <c r="DF120" s="368"/>
      <c r="DG120" s="368"/>
      <c r="DH120" s="368"/>
      <c r="DI120" s="368"/>
      <c r="DJ120" s="368"/>
      <c r="DK120" s="368"/>
      <c r="DL120" s="368"/>
      <c r="DM120" s="368"/>
      <c r="DN120" s="368"/>
      <c r="DO120" s="368"/>
      <c r="DP120" s="368"/>
      <c r="DQ120" s="368"/>
      <c r="DR120" s="368"/>
      <c r="DS120" s="368"/>
      <c r="DT120" s="368"/>
      <c r="DU120" s="368"/>
      <c r="DV120" s="368"/>
      <c r="DW120" s="368"/>
      <c r="DX120" s="368"/>
      <c r="DY120" s="368"/>
      <c r="DZ120" s="368"/>
      <c r="EA120" s="368"/>
      <c r="EB120" s="368"/>
      <c r="EC120" s="368"/>
      <c r="ED120" s="368"/>
      <c r="EE120" s="368"/>
      <c r="EF120" s="368"/>
      <c r="EG120" s="368"/>
      <c r="EH120" s="368"/>
      <c r="EI120" s="368"/>
      <c r="EJ120" s="368"/>
      <c r="EK120" s="368"/>
      <c r="EL120" s="368"/>
      <c r="EM120" s="368"/>
      <c r="EN120" s="368"/>
      <c r="EO120" s="368"/>
      <c r="EP120" s="368"/>
      <c r="EQ120" s="368"/>
      <c r="ER120" s="368"/>
      <c r="ES120" s="368"/>
      <c r="ET120" s="368"/>
      <c r="EU120" s="368"/>
      <c r="EV120" s="368"/>
      <c r="EW120" s="368"/>
      <c r="EX120" s="368"/>
      <c r="EY120" s="368"/>
      <c r="EZ120" s="368"/>
      <c r="FA120" s="368"/>
      <c r="FB120" s="368"/>
      <c r="FC120" s="368"/>
      <c r="FD120" s="368"/>
      <c r="FE120" s="368"/>
      <c r="FF120" s="368"/>
      <c r="FG120" s="368"/>
      <c r="FH120" s="368"/>
      <c r="FI120" s="368"/>
      <c r="FJ120" s="368"/>
      <c r="FK120" s="368"/>
      <c r="FL120" s="368"/>
      <c r="FM120" s="368"/>
      <c r="FN120" s="368"/>
      <c r="FO120" s="368"/>
      <c r="FP120" s="368"/>
      <c r="FQ120" s="368"/>
      <c r="FR120" s="368"/>
      <c r="FS120" s="368"/>
      <c r="FT120" s="368"/>
      <c r="FU120" s="368"/>
      <c r="FV120" s="368"/>
      <c r="FW120" s="368"/>
      <c r="FX120" s="368"/>
      <c r="FY120" s="368"/>
      <c r="FZ120" s="368"/>
      <c r="GA120" s="368"/>
      <c r="GB120" s="368"/>
      <c r="GC120" s="368"/>
      <c r="GD120" s="368"/>
      <c r="GE120" s="368"/>
      <c r="GF120" s="368"/>
      <c r="GG120" s="368"/>
      <c r="GH120" s="368"/>
      <c r="GI120" s="368"/>
      <c r="GJ120" s="368"/>
      <c r="GK120" s="368"/>
      <c r="GL120" s="368"/>
      <c r="GM120" s="368"/>
      <c r="GN120" s="368"/>
      <c r="GO120" s="368"/>
      <c r="GP120" s="368"/>
      <c r="GQ120" s="368"/>
      <c r="GR120" s="368"/>
      <c r="GS120" s="368"/>
      <c r="GT120" s="368"/>
      <c r="GU120" s="368"/>
      <c r="GV120" s="368"/>
      <c r="GW120" s="368"/>
      <c r="GX120" s="368"/>
      <c r="GY120" s="368"/>
      <c r="GZ120" s="368"/>
      <c r="HA120" s="368"/>
      <c r="HB120" s="368"/>
      <c r="HC120" s="368"/>
      <c r="HD120" s="368"/>
      <c r="HE120" s="368"/>
      <c r="HF120" s="368"/>
      <c r="HG120" s="368"/>
      <c r="HH120" s="368"/>
      <c r="HI120" s="368"/>
      <c r="HJ120" s="368"/>
      <c r="HK120" s="368"/>
      <c r="HL120" s="368"/>
      <c r="HM120" s="368"/>
      <c r="HN120" s="368"/>
      <c r="HO120" s="368"/>
      <c r="HP120" s="368"/>
      <c r="HQ120" s="368"/>
      <c r="HR120" s="368"/>
      <c r="HS120" s="368"/>
      <c r="HT120" s="368"/>
      <c r="HU120" s="368"/>
      <c r="HV120" s="368"/>
      <c r="HW120" s="368"/>
      <c r="HX120" s="368"/>
      <c r="HY120" s="368"/>
      <c r="HZ120" s="368"/>
      <c r="IA120" s="368"/>
      <c r="IB120" s="368"/>
      <c r="IC120" s="368"/>
      <c r="ID120" s="368"/>
      <c r="IE120" s="368"/>
      <c r="IF120" s="368"/>
      <c r="IG120" s="368"/>
      <c r="IH120" s="368"/>
      <c r="II120" s="368"/>
      <c r="IJ120" s="368"/>
      <c r="IK120" s="368"/>
      <c r="IL120" s="368"/>
      <c r="IM120" s="368"/>
      <c r="IN120" s="368"/>
      <c r="IO120" s="368"/>
      <c r="IP120" s="368"/>
      <c r="IQ120" s="368"/>
      <c r="IR120" s="368"/>
      <c r="IS120" s="368"/>
      <c r="IT120" s="368"/>
      <c r="IU120" s="368"/>
      <c r="IV120" s="368"/>
      <c r="IW120" s="368"/>
      <c r="IX120" s="368"/>
      <c r="IY120" s="368"/>
      <c r="IZ120" s="368"/>
      <c r="JA120" s="368"/>
      <c r="JB120" s="368"/>
      <c r="JC120" s="368"/>
      <c r="JD120" s="368"/>
      <c r="JE120" s="368"/>
      <c r="JF120" s="368"/>
      <c r="JG120" s="368"/>
      <c r="JH120" s="368"/>
      <c r="JI120" s="368"/>
      <c r="JJ120" s="368"/>
      <c r="JK120" s="368"/>
      <c r="JL120" s="368"/>
      <c r="JM120" s="368"/>
      <c r="JN120" s="368"/>
      <c r="JO120" s="368"/>
      <c r="JP120" s="368"/>
      <c r="JQ120" s="368"/>
      <c r="JR120" s="368"/>
      <c r="JS120" s="368"/>
      <c r="JT120" s="368"/>
      <c r="JU120" s="368"/>
      <c r="JV120" s="368"/>
      <c r="JW120" s="368"/>
      <c r="JX120" s="368"/>
      <c r="JY120" s="368"/>
      <c r="JZ120" s="368"/>
      <c r="KA120" s="368"/>
      <c r="KB120" s="368"/>
      <c r="KC120" s="368"/>
      <c r="KD120" s="368"/>
      <c r="KE120" s="368"/>
      <c r="KF120" s="368"/>
      <c r="KG120" s="368"/>
      <c r="KH120" s="368"/>
      <c r="KI120" s="368"/>
      <c r="KJ120" s="368"/>
      <c r="KK120" s="368"/>
      <c r="KL120" s="368"/>
      <c r="KM120" s="368"/>
      <c r="KN120" s="368"/>
      <c r="KO120" s="368"/>
      <c r="KP120" s="368"/>
      <c r="KQ120" s="368"/>
      <c r="KR120" s="368"/>
      <c r="KS120" s="368"/>
      <c r="KT120" s="368"/>
      <c r="KU120" s="368"/>
      <c r="KV120" s="368"/>
      <c r="KW120" s="368"/>
      <c r="KX120" s="368"/>
      <c r="KY120" s="368"/>
      <c r="KZ120" s="368"/>
      <c r="LA120" s="368"/>
      <c r="LB120" s="368"/>
      <c r="LC120" s="368"/>
      <c r="LD120" s="368"/>
      <c r="LE120" s="368"/>
      <c r="LF120" s="368"/>
      <c r="LG120" s="368"/>
      <c r="LH120" s="368"/>
      <c r="LI120" s="368"/>
      <c r="LJ120" s="368"/>
      <c r="LK120" s="368"/>
      <c r="LL120" s="368"/>
      <c r="LM120" s="368"/>
      <c r="LN120" s="368"/>
      <c r="LO120" s="368"/>
      <c r="LP120" s="368"/>
      <c r="LQ120" s="368"/>
      <c r="LR120" s="368"/>
      <c r="LS120" s="368"/>
      <c r="LT120" s="368"/>
      <c r="LU120" s="368"/>
      <c r="LV120" s="368"/>
      <c r="LW120" s="368"/>
      <c r="LX120" s="368"/>
      <c r="LY120" s="368"/>
      <c r="LZ120" s="368"/>
      <c r="MA120" s="368"/>
      <c r="MB120" s="368"/>
      <c r="MC120" s="368"/>
      <c r="MD120" s="368"/>
      <c r="ME120" s="368"/>
      <c r="MF120" s="368"/>
      <c r="MG120" s="368"/>
      <c r="MH120" s="368"/>
      <c r="MI120" s="368"/>
      <c r="MJ120" s="368"/>
      <c r="MK120" s="368"/>
      <c r="ML120" s="368"/>
      <c r="MM120" s="368"/>
      <c r="MN120" s="368"/>
      <c r="MO120" s="368"/>
      <c r="MP120" s="368"/>
      <c r="MQ120" s="368"/>
      <c r="MR120" s="368"/>
      <c r="MS120" s="368"/>
      <c r="MT120" s="368"/>
      <c r="MU120" s="368"/>
      <c r="MV120" s="368"/>
      <c r="MW120" s="368"/>
      <c r="MX120" s="368"/>
      <c r="MY120" s="368"/>
      <c r="MZ120" s="368"/>
      <c r="NA120" s="368"/>
      <c r="NB120" s="368"/>
      <c r="NC120" s="368"/>
      <c r="ND120" s="368"/>
      <c r="NE120" s="368"/>
      <c r="NF120" s="368"/>
      <c r="NG120" s="368"/>
      <c r="NH120" s="368"/>
      <c r="NI120" s="368"/>
      <c r="NJ120" s="368"/>
      <c r="NK120" s="368"/>
      <c r="NL120" s="368"/>
      <c r="NM120" s="368"/>
      <c r="NN120" s="368"/>
      <c r="NO120" s="368"/>
      <c r="NP120" s="368"/>
      <c r="NQ120" s="368"/>
      <c r="NR120" s="368"/>
      <c r="NS120" s="368"/>
      <c r="NT120" s="368"/>
      <c r="NU120" s="368"/>
      <c r="NV120" s="368"/>
      <c r="NW120" s="368"/>
      <c r="NX120" s="368"/>
      <c r="NY120" s="368"/>
      <c r="NZ120" s="368"/>
      <c r="OA120" s="368"/>
      <c r="OB120" s="368"/>
      <c r="OC120" s="368"/>
      <c r="OD120" s="368"/>
      <c r="OE120" s="368"/>
      <c r="OF120" s="368"/>
      <c r="OG120" s="368"/>
      <c r="OH120" s="368"/>
      <c r="OI120" s="368"/>
      <c r="OJ120" s="368"/>
      <c r="OK120" s="368"/>
      <c r="OL120" s="368"/>
      <c r="OM120" s="368"/>
      <c r="ON120" s="368"/>
      <c r="OO120" s="368"/>
      <c r="OP120" s="368"/>
      <c r="OQ120" s="368"/>
      <c r="OR120" s="368"/>
      <c r="OS120" s="368"/>
      <c r="OT120" s="368"/>
      <c r="OU120" s="368"/>
      <c r="OV120" s="368"/>
      <c r="OW120" s="368"/>
      <c r="OX120" s="368"/>
      <c r="OY120" s="368"/>
      <c r="OZ120" s="368"/>
      <c r="PA120" s="368"/>
      <c r="PB120" s="368"/>
      <c r="PC120" s="368"/>
      <c r="PD120" s="368"/>
      <c r="PE120" s="368"/>
      <c r="PF120" s="368"/>
      <c r="PG120" s="368"/>
      <c r="PH120" s="368"/>
      <c r="PI120" s="368"/>
      <c r="PJ120" s="368"/>
      <c r="PK120" s="368"/>
      <c r="PL120" s="368"/>
      <c r="PM120" s="368"/>
      <c r="PN120" s="368"/>
      <c r="PO120" s="368"/>
      <c r="PP120" s="368"/>
      <c r="PQ120" s="368"/>
      <c r="PR120" s="368"/>
      <c r="PS120" s="368"/>
      <c r="PT120" s="368"/>
      <c r="PU120" s="368"/>
      <c r="PV120" s="368"/>
      <c r="PW120" s="368"/>
      <c r="PX120" s="368"/>
      <c r="PY120" s="368"/>
      <c r="PZ120" s="368"/>
      <c r="QA120" s="368"/>
      <c r="QB120" s="368"/>
      <c r="QC120" s="368"/>
      <c r="QD120" s="368"/>
      <c r="QE120" s="368"/>
      <c r="QF120" s="368"/>
      <c r="QG120" s="368"/>
      <c r="QH120" s="368"/>
      <c r="QI120" s="368"/>
      <c r="QJ120" s="368"/>
      <c r="QK120" s="368"/>
      <c r="QL120" s="368"/>
      <c r="QM120" s="368"/>
      <c r="QN120" s="368"/>
      <c r="QO120" s="368"/>
      <c r="QP120" s="368"/>
      <c r="QQ120" s="368"/>
      <c r="QR120" s="368"/>
      <c r="QS120" s="368"/>
      <c r="QT120" s="368"/>
      <c r="QU120" s="368"/>
      <c r="QV120" s="368"/>
      <c r="QW120" s="368"/>
      <c r="QX120" s="368"/>
      <c r="QY120" s="368"/>
      <c r="QZ120" s="368"/>
      <c r="RA120" s="368"/>
      <c r="RB120" s="368"/>
      <c r="RC120" s="368"/>
      <c r="RD120" s="368"/>
      <c r="RE120" s="368"/>
      <c r="RF120" s="368"/>
      <c r="RG120" s="368"/>
      <c r="RH120" s="368"/>
      <c r="RI120" s="368"/>
      <c r="RJ120" s="368"/>
      <c r="RK120" s="368"/>
      <c r="RL120" s="368"/>
      <c r="RM120" s="368"/>
      <c r="RN120" s="368"/>
      <c r="RO120" s="368"/>
      <c r="RP120" s="368"/>
      <c r="RQ120" s="368"/>
      <c r="RR120" s="368"/>
      <c r="RS120" s="368"/>
      <c r="RT120" s="368"/>
      <c r="RU120" s="368"/>
      <c r="RV120" s="368"/>
      <c r="RW120" s="368"/>
      <c r="RX120" s="368"/>
      <c r="RY120" s="368"/>
      <c r="RZ120" s="368"/>
      <c r="SA120" s="368"/>
      <c r="SB120" s="368"/>
      <c r="SC120" s="368"/>
      <c r="SD120" s="368"/>
      <c r="SE120" s="368"/>
      <c r="SF120" s="368"/>
      <c r="SG120" s="368"/>
      <c r="SH120" s="368"/>
      <c r="SI120" s="368"/>
      <c r="SJ120" s="368"/>
      <c r="SK120" s="368"/>
      <c r="SL120" s="368"/>
      <c r="SM120" s="368"/>
      <c r="SN120" s="368"/>
      <c r="SO120" s="368"/>
      <c r="SP120" s="368"/>
      <c r="SQ120" s="368"/>
      <c r="SR120" s="368"/>
      <c r="SS120" s="368"/>
      <c r="ST120" s="368"/>
      <c r="SU120" s="368"/>
      <c r="SV120" s="368"/>
      <c r="SW120" s="368"/>
      <c r="SX120" s="368"/>
      <c r="SY120" s="368"/>
      <c r="SZ120" s="368"/>
      <c r="TA120" s="368"/>
      <c r="TB120" s="368"/>
      <c r="TC120" s="368"/>
      <c r="TD120" s="368"/>
      <c r="TE120" s="368"/>
      <c r="TF120" s="368"/>
      <c r="TG120" s="368"/>
      <c r="TH120" s="368"/>
      <c r="TI120" s="368"/>
      <c r="TJ120" s="368"/>
      <c r="TK120" s="368"/>
      <c r="TL120" s="368"/>
      <c r="TM120" s="368"/>
      <c r="TN120" s="368"/>
      <c r="TO120" s="368"/>
      <c r="TP120" s="368"/>
      <c r="TQ120" s="368"/>
      <c r="TR120" s="368"/>
      <c r="TS120" s="368"/>
      <c r="TT120" s="368"/>
      <c r="TU120" s="368"/>
      <c r="TV120" s="368"/>
      <c r="TW120" s="368"/>
      <c r="TX120" s="368"/>
      <c r="TY120" s="368"/>
      <c r="TZ120" s="368"/>
      <c r="UA120" s="368"/>
      <c r="UB120" s="368"/>
      <c r="UC120" s="368"/>
      <c r="UD120" s="368"/>
      <c r="UE120" s="368"/>
      <c r="UF120" s="368"/>
      <c r="UG120" s="368"/>
      <c r="UH120" s="368"/>
      <c r="UI120" s="368"/>
      <c r="UJ120" s="368"/>
      <c r="UK120" s="368"/>
      <c r="UL120" s="368"/>
      <c r="UM120" s="368"/>
      <c r="UN120" s="368"/>
      <c r="UO120" s="368"/>
      <c r="UP120" s="368"/>
      <c r="UQ120" s="368"/>
      <c r="UR120" s="368"/>
      <c r="US120" s="368"/>
      <c r="UT120" s="368"/>
      <c r="UU120" s="368"/>
      <c r="UV120" s="368"/>
      <c r="UW120" s="368"/>
      <c r="UX120" s="368"/>
      <c r="UY120" s="368"/>
      <c r="UZ120" s="368"/>
      <c r="VA120" s="368"/>
      <c r="VB120" s="368"/>
      <c r="VC120" s="368"/>
      <c r="VD120" s="368"/>
      <c r="VE120" s="368"/>
      <c r="VF120" s="368"/>
      <c r="VG120" s="368"/>
      <c r="VH120" s="368"/>
      <c r="VI120" s="368"/>
      <c r="VJ120" s="368"/>
      <c r="VK120" s="368"/>
      <c r="VL120" s="368"/>
      <c r="VM120" s="368"/>
      <c r="VN120" s="368"/>
      <c r="VO120" s="368"/>
      <c r="VP120" s="368"/>
      <c r="VQ120" s="368"/>
      <c r="VR120" s="368"/>
      <c r="VS120" s="368"/>
      <c r="VT120" s="368"/>
      <c r="VU120" s="368"/>
      <c r="VV120" s="368"/>
      <c r="VW120" s="368"/>
      <c r="VX120" s="368"/>
      <c r="VY120" s="368"/>
      <c r="VZ120" s="368"/>
      <c r="WA120" s="368"/>
      <c r="WB120" s="368"/>
      <c r="WC120" s="368"/>
      <c r="WD120" s="368"/>
      <c r="WE120" s="368"/>
      <c r="WF120" s="368"/>
      <c r="WG120" s="368"/>
      <c r="WH120" s="368"/>
      <c r="WI120" s="368"/>
      <c r="WJ120" s="368"/>
      <c r="WK120" s="368"/>
      <c r="WL120" s="368"/>
      <c r="WM120" s="368"/>
      <c r="WN120" s="368"/>
      <c r="WO120" s="368"/>
      <c r="WP120" s="368"/>
      <c r="WQ120" s="368"/>
      <c r="WR120" s="368"/>
      <c r="WS120" s="368"/>
      <c r="WT120" s="368"/>
      <c r="WU120" s="368"/>
      <c r="WV120" s="368"/>
      <c r="WW120" s="368"/>
      <c r="WX120" s="368"/>
      <c r="WY120" s="368"/>
      <c r="WZ120" s="368"/>
      <c r="XA120" s="368"/>
      <c r="XB120" s="368"/>
      <c r="XC120" s="368"/>
      <c r="XD120" s="368"/>
      <c r="XE120" s="368"/>
      <c r="XF120" s="368"/>
      <c r="XG120" s="368"/>
      <c r="XH120" s="368"/>
      <c r="XI120" s="368"/>
      <c r="XJ120" s="368"/>
      <c r="XK120" s="368"/>
      <c r="XL120" s="368"/>
      <c r="XM120" s="368"/>
      <c r="XN120" s="368"/>
      <c r="XO120" s="368"/>
      <c r="XP120" s="368"/>
      <c r="XQ120" s="368"/>
      <c r="XR120" s="368"/>
      <c r="XS120" s="368"/>
      <c r="XT120" s="368"/>
      <c r="XU120" s="368"/>
      <c r="XV120" s="368"/>
      <c r="XW120" s="368"/>
      <c r="XX120" s="368"/>
      <c r="XY120" s="368"/>
      <c r="XZ120" s="368"/>
      <c r="YA120" s="368"/>
      <c r="YB120" s="368"/>
      <c r="YC120" s="368"/>
      <c r="YD120" s="368"/>
      <c r="YE120" s="368"/>
      <c r="YF120" s="368"/>
      <c r="YG120" s="368"/>
      <c r="YH120" s="368"/>
      <c r="YI120" s="368"/>
      <c r="YJ120" s="368"/>
      <c r="YK120" s="368"/>
      <c r="YL120" s="368"/>
      <c r="YM120" s="368"/>
      <c r="YN120" s="368"/>
      <c r="YO120" s="368"/>
      <c r="YP120" s="368"/>
      <c r="YQ120" s="368"/>
      <c r="YR120" s="368"/>
      <c r="YS120" s="368"/>
      <c r="YT120" s="368"/>
      <c r="YU120" s="368"/>
      <c r="YV120" s="368"/>
      <c r="YW120" s="368"/>
      <c r="YX120" s="368"/>
      <c r="YY120" s="368"/>
      <c r="YZ120" s="368"/>
      <c r="ZA120" s="368"/>
      <c r="ZB120" s="368"/>
      <c r="ZC120" s="368"/>
      <c r="ZD120" s="368"/>
      <c r="ZE120" s="368"/>
      <c r="ZF120" s="368"/>
      <c r="ZG120" s="368"/>
      <c r="ZH120" s="368"/>
      <c r="ZI120" s="368"/>
      <c r="ZJ120" s="368"/>
      <c r="ZK120" s="368"/>
      <c r="ZL120" s="368"/>
      <c r="ZM120" s="368"/>
      <c r="ZN120" s="368"/>
      <c r="ZO120" s="368"/>
      <c r="ZP120" s="368"/>
      <c r="ZQ120" s="368"/>
      <c r="ZR120" s="368"/>
      <c r="ZS120" s="368"/>
      <c r="ZT120" s="368"/>
      <c r="ZU120" s="368"/>
      <c r="ZV120" s="368"/>
      <c r="ZW120" s="368"/>
      <c r="ZX120" s="368"/>
      <c r="ZY120" s="368"/>
      <c r="ZZ120" s="368"/>
      <c r="AAA120" s="368"/>
      <c r="AAB120" s="368"/>
      <c r="AAC120" s="368"/>
      <c r="AAD120" s="368"/>
      <c r="AAE120" s="368"/>
      <c r="AAF120" s="368"/>
      <c r="AAG120" s="368"/>
      <c r="AAH120" s="368"/>
      <c r="AAI120" s="368"/>
      <c r="AAJ120" s="368"/>
      <c r="AAK120" s="368"/>
      <c r="AAL120" s="368"/>
      <c r="AAM120" s="368"/>
      <c r="AAN120" s="368"/>
      <c r="AAO120" s="368"/>
      <c r="AAP120" s="368"/>
      <c r="AAQ120" s="368"/>
      <c r="AAR120" s="368"/>
      <c r="AAS120" s="368"/>
      <c r="AAT120" s="368"/>
      <c r="AAU120" s="368"/>
      <c r="AAV120" s="368"/>
      <c r="AAW120" s="368"/>
      <c r="AAX120" s="368"/>
      <c r="AAY120" s="368"/>
      <c r="AAZ120" s="368"/>
      <c r="ABA120" s="368"/>
      <c r="ABB120" s="368"/>
      <c r="ABC120" s="368"/>
      <c r="ABD120" s="368"/>
      <c r="ABE120" s="368"/>
      <c r="ABF120" s="368"/>
      <c r="ABG120" s="368"/>
      <c r="ABH120" s="368"/>
      <c r="ABI120" s="368"/>
      <c r="ABJ120" s="368"/>
      <c r="ABK120" s="368"/>
      <c r="ABL120" s="368"/>
      <c r="ABM120" s="368"/>
      <c r="ABN120" s="368"/>
      <c r="ABO120" s="368"/>
      <c r="ABP120" s="368"/>
      <c r="ABQ120" s="368"/>
      <c r="ABR120" s="368"/>
      <c r="ABS120" s="368"/>
      <c r="ABT120" s="368"/>
      <c r="ABU120" s="368"/>
      <c r="ABV120" s="368"/>
      <c r="ABW120" s="368"/>
      <c r="ABX120" s="368"/>
      <c r="ABY120" s="368"/>
      <c r="ABZ120" s="368"/>
      <c r="ACA120" s="368"/>
      <c r="ACB120" s="368"/>
      <c r="ACC120" s="368"/>
      <c r="ACD120" s="368"/>
      <c r="ACE120" s="368"/>
      <c r="ACF120" s="368"/>
      <c r="ACG120" s="368"/>
      <c r="ACH120" s="368"/>
      <c r="ACI120" s="368"/>
      <c r="ACJ120" s="368"/>
      <c r="ACK120" s="368"/>
      <c r="ACL120" s="368"/>
      <c r="ACM120" s="368"/>
      <c r="ACN120" s="368"/>
      <c r="ACO120" s="368"/>
      <c r="ACP120" s="368"/>
      <c r="ACQ120" s="368"/>
      <c r="ACR120" s="368"/>
      <c r="ACS120" s="368"/>
      <c r="ACT120" s="368"/>
      <c r="ACU120" s="368"/>
      <c r="ACV120" s="368"/>
      <c r="ACW120" s="368"/>
      <c r="ACX120" s="368"/>
      <c r="ACY120" s="368"/>
      <c r="ACZ120" s="368"/>
      <c r="ADA120" s="368"/>
      <c r="ADB120" s="368"/>
      <c r="ADC120" s="368"/>
      <c r="ADD120" s="368"/>
      <c r="ADE120" s="368"/>
      <c r="ADF120" s="368"/>
      <c r="ADG120" s="368"/>
      <c r="ADH120" s="368"/>
      <c r="ADI120" s="368"/>
      <c r="ADJ120" s="368"/>
      <c r="ADK120" s="368"/>
      <c r="ADL120" s="368"/>
      <c r="ADM120" s="368"/>
      <c r="ADN120" s="368"/>
      <c r="ADO120" s="368"/>
      <c r="ADP120" s="368"/>
      <c r="ADQ120" s="368"/>
      <c r="ADR120" s="368"/>
      <c r="ADS120" s="368"/>
      <c r="ADT120" s="368"/>
      <c r="ADU120" s="368"/>
      <c r="ADV120" s="368"/>
      <c r="ADW120" s="368"/>
      <c r="ADX120" s="368"/>
      <c r="ADY120" s="368"/>
      <c r="ADZ120" s="368"/>
      <c r="AEA120" s="368"/>
      <c r="AEB120" s="368"/>
      <c r="AEC120" s="368"/>
      <c r="AED120" s="368"/>
      <c r="AEE120" s="368"/>
      <c r="AEF120" s="368"/>
      <c r="AEG120" s="368"/>
      <c r="AEH120" s="368"/>
      <c r="AEI120" s="368"/>
      <c r="AEJ120" s="368"/>
      <c r="AEK120" s="368"/>
      <c r="AEL120" s="368"/>
      <c r="AEM120" s="368"/>
      <c r="AEN120" s="368"/>
      <c r="AEO120" s="368"/>
      <c r="AEP120" s="368"/>
      <c r="AEQ120" s="368"/>
      <c r="AER120" s="368"/>
      <c r="AES120" s="368"/>
      <c r="AET120" s="368"/>
      <c r="AEU120" s="368"/>
      <c r="AEV120" s="368"/>
      <c r="AEW120" s="368"/>
      <c r="AEX120" s="368"/>
      <c r="AEY120" s="368"/>
      <c r="AEZ120" s="368"/>
      <c r="AFA120" s="368"/>
      <c r="AFB120" s="368"/>
      <c r="AFC120" s="368"/>
      <c r="AFD120" s="368"/>
      <c r="AFE120" s="368"/>
      <c r="AFF120" s="368"/>
      <c r="AFG120" s="368"/>
      <c r="AFH120" s="368"/>
      <c r="AFI120" s="368"/>
      <c r="AFJ120" s="368"/>
      <c r="AFK120" s="368"/>
      <c r="AFL120" s="368"/>
      <c r="AFM120" s="368"/>
      <c r="AFN120" s="368"/>
      <c r="AFO120" s="368"/>
      <c r="AFP120" s="368"/>
      <c r="AFQ120" s="368"/>
      <c r="AFR120" s="368"/>
      <c r="AFS120" s="368"/>
      <c r="AFT120" s="368"/>
      <c r="AFU120" s="368"/>
      <c r="AFV120" s="368"/>
      <c r="AFW120" s="368"/>
      <c r="AFX120" s="368"/>
      <c r="AFY120" s="368"/>
      <c r="AFZ120" s="368"/>
      <c r="AGA120" s="368"/>
      <c r="AGB120" s="368"/>
      <c r="AGC120" s="368"/>
      <c r="AGD120" s="368"/>
      <c r="AGE120" s="368"/>
      <c r="AGF120" s="368"/>
      <c r="AGG120" s="368"/>
      <c r="AGH120" s="368"/>
      <c r="AGI120" s="368"/>
      <c r="AGJ120" s="368"/>
      <c r="AGK120" s="368"/>
      <c r="AGL120" s="368"/>
      <c r="AGM120" s="368"/>
      <c r="AGN120" s="368"/>
      <c r="AGO120" s="368"/>
      <c r="AGP120" s="368"/>
      <c r="AGQ120" s="368"/>
      <c r="AGR120" s="368"/>
      <c r="AGS120" s="368"/>
      <c r="AGT120" s="368"/>
      <c r="AGU120" s="368"/>
      <c r="AGV120" s="368"/>
      <c r="AGW120" s="368"/>
      <c r="AGX120" s="368"/>
      <c r="AGY120" s="368"/>
      <c r="AGZ120" s="368"/>
      <c r="AHA120" s="368"/>
      <c r="AHB120" s="368"/>
      <c r="AHC120" s="368"/>
      <c r="AHD120" s="368"/>
      <c r="AHE120" s="368"/>
      <c r="AHF120" s="368"/>
      <c r="AHG120" s="368"/>
      <c r="AHH120" s="368"/>
      <c r="AHI120" s="368"/>
      <c r="AHJ120" s="368"/>
      <c r="AHK120" s="368"/>
      <c r="AHL120" s="368"/>
      <c r="AHM120" s="368"/>
      <c r="AHN120" s="368"/>
      <c r="AHO120" s="368"/>
      <c r="AHP120" s="368"/>
      <c r="AHQ120" s="368"/>
      <c r="AHR120" s="368"/>
      <c r="AHS120" s="368"/>
      <c r="AHT120" s="368"/>
      <c r="AHU120" s="368"/>
      <c r="AHV120" s="368"/>
      <c r="AHW120" s="368"/>
      <c r="AHX120" s="368"/>
      <c r="AHY120" s="368"/>
      <c r="AHZ120" s="368"/>
      <c r="AIA120" s="368"/>
      <c r="AIB120" s="368"/>
      <c r="AIC120" s="368"/>
      <c r="AID120" s="368"/>
      <c r="AIE120" s="368"/>
      <c r="AIF120" s="368"/>
      <c r="AIG120" s="368"/>
      <c r="AIH120" s="368"/>
      <c r="AII120" s="368"/>
      <c r="AIJ120" s="368"/>
      <c r="AIK120" s="368"/>
      <c r="AIL120" s="368"/>
      <c r="AIM120" s="368"/>
      <c r="AIN120" s="368"/>
      <c r="AIO120" s="368"/>
      <c r="AIP120" s="368"/>
      <c r="AIQ120" s="368"/>
      <c r="AIR120" s="368"/>
      <c r="AIS120" s="368"/>
      <c r="AIT120" s="368"/>
      <c r="AIU120" s="368"/>
      <c r="AIV120" s="368"/>
      <c r="AIW120" s="368"/>
      <c r="AIX120" s="368"/>
      <c r="AIY120" s="368"/>
      <c r="AIZ120" s="368"/>
      <c r="AJA120" s="368"/>
      <c r="AJB120" s="368"/>
      <c r="AJC120" s="368"/>
      <c r="AJD120" s="368"/>
      <c r="AJE120" s="368"/>
      <c r="AJF120" s="368"/>
      <c r="AJG120" s="368"/>
      <c r="AJH120" s="368"/>
      <c r="AJI120" s="368"/>
      <c r="AJJ120" s="368"/>
      <c r="AJK120" s="368"/>
      <c r="AJL120" s="368"/>
      <c r="AJM120" s="368"/>
      <c r="AJN120" s="368"/>
      <c r="AJO120" s="368"/>
      <c r="AJP120" s="368"/>
      <c r="AJQ120" s="368"/>
      <c r="AJR120" s="368"/>
      <c r="AJS120" s="368"/>
      <c r="AJT120" s="368"/>
      <c r="AJU120" s="368"/>
      <c r="AJV120" s="368"/>
      <c r="AJW120" s="368"/>
      <c r="AJX120" s="368"/>
      <c r="AJY120" s="368"/>
      <c r="AJZ120" s="368"/>
      <c r="AKA120" s="368"/>
      <c r="AKB120" s="368"/>
      <c r="AKC120" s="368"/>
      <c r="AKD120" s="368"/>
      <c r="AKE120" s="368"/>
      <c r="AKF120" s="368"/>
      <c r="AKG120" s="368"/>
      <c r="AKH120" s="368"/>
      <c r="AKI120" s="368"/>
      <c r="AKJ120" s="368"/>
      <c r="AKK120" s="368"/>
      <c r="AKL120" s="368"/>
      <c r="AKM120" s="368"/>
      <c r="AKN120" s="368"/>
    </row>
    <row r="121" spans="1:976" s="375" customFormat="1" ht="22.5" customHeight="1" x14ac:dyDescent="0.2">
      <c r="A121" s="428" t="s">
        <v>262</v>
      </c>
      <c r="B121" s="428"/>
      <c r="C121" s="428" t="s">
        <v>221</v>
      </c>
      <c r="D121" s="428" t="s">
        <v>222</v>
      </c>
      <c r="E121" s="429">
        <v>412857</v>
      </c>
      <c r="F121" s="429">
        <v>1632</v>
      </c>
      <c r="G121" s="429">
        <v>254</v>
      </c>
      <c r="H121" s="429">
        <v>0</v>
      </c>
      <c r="I121" s="430">
        <v>45874</v>
      </c>
      <c r="J121" s="428" t="s">
        <v>395</v>
      </c>
      <c r="K121" s="428" t="s">
        <v>615</v>
      </c>
      <c r="L121" s="431">
        <v>177.19</v>
      </c>
      <c r="M121" s="431">
        <v>10.58</v>
      </c>
      <c r="N121" s="441">
        <v>187.77</v>
      </c>
      <c r="O121" s="428"/>
      <c r="P121" s="432">
        <v>45888</v>
      </c>
      <c r="Q121" s="431">
        <v>187.77</v>
      </c>
      <c r="R121" s="428" t="s">
        <v>616</v>
      </c>
      <c r="S121" s="431">
        <v>0</v>
      </c>
      <c r="T121" s="431">
        <v>0</v>
      </c>
      <c r="U121" s="431">
        <v>0</v>
      </c>
      <c r="V121" s="431">
        <v>0</v>
      </c>
      <c r="W121" s="428"/>
      <c r="X121" s="428" t="s">
        <v>293</v>
      </c>
      <c r="Y121" s="428" t="s">
        <v>294</v>
      </c>
      <c r="Z121" s="428" t="s">
        <v>42</v>
      </c>
      <c r="AA121" s="428" t="s">
        <v>228</v>
      </c>
      <c r="AB121" s="428" t="s">
        <v>235</v>
      </c>
      <c r="AC121" s="428" t="s">
        <v>236</v>
      </c>
      <c r="AD121" s="428" t="s">
        <v>231</v>
      </c>
      <c r="AE121" s="428" t="s">
        <v>232</v>
      </c>
      <c r="AF121" s="428" t="s">
        <v>231</v>
      </c>
      <c r="AG121" s="428" t="s">
        <v>232</v>
      </c>
      <c r="AH121" s="428"/>
      <c r="AI121" s="428"/>
      <c r="AJ121" s="428"/>
      <c r="AK121" s="428" t="s">
        <v>617</v>
      </c>
      <c r="AL121" s="429">
        <v>1</v>
      </c>
      <c r="AM121" s="429">
        <v>0</v>
      </c>
      <c r="AN121" s="430">
        <v>45888</v>
      </c>
      <c r="AO121" s="430">
        <v>45887</v>
      </c>
      <c r="AP121" s="431">
        <v>187.77</v>
      </c>
      <c r="AQ121" s="430">
        <v>45886</v>
      </c>
      <c r="AR121" s="368"/>
      <c r="AS121" s="368"/>
      <c r="AT121" s="368"/>
      <c r="AU121" s="368"/>
      <c r="AV121" s="368"/>
      <c r="AW121" s="368"/>
      <c r="AX121" s="368"/>
      <c r="AY121" s="368"/>
      <c r="AZ121" s="368"/>
      <c r="BA121" s="368"/>
      <c r="BB121" s="368"/>
      <c r="BC121" s="368"/>
      <c r="BD121" s="368"/>
      <c r="BE121" s="368"/>
      <c r="BF121" s="368"/>
      <c r="BG121" s="368"/>
      <c r="BH121" s="368"/>
      <c r="BI121" s="368"/>
      <c r="BJ121" s="368"/>
      <c r="BK121" s="368"/>
      <c r="BL121" s="368"/>
      <c r="BM121" s="368"/>
      <c r="BN121" s="368"/>
      <c r="BO121" s="368"/>
      <c r="BP121" s="368"/>
      <c r="BQ121" s="368"/>
      <c r="BR121" s="368"/>
      <c r="BS121" s="368"/>
      <c r="BT121" s="368"/>
      <c r="BU121" s="368"/>
      <c r="BV121" s="368"/>
      <c r="BW121" s="368"/>
      <c r="BX121" s="368"/>
      <c r="BY121" s="368"/>
      <c r="BZ121" s="368"/>
      <c r="CA121" s="368"/>
      <c r="CB121" s="368"/>
      <c r="CC121" s="368"/>
      <c r="CD121" s="368"/>
      <c r="CE121" s="368"/>
      <c r="CF121" s="368"/>
      <c r="CG121" s="368"/>
      <c r="CH121" s="368"/>
      <c r="CI121" s="368"/>
      <c r="CJ121" s="368"/>
      <c r="CK121" s="368"/>
      <c r="CL121" s="368"/>
      <c r="CM121" s="368"/>
      <c r="CN121" s="368"/>
      <c r="CO121" s="368"/>
      <c r="CP121" s="368"/>
      <c r="CQ121" s="368"/>
      <c r="CR121" s="368"/>
      <c r="CS121" s="368"/>
      <c r="CT121" s="368"/>
      <c r="CU121" s="368"/>
      <c r="CV121" s="368"/>
      <c r="CW121" s="368"/>
      <c r="CX121" s="368"/>
      <c r="CY121" s="368"/>
      <c r="CZ121" s="368"/>
      <c r="DA121" s="368"/>
      <c r="DB121" s="368"/>
      <c r="DC121" s="368"/>
      <c r="DD121" s="368"/>
      <c r="DE121" s="368"/>
      <c r="DF121" s="368"/>
      <c r="DG121" s="368"/>
      <c r="DH121" s="368"/>
      <c r="DI121" s="368"/>
      <c r="DJ121" s="368"/>
      <c r="DK121" s="368"/>
      <c r="DL121" s="368"/>
      <c r="DM121" s="368"/>
      <c r="DN121" s="368"/>
      <c r="DO121" s="368"/>
      <c r="DP121" s="368"/>
      <c r="DQ121" s="368"/>
      <c r="DR121" s="368"/>
      <c r="DS121" s="368"/>
      <c r="DT121" s="368"/>
      <c r="DU121" s="368"/>
      <c r="DV121" s="368"/>
      <c r="DW121" s="368"/>
      <c r="DX121" s="368"/>
      <c r="DY121" s="368"/>
      <c r="DZ121" s="368"/>
      <c r="EA121" s="368"/>
      <c r="EB121" s="368"/>
      <c r="EC121" s="368"/>
      <c r="ED121" s="368"/>
      <c r="EE121" s="368"/>
      <c r="EF121" s="368"/>
      <c r="EG121" s="368"/>
      <c r="EH121" s="368"/>
      <c r="EI121" s="368"/>
      <c r="EJ121" s="368"/>
      <c r="EK121" s="368"/>
      <c r="EL121" s="368"/>
      <c r="EM121" s="368"/>
      <c r="EN121" s="368"/>
      <c r="EO121" s="368"/>
      <c r="EP121" s="368"/>
      <c r="EQ121" s="368"/>
      <c r="ER121" s="368"/>
      <c r="ES121" s="368"/>
      <c r="ET121" s="368"/>
      <c r="EU121" s="368"/>
      <c r="EV121" s="368"/>
      <c r="EW121" s="368"/>
      <c r="EX121" s="368"/>
      <c r="EY121" s="368"/>
      <c r="EZ121" s="368"/>
      <c r="FA121" s="368"/>
      <c r="FB121" s="368"/>
      <c r="FC121" s="368"/>
      <c r="FD121" s="368"/>
      <c r="FE121" s="368"/>
      <c r="FF121" s="368"/>
      <c r="FG121" s="368"/>
      <c r="FH121" s="368"/>
      <c r="FI121" s="368"/>
      <c r="FJ121" s="368"/>
      <c r="FK121" s="368"/>
      <c r="FL121" s="368"/>
      <c r="FM121" s="368"/>
      <c r="FN121" s="368"/>
      <c r="FO121" s="368"/>
      <c r="FP121" s="368"/>
      <c r="FQ121" s="368"/>
      <c r="FR121" s="368"/>
      <c r="FS121" s="368"/>
      <c r="FT121" s="368"/>
      <c r="FU121" s="368"/>
      <c r="FV121" s="368"/>
      <c r="FW121" s="368"/>
      <c r="FX121" s="368"/>
      <c r="FY121" s="368"/>
      <c r="FZ121" s="368"/>
      <c r="GA121" s="368"/>
      <c r="GB121" s="368"/>
      <c r="GC121" s="368"/>
      <c r="GD121" s="368"/>
      <c r="GE121" s="368"/>
      <c r="GF121" s="368"/>
      <c r="GG121" s="368"/>
      <c r="GH121" s="368"/>
      <c r="GI121" s="368"/>
      <c r="GJ121" s="368"/>
      <c r="GK121" s="368"/>
      <c r="GL121" s="368"/>
      <c r="GM121" s="368"/>
      <c r="GN121" s="368"/>
      <c r="GO121" s="368"/>
      <c r="GP121" s="368"/>
      <c r="GQ121" s="368"/>
      <c r="GR121" s="368"/>
      <c r="GS121" s="368"/>
      <c r="GT121" s="368"/>
      <c r="GU121" s="368"/>
      <c r="GV121" s="368"/>
      <c r="GW121" s="368"/>
      <c r="GX121" s="368"/>
      <c r="GY121" s="368"/>
      <c r="GZ121" s="368"/>
      <c r="HA121" s="368"/>
      <c r="HB121" s="368"/>
      <c r="HC121" s="368"/>
      <c r="HD121" s="368"/>
      <c r="HE121" s="368"/>
      <c r="HF121" s="368"/>
      <c r="HG121" s="368"/>
      <c r="HH121" s="368"/>
      <c r="HI121" s="368"/>
      <c r="HJ121" s="368"/>
      <c r="HK121" s="368"/>
      <c r="HL121" s="368"/>
      <c r="HM121" s="368"/>
      <c r="HN121" s="368"/>
      <c r="HO121" s="368"/>
      <c r="HP121" s="368"/>
      <c r="HQ121" s="368"/>
      <c r="HR121" s="368"/>
      <c r="HS121" s="368"/>
      <c r="HT121" s="368"/>
      <c r="HU121" s="368"/>
      <c r="HV121" s="368"/>
      <c r="HW121" s="368"/>
      <c r="HX121" s="368"/>
      <c r="HY121" s="368"/>
      <c r="HZ121" s="368"/>
      <c r="IA121" s="368"/>
      <c r="IB121" s="368"/>
      <c r="IC121" s="368"/>
      <c r="ID121" s="368"/>
      <c r="IE121" s="368"/>
      <c r="IF121" s="368"/>
      <c r="IG121" s="368"/>
      <c r="IH121" s="368"/>
      <c r="II121" s="368"/>
      <c r="IJ121" s="368"/>
      <c r="IK121" s="368"/>
      <c r="IL121" s="368"/>
      <c r="IM121" s="368"/>
      <c r="IN121" s="368"/>
      <c r="IO121" s="368"/>
      <c r="IP121" s="368"/>
      <c r="IQ121" s="368"/>
      <c r="IR121" s="368"/>
      <c r="IS121" s="368"/>
      <c r="IT121" s="368"/>
      <c r="IU121" s="368"/>
      <c r="IV121" s="368"/>
      <c r="IW121" s="368"/>
      <c r="IX121" s="368"/>
      <c r="IY121" s="368"/>
      <c r="IZ121" s="368"/>
      <c r="JA121" s="368"/>
      <c r="JB121" s="368"/>
      <c r="JC121" s="368"/>
      <c r="JD121" s="368"/>
      <c r="JE121" s="368"/>
      <c r="JF121" s="368"/>
      <c r="JG121" s="368"/>
      <c r="JH121" s="368"/>
      <c r="JI121" s="368"/>
      <c r="JJ121" s="368"/>
      <c r="JK121" s="368"/>
      <c r="JL121" s="368"/>
      <c r="JM121" s="368"/>
      <c r="JN121" s="368"/>
      <c r="JO121" s="368"/>
      <c r="JP121" s="368"/>
      <c r="JQ121" s="368"/>
      <c r="JR121" s="368"/>
      <c r="JS121" s="368"/>
      <c r="JT121" s="368"/>
      <c r="JU121" s="368"/>
      <c r="JV121" s="368"/>
      <c r="JW121" s="368"/>
      <c r="JX121" s="368"/>
      <c r="JY121" s="368"/>
      <c r="JZ121" s="368"/>
      <c r="KA121" s="368"/>
      <c r="KB121" s="368"/>
      <c r="KC121" s="368"/>
      <c r="KD121" s="368"/>
      <c r="KE121" s="368"/>
      <c r="KF121" s="368"/>
      <c r="KG121" s="368"/>
      <c r="KH121" s="368"/>
      <c r="KI121" s="368"/>
      <c r="KJ121" s="368"/>
      <c r="KK121" s="368"/>
      <c r="KL121" s="368"/>
      <c r="KM121" s="368"/>
      <c r="KN121" s="368"/>
      <c r="KO121" s="368"/>
      <c r="KP121" s="368"/>
      <c r="KQ121" s="368"/>
      <c r="KR121" s="368"/>
      <c r="KS121" s="368"/>
      <c r="KT121" s="368"/>
      <c r="KU121" s="368"/>
      <c r="KV121" s="368"/>
      <c r="KW121" s="368"/>
      <c r="KX121" s="368"/>
      <c r="KY121" s="368"/>
      <c r="KZ121" s="368"/>
      <c r="LA121" s="368"/>
      <c r="LB121" s="368"/>
      <c r="LC121" s="368"/>
      <c r="LD121" s="368"/>
      <c r="LE121" s="368"/>
      <c r="LF121" s="368"/>
      <c r="LG121" s="368"/>
      <c r="LH121" s="368"/>
      <c r="LI121" s="368"/>
      <c r="LJ121" s="368"/>
      <c r="LK121" s="368"/>
      <c r="LL121" s="368"/>
      <c r="LM121" s="368"/>
      <c r="LN121" s="368"/>
      <c r="LO121" s="368"/>
      <c r="LP121" s="368"/>
      <c r="LQ121" s="368"/>
      <c r="LR121" s="368"/>
      <c r="LS121" s="368"/>
      <c r="LT121" s="368"/>
      <c r="LU121" s="368"/>
      <c r="LV121" s="368"/>
      <c r="LW121" s="368"/>
      <c r="LX121" s="368"/>
      <c r="LY121" s="368"/>
      <c r="LZ121" s="368"/>
      <c r="MA121" s="368"/>
      <c r="MB121" s="368"/>
      <c r="MC121" s="368"/>
      <c r="MD121" s="368"/>
      <c r="ME121" s="368"/>
      <c r="MF121" s="368"/>
      <c r="MG121" s="368"/>
      <c r="MH121" s="368"/>
      <c r="MI121" s="368"/>
      <c r="MJ121" s="368"/>
      <c r="MK121" s="368"/>
      <c r="ML121" s="368"/>
      <c r="MM121" s="368"/>
      <c r="MN121" s="368"/>
      <c r="MO121" s="368"/>
      <c r="MP121" s="368"/>
      <c r="MQ121" s="368"/>
      <c r="MR121" s="368"/>
      <c r="MS121" s="368"/>
      <c r="MT121" s="368"/>
      <c r="MU121" s="368"/>
      <c r="MV121" s="368"/>
      <c r="MW121" s="368"/>
      <c r="MX121" s="368"/>
      <c r="MY121" s="368"/>
      <c r="MZ121" s="368"/>
      <c r="NA121" s="368"/>
      <c r="NB121" s="368"/>
      <c r="NC121" s="368"/>
      <c r="ND121" s="368"/>
      <c r="NE121" s="368"/>
      <c r="NF121" s="368"/>
      <c r="NG121" s="368"/>
      <c r="NH121" s="368"/>
      <c r="NI121" s="368"/>
      <c r="NJ121" s="368"/>
      <c r="NK121" s="368"/>
      <c r="NL121" s="368"/>
      <c r="NM121" s="368"/>
      <c r="NN121" s="368"/>
      <c r="NO121" s="368"/>
      <c r="NP121" s="368"/>
      <c r="NQ121" s="368"/>
      <c r="NR121" s="368"/>
      <c r="NS121" s="368"/>
      <c r="NT121" s="368"/>
      <c r="NU121" s="368"/>
      <c r="NV121" s="368"/>
      <c r="NW121" s="368"/>
      <c r="NX121" s="368"/>
      <c r="NY121" s="368"/>
      <c r="NZ121" s="368"/>
      <c r="OA121" s="368"/>
      <c r="OB121" s="368"/>
      <c r="OC121" s="368"/>
      <c r="OD121" s="368"/>
      <c r="OE121" s="368"/>
      <c r="OF121" s="368"/>
      <c r="OG121" s="368"/>
      <c r="OH121" s="368"/>
      <c r="OI121" s="368"/>
      <c r="OJ121" s="368"/>
      <c r="OK121" s="368"/>
      <c r="OL121" s="368"/>
      <c r="OM121" s="368"/>
      <c r="ON121" s="368"/>
      <c r="OO121" s="368"/>
      <c r="OP121" s="368"/>
      <c r="OQ121" s="368"/>
      <c r="OR121" s="368"/>
      <c r="OS121" s="368"/>
      <c r="OT121" s="368"/>
      <c r="OU121" s="368"/>
      <c r="OV121" s="368"/>
      <c r="OW121" s="368"/>
      <c r="OX121" s="368"/>
      <c r="OY121" s="368"/>
      <c r="OZ121" s="368"/>
      <c r="PA121" s="368"/>
      <c r="PB121" s="368"/>
      <c r="PC121" s="368"/>
      <c r="PD121" s="368"/>
      <c r="PE121" s="368"/>
      <c r="PF121" s="368"/>
      <c r="PG121" s="368"/>
      <c r="PH121" s="368"/>
      <c r="PI121" s="368"/>
      <c r="PJ121" s="368"/>
      <c r="PK121" s="368"/>
      <c r="PL121" s="368"/>
      <c r="PM121" s="368"/>
      <c r="PN121" s="368"/>
      <c r="PO121" s="368"/>
      <c r="PP121" s="368"/>
      <c r="PQ121" s="368"/>
      <c r="PR121" s="368"/>
      <c r="PS121" s="368"/>
      <c r="PT121" s="368"/>
      <c r="PU121" s="368"/>
      <c r="PV121" s="368"/>
      <c r="PW121" s="368"/>
      <c r="PX121" s="368"/>
      <c r="PY121" s="368"/>
      <c r="PZ121" s="368"/>
      <c r="QA121" s="368"/>
      <c r="QB121" s="368"/>
      <c r="QC121" s="368"/>
      <c r="QD121" s="368"/>
      <c r="QE121" s="368"/>
      <c r="QF121" s="368"/>
      <c r="QG121" s="368"/>
      <c r="QH121" s="368"/>
      <c r="QI121" s="368"/>
      <c r="QJ121" s="368"/>
      <c r="QK121" s="368"/>
      <c r="QL121" s="368"/>
      <c r="QM121" s="368"/>
      <c r="QN121" s="368"/>
      <c r="QO121" s="368"/>
      <c r="QP121" s="368"/>
      <c r="QQ121" s="368"/>
      <c r="QR121" s="368"/>
      <c r="QS121" s="368"/>
      <c r="QT121" s="368"/>
      <c r="QU121" s="368"/>
      <c r="QV121" s="368"/>
      <c r="QW121" s="368"/>
      <c r="QX121" s="368"/>
      <c r="QY121" s="368"/>
      <c r="QZ121" s="368"/>
      <c r="RA121" s="368"/>
      <c r="RB121" s="368"/>
      <c r="RC121" s="368"/>
      <c r="RD121" s="368"/>
      <c r="RE121" s="368"/>
      <c r="RF121" s="368"/>
      <c r="RG121" s="368"/>
      <c r="RH121" s="368"/>
      <c r="RI121" s="368"/>
      <c r="RJ121" s="368"/>
      <c r="RK121" s="368"/>
      <c r="RL121" s="368"/>
      <c r="RM121" s="368"/>
      <c r="RN121" s="368"/>
      <c r="RO121" s="368"/>
      <c r="RP121" s="368"/>
      <c r="RQ121" s="368"/>
      <c r="RR121" s="368"/>
      <c r="RS121" s="368"/>
      <c r="RT121" s="368"/>
      <c r="RU121" s="368"/>
      <c r="RV121" s="368"/>
      <c r="RW121" s="368"/>
      <c r="RX121" s="368"/>
      <c r="RY121" s="368"/>
      <c r="RZ121" s="368"/>
      <c r="SA121" s="368"/>
      <c r="SB121" s="368"/>
      <c r="SC121" s="368"/>
      <c r="SD121" s="368"/>
      <c r="SE121" s="368"/>
      <c r="SF121" s="368"/>
      <c r="SG121" s="368"/>
      <c r="SH121" s="368"/>
      <c r="SI121" s="368"/>
      <c r="SJ121" s="368"/>
      <c r="SK121" s="368"/>
      <c r="SL121" s="368"/>
      <c r="SM121" s="368"/>
      <c r="SN121" s="368"/>
      <c r="SO121" s="368"/>
      <c r="SP121" s="368"/>
      <c r="SQ121" s="368"/>
      <c r="SR121" s="368"/>
      <c r="SS121" s="368"/>
      <c r="ST121" s="368"/>
      <c r="SU121" s="368"/>
      <c r="SV121" s="368"/>
      <c r="SW121" s="368"/>
      <c r="SX121" s="368"/>
      <c r="SY121" s="368"/>
      <c r="SZ121" s="368"/>
      <c r="TA121" s="368"/>
      <c r="TB121" s="368"/>
      <c r="TC121" s="368"/>
      <c r="TD121" s="368"/>
      <c r="TE121" s="368"/>
      <c r="TF121" s="368"/>
      <c r="TG121" s="368"/>
      <c r="TH121" s="368"/>
      <c r="TI121" s="368"/>
      <c r="TJ121" s="368"/>
      <c r="TK121" s="368"/>
      <c r="TL121" s="368"/>
      <c r="TM121" s="368"/>
      <c r="TN121" s="368"/>
      <c r="TO121" s="368"/>
      <c r="TP121" s="368"/>
      <c r="TQ121" s="368"/>
      <c r="TR121" s="368"/>
      <c r="TS121" s="368"/>
      <c r="TT121" s="368"/>
      <c r="TU121" s="368"/>
      <c r="TV121" s="368"/>
      <c r="TW121" s="368"/>
      <c r="TX121" s="368"/>
      <c r="TY121" s="368"/>
      <c r="TZ121" s="368"/>
      <c r="UA121" s="368"/>
      <c r="UB121" s="368"/>
      <c r="UC121" s="368"/>
      <c r="UD121" s="368"/>
      <c r="UE121" s="368"/>
      <c r="UF121" s="368"/>
      <c r="UG121" s="368"/>
      <c r="UH121" s="368"/>
      <c r="UI121" s="368"/>
      <c r="UJ121" s="368"/>
      <c r="UK121" s="368"/>
      <c r="UL121" s="368"/>
      <c r="UM121" s="368"/>
      <c r="UN121" s="368"/>
      <c r="UO121" s="368"/>
      <c r="UP121" s="368"/>
      <c r="UQ121" s="368"/>
      <c r="UR121" s="368"/>
      <c r="US121" s="368"/>
      <c r="UT121" s="368"/>
      <c r="UU121" s="368"/>
      <c r="UV121" s="368"/>
      <c r="UW121" s="368"/>
      <c r="UX121" s="368"/>
      <c r="UY121" s="368"/>
      <c r="UZ121" s="368"/>
      <c r="VA121" s="368"/>
      <c r="VB121" s="368"/>
      <c r="VC121" s="368"/>
      <c r="VD121" s="368"/>
      <c r="VE121" s="368"/>
      <c r="VF121" s="368"/>
      <c r="VG121" s="368"/>
      <c r="VH121" s="368"/>
      <c r="VI121" s="368"/>
      <c r="VJ121" s="368"/>
      <c r="VK121" s="368"/>
      <c r="VL121" s="368"/>
      <c r="VM121" s="368"/>
      <c r="VN121" s="368"/>
      <c r="VO121" s="368"/>
      <c r="VP121" s="368"/>
      <c r="VQ121" s="368"/>
      <c r="VR121" s="368"/>
      <c r="VS121" s="368"/>
      <c r="VT121" s="368"/>
      <c r="VU121" s="368"/>
      <c r="VV121" s="368"/>
      <c r="VW121" s="368"/>
      <c r="VX121" s="368"/>
      <c r="VY121" s="368"/>
      <c r="VZ121" s="368"/>
      <c r="WA121" s="368"/>
      <c r="WB121" s="368"/>
      <c r="WC121" s="368"/>
      <c r="WD121" s="368"/>
      <c r="WE121" s="368"/>
      <c r="WF121" s="368"/>
      <c r="WG121" s="368"/>
      <c r="WH121" s="368"/>
      <c r="WI121" s="368"/>
      <c r="WJ121" s="368"/>
      <c r="WK121" s="368"/>
      <c r="WL121" s="368"/>
      <c r="WM121" s="368"/>
      <c r="WN121" s="368"/>
      <c r="WO121" s="368"/>
      <c r="WP121" s="368"/>
      <c r="WQ121" s="368"/>
      <c r="WR121" s="368"/>
      <c r="WS121" s="368"/>
      <c r="WT121" s="368"/>
      <c r="WU121" s="368"/>
      <c r="WV121" s="368"/>
      <c r="WW121" s="368"/>
      <c r="WX121" s="368"/>
      <c r="WY121" s="368"/>
      <c r="WZ121" s="368"/>
      <c r="XA121" s="368"/>
      <c r="XB121" s="368"/>
      <c r="XC121" s="368"/>
      <c r="XD121" s="368"/>
      <c r="XE121" s="368"/>
      <c r="XF121" s="368"/>
      <c r="XG121" s="368"/>
      <c r="XH121" s="368"/>
      <c r="XI121" s="368"/>
      <c r="XJ121" s="368"/>
      <c r="XK121" s="368"/>
      <c r="XL121" s="368"/>
      <c r="XM121" s="368"/>
      <c r="XN121" s="368"/>
      <c r="XO121" s="368"/>
      <c r="XP121" s="368"/>
      <c r="XQ121" s="368"/>
      <c r="XR121" s="368"/>
      <c r="XS121" s="368"/>
      <c r="XT121" s="368"/>
      <c r="XU121" s="368"/>
      <c r="XV121" s="368"/>
      <c r="XW121" s="368"/>
      <c r="XX121" s="368"/>
      <c r="XY121" s="368"/>
      <c r="XZ121" s="368"/>
      <c r="YA121" s="368"/>
      <c r="YB121" s="368"/>
      <c r="YC121" s="368"/>
      <c r="YD121" s="368"/>
      <c r="YE121" s="368"/>
      <c r="YF121" s="368"/>
      <c r="YG121" s="368"/>
      <c r="YH121" s="368"/>
      <c r="YI121" s="368"/>
      <c r="YJ121" s="368"/>
      <c r="YK121" s="368"/>
      <c r="YL121" s="368"/>
      <c r="YM121" s="368"/>
      <c r="YN121" s="368"/>
      <c r="YO121" s="368"/>
      <c r="YP121" s="368"/>
      <c r="YQ121" s="368"/>
      <c r="YR121" s="368"/>
      <c r="YS121" s="368"/>
      <c r="YT121" s="368"/>
      <c r="YU121" s="368"/>
      <c r="YV121" s="368"/>
      <c r="YW121" s="368"/>
      <c r="YX121" s="368"/>
      <c r="YY121" s="368"/>
      <c r="YZ121" s="368"/>
      <c r="ZA121" s="368"/>
      <c r="ZB121" s="368"/>
      <c r="ZC121" s="368"/>
      <c r="ZD121" s="368"/>
      <c r="ZE121" s="368"/>
      <c r="ZF121" s="368"/>
      <c r="ZG121" s="368"/>
      <c r="ZH121" s="368"/>
      <c r="ZI121" s="368"/>
      <c r="ZJ121" s="368"/>
      <c r="ZK121" s="368"/>
      <c r="ZL121" s="368"/>
      <c r="ZM121" s="368"/>
      <c r="ZN121" s="368"/>
      <c r="ZO121" s="368"/>
      <c r="ZP121" s="368"/>
      <c r="ZQ121" s="368"/>
      <c r="ZR121" s="368"/>
      <c r="ZS121" s="368"/>
      <c r="ZT121" s="368"/>
      <c r="ZU121" s="368"/>
      <c r="ZV121" s="368"/>
      <c r="ZW121" s="368"/>
      <c r="ZX121" s="368"/>
      <c r="ZY121" s="368"/>
      <c r="ZZ121" s="368"/>
      <c r="AAA121" s="368"/>
      <c r="AAB121" s="368"/>
      <c r="AAC121" s="368"/>
      <c r="AAD121" s="368"/>
      <c r="AAE121" s="368"/>
      <c r="AAF121" s="368"/>
      <c r="AAG121" s="368"/>
      <c r="AAH121" s="368"/>
      <c r="AAI121" s="368"/>
      <c r="AAJ121" s="368"/>
      <c r="AAK121" s="368"/>
      <c r="AAL121" s="368"/>
      <c r="AAM121" s="368"/>
      <c r="AAN121" s="368"/>
      <c r="AAO121" s="368"/>
      <c r="AAP121" s="368"/>
      <c r="AAQ121" s="368"/>
      <c r="AAR121" s="368"/>
      <c r="AAS121" s="368"/>
      <c r="AAT121" s="368"/>
      <c r="AAU121" s="368"/>
      <c r="AAV121" s="368"/>
      <c r="AAW121" s="368"/>
      <c r="AAX121" s="368"/>
      <c r="AAY121" s="368"/>
      <c r="AAZ121" s="368"/>
      <c r="ABA121" s="368"/>
      <c r="ABB121" s="368"/>
      <c r="ABC121" s="368"/>
      <c r="ABD121" s="368"/>
      <c r="ABE121" s="368"/>
      <c r="ABF121" s="368"/>
      <c r="ABG121" s="368"/>
      <c r="ABH121" s="368"/>
      <c r="ABI121" s="368"/>
      <c r="ABJ121" s="368"/>
      <c r="ABK121" s="368"/>
      <c r="ABL121" s="368"/>
      <c r="ABM121" s="368"/>
      <c r="ABN121" s="368"/>
      <c r="ABO121" s="368"/>
      <c r="ABP121" s="368"/>
      <c r="ABQ121" s="368"/>
      <c r="ABR121" s="368"/>
      <c r="ABS121" s="368"/>
      <c r="ABT121" s="368"/>
      <c r="ABU121" s="368"/>
      <c r="ABV121" s="368"/>
      <c r="ABW121" s="368"/>
      <c r="ABX121" s="368"/>
      <c r="ABY121" s="368"/>
      <c r="ABZ121" s="368"/>
      <c r="ACA121" s="368"/>
      <c r="ACB121" s="368"/>
      <c r="ACC121" s="368"/>
      <c r="ACD121" s="368"/>
      <c r="ACE121" s="368"/>
      <c r="ACF121" s="368"/>
      <c r="ACG121" s="368"/>
      <c r="ACH121" s="368"/>
      <c r="ACI121" s="368"/>
      <c r="ACJ121" s="368"/>
      <c r="ACK121" s="368"/>
      <c r="ACL121" s="368"/>
      <c r="ACM121" s="368"/>
      <c r="ACN121" s="368"/>
      <c r="ACO121" s="368"/>
      <c r="ACP121" s="368"/>
      <c r="ACQ121" s="368"/>
      <c r="ACR121" s="368"/>
      <c r="ACS121" s="368"/>
      <c r="ACT121" s="368"/>
      <c r="ACU121" s="368"/>
      <c r="ACV121" s="368"/>
      <c r="ACW121" s="368"/>
      <c r="ACX121" s="368"/>
      <c r="ACY121" s="368"/>
      <c r="ACZ121" s="368"/>
      <c r="ADA121" s="368"/>
      <c r="ADB121" s="368"/>
      <c r="ADC121" s="368"/>
      <c r="ADD121" s="368"/>
      <c r="ADE121" s="368"/>
      <c r="ADF121" s="368"/>
      <c r="ADG121" s="368"/>
      <c r="ADH121" s="368"/>
      <c r="ADI121" s="368"/>
      <c r="ADJ121" s="368"/>
      <c r="ADK121" s="368"/>
      <c r="ADL121" s="368"/>
      <c r="ADM121" s="368"/>
      <c r="ADN121" s="368"/>
      <c r="ADO121" s="368"/>
      <c r="ADP121" s="368"/>
      <c r="ADQ121" s="368"/>
      <c r="ADR121" s="368"/>
      <c r="ADS121" s="368"/>
      <c r="ADT121" s="368"/>
      <c r="ADU121" s="368"/>
      <c r="ADV121" s="368"/>
      <c r="ADW121" s="368"/>
      <c r="ADX121" s="368"/>
      <c r="ADY121" s="368"/>
      <c r="ADZ121" s="368"/>
      <c r="AEA121" s="368"/>
      <c r="AEB121" s="368"/>
      <c r="AEC121" s="368"/>
      <c r="AED121" s="368"/>
      <c r="AEE121" s="368"/>
      <c r="AEF121" s="368"/>
      <c r="AEG121" s="368"/>
      <c r="AEH121" s="368"/>
      <c r="AEI121" s="368"/>
      <c r="AEJ121" s="368"/>
      <c r="AEK121" s="368"/>
      <c r="AEL121" s="368"/>
      <c r="AEM121" s="368"/>
      <c r="AEN121" s="368"/>
      <c r="AEO121" s="368"/>
      <c r="AEP121" s="368"/>
      <c r="AEQ121" s="368"/>
      <c r="AER121" s="368"/>
      <c r="AES121" s="368"/>
      <c r="AET121" s="368"/>
      <c r="AEU121" s="368"/>
      <c r="AEV121" s="368"/>
      <c r="AEW121" s="368"/>
      <c r="AEX121" s="368"/>
      <c r="AEY121" s="368"/>
      <c r="AEZ121" s="368"/>
      <c r="AFA121" s="368"/>
      <c r="AFB121" s="368"/>
      <c r="AFC121" s="368"/>
      <c r="AFD121" s="368"/>
      <c r="AFE121" s="368"/>
      <c r="AFF121" s="368"/>
      <c r="AFG121" s="368"/>
      <c r="AFH121" s="368"/>
      <c r="AFI121" s="368"/>
      <c r="AFJ121" s="368"/>
      <c r="AFK121" s="368"/>
      <c r="AFL121" s="368"/>
      <c r="AFM121" s="368"/>
      <c r="AFN121" s="368"/>
      <c r="AFO121" s="368"/>
      <c r="AFP121" s="368"/>
      <c r="AFQ121" s="368"/>
      <c r="AFR121" s="368"/>
      <c r="AFS121" s="368"/>
      <c r="AFT121" s="368"/>
      <c r="AFU121" s="368"/>
      <c r="AFV121" s="368"/>
      <c r="AFW121" s="368"/>
      <c r="AFX121" s="368"/>
      <c r="AFY121" s="368"/>
      <c r="AFZ121" s="368"/>
      <c r="AGA121" s="368"/>
      <c r="AGB121" s="368"/>
      <c r="AGC121" s="368"/>
      <c r="AGD121" s="368"/>
      <c r="AGE121" s="368"/>
      <c r="AGF121" s="368"/>
      <c r="AGG121" s="368"/>
      <c r="AGH121" s="368"/>
      <c r="AGI121" s="368"/>
      <c r="AGJ121" s="368"/>
      <c r="AGK121" s="368"/>
      <c r="AGL121" s="368"/>
      <c r="AGM121" s="368"/>
      <c r="AGN121" s="368"/>
      <c r="AGO121" s="368"/>
      <c r="AGP121" s="368"/>
      <c r="AGQ121" s="368"/>
      <c r="AGR121" s="368"/>
      <c r="AGS121" s="368"/>
      <c r="AGT121" s="368"/>
      <c r="AGU121" s="368"/>
      <c r="AGV121" s="368"/>
      <c r="AGW121" s="368"/>
      <c r="AGX121" s="368"/>
      <c r="AGY121" s="368"/>
      <c r="AGZ121" s="368"/>
      <c r="AHA121" s="368"/>
      <c r="AHB121" s="368"/>
      <c r="AHC121" s="368"/>
      <c r="AHD121" s="368"/>
      <c r="AHE121" s="368"/>
      <c r="AHF121" s="368"/>
      <c r="AHG121" s="368"/>
      <c r="AHH121" s="368"/>
      <c r="AHI121" s="368"/>
      <c r="AHJ121" s="368"/>
      <c r="AHK121" s="368"/>
      <c r="AHL121" s="368"/>
      <c r="AHM121" s="368"/>
      <c r="AHN121" s="368"/>
      <c r="AHO121" s="368"/>
      <c r="AHP121" s="368"/>
      <c r="AHQ121" s="368"/>
      <c r="AHR121" s="368"/>
      <c r="AHS121" s="368"/>
      <c r="AHT121" s="368"/>
      <c r="AHU121" s="368"/>
      <c r="AHV121" s="368"/>
      <c r="AHW121" s="368"/>
      <c r="AHX121" s="368"/>
      <c r="AHY121" s="368"/>
      <c r="AHZ121" s="368"/>
      <c r="AIA121" s="368"/>
      <c r="AIB121" s="368"/>
      <c r="AIC121" s="368"/>
      <c r="AID121" s="368"/>
      <c r="AIE121" s="368"/>
      <c r="AIF121" s="368"/>
      <c r="AIG121" s="368"/>
      <c r="AIH121" s="368"/>
      <c r="AII121" s="368"/>
      <c r="AIJ121" s="368"/>
      <c r="AIK121" s="368"/>
      <c r="AIL121" s="368"/>
      <c r="AIM121" s="368"/>
      <c r="AIN121" s="368"/>
      <c r="AIO121" s="368"/>
      <c r="AIP121" s="368"/>
      <c r="AIQ121" s="368"/>
      <c r="AIR121" s="368"/>
      <c r="AIS121" s="368"/>
      <c r="AIT121" s="368"/>
      <c r="AIU121" s="368"/>
      <c r="AIV121" s="368"/>
      <c r="AIW121" s="368"/>
      <c r="AIX121" s="368"/>
      <c r="AIY121" s="368"/>
      <c r="AIZ121" s="368"/>
      <c r="AJA121" s="368"/>
      <c r="AJB121" s="368"/>
      <c r="AJC121" s="368"/>
      <c r="AJD121" s="368"/>
      <c r="AJE121" s="368"/>
      <c r="AJF121" s="368"/>
      <c r="AJG121" s="368"/>
      <c r="AJH121" s="368"/>
      <c r="AJI121" s="368"/>
      <c r="AJJ121" s="368"/>
      <c r="AJK121" s="368"/>
      <c r="AJL121" s="368"/>
      <c r="AJM121" s="368"/>
      <c r="AJN121" s="368"/>
      <c r="AJO121" s="368"/>
      <c r="AJP121" s="368"/>
      <c r="AJQ121" s="368"/>
      <c r="AJR121" s="368"/>
      <c r="AJS121" s="368"/>
      <c r="AJT121" s="368"/>
      <c r="AJU121" s="368"/>
      <c r="AJV121" s="368"/>
      <c r="AJW121" s="368"/>
      <c r="AJX121" s="368"/>
      <c r="AJY121" s="368"/>
      <c r="AJZ121" s="368"/>
      <c r="AKA121" s="368"/>
      <c r="AKB121" s="368"/>
      <c r="AKC121" s="368"/>
      <c r="AKD121" s="368"/>
      <c r="AKE121" s="368"/>
      <c r="AKF121" s="368"/>
      <c r="AKG121" s="368"/>
      <c r="AKH121" s="368"/>
      <c r="AKI121" s="368"/>
      <c r="AKJ121" s="368"/>
      <c r="AKK121" s="368"/>
      <c r="AKL121" s="368"/>
      <c r="AKM121" s="368"/>
      <c r="AKN121" s="368"/>
    </row>
    <row r="122" spans="1:976" s="375" customFormat="1" ht="22.5" customHeight="1" x14ac:dyDescent="0.2">
      <c r="A122" s="428" t="s">
        <v>262</v>
      </c>
      <c r="B122" s="428"/>
      <c r="C122" s="428" t="s">
        <v>221</v>
      </c>
      <c r="D122" s="428" t="s">
        <v>222</v>
      </c>
      <c r="E122" s="429">
        <v>412859</v>
      </c>
      <c r="F122" s="429">
        <v>1633</v>
      </c>
      <c r="G122" s="429">
        <v>254</v>
      </c>
      <c r="H122" s="429">
        <v>0</v>
      </c>
      <c r="I122" s="430">
        <v>45874</v>
      </c>
      <c r="J122" s="428" t="s">
        <v>395</v>
      </c>
      <c r="K122" s="428" t="s">
        <v>618</v>
      </c>
      <c r="L122" s="431">
        <v>40.69</v>
      </c>
      <c r="M122" s="431">
        <v>2.98</v>
      </c>
      <c r="N122" s="441">
        <v>43.67</v>
      </c>
      <c r="O122" s="428"/>
      <c r="P122" s="432">
        <v>45888</v>
      </c>
      <c r="Q122" s="431">
        <v>43.67</v>
      </c>
      <c r="R122" s="428" t="s">
        <v>619</v>
      </c>
      <c r="S122" s="431">
        <v>0</v>
      </c>
      <c r="T122" s="431">
        <v>0</v>
      </c>
      <c r="U122" s="431">
        <v>0</v>
      </c>
      <c r="V122" s="431">
        <v>0</v>
      </c>
      <c r="W122" s="428"/>
      <c r="X122" s="428" t="s">
        <v>293</v>
      </c>
      <c r="Y122" s="428" t="s">
        <v>294</v>
      </c>
      <c r="Z122" s="428" t="s">
        <v>42</v>
      </c>
      <c r="AA122" s="428" t="s">
        <v>228</v>
      </c>
      <c r="AB122" s="428" t="s">
        <v>235</v>
      </c>
      <c r="AC122" s="428" t="s">
        <v>236</v>
      </c>
      <c r="AD122" s="428" t="s">
        <v>231</v>
      </c>
      <c r="AE122" s="428" t="s">
        <v>232</v>
      </c>
      <c r="AF122" s="428" t="s">
        <v>231</v>
      </c>
      <c r="AG122" s="428" t="s">
        <v>232</v>
      </c>
      <c r="AH122" s="428"/>
      <c r="AI122" s="428"/>
      <c r="AJ122" s="428"/>
      <c r="AK122" s="428" t="s">
        <v>620</v>
      </c>
      <c r="AL122" s="429">
        <v>1</v>
      </c>
      <c r="AM122" s="429">
        <v>0</v>
      </c>
      <c r="AN122" s="430">
        <v>45888</v>
      </c>
      <c r="AO122" s="430">
        <v>45887</v>
      </c>
      <c r="AP122" s="431">
        <v>43.67</v>
      </c>
      <c r="AQ122" s="430">
        <v>45886</v>
      </c>
      <c r="AR122" s="368"/>
      <c r="AS122" s="368"/>
      <c r="AT122" s="368"/>
      <c r="AU122" s="368"/>
      <c r="AV122" s="368"/>
      <c r="AW122" s="368"/>
      <c r="AX122" s="368"/>
      <c r="AY122" s="368"/>
      <c r="AZ122" s="368"/>
      <c r="BA122" s="368"/>
      <c r="BB122" s="368"/>
      <c r="BC122" s="368"/>
      <c r="BD122" s="368"/>
      <c r="BE122" s="368"/>
      <c r="BF122" s="368"/>
      <c r="BG122" s="368"/>
      <c r="BH122" s="368"/>
      <c r="BI122" s="368"/>
      <c r="BJ122" s="368"/>
      <c r="BK122" s="368"/>
      <c r="BL122" s="368"/>
      <c r="BM122" s="368"/>
      <c r="BN122" s="368"/>
      <c r="BO122" s="368"/>
      <c r="BP122" s="368"/>
      <c r="BQ122" s="368"/>
      <c r="BR122" s="368"/>
      <c r="BS122" s="368"/>
      <c r="BT122" s="368"/>
      <c r="BU122" s="368"/>
      <c r="BV122" s="368"/>
      <c r="BW122" s="368"/>
      <c r="BX122" s="368"/>
      <c r="BY122" s="368"/>
      <c r="BZ122" s="368"/>
      <c r="CA122" s="368"/>
      <c r="CB122" s="368"/>
      <c r="CC122" s="368"/>
      <c r="CD122" s="368"/>
      <c r="CE122" s="368"/>
      <c r="CF122" s="368"/>
      <c r="CG122" s="368"/>
      <c r="CH122" s="368"/>
      <c r="CI122" s="368"/>
      <c r="CJ122" s="368"/>
      <c r="CK122" s="368"/>
      <c r="CL122" s="368"/>
      <c r="CM122" s="368"/>
      <c r="CN122" s="368"/>
      <c r="CO122" s="368"/>
      <c r="CP122" s="368"/>
      <c r="CQ122" s="368"/>
      <c r="CR122" s="368"/>
      <c r="CS122" s="368"/>
      <c r="CT122" s="368"/>
      <c r="CU122" s="368"/>
      <c r="CV122" s="368"/>
      <c r="CW122" s="368"/>
      <c r="CX122" s="368"/>
      <c r="CY122" s="368"/>
      <c r="CZ122" s="368"/>
      <c r="DA122" s="368"/>
      <c r="DB122" s="368"/>
      <c r="DC122" s="368"/>
      <c r="DD122" s="368"/>
      <c r="DE122" s="368"/>
      <c r="DF122" s="368"/>
      <c r="DG122" s="368"/>
      <c r="DH122" s="368"/>
      <c r="DI122" s="368"/>
      <c r="DJ122" s="368"/>
      <c r="DK122" s="368"/>
      <c r="DL122" s="368"/>
      <c r="DM122" s="368"/>
      <c r="DN122" s="368"/>
      <c r="DO122" s="368"/>
      <c r="DP122" s="368"/>
      <c r="DQ122" s="368"/>
      <c r="DR122" s="368"/>
      <c r="DS122" s="368"/>
      <c r="DT122" s="368"/>
      <c r="DU122" s="368"/>
      <c r="DV122" s="368"/>
      <c r="DW122" s="368"/>
      <c r="DX122" s="368"/>
      <c r="DY122" s="368"/>
      <c r="DZ122" s="368"/>
      <c r="EA122" s="368"/>
      <c r="EB122" s="368"/>
      <c r="EC122" s="368"/>
      <c r="ED122" s="368"/>
      <c r="EE122" s="368"/>
      <c r="EF122" s="368"/>
      <c r="EG122" s="368"/>
      <c r="EH122" s="368"/>
      <c r="EI122" s="368"/>
      <c r="EJ122" s="368"/>
      <c r="EK122" s="368"/>
      <c r="EL122" s="368"/>
      <c r="EM122" s="368"/>
      <c r="EN122" s="368"/>
      <c r="EO122" s="368"/>
      <c r="EP122" s="368"/>
      <c r="EQ122" s="368"/>
      <c r="ER122" s="368"/>
      <c r="ES122" s="368"/>
      <c r="ET122" s="368"/>
      <c r="EU122" s="368"/>
      <c r="EV122" s="368"/>
      <c r="EW122" s="368"/>
      <c r="EX122" s="368"/>
      <c r="EY122" s="368"/>
      <c r="EZ122" s="368"/>
      <c r="FA122" s="368"/>
      <c r="FB122" s="368"/>
      <c r="FC122" s="368"/>
      <c r="FD122" s="368"/>
      <c r="FE122" s="368"/>
      <c r="FF122" s="368"/>
      <c r="FG122" s="368"/>
      <c r="FH122" s="368"/>
      <c r="FI122" s="368"/>
      <c r="FJ122" s="368"/>
      <c r="FK122" s="368"/>
      <c r="FL122" s="368"/>
      <c r="FM122" s="368"/>
      <c r="FN122" s="368"/>
      <c r="FO122" s="368"/>
      <c r="FP122" s="368"/>
      <c r="FQ122" s="368"/>
      <c r="FR122" s="368"/>
      <c r="FS122" s="368"/>
      <c r="FT122" s="368"/>
      <c r="FU122" s="368"/>
      <c r="FV122" s="368"/>
      <c r="FW122" s="368"/>
      <c r="FX122" s="368"/>
      <c r="FY122" s="368"/>
      <c r="FZ122" s="368"/>
      <c r="GA122" s="368"/>
      <c r="GB122" s="368"/>
      <c r="GC122" s="368"/>
      <c r="GD122" s="368"/>
      <c r="GE122" s="368"/>
      <c r="GF122" s="368"/>
      <c r="GG122" s="368"/>
      <c r="GH122" s="368"/>
      <c r="GI122" s="368"/>
      <c r="GJ122" s="368"/>
      <c r="GK122" s="368"/>
      <c r="GL122" s="368"/>
      <c r="GM122" s="368"/>
      <c r="GN122" s="368"/>
      <c r="GO122" s="368"/>
      <c r="GP122" s="368"/>
      <c r="GQ122" s="368"/>
      <c r="GR122" s="368"/>
      <c r="GS122" s="368"/>
      <c r="GT122" s="368"/>
      <c r="GU122" s="368"/>
      <c r="GV122" s="368"/>
      <c r="GW122" s="368"/>
      <c r="GX122" s="368"/>
      <c r="GY122" s="368"/>
      <c r="GZ122" s="368"/>
      <c r="HA122" s="368"/>
      <c r="HB122" s="368"/>
      <c r="HC122" s="368"/>
      <c r="HD122" s="368"/>
      <c r="HE122" s="368"/>
      <c r="HF122" s="368"/>
      <c r="HG122" s="368"/>
      <c r="HH122" s="368"/>
      <c r="HI122" s="368"/>
      <c r="HJ122" s="368"/>
      <c r="HK122" s="368"/>
      <c r="HL122" s="368"/>
      <c r="HM122" s="368"/>
      <c r="HN122" s="368"/>
      <c r="HO122" s="368"/>
      <c r="HP122" s="368"/>
      <c r="HQ122" s="368"/>
      <c r="HR122" s="368"/>
      <c r="HS122" s="368"/>
      <c r="HT122" s="368"/>
      <c r="HU122" s="368"/>
      <c r="HV122" s="368"/>
      <c r="HW122" s="368"/>
      <c r="HX122" s="368"/>
      <c r="HY122" s="368"/>
      <c r="HZ122" s="368"/>
      <c r="IA122" s="368"/>
      <c r="IB122" s="368"/>
      <c r="IC122" s="368"/>
      <c r="ID122" s="368"/>
      <c r="IE122" s="368"/>
      <c r="IF122" s="368"/>
      <c r="IG122" s="368"/>
      <c r="IH122" s="368"/>
      <c r="II122" s="368"/>
      <c r="IJ122" s="368"/>
      <c r="IK122" s="368"/>
      <c r="IL122" s="368"/>
      <c r="IM122" s="368"/>
      <c r="IN122" s="368"/>
      <c r="IO122" s="368"/>
      <c r="IP122" s="368"/>
      <c r="IQ122" s="368"/>
      <c r="IR122" s="368"/>
      <c r="IS122" s="368"/>
      <c r="IT122" s="368"/>
      <c r="IU122" s="368"/>
      <c r="IV122" s="368"/>
      <c r="IW122" s="368"/>
      <c r="IX122" s="368"/>
      <c r="IY122" s="368"/>
      <c r="IZ122" s="368"/>
      <c r="JA122" s="368"/>
      <c r="JB122" s="368"/>
      <c r="JC122" s="368"/>
      <c r="JD122" s="368"/>
      <c r="JE122" s="368"/>
      <c r="JF122" s="368"/>
      <c r="JG122" s="368"/>
      <c r="JH122" s="368"/>
      <c r="JI122" s="368"/>
      <c r="JJ122" s="368"/>
      <c r="JK122" s="368"/>
      <c r="JL122" s="368"/>
      <c r="JM122" s="368"/>
      <c r="JN122" s="368"/>
      <c r="JO122" s="368"/>
      <c r="JP122" s="368"/>
      <c r="JQ122" s="368"/>
      <c r="JR122" s="368"/>
      <c r="JS122" s="368"/>
      <c r="JT122" s="368"/>
      <c r="JU122" s="368"/>
      <c r="JV122" s="368"/>
      <c r="JW122" s="368"/>
      <c r="JX122" s="368"/>
      <c r="JY122" s="368"/>
      <c r="JZ122" s="368"/>
      <c r="KA122" s="368"/>
      <c r="KB122" s="368"/>
      <c r="KC122" s="368"/>
      <c r="KD122" s="368"/>
      <c r="KE122" s="368"/>
      <c r="KF122" s="368"/>
      <c r="KG122" s="368"/>
      <c r="KH122" s="368"/>
      <c r="KI122" s="368"/>
      <c r="KJ122" s="368"/>
      <c r="KK122" s="368"/>
      <c r="KL122" s="368"/>
      <c r="KM122" s="368"/>
      <c r="KN122" s="368"/>
      <c r="KO122" s="368"/>
      <c r="KP122" s="368"/>
      <c r="KQ122" s="368"/>
      <c r="KR122" s="368"/>
      <c r="KS122" s="368"/>
      <c r="KT122" s="368"/>
      <c r="KU122" s="368"/>
      <c r="KV122" s="368"/>
      <c r="KW122" s="368"/>
      <c r="KX122" s="368"/>
      <c r="KY122" s="368"/>
      <c r="KZ122" s="368"/>
      <c r="LA122" s="368"/>
      <c r="LB122" s="368"/>
      <c r="LC122" s="368"/>
      <c r="LD122" s="368"/>
      <c r="LE122" s="368"/>
      <c r="LF122" s="368"/>
      <c r="LG122" s="368"/>
      <c r="LH122" s="368"/>
      <c r="LI122" s="368"/>
      <c r="LJ122" s="368"/>
      <c r="LK122" s="368"/>
      <c r="LL122" s="368"/>
      <c r="LM122" s="368"/>
      <c r="LN122" s="368"/>
      <c r="LO122" s="368"/>
      <c r="LP122" s="368"/>
      <c r="LQ122" s="368"/>
      <c r="LR122" s="368"/>
      <c r="LS122" s="368"/>
      <c r="LT122" s="368"/>
      <c r="LU122" s="368"/>
      <c r="LV122" s="368"/>
      <c r="LW122" s="368"/>
      <c r="LX122" s="368"/>
      <c r="LY122" s="368"/>
      <c r="LZ122" s="368"/>
      <c r="MA122" s="368"/>
      <c r="MB122" s="368"/>
      <c r="MC122" s="368"/>
      <c r="MD122" s="368"/>
      <c r="ME122" s="368"/>
      <c r="MF122" s="368"/>
      <c r="MG122" s="368"/>
      <c r="MH122" s="368"/>
      <c r="MI122" s="368"/>
      <c r="MJ122" s="368"/>
      <c r="MK122" s="368"/>
      <c r="ML122" s="368"/>
      <c r="MM122" s="368"/>
      <c r="MN122" s="368"/>
      <c r="MO122" s="368"/>
      <c r="MP122" s="368"/>
      <c r="MQ122" s="368"/>
      <c r="MR122" s="368"/>
      <c r="MS122" s="368"/>
      <c r="MT122" s="368"/>
      <c r="MU122" s="368"/>
      <c r="MV122" s="368"/>
      <c r="MW122" s="368"/>
      <c r="MX122" s="368"/>
      <c r="MY122" s="368"/>
      <c r="MZ122" s="368"/>
      <c r="NA122" s="368"/>
      <c r="NB122" s="368"/>
      <c r="NC122" s="368"/>
      <c r="ND122" s="368"/>
      <c r="NE122" s="368"/>
      <c r="NF122" s="368"/>
      <c r="NG122" s="368"/>
      <c r="NH122" s="368"/>
      <c r="NI122" s="368"/>
      <c r="NJ122" s="368"/>
      <c r="NK122" s="368"/>
      <c r="NL122" s="368"/>
      <c r="NM122" s="368"/>
      <c r="NN122" s="368"/>
      <c r="NO122" s="368"/>
      <c r="NP122" s="368"/>
      <c r="NQ122" s="368"/>
      <c r="NR122" s="368"/>
      <c r="NS122" s="368"/>
      <c r="NT122" s="368"/>
      <c r="NU122" s="368"/>
      <c r="NV122" s="368"/>
      <c r="NW122" s="368"/>
      <c r="NX122" s="368"/>
      <c r="NY122" s="368"/>
      <c r="NZ122" s="368"/>
      <c r="OA122" s="368"/>
      <c r="OB122" s="368"/>
      <c r="OC122" s="368"/>
      <c r="OD122" s="368"/>
      <c r="OE122" s="368"/>
      <c r="OF122" s="368"/>
      <c r="OG122" s="368"/>
      <c r="OH122" s="368"/>
      <c r="OI122" s="368"/>
      <c r="OJ122" s="368"/>
      <c r="OK122" s="368"/>
      <c r="OL122" s="368"/>
      <c r="OM122" s="368"/>
      <c r="ON122" s="368"/>
      <c r="OO122" s="368"/>
      <c r="OP122" s="368"/>
      <c r="OQ122" s="368"/>
      <c r="OR122" s="368"/>
      <c r="OS122" s="368"/>
      <c r="OT122" s="368"/>
      <c r="OU122" s="368"/>
      <c r="OV122" s="368"/>
      <c r="OW122" s="368"/>
      <c r="OX122" s="368"/>
      <c r="OY122" s="368"/>
      <c r="OZ122" s="368"/>
      <c r="PA122" s="368"/>
      <c r="PB122" s="368"/>
      <c r="PC122" s="368"/>
      <c r="PD122" s="368"/>
      <c r="PE122" s="368"/>
      <c r="PF122" s="368"/>
      <c r="PG122" s="368"/>
      <c r="PH122" s="368"/>
      <c r="PI122" s="368"/>
      <c r="PJ122" s="368"/>
      <c r="PK122" s="368"/>
      <c r="PL122" s="368"/>
      <c r="PM122" s="368"/>
      <c r="PN122" s="368"/>
      <c r="PO122" s="368"/>
      <c r="PP122" s="368"/>
      <c r="PQ122" s="368"/>
      <c r="PR122" s="368"/>
      <c r="PS122" s="368"/>
      <c r="PT122" s="368"/>
      <c r="PU122" s="368"/>
      <c r="PV122" s="368"/>
      <c r="PW122" s="368"/>
      <c r="PX122" s="368"/>
      <c r="PY122" s="368"/>
      <c r="PZ122" s="368"/>
      <c r="QA122" s="368"/>
      <c r="QB122" s="368"/>
      <c r="QC122" s="368"/>
      <c r="QD122" s="368"/>
      <c r="QE122" s="368"/>
      <c r="QF122" s="368"/>
      <c r="QG122" s="368"/>
      <c r="QH122" s="368"/>
      <c r="QI122" s="368"/>
      <c r="QJ122" s="368"/>
      <c r="QK122" s="368"/>
      <c r="QL122" s="368"/>
      <c r="QM122" s="368"/>
      <c r="QN122" s="368"/>
      <c r="QO122" s="368"/>
      <c r="QP122" s="368"/>
      <c r="QQ122" s="368"/>
      <c r="QR122" s="368"/>
      <c r="QS122" s="368"/>
      <c r="QT122" s="368"/>
      <c r="QU122" s="368"/>
      <c r="QV122" s="368"/>
      <c r="QW122" s="368"/>
      <c r="QX122" s="368"/>
      <c r="QY122" s="368"/>
      <c r="QZ122" s="368"/>
      <c r="RA122" s="368"/>
      <c r="RB122" s="368"/>
      <c r="RC122" s="368"/>
      <c r="RD122" s="368"/>
      <c r="RE122" s="368"/>
      <c r="RF122" s="368"/>
      <c r="RG122" s="368"/>
      <c r="RH122" s="368"/>
      <c r="RI122" s="368"/>
      <c r="RJ122" s="368"/>
      <c r="RK122" s="368"/>
      <c r="RL122" s="368"/>
      <c r="RM122" s="368"/>
      <c r="RN122" s="368"/>
      <c r="RO122" s="368"/>
      <c r="RP122" s="368"/>
      <c r="RQ122" s="368"/>
      <c r="RR122" s="368"/>
      <c r="RS122" s="368"/>
      <c r="RT122" s="368"/>
      <c r="RU122" s="368"/>
      <c r="RV122" s="368"/>
      <c r="RW122" s="368"/>
      <c r="RX122" s="368"/>
      <c r="RY122" s="368"/>
      <c r="RZ122" s="368"/>
      <c r="SA122" s="368"/>
      <c r="SB122" s="368"/>
      <c r="SC122" s="368"/>
      <c r="SD122" s="368"/>
      <c r="SE122" s="368"/>
      <c r="SF122" s="368"/>
      <c r="SG122" s="368"/>
      <c r="SH122" s="368"/>
      <c r="SI122" s="368"/>
      <c r="SJ122" s="368"/>
      <c r="SK122" s="368"/>
      <c r="SL122" s="368"/>
      <c r="SM122" s="368"/>
      <c r="SN122" s="368"/>
      <c r="SO122" s="368"/>
      <c r="SP122" s="368"/>
      <c r="SQ122" s="368"/>
      <c r="SR122" s="368"/>
      <c r="SS122" s="368"/>
      <c r="ST122" s="368"/>
      <c r="SU122" s="368"/>
      <c r="SV122" s="368"/>
      <c r="SW122" s="368"/>
      <c r="SX122" s="368"/>
      <c r="SY122" s="368"/>
      <c r="SZ122" s="368"/>
      <c r="TA122" s="368"/>
      <c r="TB122" s="368"/>
      <c r="TC122" s="368"/>
      <c r="TD122" s="368"/>
      <c r="TE122" s="368"/>
      <c r="TF122" s="368"/>
      <c r="TG122" s="368"/>
      <c r="TH122" s="368"/>
      <c r="TI122" s="368"/>
      <c r="TJ122" s="368"/>
      <c r="TK122" s="368"/>
      <c r="TL122" s="368"/>
      <c r="TM122" s="368"/>
      <c r="TN122" s="368"/>
      <c r="TO122" s="368"/>
      <c r="TP122" s="368"/>
      <c r="TQ122" s="368"/>
      <c r="TR122" s="368"/>
      <c r="TS122" s="368"/>
      <c r="TT122" s="368"/>
      <c r="TU122" s="368"/>
      <c r="TV122" s="368"/>
      <c r="TW122" s="368"/>
      <c r="TX122" s="368"/>
      <c r="TY122" s="368"/>
      <c r="TZ122" s="368"/>
      <c r="UA122" s="368"/>
      <c r="UB122" s="368"/>
      <c r="UC122" s="368"/>
      <c r="UD122" s="368"/>
      <c r="UE122" s="368"/>
      <c r="UF122" s="368"/>
      <c r="UG122" s="368"/>
      <c r="UH122" s="368"/>
      <c r="UI122" s="368"/>
      <c r="UJ122" s="368"/>
      <c r="UK122" s="368"/>
      <c r="UL122" s="368"/>
      <c r="UM122" s="368"/>
      <c r="UN122" s="368"/>
      <c r="UO122" s="368"/>
      <c r="UP122" s="368"/>
      <c r="UQ122" s="368"/>
      <c r="UR122" s="368"/>
      <c r="US122" s="368"/>
      <c r="UT122" s="368"/>
      <c r="UU122" s="368"/>
      <c r="UV122" s="368"/>
      <c r="UW122" s="368"/>
      <c r="UX122" s="368"/>
      <c r="UY122" s="368"/>
      <c r="UZ122" s="368"/>
      <c r="VA122" s="368"/>
      <c r="VB122" s="368"/>
      <c r="VC122" s="368"/>
      <c r="VD122" s="368"/>
      <c r="VE122" s="368"/>
      <c r="VF122" s="368"/>
      <c r="VG122" s="368"/>
      <c r="VH122" s="368"/>
      <c r="VI122" s="368"/>
      <c r="VJ122" s="368"/>
      <c r="VK122" s="368"/>
      <c r="VL122" s="368"/>
      <c r="VM122" s="368"/>
      <c r="VN122" s="368"/>
      <c r="VO122" s="368"/>
      <c r="VP122" s="368"/>
      <c r="VQ122" s="368"/>
      <c r="VR122" s="368"/>
      <c r="VS122" s="368"/>
      <c r="VT122" s="368"/>
      <c r="VU122" s="368"/>
      <c r="VV122" s="368"/>
      <c r="VW122" s="368"/>
      <c r="VX122" s="368"/>
      <c r="VY122" s="368"/>
      <c r="VZ122" s="368"/>
      <c r="WA122" s="368"/>
      <c r="WB122" s="368"/>
      <c r="WC122" s="368"/>
      <c r="WD122" s="368"/>
      <c r="WE122" s="368"/>
      <c r="WF122" s="368"/>
      <c r="WG122" s="368"/>
      <c r="WH122" s="368"/>
      <c r="WI122" s="368"/>
      <c r="WJ122" s="368"/>
      <c r="WK122" s="368"/>
      <c r="WL122" s="368"/>
      <c r="WM122" s="368"/>
      <c r="WN122" s="368"/>
      <c r="WO122" s="368"/>
      <c r="WP122" s="368"/>
      <c r="WQ122" s="368"/>
      <c r="WR122" s="368"/>
      <c r="WS122" s="368"/>
      <c r="WT122" s="368"/>
      <c r="WU122" s="368"/>
      <c r="WV122" s="368"/>
      <c r="WW122" s="368"/>
      <c r="WX122" s="368"/>
      <c r="WY122" s="368"/>
      <c r="WZ122" s="368"/>
      <c r="XA122" s="368"/>
      <c r="XB122" s="368"/>
      <c r="XC122" s="368"/>
      <c r="XD122" s="368"/>
      <c r="XE122" s="368"/>
      <c r="XF122" s="368"/>
      <c r="XG122" s="368"/>
      <c r="XH122" s="368"/>
      <c r="XI122" s="368"/>
      <c r="XJ122" s="368"/>
      <c r="XK122" s="368"/>
      <c r="XL122" s="368"/>
      <c r="XM122" s="368"/>
      <c r="XN122" s="368"/>
      <c r="XO122" s="368"/>
      <c r="XP122" s="368"/>
      <c r="XQ122" s="368"/>
      <c r="XR122" s="368"/>
      <c r="XS122" s="368"/>
      <c r="XT122" s="368"/>
      <c r="XU122" s="368"/>
      <c r="XV122" s="368"/>
      <c r="XW122" s="368"/>
      <c r="XX122" s="368"/>
      <c r="XY122" s="368"/>
      <c r="XZ122" s="368"/>
      <c r="YA122" s="368"/>
      <c r="YB122" s="368"/>
      <c r="YC122" s="368"/>
      <c r="YD122" s="368"/>
      <c r="YE122" s="368"/>
      <c r="YF122" s="368"/>
      <c r="YG122" s="368"/>
      <c r="YH122" s="368"/>
      <c r="YI122" s="368"/>
      <c r="YJ122" s="368"/>
      <c r="YK122" s="368"/>
      <c r="YL122" s="368"/>
      <c r="YM122" s="368"/>
      <c r="YN122" s="368"/>
      <c r="YO122" s="368"/>
      <c r="YP122" s="368"/>
      <c r="YQ122" s="368"/>
      <c r="YR122" s="368"/>
      <c r="YS122" s="368"/>
      <c r="YT122" s="368"/>
      <c r="YU122" s="368"/>
      <c r="YV122" s="368"/>
      <c r="YW122" s="368"/>
      <c r="YX122" s="368"/>
      <c r="YY122" s="368"/>
      <c r="YZ122" s="368"/>
      <c r="ZA122" s="368"/>
      <c r="ZB122" s="368"/>
      <c r="ZC122" s="368"/>
      <c r="ZD122" s="368"/>
      <c r="ZE122" s="368"/>
      <c r="ZF122" s="368"/>
      <c r="ZG122" s="368"/>
      <c r="ZH122" s="368"/>
      <c r="ZI122" s="368"/>
      <c r="ZJ122" s="368"/>
      <c r="ZK122" s="368"/>
      <c r="ZL122" s="368"/>
      <c r="ZM122" s="368"/>
      <c r="ZN122" s="368"/>
      <c r="ZO122" s="368"/>
      <c r="ZP122" s="368"/>
      <c r="ZQ122" s="368"/>
      <c r="ZR122" s="368"/>
      <c r="ZS122" s="368"/>
      <c r="ZT122" s="368"/>
      <c r="ZU122" s="368"/>
      <c r="ZV122" s="368"/>
      <c r="ZW122" s="368"/>
      <c r="ZX122" s="368"/>
      <c r="ZY122" s="368"/>
      <c r="ZZ122" s="368"/>
      <c r="AAA122" s="368"/>
      <c r="AAB122" s="368"/>
      <c r="AAC122" s="368"/>
      <c r="AAD122" s="368"/>
      <c r="AAE122" s="368"/>
      <c r="AAF122" s="368"/>
      <c r="AAG122" s="368"/>
      <c r="AAH122" s="368"/>
      <c r="AAI122" s="368"/>
      <c r="AAJ122" s="368"/>
      <c r="AAK122" s="368"/>
      <c r="AAL122" s="368"/>
      <c r="AAM122" s="368"/>
      <c r="AAN122" s="368"/>
      <c r="AAO122" s="368"/>
      <c r="AAP122" s="368"/>
      <c r="AAQ122" s="368"/>
      <c r="AAR122" s="368"/>
      <c r="AAS122" s="368"/>
      <c r="AAT122" s="368"/>
      <c r="AAU122" s="368"/>
      <c r="AAV122" s="368"/>
      <c r="AAW122" s="368"/>
      <c r="AAX122" s="368"/>
      <c r="AAY122" s="368"/>
      <c r="AAZ122" s="368"/>
      <c r="ABA122" s="368"/>
      <c r="ABB122" s="368"/>
      <c r="ABC122" s="368"/>
      <c r="ABD122" s="368"/>
      <c r="ABE122" s="368"/>
      <c r="ABF122" s="368"/>
      <c r="ABG122" s="368"/>
      <c r="ABH122" s="368"/>
      <c r="ABI122" s="368"/>
      <c r="ABJ122" s="368"/>
      <c r="ABK122" s="368"/>
      <c r="ABL122" s="368"/>
      <c r="ABM122" s="368"/>
      <c r="ABN122" s="368"/>
      <c r="ABO122" s="368"/>
      <c r="ABP122" s="368"/>
      <c r="ABQ122" s="368"/>
      <c r="ABR122" s="368"/>
      <c r="ABS122" s="368"/>
      <c r="ABT122" s="368"/>
      <c r="ABU122" s="368"/>
      <c r="ABV122" s="368"/>
      <c r="ABW122" s="368"/>
      <c r="ABX122" s="368"/>
      <c r="ABY122" s="368"/>
      <c r="ABZ122" s="368"/>
      <c r="ACA122" s="368"/>
      <c r="ACB122" s="368"/>
      <c r="ACC122" s="368"/>
      <c r="ACD122" s="368"/>
      <c r="ACE122" s="368"/>
      <c r="ACF122" s="368"/>
      <c r="ACG122" s="368"/>
      <c r="ACH122" s="368"/>
      <c r="ACI122" s="368"/>
      <c r="ACJ122" s="368"/>
      <c r="ACK122" s="368"/>
      <c r="ACL122" s="368"/>
      <c r="ACM122" s="368"/>
      <c r="ACN122" s="368"/>
      <c r="ACO122" s="368"/>
      <c r="ACP122" s="368"/>
      <c r="ACQ122" s="368"/>
      <c r="ACR122" s="368"/>
      <c r="ACS122" s="368"/>
      <c r="ACT122" s="368"/>
      <c r="ACU122" s="368"/>
      <c r="ACV122" s="368"/>
      <c r="ACW122" s="368"/>
      <c r="ACX122" s="368"/>
      <c r="ACY122" s="368"/>
      <c r="ACZ122" s="368"/>
      <c r="ADA122" s="368"/>
      <c r="ADB122" s="368"/>
      <c r="ADC122" s="368"/>
      <c r="ADD122" s="368"/>
      <c r="ADE122" s="368"/>
      <c r="ADF122" s="368"/>
      <c r="ADG122" s="368"/>
      <c r="ADH122" s="368"/>
      <c r="ADI122" s="368"/>
      <c r="ADJ122" s="368"/>
      <c r="ADK122" s="368"/>
      <c r="ADL122" s="368"/>
      <c r="ADM122" s="368"/>
      <c r="ADN122" s="368"/>
      <c r="ADO122" s="368"/>
      <c r="ADP122" s="368"/>
      <c r="ADQ122" s="368"/>
      <c r="ADR122" s="368"/>
      <c r="ADS122" s="368"/>
      <c r="ADT122" s="368"/>
      <c r="ADU122" s="368"/>
      <c r="ADV122" s="368"/>
      <c r="ADW122" s="368"/>
      <c r="ADX122" s="368"/>
      <c r="ADY122" s="368"/>
      <c r="ADZ122" s="368"/>
      <c r="AEA122" s="368"/>
      <c r="AEB122" s="368"/>
      <c r="AEC122" s="368"/>
      <c r="AED122" s="368"/>
      <c r="AEE122" s="368"/>
      <c r="AEF122" s="368"/>
      <c r="AEG122" s="368"/>
      <c r="AEH122" s="368"/>
      <c r="AEI122" s="368"/>
      <c r="AEJ122" s="368"/>
      <c r="AEK122" s="368"/>
      <c r="AEL122" s="368"/>
      <c r="AEM122" s="368"/>
      <c r="AEN122" s="368"/>
      <c r="AEO122" s="368"/>
      <c r="AEP122" s="368"/>
      <c r="AEQ122" s="368"/>
      <c r="AER122" s="368"/>
      <c r="AES122" s="368"/>
      <c r="AET122" s="368"/>
      <c r="AEU122" s="368"/>
      <c r="AEV122" s="368"/>
      <c r="AEW122" s="368"/>
      <c r="AEX122" s="368"/>
      <c r="AEY122" s="368"/>
      <c r="AEZ122" s="368"/>
      <c r="AFA122" s="368"/>
      <c r="AFB122" s="368"/>
      <c r="AFC122" s="368"/>
      <c r="AFD122" s="368"/>
      <c r="AFE122" s="368"/>
      <c r="AFF122" s="368"/>
      <c r="AFG122" s="368"/>
      <c r="AFH122" s="368"/>
      <c r="AFI122" s="368"/>
      <c r="AFJ122" s="368"/>
      <c r="AFK122" s="368"/>
      <c r="AFL122" s="368"/>
      <c r="AFM122" s="368"/>
      <c r="AFN122" s="368"/>
      <c r="AFO122" s="368"/>
      <c r="AFP122" s="368"/>
      <c r="AFQ122" s="368"/>
      <c r="AFR122" s="368"/>
      <c r="AFS122" s="368"/>
      <c r="AFT122" s="368"/>
      <c r="AFU122" s="368"/>
      <c r="AFV122" s="368"/>
      <c r="AFW122" s="368"/>
      <c r="AFX122" s="368"/>
      <c r="AFY122" s="368"/>
      <c r="AFZ122" s="368"/>
      <c r="AGA122" s="368"/>
      <c r="AGB122" s="368"/>
      <c r="AGC122" s="368"/>
      <c r="AGD122" s="368"/>
      <c r="AGE122" s="368"/>
      <c r="AGF122" s="368"/>
      <c r="AGG122" s="368"/>
      <c r="AGH122" s="368"/>
      <c r="AGI122" s="368"/>
      <c r="AGJ122" s="368"/>
      <c r="AGK122" s="368"/>
      <c r="AGL122" s="368"/>
      <c r="AGM122" s="368"/>
      <c r="AGN122" s="368"/>
      <c r="AGO122" s="368"/>
      <c r="AGP122" s="368"/>
      <c r="AGQ122" s="368"/>
      <c r="AGR122" s="368"/>
      <c r="AGS122" s="368"/>
      <c r="AGT122" s="368"/>
      <c r="AGU122" s="368"/>
      <c r="AGV122" s="368"/>
      <c r="AGW122" s="368"/>
      <c r="AGX122" s="368"/>
      <c r="AGY122" s="368"/>
      <c r="AGZ122" s="368"/>
      <c r="AHA122" s="368"/>
      <c r="AHB122" s="368"/>
      <c r="AHC122" s="368"/>
      <c r="AHD122" s="368"/>
      <c r="AHE122" s="368"/>
      <c r="AHF122" s="368"/>
      <c r="AHG122" s="368"/>
      <c r="AHH122" s="368"/>
      <c r="AHI122" s="368"/>
      <c r="AHJ122" s="368"/>
      <c r="AHK122" s="368"/>
      <c r="AHL122" s="368"/>
      <c r="AHM122" s="368"/>
      <c r="AHN122" s="368"/>
      <c r="AHO122" s="368"/>
      <c r="AHP122" s="368"/>
      <c r="AHQ122" s="368"/>
      <c r="AHR122" s="368"/>
      <c r="AHS122" s="368"/>
      <c r="AHT122" s="368"/>
      <c r="AHU122" s="368"/>
      <c r="AHV122" s="368"/>
      <c r="AHW122" s="368"/>
      <c r="AHX122" s="368"/>
      <c r="AHY122" s="368"/>
      <c r="AHZ122" s="368"/>
      <c r="AIA122" s="368"/>
      <c r="AIB122" s="368"/>
      <c r="AIC122" s="368"/>
      <c r="AID122" s="368"/>
      <c r="AIE122" s="368"/>
      <c r="AIF122" s="368"/>
      <c r="AIG122" s="368"/>
      <c r="AIH122" s="368"/>
      <c r="AII122" s="368"/>
      <c r="AIJ122" s="368"/>
      <c r="AIK122" s="368"/>
      <c r="AIL122" s="368"/>
      <c r="AIM122" s="368"/>
      <c r="AIN122" s="368"/>
      <c r="AIO122" s="368"/>
      <c r="AIP122" s="368"/>
      <c r="AIQ122" s="368"/>
      <c r="AIR122" s="368"/>
      <c r="AIS122" s="368"/>
      <c r="AIT122" s="368"/>
      <c r="AIU122" s="368"/>
      <c r="AIV122" s="368"/>
      <c r="AIW122" s="368"/>
      <c r="AIX122" s="368"/>
      <c r="AIY122" s="368"/>
      <c r="AIZ122" s="368"/>
      <c r="AJA122" s="368"/>
      <c r="AJB122" s="368"/>
      <c r="AJC122" s="368"/>
      <c r="AJD122" s="368"/>
      <c r="AJE122" s="368"/>
      <c r="AJF122" s="368"/>
      <c r="AJG122" s="368"/>
      <c r="AJH122" s="368"/>
      <c r="AJI122" s="368"/>
      <c r="AJJ122" s="368"/>
      <c r="AJK122" s="368"/>
      <c r="AJL122" s="368"/>
      <c r="AJM122" s="368"/>
      <c r="AJN122" s="368"/>
      <c r="AJO122" s="368"/>
      <c r="AJP122" s="368"/>
      <c r="AJQ122" s="368"/>
      <c r="AJR122" s="368"/>
      <c r="AJS122" s="368"/>
      <c r="AJT122" s="368"/>
      <c r="AJU122" s="368"/>
      <c r="AJV122" s="368"/>
      <c r="AJW122" s="368"/>
      <c r="AJX122" s="368"/>
      <c r="AJY122" s="368"/>
      <c r="AJZ122" s="368"/>
      <c r="AKA122" s="368"/>
      <c r="AKB122" s="368"/>
      <c r="AKC122" s="368"/>
      <c r="AKD122" s="368"/>
      <c r="AKE122" s="368"/>
      <c r="AKF122" s="368"/>
      <c r="AKG122" s="368"/>
      <c r="AKH122" s="368"/>
      <c r="AKI122" s="368"/>
      <c r="AKJ122" s="368"/>
      <c r="AKK122" s="368"/>
      <c r="AKL122" s="368"/>
      <c r="AKM122" s="368"/>
      <c r="AKN122" s="368"/>
    </row>
    <row r="123" spans="1:976" s="375" customFormat="1" ht="22.5" customHeight="1" x14ac:dyDescent="0.2">
      <c r="A123" s="428" t="s">
        <v>262</v>
      </c>
      <c r="B123" s="428"/>
      <c r="C123" s="428" t="s">
        <v>221</v>
      </c>
      <c r="D123" s="428" t="s">
        <v>222</v>
      </c>
      <c r="E123" s="429">
        <v>412861</v>
      </c>
      <c r="F123" s="429">
        <v>1638</v>
      </c>
      <c r="G123" s="429">
        <v>255</v>
      </c>
      <c r="H123" s="429">
        <v>0</v>
      </c>
      <c r="I123" s="430">
        <v>45875</v>
      </c>
      <c r="J123" s="428" t="s">
        <v>395</v>
      </c>
      <c r="K123" s="428" t="s">
        <v>621</v>
      </c>
      <c r="L123" s="431">
        <v>88.69</v>
      </c>
      <c r="M123" s="431">
        <v>4.88</v>
      </c>
      <c r="N123" s="441">
        <v>93.57</v>
      </c>
      <c r="O123" s="428"/>
      <c r="P123" s="432">
        <v>45888</v>
      </c>
      <c r="Q123" s="431">
        <v>93.57</v>
      </c>
      <c r="R123" s="428" t="s">
        <v>622</v>
      </c>
      <c r="S123" s="431">
        <v>0</v>
      </c>
      <c r="T123" s="431">
        <v>0</v>
      </c>
      <c r="U123" s="431">
        <v>0</v>
      </c>
      <c r="V123" s="431">
        <v>0</v>
      </c>
      <c r="W123" s="428"/>
      <c r="X123" s="428" t="s">
        <v>293</v>
      </c>
      <c r="Y123" s="428" t="s">
        <v>294</v>
      </c>
      <c r="Z123" s="428" t="s">
        <v>42</v>
      </c>
      <c r="AA123" s="428" t="s">
        <v>228</v>
      </c>
      <c r="AB123" s="428" t="s">
        <v>235</v>
      </c>
      <c r="AC123" s="428" t="s">
        <v>236</v>
      </c>
      <c r="AD123" s="428" t="s">
        <v>231</v>
      </c>
      <c r="AE123" s="428" t="s">
        <v>232</v>
      </c>
      <c r="AF123" s="428" t="s">
        <v>231</v>
      </c>
      <c r="AG123" s="428" t="s">
        <v>232</v>
      </c>
      <c r="AH123" s="428"/>
      <c r="AI123" s="428"/>
      <c r="AJ123" s="428"/>
      <c r="AK123" s="428" t="s">
        <v>623</v>
      </c>
      <c r="AL123" s="429">
        <v>1</v>
      </c>
      <c r="AM123" s="429">
        <v>0</v>
      </c>
      <c r="AN123" s="430">
        <v>45888</v>
      </c>
      <c r="AO123" s="430">
        <v>45887</v>
      </c>
      <c r="AP123" s="431">
        <v>93.57</v>
      </c>
      <c r="AQ123" s="430">
        <v>45886</v>
      </c>
      <c r="AR123" s="368"/>
      <c r="AS123" s="368"/>
      <c r="AT123" s="368"/>
      <c r="AU123" s="368"/>
      <c r="AV123" s="368"/>
      <c r="AW123" s="368"/>
      <c r="AX123" s="368"/>
      <c r="AY123" s="368"/>
      <c r="AZ123" s="368"/>
      <c r="BA123" s="368"/>
      <c r="BB123" s="368"/>
      <c r="BC123" s="368"/>
      <c r="BD123" s="368"/>
      <c r="BE123" s="368"/>
      <c r="BF123" s="368"/>
      <c r="BG123" s="368"/>
      <c r="BH123" s="368"/>
      <c r="BI123" s="368"/>
      <c r="BJ123" s="368"/>
      <c r="BK123" s="368"/>
      <c r="BL123" s="368"/>
      <c r="BM123" s="368"/>
      <c r="BN123" s="368"/>
      <c r="BO123" s="368"/>
      <c r="BP123" s="368"/>
      <c r="BQ123" s="368"/>
      <c r="BR123" s="368"/>
      <c r="BS123" s="368"/>
      <c r="BT123" s="368"/>
      <c r="BU123" s="368"/>
      <c r="BV123" s="368"/>
      <c r="BW123" s="368"/>
      <c r="BX123" s="368"/>
      <c r="BY123" s="368"/>
      <c r="BZ123" s="368"/>
      <c r="CA123" s="368"/>
      <c r="CB123" s="368"/>
      <c r="CC123" s="368"/>
      <c r="CD123" s="368"/>
      <c r="CE123" s="368"/>
      <c r="CF123" s="368"/>
      <c r="CG123" s="368"/>
      <c r="CH123" s="368"/>
      <c r="CI123" s="368"/>
      <c r="CJ123" s="368"/>
      <c r="CK123" s="368"/>
      <c r="CL123" s="368"/>
      <c r="CM123" s="368"/>
      <c r="CN123" s="368"/>
      <c r="CO123" s="368"/>
      <c r="CP123" s="368"/>
      <c r="CQ123" s="368"/>
      <c r="CR123" s="368"/>
      <c r="CS123" s="368"/>
      <c r="CT123" s="368"/>
      <c r="CU123" s="368"/>
      <c r="CV123" s="368"/>
      <c r="CW123" s="368"/>
      <c r="CX123" s="368"/>
      <c r="CY123" s="368"/>
      <c r="CZ123" s="368"/>
      <c r="DA123" s="368"/>
      <c r="DB123" s="368"/>
      <c r="DC123" s="368"/>
      <c r="DD123" s="368"/>
      <c r="DE123" s="368"/>
      <c r="DF123" s="368"/>
      <c r="DG123" s="368"/>
      <c r="DH123" s="368"/>
      <c r="DI123" s="368"/>
      <c r="DJ123" s="368"/>
      <c r="DK123" s="368"/>
      <c r="DL123" s="368"/>
      <c r="DM123" s="368"/>
      <c r="DN123" s="368"/>
      <c r="DO123" s="368"/>
      <c r="DP123" s="368"/>
      <c r="DQ123" s="368"/>
      <c r="DR123" s="368"/>
      <c r="DS123" s="368"/>
      <c r="DT123" s="368"/>
      <c r="DU123" s="368"/>
      <c r="DV123" s="368"/>
      <c r="DW123" s="368"/>
      <c r="DX123" s="368"/>
      <c r="DY123" s="368"/>
      <c r="DZ123" s="368"/>
      <c r="EA123" s="368"/>
      <c r="EB123" s="368"/>
      <c r="EC123" s="368"/>
      <c r="ED123" s="368"/>
      <c r="EE123" s="368"/>
      <c r="EF123" s="368"/>
      <c r="EG123" s="368"/>
      <c r="EH123" s="368"/>
      <c r="EI123" s="368"/>
      <c r="EJ123" s="368"/>
      <c r="EK123" s="368"/>
      <c r="EL123" s="368"/>
      <c r="EM123" s="368"/>
      <c r="EN123" s="368"/>
      <c r="EO123" s="368"/>
      <c r="EP123" s="368"/>
      <c r="EQ123" s="368"/>
      <c r="ER123" s="368"/>
      <c r="ES123" s="368"/>
      <c r="ET123" s="368"/>
      <c r="EU123" s="368"/>
      <c r="EV123" s="368"/>
      <c r="EW123" s="368"/>
      <c r="EX123" s="368"/>
      <c r="EY123" s="368"/>
      <c r="EZ123" s="368"/>
      <c r="FA123" s="368"/>
      <c r="FB123" s="368"/>
      <c r="FC123" s="368"/>
      <c r="FD123" s="368"/>
      <c r="FE123" s="368"/>
      <c r="FF123" s="368"/>
      <c r="FG123" s="368"/>
      <c r="FH123" s="368"/>
      <c r="FI123" s="368"/>
      <c r="FJ123" s="368"/>
      <c r="FK123" s="368"/>
      <c r="FL123" s="368"/>
      <c r="FM123" s="368"/>
      <c r="FN123" s="368"/>
      <c r="FO123" s="368"/>
      <c r="FP123" s="368"/>
      <c r="FQ123" s="368"/>
      <c r="FR123" s="368"/>
      <c r="FS123" s="368"/>
      <c r="FT123" s="368"/>
      <c r="FU123" s="368"/>
      <c r="FV123" s="368"/>
      <c r="FW123" s="368"/>
      <c r="FX123" s="368"/>
      <c r="FY123" s="368"/>
      <c r="FZ123" s="368"/>
      <c r="GA123" s="368"/>
      <c r="GB123" s="368"/>
      <c r="GC123" s="368"/>
      <c r="GD123" s="368"/>
      <c r="GE123" s="368"/>
      <c r="GF123" s="368"/>
      <c r="GG123" s="368"/>
      <c r="GH123" s="368"/>
      <c r="GI123" s="368"/>
      <c r="GJ123" s="368"/>
      <c r="GK123" s="368"/>
      <c r="GL123" s="368"/>
      <c r="GM123" s="368"/>
      <c r="GN123" s="368"/>
      <c r="GO123" s="368"/>
      <c r="GP123" s="368"/>
      <c r="GQ123" s="368"/>
      <c r="GR123" s="368"/>
      <c r="GS123" s="368"/>
      <c r="GT123" s="368"/>
      <c r="GU123" s="368"/>
      <c r="GV123" s="368"/>
      <c r="GW123" s="368"/>
      <c r="GX123" s="368"/>
      <c r="GY123" s="368"/>
      <c r="GZ123" s="368"/>
      <c r="HA123" s="368"/>
      <c r="HB123" s="368"/>
      <c r="HC123" s="368"/>
      <c r="HD123" s="368"/>
      <c r="HE123" s="368"/>
      <c r="HF123" s="368"/>
      <c r="HG123" s="368"/>
      <c r="HH123" s="368"/>
      <c r="HI123" s="368"/>
      <c r="HJ123" s="368"/>
      <c r="HK123" s="368"/>
      <c r="HL123" s="368"/>
      <c r="HM123" s="368"/>
      <c r="HN123" s="368"/>
      <c r="HO123" s="368"/>
      <c r="HP123" s="368"/>
      <c r="HQ123" s="368"/>
      <c r="HR123" s="368"/>
      <c r="HS123" s="368"/>
      <c r="HT123" s="368"/>
      <c r="HU123" s="368"/>
      <c r="HV123" s="368"/>
      <c r="HW123" s="368"/>
      <c r="HX123" s="368"/>
      <c r="HY123" s="368"/>
      <c r="HZ123" s="368"/>
      <c r="IA123" s="368"/>
      <c r="IB123" s="368"/>
      <c r="IC123" s="368"/>
      <c r="ID123" s="368"/>
      <c r="IE123" s="368"/>
      <c r="IF123" s="368"/>
      <c r="IG123" s="368"/>
      <c r="IH123" s="368"/>
      <c r="II123" s="368"/>
      <c r="IJ123" s="368"/>
      <c r="IK123" s="368"/>
      <c r="IL123" s="368"/>
      <c r="IM123" s="368"/>
      <c r="IN123" s="368"/>
      <c r="IO123" s="368"/>
      <c r="IP123" s="368"/>
      <c r="IQ123" s="368"/>
      <c r="IR123" s="368"/>
      <c r="IS123" s="368"/>
      <c r="IT123" s="368"/>
      <c r="IU123" s="368"/>
      <c r="IV123" s="368"/>
      <c r="IW123" s="368"/>
      <c r="IX123" s="368"/>
      <c r="IY123" s="368"/>
      <c r="IZ123" s="368"/>
      <c r="JA123" s="368"/>
      <c r="JB123" s="368"/>
      <c r="JC123" s="368"/>
      <c r="JD123" s="368"/>
      <c r="JE123" s="368"/>
      <c r="JF123" s="368"/>
      <c r="JG123" s="368"/>
      <c r="JH123" s="368"/>
      <c r="JI123" s="368"/>
      <c r="JJ123" s="368"/>
      <c r="JK123" s="368"/>
      <c r="JL123" s="368"/>
      <c r="JM123" s="368"/>
      <c r="JN123" s="368"/>
      <c r="JO123" s="368"/>
      <c r="JP123" s="368"/>
      <c r="JQ123" s="368"/>
      <c r="JR123" s="368"/>
      <c r="JS123" s="368"/>
      <c r="JT123" s="368"/>
      <c r="JU123" s="368"/>
      <c r="JV123" s="368"/>
      <c r="JW123" s="368"/>
      <c r="JX123" s="368"/>
      <c r="JY123" s="368"/>
      <c r="JZ123" s="368"/>
      <c r="KA123" s="368"/>
      <c r="KB123" s="368"/>
      <c r="KC123" s="368"/>
      <c r="KD123" s="368"/>
      <c r="KE123" s="368"/>
      <c r="KF123" s="368"/>
      <c r="KG123" s="368"/>
      <c r="KH123" s="368"/>
      <c r="KI123" s="368"/>
      <c r="KJ123" s="368"/>
      <c r="KK123" s="368"/>
      <c r="KL123" s="368"/>
      <c r="KM123" s="368"/>
      <c r="KN123" s="368"/>
      <c r="KO123" s="368"/>
      <c r="KP123" s="368"/>
      <c r="KQ123" s="368"/>
      <c r="KR123" s="368"/>
      <c r="KS123" s="368"/>
      <c r="KT123" s="368"/>
      <c r="KU123" s="368"/>
      <c r="KV123" s="368"/>
      <c r="KW123" s="368"/>
      <c r="KX123" s="368"/>
      <c r="KY123" s="368"/>
      <c r="KZ123" s="368"/>
      <c r="LA123" s="368"/>
      <c r="LB123" s="368"/>
      <c r="LC123" s="368"/>
      <c r="LD123" s="368"/>
      <c r="LE123" s="368"/>
      <c r="LF123" s="368"/>
      <c r="LG123" s="368"/>
      <c r="LH123" s="368"/>
      <c r="LI123" s="368"/>
      <c r="LJ123" s="368"/>
      <c r="LK123" s="368"/>
      <c r="LL123" s="368"/>
      <c r="LM123" s="368"/>
      <c r="LN123" s="368"/>
      <c r="LO123" s="368"/>
      <c r="LP123" s="368"/>
      <c r="LQ123" s="368"/>
      <c r="LR123" s="368"/>
      <c r="LS123" s="368"/>
      <c r="LT123" s="368"/>
      <c r="LU123" s="368"/>
      <c r="LV123" s="368"/>
      <c r="LW123" s="368"/>
      <c r="LX123" s="368"/>
      <c r="LY123" s="368"/>
      <c r="LZ123" s="368"/>
      <c r="MA123" s="368"/>
      <c r="MB123" s="368"/>
      <c r="MC123" s="368"/>
      <c r="MD123" s="368"/>
      <c r="ME123" s="368"/>
      <c r="MF123" s="368"/>
      <c r="MG123" s="368"/>
      <c r="MH123" s="368"/>
      <c r="MI123" s="368"/>
      <c r="MJ123" s="368"/>
      <c r="MK123" s="368"/>
      <c r="ML123" s="368"/>
      <c r="MM123" s="368"/>
      <c r="MN123" s="368"/>
      <c r="MO123" s="368"/>
      <c r="MP123" s="368"/>
      <c r="MQ123" s="368"/>
      <c r="MR123" s="368"/>
      <c r="MS123" s="368"/>
      <c r="MT123" s="368"/>
      <c r="MU123" s="368"/>
      <c r="MV123" s="368"/>
      <c r="MW123" s="368"/>
      <c r="MX123" s="368"/>
      <c r="MY123" s="368"/>
      <c r="MZ123" s="368"/>
      <c r="NA123" s="368"/>
      <c r="NB123" s="368"/>
      <c r="NC123" s="368"/>
      <c r="ND123" s="368"/>
      <c r="NE123" s="368"/>
      <c r="NF123" s="368"/>
      <c r="NG123" s="368"/>
      <c r="NH123" s="368"/>
      <c r="NI123" s="368"/>
      <c r="NJ123" s="368"/>
      <c r="NK123" s="368"/>
      <c r="NL123" s="368"/>
      <c r="NM123" s="368"/>
      <c r="NN123" s="368"/>
      <c r="NO123" s="368"/>
      <c r="NP123" s="368"/>
      <c r="NQ123" s="368"/>
      <c r="NR123" s="368"/>
      <c r="NS123" s="368"/>
      <c r="NT123" s="368"/>
      <c r="NU123" s="368"/>
      <c r="NV123" s="368"/>
      <c r="NW123" s="368"/>
      <c r="NX123" s="368"/>
      <c r="NY123" s="368"/>
      <c r="NZ123" s="368"/>
      <c r="OA123" s="368"/>
      <c r="OB123" s="368"/>
      <c r="OC123" s="368"/>
      <c r="OD123" s="368"/>
      <c r="OE123" s="368"/>
      <c r="OF123" s="368"/>
      <c r="OG123" s="368"/>
      <c r="OH123" s="368"/>
      <c r="OI123" s="368"/>
      <c r="OJ123" s="368"/>
      <c r="OK123" s="368"/>
      <c r="OL123" s="368"/>
      <c r="OM123" s="368"/>
      <c r="ON123" s="368"/>
      <c r="OO123" s="368"/>
      <c r="OP123" s="368"/>
      <c r="OQ123" s="368"/>
      <c r="OR123" s="368"/>
      <c r="OS123" s="368"/>
      <c r="OT123" s="368"/>
      <c r="OU123" s="368"/>
      <c r="OV123" s="368"/>
      <c r="OW123" s="368"/>
      <c r="OX123" s="368"/>
      <c r="OY123" s="368"/>
      <c r="OZ123" s="368"/>
      <c r="PA123" s="368"/>
      <c r="PB123" s="368"/>
      <c r="PC123" s="368"/>
      <c r="PD123" s="368"/>
      <c r="PE123" s="368"/>
      <c r="PF123" s="368"/>
      <c r="PG123" s="368"/>
      <c r="PH123" s="368"/>
      <c r="PI123" s="368"/>
      <c r="PJ123" s="368"/>
      <c r="PK123" s="368"/>
      <c r="PL123" s="368"/>
      <c r="PM123" s="368"/>
      <c r="PN123" s="368"/>
      <c r="PO123" s="368"/>
      <c r="PP123" s="368"/>
      <c r="PQ123" s="368"/>
      <c r="PR123" s="368"/>
      <c r="PS123" s="368"/>
      <c r="PT123" s="368"/>
      <c r="PU123" s="368"/>
      <c r="PV123" s="368"/>
      <c r="PW123" s="368"/>
      <c r="PX123" s="368"/>
      <c r="PY123" s="368"/>
      <c r="PZ123" s="368"/>
      <c r="QA123" s="368"/>
      <c r="QB123" s="368"/>
      <c r="QC123" s="368"/>
      <c r="QD123" s="368"/>
      <c r="QE123" s="368"/>
      <c r="QF123" s="368"/>
      <c r="QG123" s="368"/>
      <c r="QH123" s="368"/>
      <c r="QI123" s="368"/>
      <c r="QJ123" s="368"/>
      <c r="QK123" s="368"/>
      <c r="QL123" s="368"/>
      <c r="QM123" s="368"/>
      <c r="QN123" s="368"/>
      <c r="QO123" s="368"/>
      <c r="QP123" s="368"/>
      <c r="QQ123" s="368"/>
      <c r="QR123" s="368"/>
      <c r="QS123" s="368"/>
      <c r="QT123" s="368"/>
      <c r="QU123" s="368"/>
      <c r="QV123" s="368"/>
      <c r="QW123" s="368"/>
      <c r="QX123" s="368"/>
      <c r="QY123" s="368"/>
      <c r="QZ123" s="368"/>
      <c r="RA123" s="368"/>
      <c r="RB123" s="368"/>
      <c r="RC123" s="368"/>
      <c r="RD123" s="368"/>
      <c r="RE123" s="368"/>
      <c r="RF123" s="368"/>
      <c r="RG123" s="368"/>
      <c r="RH123" s="368"/>
      <c r="RI123" s="368"/>
      <c r="RJ123" s="368"/>
      <c r="RK123" s="368"/>
      <c r="RL123" s="368"/>
      <c r="RM123" s="368"/>
      <c r="RN123" s="368"/>
      <c r="RO123" s="368"/>
      <c r="RP123" s="368"/>
      <c r="RQ123" s="368"/>
      <c r="RR123" s="368"/>
      <c r="RS123" s="368"/>
      <c r="RT123" s="368"/>
      <c r="RU123" s="368"/>
      <c r="RV123" s="368"/>
      <c r="RW123" s="368"/>
      <c r="RX123" s="368"/>
      <c r="RY123" s="368"/>
      <c r="RZ123" s="368"/>
      <c r="SA123" s="368"/>
      <c r="SB123" s="368"/>
      <c r="SC123" s="368"/>
      <c r="SD123" s="368"/>
      <c r="SE123" s="368"/>
      <c r="SF123" s="368"/>
      <c r="SG123" s="368"/>
      <c r="SH123" s="368"/>
      <c r="SI123" s="368"/>
      <c r="SJ123" s="368"/>
      <c r="SK123" s="368"/>
      <c r="SL123" s="368"/>
      <c r="SM123" s="368"/>
      <c r="SN123" s="368"/>
      <c r="SO123" s="368"/>
      <c r="SP123" s="368"/>
      <c r="SQ123" s="368"/>
      <c r="SR123" s="368"/>
      <c r="SS123" s="368"/>
      <c r="ST123" s="368"/>
      <c r="SU123" s="368"/>
      <c r="SV123" s="368"/>
      <c r="SW123" s="368"/>
      <c r="SX123" s="368"/>
      <c r="SY123" s="368"/>
      <c r="SZ123" s="368"/>
      <c r="TA123" s="368"/>
      <c r="TB123" s="368"/>
      <c r="TC123" s="368"/>
      <c r="TD123" s="368"/>
      <c r="TE123" s="368"/>
      <c r="TF123" s="368"/>
      <c r="TG123" s="368"/>
      <c r="TH123" s="368"/>
      <c r="TI123" s="368"/>
      <c r="TJ123" s="368"/>
      <c r="TK123" s="368"/>
      <c r="TL123" s="368"/>
      <c r="TM123" s="368"/>
      <c r="TN123" s="368"/>
      <c r="TO123" s="368"/>
      <c r="TP123" s="368"/>
      <c r="TQ123" s="368"/>
      <c r="TR123" s="368"/>
      <c r="TS123" s="368"/>
      <c r="TT123" s="368"/>
      <c r="TU123" s="368"/>
      <c r="TV123" s="368"/>
      <c r="TW123" s="368"/>
      <c r="TX123" s="368"/>
      <c r="TY123" s="368"/>
      <c r="TZ123" s="368"/>
      <c r="UA123" s="368"/>
      <c r="UB123" s="368"/>
      <c r="UC123" s="368"/>
      <c r="UD123" s="368"/>
      <c r="UE123" s="368"/>
      <c r="UF123" s="368"/>
      <c r="UG123" s="368"/>
      <c r="UH123" s="368"/>
      <c r="UI123" s="368"/>
      <c r="UJ123" s="368"/>
      <c r="UK123" s="368"/>
      <c r="UL123" s="368"/>
      <c r="UM123" s="368"/>
      <c r="UN123" s="368"/>
      <c r="UO123" s="368"/>
      <c r="UP123" s="368"/>
      <c r="UQ123" s="368"/>
      <c r="UR123" s="368"/>
      <c r="US123" s="368"/>
      <c r="UT123" s="368"/>
      <c r="UU123" s="368"/>
      <c r="UV123" s="368"/>
      <c r="UW123" s="368"/>
      <c r="UX123" s="368"/>
      <c r="UY123" s="368"/>
      <c r="UZ123" s="368"/>
      <c r="VA123" s="368"/>
      <c r="VB123" s="368"/>
      <c r="VC123" s="368"/>
      <c r="VD123" s="368"/>
      <c r="VE123" s="368"/>
      <c r="VF123" s="368"/>
      <c r="VG123" s="368"/>
      <c r="VH123" s="368"/>
      <c r="VI123" s="368"/>
      <c r="VJ123" s="368"/>
      <c r="VK123" s="368"/>
      <c r="VL123" s="368"/>
      <c r="VM123" s="368"/>
      <c r="VN123" s="368"/>
      <c r="VO123" s="368"/>
      <c r="VP123" s="368"/>
      <c r="VQ123" s="368"/>
      <c r="VR123" s="368"/>
      <c r="VS123" s="368"/>
      <c r="VT123" s="368"/>
      <c r="VU123" s="368"/>
      <c r="VV123" s="368"/>
      <c r="VW123" s="368"/>
      <c r="VX123" s="368"/>
      <c r="VY123" s="368"/>
      <c r="VZ123" s="368"/>
      <c r="WA123" s="368"/>
      <c r="WB123" s="368"/>
      <c r="WC123" s="368"/>
      <c r="WD123" s="368"/>
      <c r="WE123" s="368"/>
      <c r="WF123" s="368"/>
      <c r="WG123" s="368"/>
      <c r="WH123" s="368"/>
      <c r="WI123" s="368"/>
      <c r="WJ123" s="368"/>
      <c r="WK123" s="368"/>
      <c r="WL123" s="368"/>
      <c r="WM123" s="368"/>
      <c r="WN123" s="368"/>
      <c r="WO123" s="368"/>
      <c r="WP123" s="368"/>
      <c r="WQ123" s="368"/>
      <c r="WR123" s="368"/>
      <c r="WS123" s="368"/>
      <c r="WT123" s="368"/>
      <c r="WU123" s="368"/>
      <c r="WV123" s="368"/>
      <c r="WW123" s="368"/>
      <c r="WX123" s="368"/>
      <c r="WY123" s="368"/>
      <c r="WZ123" s="368"/>
      <c r="XA123" s="368"/>
      <c r="XB123" s="368"/>
      <c r="XC123" s="368"/>
      <c r="XD123" s="368"/>
      <c r="XE123" s="368"/>
      <c r="XF123" s="368"/>
      <c r="XG123" s="368"/>
      <c r="XH123" s="368"/>
      <c r="XI123" s="368"/>
      <c r="XJ123" s="368"/>
      <c r="XK123" s="368"/>
      <c r="XL123" s="368"/>
      <c r="XM123" s="368"/>
      <c r="XN123" s="368"/>
      <c r="XO123" s="368"/>
      <c r="XP123" s="368"/>
      <c r="XQ123" s="368"/>
      <c r="XR123" s="368"/>
      <c r="XS123" s="368"/>
      <c r="XT123" s="368"/>
      <c r="XU123" s="368"/>
      <c r="XV123" s="368"/>
      <c r="XW123" s="368"/>
      <c r="XX123" s="368"/>
      <c r="XY123" s="368"/>
      <c r="XZ123" s="368"/>
      <c r="YA123" s="368"/>
      <c r="YB123" s="368"/>
      <c r="YC123" s="368"/>
      <c r="YD123" s="368"/>
      <c r="YE123" s="368"/>
      <c r="YF123" s="368"/>
      <c r="YG123" s="368"/>
      <c r="YH123" s="368"/>
      <c r="YI123" s="368"/>
      <c r="YJ123" s="368"/>
      <c r="YK123" s="368"/>
      <c r="YL123" s="368"/>
      <c r="YM123" s="368"/>
      <c r="YN123" s="368"/>
      <c r="YO123" s="368"/>
      <c r="YP123" s="368"/>
      <c r="YQ123" s="368"/>
      <c r="YR123" s="368"/>
      <c r="YS123" s="368"/>
      <c r="YT123" s="368"/>
      <c r="YU123" s="368"/>
      <c r="YV123" s="368"/>
      <c r="YW123" s="368"/>
      <c r="YX123" s="368"/>
      <c r="YY123" s="368"/>
      <c r="YZ123" s="368"/>
      <c r="ZA123" s="368"/>
      <c r="ZB123" s="368"/>
      <c r="ZC123" s="368"/>
      <c r="ZD123" s="368"/>
      <c r="ZE123" s="368"/>
      <c r="ZF123" s="368"/>
      <c r="ZG123" s="368"/>
      <c r="ZH123" s="368"/>
      <c r="ZI123" s="368"/>
      <c r="ZJ123" s="368"/>
      <c r="ZK123" s="368"/>
      <c r="ZL123" s="368"/>
      <c r="ZM123" s="368"/>
      <c r="ZN123" s="368"/>
      <c r="ZO123" s="368"/>
      <c r="ZP123" s="368"/>
      <c r="ZQ123" s="368"/>
      <c r="ZR123" s="368"/>
      <c r="ZS123" s="368"/>
      <c r="ZT123" s="368"/>
      <c r="ZU123" s="368"/>
      <c r="ZV123" s="368"/>
      <c r="ZW123" s="368"/>
      <c r="ZX123" s="368"/>
      <c r="ZY123" s="368"/>
      <c r="ZZ123" s="368"/>
      <c r="AAA123" s="368"/>
      <c r="AAB123" s="368"/>
      <c r="AAC123" s="368"/>
      <c r="AAD123" s="368"/>
      <c r="AAE123" s="368"/>
      <c r="AAF123" s="368"/>
      <c r="AAG123" s="368"/>
      <c r="AAH123" s="368"/>
      <c r="AAI123" s="368"/>
      <c r="AAJ123" s="368"/>
      <c r="AAK123" s="368"/>
      <c r="AAL123" s="368"/>
      <c r="AAM123" s="368"/>
      <c r="AAN123" s="368"/>
      <c r="AAO123" s="368"/>
      <c r="AAP123" s="368"/>
      <c r="AAQ123" s="368"/>
      <c r="AAR123" s="368"/>
      <c r="AAS123" s="368"/>
      <c r="AAT123" s="368"/>
      <c r="AAU123" s="368"/>
      <c r="AAV123" s="368"/>
      <c r="AAW123" s="368"/>
      <c r="AAX123" s="368"/>
      <c r="AAY123" s="368"/>
      <c r="AAZ123" s="368"/>
      <c r="ABA123" s="368"/>
      <c r="ABB123" s="368"/>
      <c r="ABC123" s="368"/>
      <c r="ABD123" s="368"/>
      <c r="ABE123" s="368"/>
      <c r="ABF123" s="368"/>
      <c r="ABG123" s="368"/>
      <c r="ABH123" s="368"/>
      <c r="ABI123" s="368"/>
      <c r="ABJ123" s="368"/>
      <c r="ABK123" s="368"/>
      <c r="ABL123" s="368"/>
      <c r="ABM123" s="368"/>
      <c r="ABN123" s="368"/>
      <c r="ABO123" s="368"/>
      <c r="ABP123" s="368"/>
      <c r="ABQ123" s="368"/>
      <c r="ABR123" s="368"/>
      <c r="ABS123" s="368"/>
      <c r="ABT123" s="368"/>
      <c r="ABU123" s="368"/>
      <c r="ABV123" s="368"/>
      <c r="ABW123" s="368"/>
      <c r="ABX123" s="368"/>
      <c r="ABY123" s="368"/>
      <c r="ABZ123" s="368"/>
      <c r="ACA123" s="368"/>
      <c r="ACB123" s="368"/>
      <c r="ACC123" s="368"/>
      <c r="ACD123" s="368"/>
      <c r="ACE123" s="368"/>
      <c r="ACF123" s="368"/>
      <c r="ACG123" s="368"/>
      <c r="ACH123" s="368"/>
      <c r="ACI123" s="368"/>
      <c r="ACJ123" s="368"/>
      <c r="ACK123" s="368"/>
      <c r="ACL123" s="368"/>
      <c r="ACM123" s="368"/>
      <c r="ACN123" s="368"/>
      <c r="ACO123" s="368"/>
      <c r="ACP123" s="368"/>
      <c r="ACQ123" s="368"/>
      <c r="ACR123" s="368"/>
      <c r="ACS123" s="368"/>
      <c r="ACT123" s="368"/>
      <c r="ACU123" s="368"/>
      <c r="ACV123" s="368"/>
      <c r="ACW123" s="368"/>
      <c r="ACX123" s="368"/>
      <c r="ACY123" s="368"/>
      <c r="ACZ123" s="368"/>
      <c r="ADA123" s="368"/>
      <c r="ADB123" s="368"/>
      <c r="ADC123" s="368"/>
      <c r="ADD123" s="368"/>
      <c r="ADE123" s="368"/>
      <c r="ADF123" s="368"/>
      <c r="ADG123" s="368"/>
      <c r="ADH123" s="368"/>
      <c r="ADI123" s="368"/>
      <c r="ADJ123" s="368"/>
      <c r="ADK123" s="368"/>
      <c r="ADL123" s="368"/>
      <c r="ADM123" s="368"/>
      <c r="ADN123" s="368"/>
      <c r="ADO123" s="368"/>
      <c r="ADP123" s="368"/>
      <c r="ADQ123" s="368"/>
      <c r="ADR123" s="368"/>
      <c r="ADS123" s="368"/>
      <c r="ADT123" s="368"/>
      <c r="ADU123" s="368"/>
      <c r="ADV123" s="368"/>
      <c r="ADW123" s="368"/>
      <c r="ADX123" s="368"/>
      <c r="ADY123" s="368"/>
      <c r="ADZ123" s="368"/>
      <c r="AEA123" s="368"/>
      <c r="AEB123" s="368"/>
      <c r="AEC123" s="368"/>
      <c r="AED123" s="368"/>
      <c r="AEE123" s="368"/>
      <c r="AEF123" s="368"/>
      <c r="AEG123" s="368"/>
      <c r="AEH123" s="368"/>
      <c r="AEI123" s="368"/>
      <c r="AEJ123" s="368"/>
      <c r="AEK123" s="368"/>
      <c r="AEL123" s="368"/>
      <c r="AEM123" s="368"/>
      <c r="AEN123" s="368"/>
      <c r="AEO123" s="368"/>
      <c r="AEP123" s="368"/>
      <c r="AEQ123" s="368"/>
      <c r="AER123" s="368"/>
      <c r="AES123" s="368"/>
      <c r="AET123" s="368"/>
      <c r="AEU123" s="368"/>
      <c r="AEV123" s="368"/>
      <c r="AEW123" s="368"/>
      <c r="AEX123" s="368"/>
      <c r="AEY123" s="368"/>
      <c r="AEZ123" s="368"/>
      <c r="AFA123" s="368"/>
      <c r="AFB123" s="368"/>
      <c r="AFC123" s="368"/>
      <c r="AFD123" s="368"/>
      <c r="AFE123" s="368"/>
      <c r="AFF123" s="368"/>
      <c r="AFG123" s="368"/>
      <c r="AFH123" s="368"/>
      <c r="AFI123" s="368"/>
      <c r="AFJ123" s="368"/>
      <c r="AFK123" s="368"/>
      <c r="AFL123" s="368"/>
      <c r="AFM123" s="368"/>
      <c r="AFN123" s="368"/>
      <c r="AFO123" s="368"/>
      <c r="AFP123" s="368"/>
      <c r="AFQ123" s="368"/>
      <c r="AFR123" s="368"/>
      <c r="AFS123" s="368"/>
      <c r="AFT123" s="368"/>
      <c r="AFU123" s="368"/>
      <c r="AFV123" s="368"/>
      <c r="AFW123" s="368"/>
      <c r="AFX123" s="368"/>
      <c r="AFY123" s="368"/>
      <c r="AFZ123" s="368"/>
      <c r="AGA123" s="368"/>
      <c r="AGB123" s="368"/>
      <c r="AGC123" s="368"/>
      <c r="AGD123" s="368"/>
      <c r="AGE123" s="368"/>
      <c r="AGF123" s="368"/>
      <c r="AGG123" s="368"/>
      <c r="AGH123" s="368"/>
      <c r="AGI123" s="368"/>
      <c r="AGJ123" s="368"/>
      <c r="AGK123" s="368"/>
      <c r="AGL123" s="368"/>
      <c r="AGM123" s="368"/>
      <c r="AGN123" s="368"/>
      <c r="AGO123" s="368"/>
      <c r="AGP123" s="368"/>
      <c r="AGQ123" s="368"/>
      <c r="AGR123" s="368"/>
      <c r="AGS123" s="368"/>
      <c r="AGT123" s="368"/>
      <c r="AGU123" s="368"/>
      <c r="AGV123" s="368"/>
      <c r="AGW123" s="368"/>
      <c r="AGX123" s="368"/>
      <c r="AGY123" s="368"/>
      <c r="AGZ123" s="368"/>
      <c r="AHA123" s="368"/>
      <c r="AHB123" s="368"/>
      <c r="AHC123" s="368"/>
      <c r="AHD123" s="368"/>
      <c r="AHE123" s="368"/>
      <c r="AHF123" s="368"/>
      <c r="AHG123" s="368"/>
      <c r="AHH123" s="368"/>
      <c r="AHI123" s="368"/>
      <c r="AHJ123" s="368"/>
      <c r="AHK123" s="368"/>
      <c r="AHL123" s="368"/>
      <c r="AHM123" s="368"/>
      <c r="AHN123" s="368"/>
      <c r="AHO123" s="368"/>
      <c r="AHP123" s="368"/>
      <c r="AHQ123" s="368"/>
      <c r="AHR123" s="368"/>
      <c r="AHS123" s="368"/>
      <c r="AHT123" s="368"/>
      <c r="AHU123" s="368"/>
      <c r="AHV123" s="368"/>
      <c r="AHW123" s="368"/>
      <c r="AHX123" s="368"/>
      <c r="AHY123" s="368"/>
      <c r="AHZ123" s="368"/>
      <c r="AIA123" s="368"/>
      <c r="AIB123" s="368"/>
      <c r="AIC123" s="368"/>
      <c r="AID123" s="368"/>
      <c r="AIE123" s="368"/>
      <c r="AIF123" s="368"/>
      <c r="AIG123" s="368"/>
      <c r="AIH123" s="368"/>
      <c r="AII123" s="368"/>
      <c r="AIJ123" s="368"/>
      <c r="AIK123" s="368"/>
      <c r="AIL123" s="368"/>
      <c r="AIM123" s="368"/>
      <c r="AIN123" s="368"/>
      <c r="AIO123" s="368"/>
      <c r="AIP123" s="368"/>
      <c r="AIQ123" s="368"/>
      <c r="AIR123" s="368"/>
      <c r="AIS123" s="368"/>
      <c r="AIT123" s="368"/>
      <c r="AIU123" s="368"/>
      <c r="AIV123" s="368"/>
      <c r="AIW123" s="368"/>
      <c r="AIX123" s="368"/>
      <c r="AIY123" s="368"/>
      <c r="AIZ123" s="368"/>
      <c r="AJA123" s="368"/>
      <c r="AJB123" s="368"/>
      <c r="AJC123" s="368"/>
      <c r="AJD123" s="368"/>
      <c r="AJE123" s="368"/>
      <c r="AJF123" s="368"/>
      <c r="AJG123" s="368"/>
      <c r="AJH123" s="368"/>
      <c r="AJI123" s="368"/>
      <c r="AJJ123" s="368"/>
      <c r="AJK123" s="368"/>
      <c r="AJL123" s="368"/>
      <c r="AJM123" s="368"/>
      <c r="AJN123" s="368"/>
      <c r="AJO123" s="368"/>
      <c r="AJP123" s="368"/>
      <c r="AJQ123" s="368"/>
      <c r="AJR123" s="368"/>
      <c r="AJS123" s="368"/>
      <c r="AJT123" s="368"/>
      <c r="AJU123" s="368"/>
      <c r="AJV123" s="368"/>
      <c r="AJW123" s="368"/>
      <c r="AJX123" s="368"/>
      <c r="AJY123" s="368"/>
      <c r="AJZ123" s="368"/>
      <c r="AKA123" s="368"/>
      <c r="AKB123" s="368"/>
      <c r="AKC123" s="368"/>
      <c r="AKD123" s="368"/>
      <c r="AKE123" s="368"/>
      <c r="AKF123" s="368"/>
      <c r="AKG123" s="368"/>
      <c r="AKH123" s="368"/>
      <c r="AKI123" s="368"/>
      <c r="AKJ123" s="368"/>
      <c r="AKK123" s="368"/>
      <c r="AKL123" s="368"/>
      <c r="AKM123" s="368"/>
      <c r="AKN123" s="368"/>
    </row>
    <row r="124" spans="1:976" s="375" customFormat="1" ht="22.5" customHeight="1" x14ac:dyDescent="0.2">
      <c r="A124" s="428" t="s">
        <v>262</v>
      </c>
      <c r="B124" s="428"/>
      <c r="C124" s="428" t="s">
        <v>221</v>
      </c>
      <c r="D124" s="428" t="s">
        <v>222</v>
      </c>
      <c r="E124" s="429">
        <v>412866</v>
      </c>
      <c r="F124" s="429">
        <v>1640</v>
      </c>
      <c r="G124" s="429">
        <v>255</v>
      </c>
      <c r="H124" s="429">
        <v>0</v>
      </c>
      <c r="I124" s="430">
        <v>45875</v>
      </c>
      <c r="J124" s="428" t="s">
        <v>395</v>
      </c>
      <c r="K124" s="428" t="s">
        <v>624</v>
      </c>
      <c r="L124" s="431">
        <v>74.3</v>
      </c>
      <c r="M124" s="431">
        <v>5.52</v>
      </c>
      <c r="N124" s="441">
        <v>79.819999999999993</v>
      </c>
      <c r="O124" s="428"/>
      <c r="P124" s="432">
        <v>45888</v>
      </c>
      <c r="Q124" s="431">
        <v>79.819999999999993</v>
      </c>
      <c r="R124" s="428" t="s">
        <v>625</v>
      </c>
      <c r="S124" s="431">
        <v>0</v>
      </c>
      <c r="T124" s="431">
        <v>0</v>
      </c>
      <c r="U124" s="431">
        <v>0</v>
      </c>
      <c r="V124" s="431">
        <v>0</v>
      </c>
      <c r="W124" s="428"/>
      <c r="X124" s="428" t="s">
        <v>293</v>
      </c>
      <c r="Y124" s="428" t="s">
        <v>294</v>
      </c>
      <c r="Z124" s="428" t="s">
        <v>42</v>
      </c>
      <c r="AA124" s="428" t="s">
        <v>228</v>
      </c>
      <c r="AB124" s="428" t="s">
        <v>235</v>
      </c>
      <c r="AC124" s="428" t="s">
        <v>236</v>
      </c>
      <c r="AD124" s="428" t="s">
        <v>231</v>
      </c>
      <c r="AE124" s="428" t="s">
        <v>232</v>
      </c>
      <c r="AF124" s="428" t="s">
        <v>231</v>
      </c>
      <c r="AG124" s="428" t="s">
        <v>232</v>
      </c>
      <c r="AH124" s="428"/>
      <c r="AI124" s="428"/>
      <c r="AJ124" s="428"/>
      <c r="AK124" s="428" t="s">
        <v>626</v>
      </c>
      <c r="AL124" s="429">
        <v>1</v>
      </c>
      <c r="AM124" s="429">
        <v>0</v>
      </c>
      <c r="AN124" s="430">
        <v>45888</v>
      </c>
      <c r="AO124" s="430">
        <v>45887</v>
      </c>
      <c r="AP124" s="431">
        <v>79.819999999999993</v>
      </c>
      <c r="AQ124" s="430">
        <v>45886</v>
      </c>
      <c r="AR124" s="368"/>
      <c r="AS124" s="368"/>
      <c r="AT124" s="368"/>
      <c r="AU124" s="368"/>
      <c r="AV124" s="368"/>
      <c r="AW124" s="368"/>
      <c r="AX124" s="368"/>
      <c r="AY124" s="368"/>
      <c r="AZ124" s="368"/>
      <c r="BA124" s="368"/>
      <c r="BB124" s="368"/>
      <c r="BC124" s="368"/>
      <c r="BD124" s="368"/>
      <c r="BE124" s="368"/>
      <c r="BF124" s="368"/>
      <c r="BG124" s="368"/>
      <c r="BH124" s="368"/>
      <c r="BI124" s="368"/>
      <c r="BJ124" s="368"/>
      <c r="BK124" s="368"/>
      <c r="BL124" s="368"/>
      <c r="BM124" s="368"/>
      <c r="BN124" s="368"/>
      <c r="BO124" s="368"/>
      <c r="BP124" s="368"/>
      <c r="BQ124" s="368"/>
      <c r="BR124" s="368"/>
      <c r="BS124" s="368"/>
      <c r="BT124" s="368"/>
      <c r="BU124" s="368"/>
      <c r="BV124" s="368"/>
      <c r="BW124" s="368"/>
      <c r="BX124" s="368"/>
      <c r="BY124" s="368"/>
      <c r="BZ124" s="368"/>
      <c r="CA124" s="368"/>
      <c r="CB124" s="368"/>
      <c r="CC124" s="368"/>
      <c r="CD124" s="368"/>
      <c r="CE124" s="368"/>
      <c r="CF124" s="368"/>
      <c r="CG124" s="368"/>
      <c r="CH124" s="368"/>
      <c r="CI124" s="368"/>
      <c r="CJ124" s="368"/>
      <c r="CK124" s="368"/>
      <c r="CL124" s="368"/>
      <c r="CM124" s="368"/>
      <c r="CN124" s="368"/>
      <c r="CO124" s="368"/>
      <c r="CP124" s="368"/>
      <c r="CQ124" s="368"/>
      <c r="CR124" s="368"/>
      <c r="CS124" s="368"/>
      <c r="CT124" s="368"/>
      <c r="CU124" s="368"/>
      <c r="CV124" s="368"/>
      <c r="CW124" s="368"/>
      <c r="CX124" s="368"/>
      <c r="CY124" s="368"/>
      <c r="CZ124" s="368"/>
      <c r="DA124" s="368"/>
      <c r="DB124" s="368"/>
      <c r="DC124" s="368"/>
      <c r="DD124" s="368"/>
      <c r="DE124" s="368"/>
      <c r="DF124" s="368"/>
      <c r="DG124" s="368"/>
      <c r="DH124" s="368"/>
      <c r="DI124" s="368"/>
      <c r="DJ124" s="368"/>
      <c r="DK124" s="368"/>
      <c r="DL124" s="368"/>
      <c r="DM124" s="368"/>
      <c r="DN124" s="368"/>
      <c r="DO124" s="368"/>
      <c r="DP124" s="368"/>
      <c r="DQ124" s="368"/>
      <c r="DR124" s="368"/>
      <c r="DS124" s="368"/>
      <c r="DT124" s="368"/>
      <c r="DU124" s="368"/>
      <c r="DV124" s="368"/>
      <c r="DW124" s="368"/>
      <c r="DX124" s="368"/>
      <c r="DY124" s="368"/>
      <c r="DZ124" s="368"/>
      <c r="EA124" s="368"/>
      <c r="EB124" s="368"/>
      <c r="EC124" s="368"/>
      <c r="ED124" s="368"/>
      <c r="EE124" s="368"/>
      <c r="EF124" s="368"/>
      <c r="EG124" s="368"/>
      <c r="EH124" s="368"/>
      <c r="EI124" s="368"/>
      <c r="EJ124" s="368"/>
      <c r="EK124" s="368"/>
      <c r="EL124" s="368"/>
      <c r="EM124" s="368"/>
      <c r="EN124" s="368"/>
      <c r="EO124" s="368"/>
      <c r="EP124" s="368"/>
      <c r="EQ124" s="368"/>
      <c r="ER124" s="368"/>
      <c r="ES124" s="368"/>
      <c r="ET124" s="368"/>
      <c r="EU124" s="368"/>
      <c r="EV124" s="368"/>
      <c r="EW124" s="368"/>
      <c r="EX124" s="368"/>
      <c r="EY124" s="368"/>
      <c r="EZ124" s="368"/>
      <c r="FA124" s="368"/>
      <c r="FB124" s="368"/>
      <c r="FC124" s="368"/>
      <c r="FD124" s="368"/>
      <c r="FE124" s="368"/>
      <c r="FF124" s="368"/>
      <c r="FG124" s="368"/>
      <c r="FH124" s="368"/>
      <c r="FI124" s="368"/>
      <c r="FJ124" s="368"/>
      <c r="FK124" s="368"/>
      <c r="FL124" s="368"/>
      <c r="FM124" s="368"/>
      <c r="FN124" s="368"/>
      <c r="FO124" s="368"/>
      <c r="FP124" s="368"/>
      <c r="FQ124" s="368"/>
      <c r="FR124" s="368"/>
      <c r="FS124" s="368"/>
      <c r="FT124" s="368"/>
      <c r="FU124" s="368"/>
      <c r="FV124" s="368"/>
      <c r="FW124" s="368"/>
      <c r="FX124" s="368"/>
      <c r="FY124" s="368"/>
      <c r="FZ124" s="368"/>
      <c r="GA124" s="368"/>
      <c r="GB124" s="368"/>
      <c r="GC124" s="368"/>
      <c r="GD124" s="368"/>
      <c r="GE124" s="368"/>
      <c r="GF124" s="368"/>
      <c r="GG124" s="368"/>
      <c r="GH124" s="368"/>
      <c r="GI124" s="368"/>
      <c r="GJ124" s="368"/>
      <c r="GK124" s="368"/>
      <c r="GL124" s="368"/>
      <c r="GM124" s="368"/>
      <c r="GN124" s="368"/>
      <c r="GO124" s="368"/>
      <c r="GP124" s="368"/>
      <c r="GQ124" s="368"/>
      <c r="GR124" s="368"/>
      <c r="GS124" s="368"/>
      <c r="GT124" s="368"/>
      <c r="GU124" s="368"/>
      <c r="GV124" s="368"/>
      <c r="GW124" s="368"/>
      <c r="GX124" s="368"/>
      <c r="GY124" s="368"/>
      <c r="GZ124" s="368"/>
      <c r="HA124" s="368"/>
      <c r="HB124" s="368"/>
      <c r="HC124" s="368"/>
      <c r="HD124" s="368"/>
      <c r="HE124" s="368"/>
      <c r="HF124" s="368"/>
      <c r="HG124" s="368"/>
      <c r="HH124" s="368"/>
      <c r="HI124" s="368"/>
      <c r="HJ124" s="368"/>
      <c r="HK124" s="368"/>
      <c r="HL124" s="368"/>
      <c r="HM124" s="368"/>
      <c r="HN124" s="368"/>
      <c r="HO124" s="368"/>
      <c r="HP124" s="368"/>
      <c r="HQ124" s="368"/>
      <c r="HR124" s="368"/>
      <c r="HS124" s="368"/>
      <c r="HT124" s="368"/>
      <c r="HU124" s="368"/>
      <c r="HV124" s="368"/>
      <c r="HW124" s="368"/>
      <c r="HX124" s="368"/>
      <c r="HY124" s="368"/>
      <c r="HZ124" s="368"/>
      <c r="IA124" s="368"/>
      <c r="IB124" s="368"/>
      <c r="IC124" s="368"/>
      <c r="ID124" s="368"/>
      <c r="IE124" s="368"/>
      <c r="IF124" s="368"/>
      <c r="IG124" s="368"/>
      <c r="IH124" s="368"/>
      <c r="II124" s="368"/>
      <c r="IJ124" s="368"/>
      <c r="IK124" s="368"/>
      <c r="IL124" s="368"/>
      <c r="IM124" s="368"/>
      <c r="IN124" s="368"/>
      <c r="IO124" s="368"/>
      <c r="IP124" s="368"/>
      <c r="IQ124" s="368"/>
      <c r="IR124" s="368"/>
      <c r="IS124" s="368"/>
      <c r="IT124" s="368"/>
      <c r="IU124" s="368"/>
      <c r="IV124" s="368"/>
      <c r="IW124" s="368"/>
      <c r="IX124" s="368"/>
      <c r="IY124" s="368"/>
      <c r="IZ124" s="368"/>
      <c r="JA124" s="368"/>
      <c r="JB124" s="368"/>
      <c r="JC124" s="368"/>
      <c r="JD124" s="368"/>
      <c r="JE124" s="368"/>
      <c r="JF124" s="368"/>
      <c r="JG124" s="368"/>
      <c r="JH124" s="368"/>
      <c r="JI124" s="368"/>
      <c r="JJ124" s="368"/>
      <c r="JK124" s="368"/>
      <c r="JL124" s="368"/>
      <c r="JM124" s="368"/>
      <c r="JN124" s="368"/>
      <c r="JO124" s="368"/>
      <c r="JP124" s="368"/>
      <c r="JQ124" s="368"/>
      <c r="JR124" s="368"/>
      <c r="JS124" s="368"/>
      <c r="JT124" s="368"/>
      <c r="JU124" s="368"/>
      <c r="JV124" s="368"/>
      <c r="JW124" s="368"/>
      <c r="JX124" s="368"/>
      <c r="JY124" s="368"/>
      <c r="JZ124" s="368"/>
      <c r="KA124" s="368"/>
      <c r="KB124" s="368"/>
      <c r="KC124" s="368"/>
      <c r="KD124" s="368"/>
      <c r="KE124" s="368"/>
      <c r="KF124" s="368"/>
      <c r="KG124" s="368"/>
      <c r="KH124" s="368"/>
      <c r="KI124" s="368"/>
      <c r="KJ124" s="368"/>
      <c r="KK124" s="368"/>
      <c r="KL124" s="368"/>
      <c r="KM124" s="368"/>
      <c r="KN124" s="368"/>
      <c r="KO124" s="368"/>
      <c r="KP124" s="368"/>
      <c r="KQ124" s="368"/>
      <c r="KR124" s="368"/>
      <c r="KS124" s="368"/>
      <c r="KT124" s="368"/>
      <c r="KU124" s="368"/>
      <c r="KV124" s="368"/>
      <c r="KW124" s="368"/>
      <c r="KX124" s="368"/>
      <c r="KY124" s="368"/>
      <c r="KZ124" s="368"/>
      <c r="LA124" s="368"/>
      <c r="LB124" s="368"/>
      <c r="LC124" s="368"/>
      <c r="LD124" s="368"/>
      <c r="LE124" s="368"/>
      <c r="LF124" s="368"/>
      <c r="LG124" s="368"/>
      <c r="LH124" s="368"/>
      <c r="LI124" s="368"/>
      <c r="LJ124" s="368"/>
      <c r="LK124" s="368"/>
      <c r="LL124" s="368"/>
      <c r="LM124" s="368"/>
      <c r="LN124" s="368"/>
      <c r="LO124" s="368"/>
      <c r="LP124" s="368"/>
      <c r="LQ124" s="368"/>
      <c r="LR124" s="368"/>
      <c r="LS124" s="368"/>
      <c r="LT124" s="368"/>
      <c r="LU124" s="368"/>
      <c r="LV124" s="368"/>
      <c r="LW124" s="368"/>
      <c r="LX124" s="368"/>
      <c r="LY124" s="368"/>
      <c r="LZ124" s="368"/>
      <c r="MA124" s="368"/>
      <c r="MB124" s="368"/>
      <c r="MC124" s="368"/>
      <c r="MD124" s="368"/>
      <c r="ME124" s="368"/>
      <c r="MF124" s="368"/>
      <c r="MG124" s="368"/>
      <c r="MH124" s="368"/>
      <c r="MI124" s="368"/>
      <c r="MJ124" s="368"/>
      <c r="MK124" s="368"/>
      <c r="ML124" s="368"/>
      <c r="MM124" s="368"/>
      <c r="MN124" s="368"/>
      <c r="MO124" s="368"/>
      <c r="MP124" s="368"/>
      <c r="MQ124" s="368"/>
      <c r="MR124" s="368"/>
      <c r="MS124" s="368"/>
      <c r="MT124" s="368"/>
      <c r="MU124" s="368"/>
      <c r="MV124" s="368"/>
      <c r="MW124" s="368"/>
      <c r="MX124" s="368"/>
      <c r="MY124" s="368"/>
      <c r="MZ124" s="368"/>
      <c r="NA124" s="368"/>
      <c r="NB124" s="368"/>
      <c r="NC124" s="368"/>
      <c r="ND124" s="368"/>
      <c r="NE124" s="368"/>
      <c r="NF124" s="368"/>
      <c r="NG124" s="368"/>
      <c r="NH124" s="368"/>
      <c r="NI124" s="368"/>
      <c r="NJ124" s="368"/>
      <c r="NK124" s="368"/>
      <c r="NL124" s="368"/>
      <c r="NM124" s="368"/>
      <c r="NN124" s="368"/>
      <c r="NO124" s="368"/>
      <c r="NP124" s="368"/>
      <c r="NQ124" s="368"/>
      <c r="NR124" s="368"/>
      <c r="NS124" s="368"/>
      <c r="NT124" s="368"/>
      <c r="NU124" s="368"/>
      <c r="NV124" s="368"/>
      <c r="NW124" s="368"/>
      <c r="NX124" s="368"/>
      <c r="NY124" s="368"/>
      <c r="NZ124" s="368"/>
      <c r="OA124" s="368"/>
      <c r="OB124" s="368"/>
      <c r="OC124" s="368"/>
      <c r="OD124" s="368"/>
      <c r="OE124" s="368"/>
      <c r="OF124" s="368"/>
      <c r="OG124" s="368"/>
      <c r="OH124" s="368"/>
      <c r="OI124" s="368"/>
      <c r="OJ124" s="368"/>
      <c r="OK124" s="368"/>
      <c r="OL124" s="368"/>
      <c r="OM124" s="368"/>
      <c r="ON124" s="368"/>
      <c r="OO124" s="368"/>
      <c r="OP124" s="368"/>
      <c r="OQ124" s="368"/>
      <c r="OR124" s="368"/>
      <c r="OS124" s="368"/>
      <c r="OT124" s="368"/>
      <c r="OU124" s="368"/>
      <c r="OV124" s="368"/>
      <c r="OW124" s="368"/>
      <c r="OX124" s="368"/>
      <c r="OY124" s="368"/>
      <c r="OZ124" s="368"/>
      <c r="PA124" s="368"/>
      <c r="PB124" s="368"/>
      <c r="PC124" s="368"/>
      <c r="PD124" s="368"/>
      <c r="PE124" s="368"/>
      <c r="PF124" s="368"/>
      <c r="PG124" s="368"/>
      <c r="PH124" s="368"/>
      <c r="PI124" s="368"/>
      <c r="PJ124" s="368"/>
      <c r="PK124" s="368"/>
      <c r="PL124" s="368"/>
      <c r="PM124" s="368"/>
      <c r="PN124" s="368"/>
      <c r="PO124" s="368"/>
      <c r="PP124" s="368"/>
      <c r="PQ124" s="368"/>
      <c r="PR124" s="368"/>
      <c r="PS124" s="368"/>
      <c r="PT124" s="368"/>
      <c r="PU124" s="368"/>
      <c r="PV124" s="368"/>
      <c r="PW124" s="368"/>
      <c r="PX124" s="368"/>
      <c r="PY124" s="368"/>
      <c r="PZ124" s="368"/>
      <c r="QA124" s="368"/>
      <c r="QB124" s="368"/>
      <c r="QC124" s="368"/>
      <c r="QD124" s="368"/>
      <c r="QE124" s="368"/>
      <c r="QF124" s="368"/>
      <c r="QG124" s="368"/>
      <c r="QH124" s="368"/>
      <c r="QI124" s="368"/>
      <c r="QJ124" s="368"/>
      <c r="QK124" s="368"/>
      <c r="QL124" s="368"/>
      <c r="QM124" s="368"/>
      <c r="QN124" s="368"/>
      <c r="QO124" s="368"/>
      <c r="QP124" s="368"/>
      <c r="QQ124" s="368"/>
      <c r="QR124" s="368"/>
      <c r="QS124" s="368"/>
      <c r="QT124" s="368"/>
      <c r="QU124" s="368"/>
      <c r="QV124" s="368"/>
      <c r="QW124" s="368"/>
      <c r="QX124" s="368"/>
      <c r="QY124" s="368"/>
      <c r="QZ124" s="368"/>
      <c r="RA124" s="368"/>
      <c r="RB124" s="368"/>
      <c r="RC124" s="368"/>
      <c r="RD124" s="368"/>
      <c r="RE124" s="368"/>
      <c r="RF124" s="368"/>
      <c r="RG124" s="368"/>
      <c r="RH124" s="368"/>
      <c r="RI124" s="368"/>
      <c r="RJ124" s="368"/>
      <c r="RK124" s="368"/>
      <c r="RL124" s="368"/>
      <c r="RM124" s="368"/>
      <c r="RN124" s="368"/>
      <c r="RO124" s="368"/>
      <c r="RP124" s="368"/>
      <c r="RQ124" s="368"/>
      <c r="RR124" s="368"/>
      <c r="RS124" s="368"/>
      <c r="RT124" s="368"/>
      <c r="RU124" s="368"/>
      <c r="RV124" s="368"/>
      <c r="RW124" s="368"/>
      <c r="RX124" s="368"/>
      <c r="RY124" s="368"/>
      <c r="RZ124" s="368"/>
      <c r="SA124" s="368"/>
      <c r="SB124" s="368"/>
      <c r="SC124" s="368"/>
      <c r="SD124" s="368"/>
      <c r="SE124" s="368"/>
      <c r="SF124" s="368"/>
      <c r="SG124" s="368"/>
      <c r="SH124" s="368"/>
      <c r="SI124" s="368"/>
      <c r="SJ124" s="368"/>
      <c r="SK124" s="368"/>
      <c r="SL124" s="368"/>
      <c r="SM124" s="368"/>
      <c r="SN124" s="368"/>
      <c r="SO124" s="368"/>
      <c r="SP124" s="368"/>
      <c r="SQ124" s="368"/>
      <c r="SR124" s="368"/>
      <c r="SS124" s="368"/>
      <c r="ST124" s="368"/>
      <c r="SU124" s="368"/>
      <c r="SV124" s="368"/>
      <c r="SW124" s="368"/>
      <c r="SX124" s="368"/>
      <c r="SY124" s="368"/>
      <c r="SZ124" s="368"/>
      <c r="TA124" s="368"/>
      <c r="TB124" s="368"/>
      <c r="TC124" s="368"/>
      <c r="TD124" s="368"/>
      <c r="TE124" s="368"/>
      <c r="TF124" s="368"/>
      <c r="TG124" s="368"/>
      <c r="TH124" s="368"/>
      <c r="TI124" s="368"/>
      <c r="TJ124" s="368"/>
      <c r="TK124" s="368"/>
      <c r="TL124" s="368"/>
      <c r="TM124" s="368"/>
      <c r="TN124" s="368"/>
      <c r="TO124" s="368"/>
      <c r="TP124" s="368"/>
      <c r="TQ124" s="368"/>
      <c r="TR124" s="368"/>
      <c r="TS124" s="368"/>
      <c r="TT124" s="368"/>
      <c r="TU124" s="368"/>
      <c r="TV124" s="368"/>
      <c r="TW124" s="368"/>
      <c r="TX124" s="368"/>
      <c r="TY124" s="368"/>
      <c r="TZ124" s="368"/>
      <c r="UA124" s="368"/>
      <c r="UB124" s="368"/>
      <c r="UC124" s="368"/>
      <c r="UD124" s="368"/>
      <c r="UE124" s="368"/>
      <c r="UF124" s="368"/>
      <c r="UG124" s="368"/>
      <c r="UH124" s="368"/>
      <c r="UI124" s="368"/>
      <c r="UJ124" s="368"/>
      <c r="UK124" s="368"/>
      <c r="UL124" s="368"/>
      <c r="UM124" s="368"/>
      <c r="UN124" s="368"/>
      <c r="UO124" s="368"/>
      <c r="UP124" s="368"/>
      <c r="UQ124" s="368"/>
      <c r="UR124" s="368"/>
      <c r="US124" s="368"/>
      <c r="UT124" s="368"/>
      <c r="UU124" s="368"/>
      <c r="UV124" s="368"/>
      <c r="UW124" s="368"/>
      <c r="UX124" s="368"/>
      <c r="UY124" s="368"/>
      <c r="UZ124" s="368"/>
      <c r="VA124" s="368"/>
      <c r="VB124" s="368"/>
      <c r="VC124" s="368"/>
      <c r="VD124" s="368"/>
      <c r="VE124" s="368"/>
      <c r="VF124" s="368"/>
      <c r="VG124" s="368"/>
      <c r="VH124" s="368"/>
      <c r="VI124" s="368"/>
      <c r="VJ124" s="368"/>
      <c r="VK124" s="368"/>
      <c r="VL124" s="368"/>
      <c r="VM124" s="368"/>
      <c r="VN124" s="368"/>
      <c r="VO124" s="368"/>
      <c r="VP124" s="368"/>
      <c r="VQ124" s="368"/>
      <c r="VR124" s="368"/>
      <c r="VS124" s="368"/>
      <c r="VT124" s="368"/>
      <c r="VU124" s="368"/>
      <c r="VV124" s="368"/>
      <c r="VW124" s="368"/>
      <c r="VX124" s="368"/>
      <c r="VY124" s="368"/>
      <c r="VZ124" s="368"/>
      <c r="WA124" s="368"/>
      <c r="WB124" s="368"/>
      <c r="WC124" s="368"/>
      <c r="WD124" s="368"/>
      <c r="WE124" s="368"/>
      <c r="WF124" s="368"/>
      <c r="WG124" s="368"/>
      <c r="WH124" s="368"/>
      <c r="WI124" s="368"/>
      <c r="WJ124" s="368"/>
      <c r="WK124" s="368"/>
      <c r="WL124" s="368"/>
      <c r="WM124" s="368"/>
      <c r="WN124" s="368"/>
      <c r="WO124" s="368"/>
      <c r="WP124" s="368"/>
      <c r="WQ124" s="368"/>
      <c r="WR124" s="368"/>
      <c r="WS124" s="368"/>
      <c r="WT124" s="368"/>
      <c r="WU124" s="368"/>
      <c r="WV124" s="368"/>
      <c r="WW124" s="368"/>
      <c r="WX124" s="368"/>
      <c r="WY124" s="368"/>
      <c r="WZ124" s="368"/>
      <c r="XA124" s="368"/>
      <c r="XB124" s="368"/>
      <c r="XC124" s="368"/>
      <c r="XD124" s="368"/>
      <c r="XE124" s="368"/>
      <c r="XF124" s="368"/>
      <c r="XG124" s="368"/>
      <c r="XH124" s="368"/>
      <c r="XI124" s="368"/>
      <c r="XJ124" s="368"/>
      <c r="XK124" s="368"/>
      <c r="XL124" s="368"/>
      <c r="XM124" s="368"/>
      <c r="XN124" s="368"/>
      <c r="XO124" s="368"/>
      <c r="XP124" s="368"/>
      <c r="XQ124" s="368"/>
      <c r="XR124" s="368"/>
      <c r="XS124" s="368"/>
      <c r="XT124" s="368"/>
      <c r="XU124" s="368"/>
      <c r="XV124" s="368"/>
      <c r="XW124" s="368"/>
      <c r="XX124" s="368"/>
      <c r="XY124" s="368"/>
      <c r="XZ124" s="368"/>
      <c r="YA124" s="368"/>
      <c r="YB124" s="368"/>
      <c r="YC124" s="368"/>
      <c r="YD124" s="368"/>
      <c r="YE124" s="368"/>
      <c r="YF124" s="368"/>
      <c r="YG124" s="368"/>
      <c r="YH124" s="368"/>
      <c r="YI124" s="368"/>
      <c r="YJ124" s="368"/>
      <c r="YK124" s="368"/>
      <c r="YL124" s="368"/>
      <c r="YM124" s="368"/>
      <c r="YN124" s="368"/>
      <c r="YO124" s="368"/>
      <c r="YP124" s="368"/>
      <c r="YQ124" s="368"/>
      <c r="YR124" s="368"/>
      <c r="YS124" s="368"/>
      <c r="YT124" s="368"/>
      <c r="YU124" s="368"/>
      <c r="YV124" s="368"/>
      <c r="YW124" s="368"/>
      <c r="YX124" s="368"/>
      <c r="YY124" s="368"/>
      <c r="YZ124" s="368"/>
      <c r="ZA124" s="368"/>
      <c r="ZB124" s="368"/>
      <c r="ZC124" s="368"/>
      <c r="ZD124" s="368"/>
      <c r="ZE124" s="368"/>
      <c r="ZF124" s="368"/>
      <c r="ZG124" s="368"/>
      <c r="ZH124" s="368"/>
      <c r="ZI124" s="368"/>
      <c r="ZJ124" s="368"/>
      <c r="ZK124" s="368"/>
      <c r="ZL124" s="368"/>
      <c r="ZM124" s="368"/>
      <c r="ZN124" s="368"/>
      <c r="ZO124" s="368"/>
      <c r="ZP124" s="368"/>
      <c r="ZQ124" s="368"/>
      <c r="ZR124" s="368"/>
      <c r="ZS124" s="368"/>
      <c r="ZT124" s="368"/>
      <c r="ZU124" s="368"/>
      <c r="ZV124" s="368"/>
      <c r="ZW124" s="368"/>
      <c r="ZX124" s="368"/>
      <c r="ZY124" s="368"/>
      <c r="ZZ124" s="368"/>
      <c r="AAA124" s="368"/>
      <c r="AAB124" s="368"/>
      <c r="AAC124" s="368"/>
      <c r="AAD124" s="368"/>
      <c r="AAE124" s="368"/>
      <c r="AAF124" s="368"/>
      <c r="AAG124" s="368"/>
      <c r="AAH124" s="368"/>
      <c r="AAI124" s="368"/>
      <c r="AAJ124" s="368"/>
      <c r="AAK124" s="368"/>
      <c r="AAL124" s="368"/>
      <c r="AAM124" s="368"/>
      <c r="AAN124" s="368"/>
      <c r="AAO124" s="368"/>
      <c r="AAP124" s="368"/>
      <c r="AAQ124" s="368"/>
      <c r="AAR124" s="368"/>
      <c r="AAS124" s="368"/>
      <c r="AAT124" s="368"/>
      <c r="AAU124" s="368"/>
      <c r="AAV124" s="368"/>
      <c r="AAW124" s="368"/>
      <c r="AAX124" s="368"/>
      <c r="AAY124" s="368"/>
      <c r="AAZ124" s="368"/>
      <c r="ABA124" s="368"/>
      <c r="ABB124" s="368"/>
      <c r="ABC124" s="368"/>
      <c r="ABD124" s="368"/>
      <c r="ABE124" s="368"/>
      <c r="ABF124" s="368"/>
      <c r="ABG124" s="368"/>
      <c r="ABH124" s="368"/>
      <c r="ABI124" s="368"/>
      <c r="ABJ124" s="368"/>
      <c r="ABK124" s="368"/>
      <c r="ABL124" s="368"/>
      <c r="ABM124" s="368"/>
      <c r="ABN124" s="368"/>
      <c r="ABO124" s="368"/>
      <c r="ABP124" s="368"/>
      <c r="ABQ124" s="368"/>
      <c r="ABR124" s="368"/>
      <c r="ABS124" s="368"/>
      <c r="ABT124" s="368"/>
      <c r="ABU124" s="368"/>
      <c r="ABV124" s="368"/>
      <c r="ABW124" s="368"/>
      <c r="ABX124" s="368"/>
      <c r="ABY124" s="368"/>
      <c r="ABZ124" s="368"/>
      <c r="ACA124" s="368"/>
      <c r="ACB124" s="368"/>
      <c r="ACC124" s="368"/>
      <c r="ACD124" s="368"/>
      <c r="ACE124" s="368"/>
      <c r="ACF124" s="368"/>
      <c r="ACG124" s="368"/>
      <c r="ACH124" s="368"/>
      <c r="ACI124" s="368"/>
      <c r="ACJ124" s="368"/>
      <c r="ACK124" s="368"/>
      <c r="ACL124" s="368"/>
      <c r="ACM124" s="368"/>
      <c r="ACN124" s="368"/>
      <c r="ACO124" s="368"/>
      <c r="ACP124" s="368"/>
      <c r="ACQ124" s="368"/>
      <c r="ACR124" s="368"/>
      <c r="ACS124" s="368"/>
      <c r="ACT124" s="368"/>
      <c r="ACU124" s="368"/>
      <c r="ACV124" s="368"/>
      <c r="ACW124" s="368"/>
      <c r="ACX124" s="368"/>
      <c r="ACY124" s="368"/>
      <c r="ACZ124" s="368"/>
      <c r="ADA124" s="368"/>
      <c r="ADB124" s="368"/>
      <c r="ADC124" s="368"/>
      <c r="ADD124" s="368"/>
      <c r="ADE124" s="368"/>
      <c r="ADF124" s="368"/>
      <c r="ADG124" s="368"/>
      <c r="ADH124" s="368"/>
      <c r="ADI124" s="368"/>
      <c r="ADJ124" s="368"/>
      <c r="ADK124" s="368"/>
      <c r="ADL124" s="368"/>
      <c r="ADM124" s="368"/>
      <c r="ADN124" s="368"/>
      <c r="ADO124" s="368"/>
      <c r="ADP124" s="368"/>
      <c r="ADQ124" s="368"/>
      <c r="ADR124" s="368"/>
      <c r="ADS124" s="368"/>
      <c r="ADT124" s="368"/>
      <c r="ADU124" s="368"/>
      <c r="ADV124" s="368"/>
      <c r="ADW124" s="368"/>
      <c r="ADX124" s="368"/>
      <c r="ADY124" s="368"/>
      <c r="ADZ124" s="368"/>
      <c r="AEA124" s="368"/>
      <c r="AEB124" s="368"/>
      <c r="AEC124" s="368"/>
      <c r="AED124" s="368"/>
      <c r="AEE124" s="368"/>
      <c r="AEF124" s="368"/>
      <c r="AEG124" s="368"/>
      <c r="AEH124" s="368"/>
      <c r="AEI124" s="368"/>
      <c r="AEJ124" s="368"/>
      <c r="AEK124" s="368"/>
      <c r="AEL124" s="368"/>
      <c r="AEM124" s="368"/>
      <c r="AEN124" s="368"/>
      <c r="AEO124" s="368"/>
      <c r="AEP124" s="368"/>
      <c r="AEQ124" s="368"/>
      <c r="AER124" s="368"/>
      <c r="AES124" s="368"/>
      <c r="AET124" s="368"/>
      <c r="AEU124" s="368"/>
      <c r="AEV124" s="368"/>
      <c r="AEW124" s="368"/>
      <c r="AEX124" s="368"/>
      <c r="AEY124" s="368"/>
      <c r="AEZ124" s="368"/>
      <c r="AFA124" s="368"/>
      <c r="AFB124" s="368"/>
      <c r="AFC124" s="368"/>
      <c r="AFD124" s="368"/>
      <c r="AFE124" s="368"/>
      <c r="AFF124" s="368"/>
      <c r="AFG124" s="368"/>
      <c r="AFH124" s="368"/>
      <c r="AFI124" s="368"/>
      <c r="AFJ124" s="368"/>
      <c r="AFK124" s="368"/>
      <c r="AFL124" s="368"/>
      <c r="AFM124" s="368"/>
      <c r="AFN124" s="368"/>
      <c r="AFO124" s="368"/>
      <c r="AFP124" s="368"/>
      <c r="AFQ124" s="368"/>
      <c r="AFR124" s="368"/>
      <c r="AFS124" s="368"/>
      <c r="AFT124" s="368"/>
      <c r="AFU124" s="368"/>
      <c r="AFV124" s="368"/>
      <c r="AFW124" s="368"/>
      <c r="AFX124" s="368"/>
      <c r="AFY124" s="368"/>
      <c r="AFZ124" s="368"/>
      <c r="AGA124" s="368"/>
      <c r="AGB124" s="368"/>
      <c r="AGC124" s="368"/>
      <c r="AGD124" s="368"/>
      <c r="AGE124" s="368"/>
      <c r="AGF124" s="368"/>
      <c r="AGG124" s="368"/>
      <c r="AGH124" s="368"/>
      <c r="AGI124" s="368"/>
      <c r="AGJ124" s="368"/>
      <c r="AGK124" s="368"/>
      <c r="AGL124" s="368"/>
      <c r="AGM124" s="368"/>
      <c r="AGN124" s="368"/>
      <c r="AGO124" s="368"/>
      <c r="AGP124" s="368"/>
      <c r="AGQ124" s="368"/>
      <c r="AGR124" s="368"/>
      <c r="AGS124" s="368"/>
      <c r="AGT124" s="368"/>
      <c r="AGU124" s="368"/>
      <c r="AGV124" s="368"/>
      <c r="AGW124" s="368"/>
      <c r="AGX124" s="368"/>
      <c r="AGY124" s="368"/>
      <c r="AGZ124" s="368"/>
      <c r="AHA124" s="368"/>
      <c r="AHB124" s="368"/>
      <c r="AHC124" s="368"/>
      <c r="AHD124" s="368"/>
      <c r="AHE124" s="368"/>
      <c r="AHF124" s="368"/>
      <c r="AHG124" s="368"/>
      <c r="AHH124" s="368"/>
      <c r="AHI124" s="368"/>
      <c r="AHJ124" s="368"/>
      <c r="AHK124" s="368"/>
      <c r="AHL124" s="368"/>
      <c r="AHM124" s="368"/>
      <c r="AHN124" s="368"/>
      <c r="AHO124" s="368"/>
      <c r="AHP124" s="368"/>
      <c r="AHQ124" s="368"/>
      <c r="AHR124" s="368"/>
      <c r="AHS124" s="368"/>
      <c r="AHT124" s="368"/>
      <c r="AHU124" s="368"/>
      <c r="AHV124" s="368"/>
      <c r="AHW124" s="368"/>
      <c r="AHX124" s="368"/>
      <c r="AHY124" s="368"/>
      <c r="AHZ124" s="368"/>
      <c r="AIA124" s="368"/>
      <c r="AIB124" s="368"/>
      <c r="AIC124" s="368"/>
      <c r="AID124" s="368"/>
      <c r="AIE124" s="368"/>
      <c r="AIF124" s="368"/>
      <c r="AIG124" s="368"/>
      <c r="AIH124" s="368"/>
      <c r="AII124" s="368"/>
      <c r="AIJ124" s="368"/>
      <c r="AIK124" s="368"/>
      <c r="AIL124" s="368"/>
      <c r="AIM124" s="368"/>
      <c r="AIN124" s="368"/>
      <c r="AIO124" s="368"/>
      <c r="AIP124" s="368"/>
      <c r="AIQ124" s="368"/>
      <c r="AIR124" s="368"/>
      <c r="AIS124" s="368"/>
      <c r="AIT124" s="368"/>
      <c r="AIU124" s="368"/>
      <c r="AIV124" s="368"/>
      <c r="AIW124" s="368"/>
      <c r="AIX124" s="368"/>
      <c r="AIY124" s="368"/>
      <c r="AIZ124" s="368"/>
      <c r="AJA124" s="368"/>
      <c r="AJB124" s="368"/>
      <c r="AJC124" s="368"/>
      <c r="AJD124" s="368"/>
      <c r="AJE124" s="368"/>
      <c r="AJF124" s="368"/>
      <c r="AJG124" s="368"/>
      <c r="AJH124" s="368"/>
      <c r="AJI124" s="368"/>
      <c r="AJJ124" s="368"/>
      <c r="AJK124" s="368"/>
      <c r="AJL124" s="368"/>
      <c r="AJM124" s="368"/>
      <c r="AJN124" s="368"/>
      <c r="AJO124" s="368"/>
      <c r="AJP124" s="368"/>
      <c r="AJQ124" s="368"/>
      <c r="AJR124" s="368"/>
      <c r="AJS124" s="368"/>
      <c r="AJT124" s="368"/>
      <c r="AJU124" s="368"/>
      <c r="AJV124" s="368"/>
      <c r="AJW124" s="368"/>
      <c r="AJX124" s="368"/>
      <c r="AJY124" s="368"/>
      <c r="AJZ124" s="368"/>
      <c r="AKA124" s="368"/>
      <c r="AKB124" s="368"/>
      <c r="AKC124" s="368"/>
      <c r="AKD124" s="368"/>
      <c r="AKE124" s="368"/>
      <c r="AKF124" s="368"/>
      <c r="AKG124" s="368"/>
      <c r="AKH124" s="368"/>
      <c r="AKI124" s="368"/>
      <c r="AKJ124" s="368"/>
      <c r="AKK124" s="368"/>
      <c r="AKL124" s="368"/>
      <c r="AKM124" s="368"/>
      <c r="AKN124" s="368"/>
    </row>
    <row r="125" spans="1:976" s="375" customFormat="1" ht="22.5" customHeight="1" x14ac:dyDescent="0.2">
      <c r="A125" s="428" t="s">
        <v>262</v>
      </c>
      <c r="B125" s="428"/>
      <c r="C125" s="428" t="s">
        <v>221</v>
      </c>
      <c r="D125" s="428" t="s">
        <v>222</v>
      </c>
      <c r="E125" s="429">
        <v>412868</v>
      </c>
      <c r="F125" s="429">
        <v>1639</v>
      </c>
      <c r="G125" s="429">
        <v>255</v>
      </c>
      <c r="H125" s="429">
        <v>0</v>
      </c>
      <c r="I125" s="430">
        <v>45875</v>
      </c>
      <c r="J125" s="428" t="s">
        <v>395</v>
      </c>
      <c r="K125" s="428" t="s">
        <v>627</v>
      </c>
      <c r="L125" s="431">
        <v>94.47</v>
      </c>
      <c r="M125" s="431">
        <v>5.2</v>
      </c>
      <c r="N125" s="441">
        <v>99.67</v>
      </c>
      <c r="O125" s="428"/>
      <c r="P125" s="432">
        <v>45888</v>
      </c>
      <c r="Q125" s="431">
        <v>99.67</v>
      </c>
      <c r="R125" s="428" t="s">
        <v>628</v>
      </c>
      <c r="S125" s="431">
        <v>0</v>
      </c>
      <c r="T125" s="431">
        <v>0</v>
      </c>
      <c r="U125" s="431">
        <v>0</v>
      </c>
      <c r="V125" s="431">
        <v>0</v>
      </c>
      <c r="W125" s="428"/>
      <c r="X125" s="428" t="s">
        <v>293</v>
      </c>
      <c r="Y125" s="428" t="s">
        <v>294</v>
      </c>
      <c r="Z125" s="428" t="s">
        <v>42</v>
      </c>
      <c r="AA125" s="428" t="s">
        <v>228</v>
      </c>
      <c r="AB125" s="428" t="s">
        <v>235</v>
      </c>
      <c r="AC125" s="428" t="s">
        <v>236</v>
      </c>
      <c r="AD125" s="428" t="s">
        <v>231</v>
      </c>
      <c r="AE125" s="428" t="s">
        <v>232</v>
      </c>
      <c r="AF125" s="428" t="s">
        <v>231</v>
      </c>
      <c r="AG125" s="428" t="s">
        <v>232</v>
      </c>
      <c r="AH125" s="428"/>
      <c r="AI125" s="428"/>
      <c r="AJ125" s="428"/>
      <c r="AK125" s="428" t="s">
        <v>629</v>
      </c>
      <c r="AL125" s="429">
        <v>1</v>
      </c>
      <c r="AM125" s="429">
        <v>0</v>
      </c>
      <c r="AN125" s="430">
        <v>45888</v>
      </c>
      <c r="AO125" s="430">
        <v>45887</v>
      </c>
      <c r="AP125" s="431">
        <v>99.67</v>
      </c>
      <c r="AQ125" s="430">
        <v>45886</v>
      </c>
      <c r="AR125" s="368"/>
      <c r="AS125" s="368"/>
      <c r="AT125" s="368"/>
      <c r="AU125" s="368"/>
      <c r="AV125" s="368"/>
      <c r="AW125" s="368"/>
      <c r="AX125" s="368"/>
      <c r="AY125" s="368"/>
      <c r="AZ125" s="368"/>
      <c r="BA125" s="368"/>
      <c r="BB125" s="368"/>
      <c r="BC125" s="368"/>
      <c r="BD125" s="368"/>
      <c r="BE125" s="368"/>
      <c r="BF125" s="368"/>
      <c r="BG125" s="368"/>
      <c r="BH125" s="368"/>
      <c r="BI125" s="368"/>
      <c r="BJ125" s="368"/>
      <c r="BK125" s="368"/>
      <c r="BL125" s="368"/>
      <c r="BM125" s="368"/>
      <c r="BN125" s="368"/>
      <c r="BO125" s="368"/>
      <c r="BP125" s="368"/>
      <c r="BQ125" s="368"/>
      <c r="BR125" s="368"/>
      <c r="BS125" s="368"/>
      <c r="BT125" s="368"/>
      <c r="BU125" s="368"/>
      <c r="BV125" s="368"/>
      <c r="BW125" s="368"/>
      <c r="BX125" s="368"/>
      <c r="BY125" s="368"/>
      <c r="BZ125" s="368"/>
      <c r="CA125" s="368"/>
      <c r="CB125" s="368"/>
      <c r="CC125" s="368"/>
      <c r="CD125" s="368"/>
      <c r="CE125" s="368"/>
      <c r="CF125" s="368"/>
      <c r="CG125" s="368"/>
      <c r="CH125" s="368"/>
      <c r="CI125" s="368"/>
      <c r="CJ125" s="368"/>
      <c r="CK125" s="368"/>
      <c r="CL125" s="368"/>
      <c r="CM125" s="368"/>
      <c r="CN125" s="368"/>
      <c r="CO125" s="368"/>
      <c r="CP125" s="368"/>
      <c r="CQ125" s="368"/>
      <c r="CR125" s="368"/>
      <c r="CS125" s="368"/>
      <c r="CT125" s="368"/>
      <c r="CU125" s="368"/>
      <c r="CV125" s="368"/>
      <c r="CW125" s="368"/>
      <c r="CX125" s="368"/>
      <c r="CY125" s="368"/>
      <c r="CZ125" s="368"/>
      <c r="DA125" s="368"/>
      <c r="DB125" s="368"/>
      <c r="DC125" s="368"/>
      <c r="DD125" s="368"/>
      <c r="DE125" s="368"/>
      <c r="DF125" s="368"/>
      <c r="DG125" s="368"/>
      <c r="DH125" s="368"/>
      <c r="DI125" s="368"/>
      <c r="DJ125" s="368"/>
      <c r="DK125" s="368"/>
      <c r="DL125" s="368"/>
      <c r="DM125" s="368"/>
      <c r="DN125" s="368"/>
      <c r="DO125" s="368"/>
      <c r="DP125" s="368"/>
      <c r="DQ125" s="368"/>
      <c r="DR125" s="368"/>
      <c r="DS125" s="368"/>
      <c r="DT125" s="368"/>
      <c r="DU125" s="368"/>
      <c r="DV125" s="368"/>
      <c r="DW125" s="368"/>
      <c r="DX125" s="368"/>
      <c r="DY125" s="368"/>
      <c r="DZ125" s="368"/>
      <c r="EA125" s="368"/>
      <c r="EB125" s="368"/>
      <c r="EC125" s="368"/>
      <c r="ED125" s="368"/>
      <c r="EE125" s="368"/>
      <c r="EF125" s="368"/>
      <c r="EG125" s="368"/>
      <c r="EH125" s="368"/>
      <c r="EI125" s="368"/>
      <c r="EJ125" s="368"/>
      <c r="EK125" s="368"/>
      <c r="EL125" s="368"/>
      <c r="EM125" s="368"/>
      <c r="EN125" s="368"/>
      <c r="EO125" s="368"/>
      <c r="EP125" s="368"/>
      <c r="EQ125" s="368"/>
      <c r="ER125" s="368"/>
      <c r="ES125" s="368"/>
      <c r="ET125" s="368"/>
      <c r="EU125" s="368"/>
      <c r="EV125" s="368"/>
      <c r="EW125" s="368"/>
      <c r="EX125" s="368"/>
      <c r="EY125" s="368"/>
      <c r="EZ125" s="368"/>
      <c r="FA125" s="368"/>
      <c r="FB125" s="368"/>
      <c r="FC125" s="368"/>
      <c r="FD125" s="368"/>
      <c r="FE125" s="368"/>
      <c r="FF125" s="368"/>
      <c r="FG125" s="368"/>
      <c r="FH125" s="368"/>
      <c r="FI125" s="368"/>
      <c r="FJ125" s="368"/>
      <c r="FK125" s="368"/>
      <c r="FL125" s="368"/>
      <c r="FM125" s="368"/>
      <c r="FN125" s="368"/>
      <c r="FO125" s="368"/>
      <c r="FP125" s="368"/>
      <c r="FQ125" s="368"/>
      <c r="FR125" s="368"/>
      <c r="FS125" s="368"/>
      <c r="FT125" s="368"/>
      <c r="FU125" s="368"/>
      <c r="FV125" s="368"/>
      <c r="FW125" s="368"/>
      <c r="FX125" s="368"/>
      <c r="FY125" s="368"/>
      <c r="FZ125" s="368"/>
      <c r="GA125" s="368"/>
      <c r="GB125" s="368"/>
      <c r="GC125" s="368"/>
      <c r="GD125" s="368"/>
      <c r="GE125" s="368"/>
      <c r="GF125" s="368"/>
      <c r="GG125" s="368"/>
      <c r="GH125" s="368"/>
      <c r="GI125" s="368"/>
      <c r="GJ125" s="368"/>
      <c r="GK125" s="368"/>
      <c r="GL125" s="368"/>
      <c r="GM125" s="368"/>
      <c r="GN125" s="368"/>
      <c r="GO125" s="368"/>
      <c r="GP125" s="368"/>
      <c r="GQ125" s="368"/>
      <c r="GR125" s="368"/>
      <c r="GS125" s="368"/>
      <c r="GT125" s="368"/>
      <c r="GU125" s="368"/>
      <c r="GV125" s="368"/>
      <c r="GW125" s="368"/>
      <c r="GX125" s="368"/>
      <c r="GY125" s="368"/>
      <c r="GZ125" s="368"/>
      <c r="HA125" s="368"/>
      <c r="HB125" s="368"/>
      <c r="HC125" s="368"/>
      <c r="HD125" s="368"/>
      <c r="HE125" s="368"/>
      <c r="HF125" s="368"/>
      <c r="HG125" s="368"/>
      <c r="HH125" s="368"/>
      <c r="HI125" s="368"/>
      <c r="HJ125" s="368"/>
      <c r="HK125" s="368"/>
      <c r="HL125" s="368"/>
      <c r="HM125" s="368"/>
      <c r="HN125" s="368"/>
      <c r="HO125" s="368"/>
      <c r="HP125" s="368"/>
      <c r="HQ125" s="368"/>
      <c r="HR125" s="368"/>
      <c r="HS125" s="368"/>
      <c r="HT125" s="368"/>
      <c r="HU125" s="368"/>
      <c r="HV125" s="368"/>
      <c r="HW125" s="368"/>
      <c r="HX125" s="368"/>
      <c r="HY125" s="368"/>
      <c r="HZ125" s="368"/>
      <c r="IA125" s="368"/>
      <c r="IB125" s="368"/>
      <c r="IC125" s="368"/>
      <c r="ID125" s="368"/>
      <c r="IE125" s="368"/>
      <c r="IF125" s="368"/>
      <c r="IG125" s="368"/>
      <c r="IH125" s="368"/>
      <c r="II125" s="368"/>
      <c r="IJ125" s="368"/>
      <c r="IK125" s="368"/>
      <c r="IL125" s="368"/>
      <c r="IM125" s="368"/>
      <c r="IN125" s="368"/>
      <c r="IO125" s="368"/>
      <c r="IP125" s="368"/>
      <c r="IQ125" s="368"/>
      <c r="IR125" s="368"/>
      <c r="IS125" s="368"/>
      <c r="IT125" s="368"/>
      <c r="IU125" s="368"/>
      <c r="IV125" s="368"/>
      <c r="IW125" s="368"/>
      <c r="IX125" s="368"/>
      <c r="IY125" s="368"/>
      <c r="IZ125" s="368"/>
      <c r="JA125" s="368"/>
      <c r="JB125" s="368"/>
      <c r="JC125" s="368"/>
      <c r="JD125" s="368"/>
      <c r="JE125" s="368"/>
      <c r="JF125" s="368"/>
      <c r="JG125" s="368"/>
      <c r="JH125" s="368"/>
      <c r="JI125" s="368"/>
      <c r="JJ125" s="368"/>
      <c r="JK125" s="368"/>
      <c r="JL125" s="368"/>
      <c r="JM125" s="368"/>
      <c r="JN125" s="368"/>
      <c r="JO125" s="368"/>
      <c r="JP125" s="368"/>
      <c r="JQ125" s="368"/>
      <c r="JR125" s="368"/>
      <c r="JS125" s="368"/>
      <c r="JT125" s="368"/>
      <c r="JU125" s="368"/>
      <c r="JV125" s="368"/>
      <c r="JW125" s="368"/>
      <c r="JX125" s="368"/>
      <c r="JY125" s="368"/>
      <c r="JZ125" s="368"/>
      <c r="KA125" s="368"/>
      <c r="KB125" s="368"/>
      <c r="KC125" s="368"/>
      <c r="KD125" s="368"/>
      <c r="KE125" s="368"/>
      <c r="KF125" s="368"/>
      <c r="KG125" s="368"/>
      <c r="KH125" s="368"/>
      <c r="KI125" s="368"/>
      <c r="KJ125" s="368"/>
      <c r="KK125" s="368"/>
      <c r="KL125" s="368"/>
      <c r="KM125" s="368"/>
      <c r="KN125" s="368"/>
      <c r="KO125" s="368"/>
      <c r="KP125" s="368"/>
      <c r="KQ125" s="368"/>
      <c r="KR125" s="368"/>
      <c r="KS125" s="368"/>
      <c r="KT125" s="368"/>
      <c r="KU125" s="368"/>
      <c r="KV125" s="368"/>
      <c r="KW125" s="368"/>
      <c r="KX125" s="368"/>
      <c r="KY125" s="368"/>
      <c r="KZ125" s="368"/>
      <c r="LA125" s="368"/>
      <c r="LB125" s="368"/>
      <c r="LC125" s="368"/>
      <c r="LD125" s="368"/>
      <c r="LE125" s="368"/>
      <c r="LF125" s="368"/>
      <c r="LG125" s="368"/>
      <c r="LH125" s="368"/>
      <c r="LI125" s="368"/>
      <c r="LJ125" s="368"/>
      <c r="LK125" s="368"/>
      <c r="LL125" s="368"/>
      <c r="LM125" s="368"/>
      <c r="LN125" s="368"/>
      <c r="LO125" s="368"/>
      <c r="LP125" s="368"/>
      <c r="LQ125" s="368"/>
      <c r="LR125" s="368"/>
      <c r="LS125" s="368"/>
      <c r="LT125" s="368"/>
      <c r="LU125" s="368"/>
      <c r="LV125" s="368"/>
      <c r="LW125" s="368"/>
      <c r="LX125" s="368"/>
      <c r="LY125" s="368"/>
      <c r="LZ125" s="368"/>
      <c r="MA125" s="368"/>
      <c r="MB125" s="368"/>
      <c r="MC125" s="368"/>
      <c r="MD125" s="368"/>
      <c r="ME125" s="368"/>
      <c r="MF125" s="368"/>
      <c r="MG125" s="368"/>
      <c r="MH125" s="368"/>
      <c r="MI125" s="368"/>
      <c r="MJ125" s="368"/>
      <c r="MK125" s="368"/>
      <c r="ML125" s="368"/>
      <c r="MM125" s="368"/>
      <c r="MN125" s="368"/>
      <c r="MO125" s="368"/>
      <c r="MP125" s="368"/>
      <c r="MQ125" s="368"/>
      <c r="MR125" s="368"/>
      <c r="MS125" s="368"/>
      <c r="MT125" s="368"/>
      <c r="MU125" s="368"/>
      <c r="MV125" s="368"/>
      <c r="MW125" s="368"/>
      <c r="MX125" s="368"/>
      <c r="MY125" s="368"/>
      <c r="MZ125" s="368"/>
      <c r="NA125" s="368"/>
      <c r="NB125" s="368"/>
      <c r="NC125" s="368"/>
      <c r="ND125" s="368"/>
      <c r="NE125" s="368"/>
      <c r="NF125" s="368"/>
      <c r="NG125" s="368"/>
      <c r="NH125" s="368"/>
      <c r="NI125" s="368"/>
      <c r="NJ125" s="368"/>
      <c r="NK125" s="368"/>
      <c r="NL125" s="368"/>
      <c r="NM125" s="368"/>
      <c r="NN125" s="368"/>
      <c r="NO125" s="368"/>
      <c r="NP125" s="368"/>
      <c r="NQ125" s="368"/>
      <c r="NR125" s="368"/>
      <c r="NS125" s="368"/>
      <c r="NT125" s="368"/>
      <c r="NU125" s="368"/>
      <c r="NV125" s="368"/>
      <c r="NW125" s="368"/>
      <c r="NX125" s="368"/>
      <c r="NY125" s="368"/>
      <c r="NZ125" s="368"/>
      <c r="OA125" s="368"/>
      <c r="OB125" s="368"/>
      <c r="OC125" s="368"/>
      <c r="OD125" s="368"/>
      <c r="OE125" s="368"/>
      <c r="OF125" s="368"/>
      <c r="OG125" s="368"/>
      <c r="OH125" s="368"/>
      <c r="OI125" s="368"/>
      <c r="OJ125" s="368"/>
      <c r="OK125" s="368"/>
      <c r="OL125" s="368"/>
      <c r="OM125" s="368"/>
      <c r="ON125" s="368"/>
      <c r="OO125" s="368"/>
      <c r="OP125" s="368"/>
      <c r="OQ125" s="368"/>
      <c r="OR125" s="368"/>
      <c r="OS125" s="368"/>
      <c r="OT125" s="368"/>
      <c r="OU125" s="368"/>
      <c r="OV125" s="368"/>
      <c r="OW125" s="368"/>
      <c r="OX125" s="368"/>
      <c r="OY125" s="368"/>
      <c r="OZ125" s="368"/>
      <c r="PA125" s="368"/>
      <c r="PB125" s="368"/>
      <c r="PC125" s="368"/>
      <c r="PD125" s="368"/>
      <c r="PE125" s="368"/>
      <c r="PF125" s="368"/>
      <c r="PG125" s="368"/>
      <c r="PH125" s="368"/>
      <c r="PI125" s="368"/>
      <c r="PJ125" s="368"/>
      <c r="PK125" s="368"/>
      <c r="PL125" s="368"/>
      <c r="PM125" s="368"/>
      <c r="PN125" s="368"/>
      <c r="PO125" s="368"/>
      <c r="PP125" s="368"/>
      <c r="PQ125" s="368"/>
      <c r="PR125" s="368"/>
      <c r="PS125" s="368"/>
      <c r="PT125" s="368"/>
      <c r="PU125" s="368"/>
      <c r="PV125" s="368"/>
      <c r="PW125" s="368"/>
      <c r="PX125" s="368"/>
      <c r="PY125" s="368"/>
      <c r="PZ125" s="368"/>
      <c r="QA125" s="368"/>
      <c r="QB125" s="368"/>
      <c r="QC125" s="368"/>
      <c r="QD125" s="368"/>
      <c r="QE125" s="368"/>
      <c r="QF125" s="368"/>
      <c r="QG125" s="368"/>
      <c r="QH125" s="368"/>
      <c r="QI125" s="368"/>
      <c r="QJ125" s="368"/>
      <c r="QK125" s="368"/>
      <c r="QL125" s="368"/>
      <c r="QM125" s="368"/>
      <c r="QN125" s="368"/>
      <c r="QO125" s="368"/>
      <c r="QP125" s="368"/>
      <c r="QQ125" s="368"/>
      <c r="QR125" s="368"/>
      <c r="QS125" s="368"/>
      <c r="QT125" s="368"/>
      <c r="QU125" s="368"/>
      <c r="QV125" s="368"/>
      <c r="QW125" s="368"/>
      <c r="QX125" s="368"/>
      <c r="QY125" s="368"/>
      <c r="QZ125" s="368"/>
      <c r="RA125" s="368"/>
      <c r="RB125" s="368"/>
      <c r="RC125" s="368"/>
      <c r="RD125" s="368"/>
      <c r="RE125" s="368"/>
      <c r="RF125" s="368"/>
      <c r="RG125" s="368"/>
      <c r="RH125" s="368"/>
      <c r="RI125" s="368"/>
      <c r="RJ125" s="368"/>
      <c r="RK125" s="368"/>
      <c r="RL125" s="368"/>
      <c r="RM125" s="368"/>
      <c r="RN125" s="368"/>
      <c r="RO125" s="368"/>
      <c r="RP125" s="368"/>
      <c r="RQ125" s="368"/>
      <c r="RR125" s="368"/>
      <c r="RS125" s="368"/>
      <c r="RT125" s="368"/>
      <c r="RU125" s="368"/>
      <c r="RV125" s="368"/>
      <c r="RW125" s="368"/>
      <c r="RX125" s="368"/>
      <c r="RY125" s="368"/>
      <c r="RZ125" s="368"/>
      <c r="SA125" s="368"/>
      <c r="SB125" s="368"/>
      <c r="SC125" s="368"/>
      <c r="SD125" s="368"/>
      <c r="SE125" s="368"/>
      <c r="SF125" s="368"/>
      <c r="SG125" s="368"/>
      <c r="SH125" s="368"/>
      <c r="SI125" s="368"/>
      <c r="SJ125" s="368"/>
      <c r="SK125" s="368"/>
      <c r="SL125" s="368"/>
      <c r="SM125" s="368"/>
      <c r="SN125" s="368"/>
      <c r="SO125" s="368"/>
      <c r="SP125" s="368"/>
      <c r="SQ125" s="368"/>
      <c r="SR125" s="368"/>
      <c r="SS125" s="368"/>
      <c r="ST125" s="368"/>
      <c r="SU125" s="368"/>
      <c r="SV125" s="368"/>
      <c r="SW125" s="368"/>
      <c r="SX125" s="368"/>
      <c r="SY125" s="368"/>
      <c r="SZ125" s="368"/>
      <c r="TA125" s="368"/>
      <c r="TB125" s="368"/>
      <c r="TC125" s="368"/>
      <c r="TD125" s="368"/>
      <c r="TE125" s="368"/>
      <c r="TF125" s="368"/>
      <c r="TG125" s="368"/>
      <c r="TH125" s="368"/>
      <c r="TI125" s="368"/>
      <c r="TJ125" s="368"/>
      <c r="TK125" s="368"/>
      <c r="TL125" s="368"/>
      <c r="TM125" s="368"/>
      <c r="TN125" s="368"/>
      <c r="TO125" s="368"/>
      <c r="TP125" s="368"/>
      <c r="TQ125" s="368"/>
      <c r="TR125" s="368"/>
      <c r="TS125" s="368"/>
      <c r="TT125" s="368"/>
      <c r="TU125" s="368"/>
      <c r="TV125" s="368"/>
      <c r="TW125" s="368"/>
      <c r="TX125" s="368"/>
      <c r="TY125" s="368"/>
      <c r="TZ125" s="368"/>
      <c r="UA125" s="368"/>
      <c r="UB125" s="368"/>
      <c r="UC125" s="368"/>
      <c r="UD125" s="368"/>
      <c r="UE125" s="368"/>
      <c r="UF125" s="368"/>
      <c r="UG125" s="368"/>
      <c r="UH125" s="368"/>
      <c r="UI125" s="368"/>
      <c r="UJ125" s="368"/>
      <c r="UK125" s="368"/>
      <c r="UL125" s="368"/>
      <c r="UM125" s="368"/>
      <c r="UN125" s="368"/>
      <c r="UO125" s="368"/>
      <c r="UP125" s="368"/>
      <c r="UQ125" s="368"/>
      <c r="UR125" s="368"/>
      <c r="US125" s="368"/>
      <c r="UT125" s="368"/>
      <c r="UU125" s="368"/>
      <c r="UV125" s="368"/>
      <c r="UW125" s="368"/>
      <c r="UX125" s="368"/>
      <c r="UY125" s="368"/>
      <c r="UZ125" s="368"/>
      <c r="VA125" s="368"/>
      <c r="VB125" s="368"/>
      <c r="VC125" s="368"/>
      <c r="VD125" s="368"/>
      <c r="VE125" s="368"/>
      <c r="VF125" s="368"/>
      <c r="VG125" s="368"/>
      <c r="VH125" s="368"/>
      <c r="VI125" s="368"/>
      <c r="VJ125" s="368"/>
      <c r="VK125" s="368"/>
      <c r="VL125" s="368"/>
      <c r="VM125" s="368"/>
      <c r="VN125" s="368"/>
      <c r="VO125" s="368"/>
      <c r="VP125" s="368"/>
      <c r="VQ125" s="368"/>
      <c r="VR125" s="368"/>
      <c r="VS125" s="368"/>
      <c r="VT125" s="368"/>
      <c r="VU125" s="368"/>
      <c r="VV125" s="368"/>
      <c r="VW125" s="368"/>
      <c r="VX125" s="368"/>
      <c r="VY125" s="368"/>
      <c r="VZ125" s="368"/>
      <c r="WA125" s="368"/>
      <c r="WB125" s="368"/>
      <c r="WC125" s="368"/>
      <c r="WD125" s="368"/>
      <c r="WE125" s="368"/>
      <c r="WF125" s="368"/>
      <c r="WG125" s="368"/>
      <c r="WH125" s="368"/>
      <c r="WI125" s="368"/>
      <c r="WJ125" s="368"/>
      <c r="WK125" s="368"/>
      <c r="WL125" s="368"/>
      <c r="WM125" s="368"/>
      <c r="WN125" s="368"/>
      <c r="WO125" s="368"/>
      <c r="WP125" s="368"/>
      <c r="WQ125" s="368"/>
      <c r="WR125" s="368"/>
      <c r="WS125" s="368"/>
      <c r="WT125" s="368"/>
      <c r="WU125" s="368"/>
      <c r="WV125" s="368"/>
      <c r="WW125" s="368"/>
      <c r="WX125" s="368"/>
      <c r="WY125" s="368"/>
      <c r="WZ125" s="368"/>
      <c r="XA125" s="368"/>
      <c r="XB125" s="368"/>
      <c r="XC125" s="368"/>
      <c r="XD125" s="368"/>
      <c r="XE125" s="368"/>
      <c r="XF125" s="368"/>
      <c r="XG125" s="368"/>
      <c r="XH125" s="368"/>
      <c r="XI125" s="368"/>
      <c r="XJ125" s="368"/>
      <c r="XK125" s="368"/>
      <c r="XL125" s="368"/>
      <c r="XM125" s="368"/>
      <c r="XN125" s="368"/>
      <c r="XO125" s="368"/>
      <c r="XP125" s="368"/>
      <c r="XQ125" s="368"/>
      <c r="XR125" s="368"/>
      <c r="XS125" s="368"/>
      <c r="XT125" s="368"/>
      <c r="XU125" s="368"/>
      <c r="XV125" s="368"/>
      <c r="XW125" s="368"/>
      <c r="XX125" s="368"/>
      <c r="XY125" s="368"/>
      <c r="XZ125" s="368"/>
      <c r="YA125" s="368"/>
      <c r="YB125" s="368"/>
      <c r="YC125" s="368"/>
      <c r="YD125" s="368"/>
      <c r="YE125" s="368"/>
      <c r="YF125" s="368"/>
      <c r="YG125" s="368"/>
      <c r="YH125" s="368"/>
      <c r="YI125" s="368"/>
      <c r="YJ125" s="368"/>
      <c r="YK125" s="368"/>
      <c r="YL125" s="368"/>
      <c r="YM125" s="368"/>
      <c r="YN125" s="368"/>
      <c r="YO125" s="368"/>
      <c r="YP125" s="368"/>
      <c r="YQ125" s="368"/>
      <c r="YR125" s="368"/>
      <c r="YS125" s="368"/>
      <c r="YT125" s="368"/>
      <c r="YU125" s="368"/>
      <c r="YV125" s="368"/>
      <c r="YW125" s="368"/>
      <c r="YX125" s="368"/>
      <c r="YY125" s="368"/>
      <c r="YZ125" s="368"/>
      <c r="ZA125" s="368"/>
      <c r="ZB125" s="368"/>
      <c r="ZC125" s="368"/>
      <c r="ZD125" s="368"/>
      <c r="ZE125" s="368"/>
      <c r="ZF125" s="368"/>
      <c r="ZG125" s="368"/>
      <c r="ZH125" s="368"/>
      <c r="ZI125" s="368"/>
      <c r="ZJ125" s="368"/>
      <c r="ZK125" s="368"/>
      <c r="ZL125" s="368"/>
      <c r="ZM125" s="368"/>
      <c r="ZN125" s="368"/>
      <c r="ZO125" s="368"/>
      <c r="ZP125" s="368"/>
      <c r="ZQ125" s="368"/>
      <c r="ZR125" s="368"/>
      <c r="ZS125" s="368"/>
      <c r="ZT125" s="368"/>
      <c r="ZU125" s="368"/>
      <c r="ZV125" s="368"/>
      <c r="ZW125" s="368"/>
      <c r="ZX125" s="368"/>
      <c r="ZY125" s="368"/>
      <c r="ZZ125" s="368"/>
      <c r="AAA125" s="368"/>
      <c r="AAB125" s="368"/>
      <c r="AAC125" s="368"/>
      <c r="AAD125" s="368"/>
      <c r="AAE125" s="368"/>
      <c r="AAF125" s="368"/>
      <c r="AAG125" s="368"/>
      <c r="AAH125" s="368"/>
      <c r="AAI125" s="368"/>
      <c r="AAJ125" s="368"/>
      <c r="AAK125" s="368"/>
      <c r="AAL125" s="368"/>
      <c r="AAM125" s="368"/>
      <c r="AAN125" s="368"/>
      <c r="AAO125" s="368"/>
      <c r="AAP125" s="368"/>
      <c r="AAQ125" s="368"/>
      <c r="AAR125" s="368"/>
      <c r="AAS125" s="368"/>
      <c r="AAT125" s="368"/>
      <c r="AAU125" s="368"/>
      <c r="AAV125" s="368"/>
      <c r="AAW125" s="368"/>
      <c r="AAX125" s="368"/>
      <c r="AAY125" s="368"/>
      <c r="AAZ125" s="368"/>
      <c r="ABA125" s="368"/>
      <c r="ABB125" s="368"/>
      <c r="ABC125" s="368"/>
      <c r="ABD125" s="368"/>
      <c r="ABE125" s="368"/>
      <c r="ABF125" s="368"/>
      <c r="ABG125" s="368"/>
      <c r="ABH125" s="368"/>
      <c r="ABI125" s="368"/>
      <c r="ABJ125" s="368"/>
      <c r="ABK125" s="368"/>
      <c r="ABL125" s="368"/>
      <c r="ABM125" s="368"/>
      <c r="ABN125" s="368"/>
      <c r="ABO125" s="368"/>
      <c r="ABP125" s="368"/>
      <c r="ABQ125" s="368"/>
      <c r="ABR125" s="368"/>
      <c r="ABS125" s="368"/>
      <c r="ABT125" s="368"/>
      <c r="ABU125" s="368"/>
      <c r="ABV125" s="368"/>
      <c r="ABW125" s="368"/>
      <c r="ABX125" s="368"/>
      <c r="ABY125" s="368"/>
      <c r="ABZ125" s="368"/>
      <c r="ACA125" s="368"/>
      <c r="ACB125" s="368"/>
      <c r="ACC125" s="368"/>
      <c r="ACD125" s="368"/>
      <c r="ACE125" s="368"/>
      <c r="ACF125" s="368"/>
      <c r="ACG125" s="368"/>
      <c r="ACH125" s="368"/>
      <c r="ACI125" s="368"/>
      <c r="ACJ125" s="368"/>
      <c r="ACK125" s="368"/>
      <c r="ACL125" s="368"/>
      <c r="ACM125" s="368"/>
      <c r="ACN125" s="368"/>
      <c r="ACO125" s="368"/>
      <c r="ACP125" s="368"/>
      <c r="ACQ125" s="368"/>
      <c r="ACR125" s="368"/>
      <c r="ACS125" s="368"/>
      <c r="ACT125" s="368"/>
      <c r="ACU125" s="368"/>
      <c r="ACV125" s="368"/>
      <c r="ACW125" s="368"/>
      <c r="ACX125" s="368"/>
      <c r="ACY125" s="368"/>
      <c r="ACZ125" s="368"/>
      <c r="ADA125" s="368"/>
      <c r="ADB125" s="368"/>
      <c r="ADC125" s="368"/>
      <c r="ADD125" s="368"/>
      <c r="ADE125" s="368"/>
      <c r="ADF125" s="368"/>
      <c r="ADG125" s="368"/>
      <c r="ADH125" s="368"/>
      <c r="ADI125" s="368"/>
      <c r="ADJ125" s="368"/>
      <c r="ADK125" s="368"/>
      <c r="ADL125" s="368"/>
      <c r="ADM125" s="368"/>
      <c r="ADN125" s="368"/>
      <c r="ADO125" s="368"/>
      <c r="ADP125" s="368"/>
      <c r="ADQ125" s="368"/>
      <c r="ADR125" s="368"/>
      <c r="ADS125" s="368"/>
      <c r="ADT125" s="368"/>
      <c r="ADU125" s="368"/>
      <c r="ADV125" s="368"/>
      <c r="ADW125" s="368"/>
      <c r="ADX125" s="368"/>
      <c r="ADY125" s="368"/>
      <c r="ADZ125" s="368"/>
      <c r="AEA125" s="368"/>
      <c r="AEB125" s="368"/>
      <c r="AEC125" s="368"/>
      <c r="AED125" s="368"/>
      <c r="AEE125" s="368"/>
      <c r="AEF125" s="368"/>
      <c r="AEG125" s="368"/>
      <c r="AEH125" s="368"/>
      <c r="AEI125" s="368"/>
      <c r="AEJ125" s="368"/>
      <c r="AEK125" s="368"/>
      <c r="AEL125" s="368"/>
      <c r="AEM125" s="368"/>
      <c r="AEN125" s="368"/>
      <c r="AEO125" s="368"/>
      <c r="AEP125" s="368"/>
      <c r="AEQ125" s="368"/>
      <c r="AER125" s="368"/>
      <c r="AES125" s="368"/>
      <c r="AET125" s="368"/>
      <c r="AEU125" s="368"/>
      <c r="AEV125" s="368"/>
      <c r="AEW125" s="368"/>
      <c r="AEX125" s="368"/>
      <c r="AEY125" s="368"/>
      <c r="AEZ125" s="368"/>
      <c r="AFA125" s="368"/>
      <c r="AFB125" s="368"/>
      <c r="AFC125" s="368"/>
      <c r="AFD125" s="368"/>
      <c r="AFE125" s="368"/>
      <c r="AFF125" s="368"/>
      <c r="AFG125" s="368"/>
      <c r="AFH125" s="368"/>
      <c r="AFI125" s="368"/>
      <c r="AFJ125" s="368"/>
      <c r="AFK125" s="368"/>
      <c r="AFL125" s="368"/>
      <c r="AFM125" s="368"/>
      <c r="AFN125" s="368"/>
      <c r="AFO125" s="368"/>
      <c r="AFP125" s="368"/>
      <c r="AFQ125" s="368"/>
      <c r="AFR125" s="368"/>
      <c r="AFS125" s="368"/>
      <c r="AFT125" s="368"/>
      <c r="AFU125" s="368"/>
      <c r="AFV125" s="368"/>
      <c r="AFW125" s="368"/>
      <c r="AFX125" s="368"/>
      <c r="AFY125" s="368"/>
      <c r="AFZ125" s="368"/>
      <c r="AGA125" s="368"/>
      <c r="AGB125" s="368"/>
      <c r="AGC125" s="368"/>
      <c r="AGD125" s="368"/>
      <c r="AGE125" s="368"/>
      <c r="AGF125" s="368"/>
      <c r="AGG125" s="368"/>
      <c r="AGH125" s="368"/>
      <c r="AGI125" s="368"/>
      <c r="AGJ125" s="368"/>
      <c r="AGK125" s="368"/>
      <c r="AGL125" s="368"/>
      <c r="AGM125" s="368"/>
      <c r="AGN125" s="368"/>
      <c r="AGO125" s="368"/>
      <c r="AGP125" s="368"/>
      <c r="AGQ125" s="368"/>
      <c r="AGR125" s="368"/>
      <c r="AGS125" s="368"/>
      <c r="AGT125" s="368"/>
      <c r="AGU125" s="368"/>
      <c r="AGV125" s="368"/>
      <c r="AGW125" s="368"/>
      <c r="AGX125" s="368"/>
      <c r="AGY125" s="368"/>
      <c r="AGZ125" s="368"/>
      <c r="AHA125" s="368"/>
      <c r="AHB125" s="368"/>
      <c r="AHC125" s="368"/>
      <c r="AHD125" s="368"/>
      <c r="AHE125" s="368"/>
      <c r="AHF125" s="368"/>
      <c r="AHG125" s="368"/>
      <c r="AHH125" s="368"/>
      <c r="AHI125" s="368"/>
      <c r="AHJ125" s="368"/>
      <c r="AHK125" s="368"/>
      <c r="AHL125" s="368"/>
      <c r="AHM125" s="368"/>
      <c r="AHN125" s="368"/>
      <c r="AHO125" s="368"/>
      <c r="AHP125" s="368"/>
      <c r="AHQ125" s="368"/>
      <c r="AHR125" s="368"/>
      <c r="AHS125" s="368"/>
      <c r="AHT125" s="368"/>
      <c r="AHU125" s="368"/>
      <c r="AHV125" s="368"/>
      <c r="AHW125" s="368"/>
      <c r="AHX125" s="368"/>
      <c r="AHY125" s="368"/>
      <c r="AHZ125" s="368"/>
      <c r="AIA125" s="368"/>
      <c r="AIB125" s="368"/>
      <c r="AIC125" s="368"/>
      <c r="AID125" s="368"/>
      <c r="AIE125" s="368"/>
      <c r="AIF125" s="368"/>
      <c r="AIG125" s="368"/>
      <c r="AIH125" s="368"/>
      <c r="AII125" s="368"/>
      <c r="AIJ125" s="368"/>
      <c r="AIK125" s="368"/>
      <c r="AIL125" s="368"/>
      <c r="AIM125" s="368"/>
      <c r="AIN125" s="368"/>
      <c r="AIO125" s="368"/>
      <c r="AIP125" s="368"/>
      <c r="AIQ125" s="368"/>
      <c r="AIR125" s="368"/>
      <c r="AIS125" s="368"/>
      <c r="AIT125" s="368"/>
      <c r="AIU125" s="368"/>
      <c r="AIV125" s="368"/>
      <c r="AIW125" s="368"/>
      <c r="AIX125" s="368"/>
      <c r="AIY125" s="368"/>
      <c r="AIZ125" s="368"/>
      <c r="AJA125" s="368"/>
      <c r="AJB125" s="368"/>
      <c r="AJC125" s="368"/>
      <c r="AJD125" s="368"/>
      <c r="AJE125" s="368"/>
      <c r="AJF125" s="368"/>
      <c r="AJG125" s="368"/>
      <c r="AJH125" s="368"/>
      <c r="AJI125" s="368"/>
      <c r="AJJ125" s="368"/>
      <c r="AJK125" s="368"/>
      <c r="AJL125" s="368"/>
      <c r="AJM125" s="368"/>
      <c r="AJN125" s="368"/>
      <c r="AJO125" s="368"/>
      <c r="AJP125" s="368"/>
      <c r="AJQ125" s="368"/>
      <c r="AJR125" s="368"/>
      <c r="AJS125" s="368"/>
      <c r="AJT125" s="368"/>
      <c r="AJU125" s="368"/>
      <c r="AJV125" s="368"/>
      <c r="AJW125" s="368"/>
      <c r="AJX125" s="368"/>
      <c r="AJY125" s="368"/>
      <c r="AJZ125" s="368"/>
      <c r="AKA125" s="368"/>
      <c r="AKB125" s="368"/>
      <c r="AKC125" s="368"/>
      <c r="AKD125" s="368"/>
      <c r="AKE125" s="368"/>
      <c r="AKF125" s="368"/>
      <c r="AKG125" s="368"/>
      <c r="AKH125" s="368"/>
      <c r="AKI125" s="368"/>
      <c r="AKJ125" s="368"/>
      <c r="AKK125" s="368"/>
      <c r="AKL125" s="368"/>
      <c r="AKM125" s="368"/>
      <c r="AKN125" s="368"/>
    </row>
    <row r="126" spans="1:976" s="375" customFormat="1" ht="22.5" customHeight="1" x14ac:dyDescent="0.2">
      <c r="A126" s="428" t="s">
        <v>262</v>
      </c>
      <c r="B126" s="428"/>
      <c r="C126" s="428" t="s">
        <v>221</v>
      </c>
      <c r="D126" s="428" t="s">
        <v>222</v>
      </c>
      <c r="E126" s="429">
        <v>412883</v>
      </c>
      <c r="F126" s="429">
        <v>1648</v>
      </c>
      <c r="G126" s="429">
        <v>256</v>
      </c>
      <c r="H126" s="429">
        <v>0</v>
      </c>
      <c r="I126" s="430">
        <v>45875</v>
      </c>
      <c r="J126" s="428" t="s">
        <v>395</v>
      </c>
      <c r="K126" s="428" t="s">
        <v>630</v>
      </c>
      <c r="L126" s="431">
        <v>189.57</v>
      </c>
      <c r="M126" s="431">
        <v>10.43</v>
      </c>
      <c r="N126" s="441">
        <v>200</v>
      </c>
      <c r="O126" s="428"/>
      <c r="P126" s="432">
        <v>45888</v>
      </c>
      <c r="Q126" s="431">
        <v>200</v>
      </c>
      <c r="R126" s="428" t="s">
        <v>631</v>
      </c>
      <c r="S126" s="431">
        <v>0</v>
      </c>
      <c r="T126" s="431">
        <v>0</v>
      </c>
      <c r="U126" s="431">
        <v>0</v>
      </c>
      <c r="V126" s="431">
        <v>0</v>
      </c>
      <c r="W126" s="428"/>
      <c r="X126" s="428" t="s">
        <v>293</v>
      </c>
      <c r="Y126" s="428" t="s">
        <v>294</v>
      </c>
      <c r="Z126" s="428" t="s">
        <v>42</v>
      </c>
      <c r="AA126" s="428" t="s">
        <v>228</v>
      </c>
      <c r="AB126" s="428" t="s">
        <v>235</v>
      </c>
      <c r="AC126" s="428" t="s">
        <v>236</v>
      </c>
      <c r="AD126" s="428" t="s">
        <v>231</v>
      </c>
      <c r="AE126" s="428" t="s">
        <v>232</v>
      </c>
      <c r="AF126" s="428" t="s">
        <v>231</v>
      </c>
      <c r="AG126" s="428" t="s">
        <v>232</v>
      </c>
      <c r="AH126" s="428"/>
      <c r="AI126" s="428"/>
      <c r="AJ126" s="428"/>
      <c r="AK126" s="428" t="s">
        <v>632</v>
      </c>
      <c r="AL126" s="429">
        <v>1</v>
      </c>
      <c r="AM126" s="429">
        <v>0</v>
      </c>
      <c r="AN126" s="430">
        <v>45888</v>
      </c>
      <c r="AO126" s="430">
        <v>45887</v>
      </c>
      <c r="AP126" s="431">
        <v>200</v>
      </c>
      <c r="AQ126" s="430">
        <v>45886</v>
      </c>
      <c r="AR126" s="368"/>
      <c r="AS126" s="368"/>
      <c r="AT126" s="368"/>
      <c r="AU126" s="368"/>
      <c r="AV126" s="368"/>
      <c r="AW126" s="368"/>
      <c r="AX126" s="368"/>
      <c r="AY126" s="368"/>
      <c r="AZ126" s="368"/>
      <c r="BA126" s="368"/>
      <c r="BB126" s="368"/>
      <c r="BC126" s="368"/>
      <c r="BD126" s="368"/>
      <c r="BE126" s="368"/>
      <c r="BF126" s="368"/>
      <c r="BG126" s="368"/>
      <c r="BH126" s="368"/>
      <c r="BI126" s="368"/>
      <c r="BJ126" s="368"/>
      <c r="BK126" s="368"/>
      <c r="BL126" s="368"/>
      <c r="BM126" s="368"/>
      <c r="BN126" s="368"/>
      <c r="BO126" s="368"/>
      <c r="BP126" s="368"/>
      <c r="BQ126" s="368"/>
      <c r="BR126" s="368"/>
      <c r="BS126" s="368"/>
      <c r="BT126" s="368"/>
      <c r="BU126" s="368"/>
      <c r="BV126" s="368"/>
      <c r="BW126" s="368"/>
      <c r="BX126" s="368"/>
      <c r="BY126" s="368"/>
      <c r="BZ126" s="368"/>
      <c r="CA126" s="368"/>
      <c r="CB126" s="368"/>
      <c r="CC126" s="368"/>
      <c r="CD126" s="368"/>
      <c r="CE126" s="368"/>
      <c r="CF126" s="368"/>
      <c r="CG126" s="368"/>
      <c r="CH126" s="368"/>
      <c r="CI126" s="368"/>
      <c r="CJ126" s="368"/>
      <c r="CK126" s="368"/>
      <c r="CL126" s="368"/>
      <c r="CM126" s="368"/>
      <c r="CN126" s="368"/>
      <c r="CO126" s="368"/>
      <c r="CP126" s="368"/>
      <c r="CQ126" s="368"/>
      <c r="CR126" s="368"/>
      <c r="CS126" s="368"/>
      <c r="CT126" s="368"/>
      <c r="CU126" s="368"/>
      <c r="CV126" s="368"/>
      <c r="CW126" s="368"/>
      <c r="CX126" s="368"/>
      <c r="CY126" s="368"/>
      <c r="CZ126" s="368"/>
      <c r="DA126" s="368"/>
      <c r="DB126" s="368"/>
      <c r="DC126" s="368"/>
      <c r="DD126" s="368"/>
      <c r="DE126" s="368"/>
      <c r="DF126" s="368"/>
      <c r="DG126" s="368"/>
      <c r="DH126" s="368"/>
      <c r="DI126" s="368"/>
      <c r="DJ126" s="368"/>
      <c r="DK126" s="368"/>
      <c r="DL126" s="368"/>
      <c r="DM126" s="368"/>
      <c r="DN126" s="368"/>
      <c r="DO126" s="368"/>
      <c r="DP126" s="368"/>
      <c r="DQ126" s="368"/>
      <c r="DR126" s="368"/>
      <c r="DS126" s="368"/>
      <c r="DT126" s="368"/>
      <c r="DU126" s="368"/>
      <c r="DV126" s="368"/>
      <c r="DW126" s="368"/>
      <c r="DX126" s="368"/>
      <c r="DY126" s="368"/>
      <c r="DZ126" s="368"/>
      <c r="EA126" s="368"/>
      <c r="EB126" s="368"/>
      <c r="EC126" s="368"/>
      <c r="ED126" s="368"/>
      <c r="EE126" s="368"/>
      <c r="EF126" s="368"/>
      <c r="EG126" s="368"/>
      <c r="EH126" s="368"/>
      <c r="EI126" s="368"/>
      <c r="EJ126" s="368"/>
      <c r="EK126" s="368"/>
      <c r="EL126" s="368"/>
      <c r="EM126" s="368"/>
      <c r="EN126" s="368"/>
      <c r="EO126" s="368"/>
      <c r="EP126" s="368"/>
      <c r="EQ126" s="368"/>
      <c r="ER126" s="368"/>
      <c r="ES126" s="368"/>
      <c r="ET126" s="368"/>
      <c r="EU126" s="368"/>
      <c r="EV126" s="368"/>
      <c r="EW126" s="368"/>
      <c r="EX126" s="368"/>
      <c r="EY126" s="368"/>
      <c r="EZ126" s="368"/>
      <c r="FA126" s="368"/>
      <c r="FB126" s="368"/>
      <c r="FC126" s="368"/>
      <c r="FD126" s="368"/>
      <c r="FE126" s="368"/>
      <c r="FF126" s="368"/>
      <c r="FG126" s="368"/>
      <c r="FH126" s="368"/>
      <c r="FI126" s="368"/>
      <c r="FJ126" s="368"/>
      <c r="FK126" s="368"/>
      <c r="FL126" s="368"/>
      <c r="FM126" s="368"/>
      <c r="FN126" s="368"/>
      <c r="FO126" s="368"/>
      <c r="FP126" s="368"/>
      <c r="FQ126" s="368"/>
      <c r="FR126" s="368"/>
      <c r="FS126" s="368"/>
      <c r="FT126" s="368"/>
      <c r="FU126" s="368"/>
      <c r="FV126" s="368"/>
      <c r="FW126" s="368"/>
      <c r="FX126" s="368"/>
      <c r="FY126" s="368"/>
      <c r="FZ126" s="368"/>
      <c r="GA126" s="368"/>
      <c r="GB126" s="368"/>
      <c r="GC126" s="368"/>
      <c r="GD126" s="368"/>
      <c r="GE126" s="368"/>
      <c r="GF126" s="368"/>
      <c r="GG126" s="368"/>
      <c r="GH126" s="368"/>
      <c r="GI126" s="368"/>
      <c r="GJ126" s="368"/>
      <c r="GK126" s="368"/>
      <c r="GL126" s="368"/>
      <c r="GM126" s="368"/>
      <c r="GN126" s="368"/>
      <c r="GO126" s="368"/>
      <c r="GP126" s="368"/>
      <c r="GQ126" s="368"/>
      <c r="GR126" s="368"/>
      <c r="GS126" s="368"/>
      <c r="GT126" s="368"/>
      <c r="GU126" s="368"/>
      <c r="GV126" s="368"/>
      <c r="GW126" s="368"/>
      <c r="GX126" s="368"/>
      <c r="GY126" s="368"/>
      <c r="GZ126" s="368"/>
      <c r="HA126" s="368"/>
      <c r="HB126" s="368"/>
      <c r="HC126" s="368"/>
      <c r="HD126" s="368"/>
      <c r="HE126" s="368"/>
      <c r="HF126" s="368"/>
      <c r="HG126" s="368"/>
      <c r="HH126" s="368"/>
      <c r="HI126" s="368"/>
      <c r="HJ126" s="368"/>
      <c r="HK126" s="368"/>
      <c r="HL126" s="368"/>
      <c r="HM126" s="368"/>
      <c r="HN126" s="368"/>
      <c r="HO126" s="368"/>
      <c r="HP126" s="368"/>
      <c r="HQ126" s="368"/>
      <c r="HR126" s="368"/>
      <c r="HS126" s="368"/>
      <c r="HT126" s="368"/>
      <c r="HU126" s="368"/>
      <c r="HV126" s="368"/>
      <c r="HW126" s="368"/>
      <c r="HX126" s="368"/>
      <c r="HY126" s="368"/>
      <c r="HZ126" s="368"/>
      <c r="IA126" s="368"/>
      <c r="IB126" s="368"/>
      <c r="IC126" s="368"/>
      <c r="ID126" s="368"/>
      <c r="IE126" s="368"/>
      <c r="IF126" s="368"/>
      <c r="IG126" s="368"/>
      <c r="IH126" s="368"/>
      <c r="II126" s="368"/>
      <c r="IJ126" s="368"/>
      <c r="IK126" s="368"/>
      <c r="IL126" s="368"/>
      <c r="IM126" s="368"/>
      <c r="IN126" s="368"/>
      <c r="IO126" s="368"/>
      <c r="IP126" s="368"/>
      <c r="IQ126" s="368"/>
      <c r="IR126" s="368"/>
      <c r="IS126" s="368"/>
      <c r="IT126" s="368"/>
      <c r="IU126" s="368"/>
      <c r="IV126" s="368"/>
      <c r="IW126" s="368"/>
      <c r="IX126" s="368"/>
      <c r="IY126" s="368"/>
      <c r="IZ126" s="368"/>
      <c r="JA126" s="368"/>
      <c r="JB126" s="368"/>
      <c r="JC126" s="368"/>
      <c r="JD126" s="368"/>
      <c r="JE126" s="368"/>
      <c r="JF126" s="368"/>
      <c r="JG126" s="368"/>
      <c r="JH126" s="368"/>
      <c r="JI126" s="368"/>
      <c r="JJ126" s="368"/>
      <c r="JK126" s="368"/>
      <c r="JL126" s="368"/>
      <c r="JM126" s="368"/>
      <c r="JN126" s="368"/>
      <c r="JO126" s="368"/>
      <c r="JP126" s="368"/>
      <c r="JQ126" s="368"/>
      <c r="JR126" s="368"/>
      <c r="JS126" s="368"/>
      <c r="JT126" s="368"/>
      <c r="JU126" s="368"/>
      <c r="JV126" s="368"/>
      <c r="JW126" s="368"/>
      <c r="JX126" s="368"/>
      <c r="JY126" s="368"/>
      <c r="JZ126" s="368"/>
      <c r="KA126" s="368"/>
      <c r="KB126" s="368"/>
      <c r="KC126" s="368"/>
      <c r="KD126" s="368"/>
      <c r="KE126" s="368"/>
      <c r="KF126" s="368"/>
      <c r="KG126" s="368"/>
      <c r="KH126" s="368"/>
      <c r="KI126" s="368"/>
      <c r="KJ126" s="368"/>
      <c r="KK126" s="368"/>
      <c r="KL126" s="368"/>
      <c r="KM126" s="368"/>
      <c r="KN126" s="368"/>
      <c r="KO126" s="368"/>
      <c r="KP126" s="368"/>
      <c r="KQ126" s="368"/>
      <c r="KR126" s="368"/>
      <c r="KS126" s="368"/>
      <c r="KT126" s="368"/>
      <c r="KU126" s="368"/>
      <c r="KV126" s="368"/>
      <c r="KW126" s="368"/>
      <c r="KX126" s="368"/>
      <c r="KY126" s="368"/>
      <c r="KZ126" s="368"/>
      <c r="LA126" s="368"/>
      <c r="LB126" s="368"/>
      <c r="LC126" s="368"/>
      <c r="LD126" s="368"/>
      <c r="LE126" s="368"/>
      <c r="LF126" s="368"/>
      <c r="LG126" s="368"/>
      <c r="LH126" s="368"/>
      <c r="LI126" s="368"/>
      <c r="LJ126" s="368"/>
      <c r="LK126" s="368"/>
      <c r="LL126" s="368"/>
      <c r="LM126" s="368"/>
      <c r="LN126" s="368"/>
      <c r="LO126" s="368"/>
      <c r="LP126" s="368"/>
      <c r="LQ126" s="368"/>
      <c r="LR126" s="368"/>
      <c r="LS126" s="368"/>
      <c r="LT126" s="368"/>
      <c r="LU126" s="368"/>
      <c r="LV126" s="368"/>
      <c r="LW126" s="368"/>
      <c r="LX126" s="368"/>
      <c r="LY126" s="368"/>
      <c r="LZ126" s="368"/>
      <c r="MA126" s="368"/>
      <c r="MB126" s="368"/>
      <c r="MC126" s="368"/>
      <c r="MD126" s="368"/>
      <c r="ME126" s="368"/>
      <c r="MF126" s="368"/>
      <c r="MG126" s="368"/>
      <c r="MH126" s="368"/>
      <c r="MI126" s="368"/>
      <c r="MJ126" s="368"/>
      <c r="MK126" s="368"/>
      <c r="ML126" s="368"/>
      <c r="MM126" s="368"/>
      <c r="MN126" s="368"/>
      <c r="MO126" s="368"/>
      <c r="MP126" s="368"/>
      <c r="MQ126" s="368"/>
      <c r="MR126" s="368"/>
      <c r="MS126" s="368"/>
      <c r="MT126" s="368"/>
      <c r="MU126" s="368"/>
      <c r="MV126" s="368"/>
      <c r="MW126" s="368"/>
      <c r="MX126" s="368"/>
      <c r="MY126" s="368"/>
      <c r="MZ126" s="368"/>
      <c r="NA126" s="368"/>
      <c r="NB126" s="368"/>
      <c r="NC126" s="368"/>
      <c r="ND126" s="368"/>
      <c r="NE126" s="368"/>
      <c r="NF126" s="368"/>
      <c r="NG126" s="368"/>
      <c r="NH126" s="368"/>
      <c r="NI126" s="368"/>
      <c r="NJ126" s="368"/>
      <c r="NK126" s="368"/>
      <c r="NL126" s="368"/>
      <c r="NM126" s="368"/>
      <c r="NN126" s="368"/>
      <c r="NO126" s="368"/>
      <c r="NP126" s="368"/>
      <c r="NQ126" s="368"/>
      <c r="NR126" s="368"/>
      <c r="NS126" s="368"/>
      <c r="NT126" s="368"/>
      <c r="NU126" s="368"/>
      <c r="NV126" s="368"/>
      <c r="NW126" s="368"/>
      <c r="NX126" s="368"/>
      <c r="NY126" s="368"/>
      <c r="NZ126" s="368"/>
      <c r="OA126" s="368"/>
      <c r="OB126" s="368"/>
      <c r="OC126" s="368"/>
      <c r="OD126" s="368"/>
      <c r="OE126" s="368"/>
      <c r="OF126" s="368"/>
      <c r="OG126" s="368"/>
      <c r="OH126" s="368"/>
      <c r="OI126" s="368"/>
      <c r="OJ126" s="368"/>
      <c r="OK126" s="368"/>
      <c r="OL126" s="368"/>
      <c r="OM126" s="368"/>
      <c r="ON126" s="368"/>
      <c r="OO126" s="368"/>
      <c r="OP126" s="368"/>
      <c r="OQ126" s="368"/>
      <c r="OR126" s="368"/>
      <c r="OS126" s="368"/>
      <c r="OT126" s="368"/>
      <c r="OU126" s="368"/>
      <c r="OV126" s="368"/>
      <c r="OW126" s="368"/>
      <c r="OX126" s="368"/>
      <c r="OY126" s="368"/>
      <c r="OZ126" s="368"/>
      <c r="PA126" s="368"/>
      <c r="PB126" s="368"/>
      <c r="PC126" s="368"/>
      <c r="PD126" s="368"/>
      <c r="PE126" s="368"/>
      <c r="PF126" s="368"/>
      <c r="PG126" s="368"/>
      <c r="PH126" s="368"/>
      <c r="PI126" s="368"/>
      <c r="PJ126" s="368"/>
      <c r="PK126" s="368"/>
      <c r="PL126" s="368"/>
      <c r="PM126" s="368"/>
      <c r="PN126" s="368"/>
      <c r="PO126" s="368"/>
      <c r="PP126" s="368"/>
      <c r="PQ126" s="368"/>
      <c r="PR126" s="368"/>
      <c r="PS126" s="368"/>
      <c r="PT126" s="368"/>
      <c r="PU126" s="368"/>
      <c r="PV126" s="368"/>
      <c r="PW126" s="368"/>
      <c r="PX126" s="368"/>
      <c r="PY126" s="368"/>
      <c r="PZ126" s="368"/>
      <c r="QA126" s="368"/>
      <c r="QB126" s="368"/>
      <c r="QC126" s="368"/>
      <c r="QD126" s="368"/>
      <c r="QE126" s="368"/>
      <c r="QF126" s="368"/>
      <c r="QG126" s="368"/>
      <c r="QH126" s="368"/>
      <c r="QI126" s="368"/>
      <c r="QJ126" s="368"/>
      <c r="QK126" s="368"/>
      <c r="QL126" s="368"/>
      <c r="QM126" s="368"/>
      <c r="QN126" s="368"/>
      <c r="QO126" s="368"/>
      <c r="QP126" s="368"/>
      <c r="QQ126" s="368"/>
      <c r="QR126" s="368"/>
      <c r="QS126" s="368"/>
      <c r="QT126" s="368"/>
      <c r="QU126" s="368"/>
      <c r="QV126" s="368"/>
      <c r="QW126" s="368"/>
      <c r="QX126" s="368"/>
      <c r="QY126" s="368"/>
      <c r="QZ126" s="368"/>
      <c r="RA126" s="368"/>
      <c r="RB126" s="368"/>
      <c r="RC126" s="368"/>
      <c r="RD126" s="368"/>
      <c r="RE126" s="368"/>
      <c r="RF126" s="368"/>
      <c r="RG126" s="368"/>
      <c r="RH126" s="368"/>
      <c r="RI126" s="368"/>
      <c r="RJ126" s="368"/>
      <c r="RK126" s="368"/>
      <c r="RL126" s="368"/>
      <c r="RM126" s="368"/>
      <c r="RN126" s="368"/>
      <c r="RO126" s="368"/>
      <c r="RP126" s="368"/>
      <c r="RQ126" s="368"/>
      <c r="RR126" s="368"/>
      <c r="RS126" s="368"/>
      <c r="RT126" s="368"/>
      <c r="RU126" s="368"/>
      <c r="RV126" s="368"/>
      <c r="RW126" s="368"/>
      <c r="RX126" s="368"/>
      <c r="RY126" s="368"/>
      <c r="RZ126" s="368"/>
      <c r="SA126" s="368"/>
      <c r="SB126" s="368"/>
      <c r="SC126" s="368"/>
      <c r="SD126" s="368"/>
      <c r="SE126" s="368"/>
      <c r="SF126" s="368"/>
      <c r="SG126" s="368"/>
      <c r="SH126" s="368"/>
      <c r="SI126" s="368"/>
      <c r="SJ126" s="368"/>
      <c r="SK126" s="368"/>
      <c r="SL126" s="368"/>
      <c r="SM126" s="368"/>
      <c r="SN126" s="368"/>
      <c r="SO126" s="368"/>
      <c r="SP126" s="368"/>
      <c r="SQ126" s="368"/>
      <c r="SR126" s="368"/>
      <c r="SS126" s="368"/>
      <c r="ST126" s="368"/>
      <c r="SU126" s="368"/>
      <c r="SV126" s="368"/>
      <c r="SW126" s="368"/>
      <c r="SX126" s="368"/>
      <c r="SY126" s="368"/>
      <c r="SZ126" s="368"/>
      <c r="TA126" s="368"/>
      <c r="TB126" s="368"/>
      <c r="TC126" s="368"/>
      <c r="TD126" s="368"/>
      <c r="TE126" s="368"/>
      <c r="TF126" s="368"/>
      <c r="TG126" s="368"/>
      <c r="TH126" s="368"/>
      <c r="TI126" s="368"/>
      <c r="TJ126" s="368"/>
      <c r="TK126" s="368"/>
      <c r="TL126" s="368"/>
      <c r="TM126" s="368"/>
      <c r="TN126" s="368"/>
      <c r="TO126" s="368"/>
      <c r="TP126" s="368"/>
      <c r="TQ126" s="368"/>
      <c r="TR126" s="368"/>
      <c r="TS126" s="368"/>
      <c r="TT126" s="368"/>
      <c r="TU126" s="368"/>
      <c r="TV126" s="368"/>
      <c r="TW126" s="368"/>
      <c r="TX126" s="368"/>
      <c r="TY126" s="368"/>
      <c r="TZ126" s="368"/>
      <c r="UA126" s="368"/>
      <c r="UB126" s="368"/>
      <c r="UC126" s="368"/>
      <c r="UD126" s="368"/>
      <c r="UE126" s="368"/>
      <c r="UF126" s="368"/>
      <c r="UG126" s="368"/>
      <c r="UH126" s="368"/>
      <c r="UI126" s="368"/>
      <c r="UJ126" s="368"/>
      <c r="UK126" s="368"/>
      <c r="UL126" s="368"/>
      <c r="UM126" s="368"/>
      <c r="UN126" s="368"/>
      <c r="UO126" s="368"/>
      <c r="UP126" s="368"/>
      <c r="UQ126" s="368"/>
      <c r="UR126" s="368"/>
      <c r="US126" s="368"/>
      <c r="UT126" s="368"/>
      <c r="UU126" s="368"/>
      <c r="UV126" s="368"/>
      <c r="UW126" s="368"/>
      <c r="UX126" s="368"/>
      <c r="UY126" s="368"/>
      <c r="UZ126" s="368"/>
      <c r="VA126" s="368"/>
      <c r="VB126" s="368"/>
      <c r="VC126" s="368"/>
      <c r="VD126" s="368"/>
      <c r="VE126" s="368"/>
      <c r="VF126" s="368"/>
      <c r="VG126" s="368"/>
      <c r="VH126" s="368"/>
      <c r="VI126" s="368"/>
      <c r="VJ126" s="368"/>
      <c r="VK126" s="368"/>
      <c r="VL126" s="368"/>
      <c r="VM126" s="368"/>
      <c r="VN126" s="368"/>
      <c r="VO126" s="368"/>
      <c r="VP126" s="368"/>
      <c r="VQ126" s="368"/>
      <c r="VR126" s="368"/>
      <c r="VS126" s="368"/>
      <c r="VT126" s="368"/>
      <c r="VU126" s="368"/>
      <c r="VV126" s="368"/>
      <c r="VW126" s="368"/>
      <c r="VX126" s="368"/>
      <c r="VY126" s="368"/>
      <c r="VZ126" s="368"/>
      <c r="WA126" s="368"/>
      <c r="WB126" s="368"/>
      <c r="WC126" s="368"/>
      <c r="WD126" s="368"/>
      <c r="WE126" s="368"/>
      <c r="WF126" s="368"/>
      <c r="WG126" s="368"/>
      <c r="WH126" s="368"/>
      <c r="WI126" s="368"/>
      <c r="WJ126" s="368"/>
      <c r="WK126" s="368"/>
      <c r="WL126" s="368"/>
      <c r="WM126" s="368"/>
      <c r="WN126" s="368"/>
      <c r="WO126" s="368"/>
      <c r="WP126" s="368"/>
      <c r="WQ126" s="368"/>
      <c r="WR126" s="368"/>
      <c r="WS126" s="368"/>
      <c r="WT126" s="368"/>
      <c r="WU126" s="368"/>
      <c r="WV126" s="368"/>
      <c r="WW126" s="368"/>
      <c r="WX126" s="368"/>
      <c r="WY126" s="368"/>
      <c r="WZ126" s="368"/>
      <c r="XA126" s="368"/>
      <c r="XB126" s="368"/>
      <c r="XC126" s="368"/>
      <c r="XD126" s="368"/>
      <c r="XE126" s="368"/>
      <c r="XF126" s="368"/>
      <c r="XG126" s="368"/>
      <c r="XH126" s="368"/>
      <c r="XI126" s="368"/>
      <c r="XJ126" s="368"/>
      <c r="XK126" s="368"/>
      <c r="XL126" s="368"/>
      <c r="XM126" s="368"/>
      <c r="XN126" s="368"/>
      <c r="XO126" s="368"/>
      <c r="XP126" s="368"/>
      <c r="XQ126" s="368"/>
      <c r="XR126" s="368"/>
      <c r="XS126" s="368"/>
      <c r="XT126" s="368"/>
      <c r="XU126" s="368"/>
      <c r="XV126" s="368"/>
      <c r="XW126" s="368"/>
      <c r="XX126" s="368"/>
      <c r="XY126" s="368"/>
      <c r="XZ126" s="368"/>
      <c r="YA126" s="368"/>
      <c r="YB126" s="368"/>
      <c r="YC126" s="368"/>
      <c r="YD126" s="368"/>
      <c r="YE126" s="368"/>
      <c r="YF126" s="368"/>
      <c r="YG126" s="368"/>
      <c r="YH126" s="368"/>
      <c r="YI126" s="368"/>
      <c r="YJ126" s="368"/>
      <c r="YK126" s="368"/>
      <c r="YL126" s="368"/>
      <c r="YM126" s="368"/>
      <c r="YN126" s="368"/>
      <c r="YO126" s="368"/>
      <c r="YP126" s="368"/>
      <c r="YQ126" s="368"/>
      <c r="YR126" s="368"/>
      <c r="YS126" s="368"/>
      <c r="YT126" s="368"/>
      <c r="YU126" s="368"/>
      <c r="YV126" s="368"/>
      <c r="YW126" s="368"/>
      <c r="YX126" s="368"/>
      <c r="YY126" s="368"/>
      <c r="YZ126" s="368"/>
      <c r="ZA126" s="368"/>
      <c r="ZB126" s="368"/>
      <c r="ZC126" s="368"/>
      <c r="ZD126" s="368"/>
      <c r="ZE126" s="368"/>
      <c r="ZF126" s="368"/>
      <c r="ZG126" s="368"/>
      <c r="ZH126" s="368"/>
      <c r="ZI126" s="368"/>
      <c r="ZJ126" s="368"/>
      <c r="ZK126" s="368"/>
      <c r="ZL126" s="368"/>
      <c r="ZM126" s="368"/>
      <c r="ZN126" s="368"/>
      <c r="ZO126" s="368"/>
      <c r="ZP126" s="368"/>
      <c r="ZQ126" s="368"/>
      <c r="ZR126" s="368"/>
      <c r="ZS126" s="368"/>
      <c r="ZT126" s="368"/>
      <c r="ZU126" s="368"/>
      <c r="ZV126" s="368"/>
      <c r="ZW126" s="368"/>
      <c r="ZX126" s="368"/>
      <c r="ZY126" s="368"/>
      <c r="ZZ126" s="368"/>
      <c r="AAA126" s="368"/>
      <c r="AAB126" s="368"/>
      <c r="AAC126" s="368"/>
      <c r="AAD126" s="368"/>
      <c r="AAE126" s="368"/>
      <c r="AAF126" s="368"/>
      <c r="AAG126" s="368"/>
      <c r="AAH126" s="368"/>
      <c r="AAI126" s="368"/>
      <c r="AAJ126" s="368"/>
      <c r="AAK126" s="368"/>
      <c r="AAL126" s="368"/>
      <c r="AAM126" s="368"/>
      <c r="AAN126" s="368"/>
      <c r="AAO126" s="368"/>
      <c r="AAP126" s="368"/>
      <c r="AAQ126" s="368"/>
      <c r="AAR126" s="368"/>
      <c r="AAS126" s="368"/>
      <c r="AAT126" s="368"/>
      <c r="AAU126" s="368"/>
      <c r="AAV126" s="368"/>
      <c r="AAW126" s="368"/>
      <c r="AAX126" s="368"/>
      <c r="AAY126" s="368"/>
      <c r="AAZ126" s="368"/>
      <c r="ABA126" s="368"/>
      <c r="ABB126" s="368"/>
      <c r="ABC126" s="368"/>
      <c r="ABD126" s="368"/>
      <c r="ABE126" s="368"/>
      <c r="ABF126" s="368"/>
      <c r="ABG126" s="368"/>
      <c r="ABH126" s="368"/>
      <c r="ABI126" s="368"/>
      <c r="ABJ126" s="368"/>
      <c r="ABK126" s="368"/>
      <c r="ABL126" s="368"/>
      <c r="ABM126" s="368"/>
      <c r="ABN126" s="368"/>
      <c r="ABO126" s="368"/>
      <c r="ABP126" s="368"/>
      <c r="ABQ126" s="368"/>
      <c r="ABR126" s="368"/>
      <c r="ABS126" s="368"/>
      <c r="ABT126" s="368"/>
      <c r="ABU126" s="368"/>
      <c r="ABV126" s="368"/>
      <c r="ABW126" s="368"/>
      <c r="ABX126" s="368"/>
      <c r="ABY126" s="368"/>
      <c r="ABZ126" s="368"/>
      <c r="ACA126" s="368"/>
      <c r="ACB126" s="368"/>
      <c r="ACC126" s="368"/>
      <c r="ACD126" s="368"/>
      <c r="ACE126" s="368"/>
      <c r="ACF126" s="368"/>
      <c r="ACG126" s="368"/>
      <c r="ACH126" s="368"/>
      <c r="ACI126" s="368"/>
      <c r="ACJ126" s="368"/>
      <c r="ACK126" s="368"/>
      <c r="ACL126" s="368"/>
      <c r="ACM126" s="368"/>
      <c r="ACN126" s="368"/>
      <c r="ACO126" s="368"/>
      <c r="ACP126" s="368"/>
      <c r="ACQ126" s="368"/>
      <c r="ACR126" s="368"/>
      <c r="ACS126" s="368"/>
      <c r="ACT126" s="368"/>
      <c r="ACU126" s="368"/>
      <c r="ACV126" s="368"/>
      <c r="ACW126" s="368"/>
      <c r="ACX126" s="368"/>
      <c r="ACY126" s="368"/>
      <c r="ACZ126" s="368"/>
      <c r="ADA126" s="368"/>
      <c r="ADB126" s="368"/>
      <c r="ADC126" s="368"/>
      <c r="ADD126" s="368"/>
      <c r="ADE126" s="368"/>
      <c r="ADF126" s="368"/>
      <c r="ADG126" s="368"/>
      <c r="ADH126" s="368"/>
      <c r="ADI126" s="368"/>
      <c r="ADJ126" s="368"/>
      <c r="ADK126" s="368"/>
      <c r="ADL126" s="368"/>
      <c r="ADM126" s="368"/>
      <c r="ADN126" s="368"/>
      <c r="ADO126" s="368"/>
      <c r="ADP126" s="368"/>
      <c r="ADQ126" s="368"/>
      <c r="ADR126" s="368"/>
      <c r="ADS126" s="368"/>
      <c r="ADT126" s="368"/>
      <c r="ADU126" s="368"/>
      <c r="ADV126" s="368"/>
      <c r="ADW126" s="368"/>
      <c r="ADX126" s="368"/>
      <c r="ADY126" s="368"/>
      <c r="ADZ126" s="368"/>
      <c r="AEA126" s="368"/>
      <c r="AEB126" s="368"/>
      <c r="AEC126" s="368"/>
      <c r="AED126" s="368"/>
      <c r="AEE126" s="368"/>
      <c r="AEF126" s="368"/>
      <c r="AEG126" s="368"/>
      <c r="AEH126" s="368"/>
      <c r="AEI126" s="368"/>
      <c r="AEJ126" s="368"/>
      <c r="AEK126" s="368"/>
      <c r="AEL126" s="368"/>
      <c r="AEM126" s="368"/>
      <c r="AEN126" s="368"/>
      <c r="AEO126" s="368"/>
      <c r="AEP126" s="368"/>
      <c r="AEQ126" s="368"/>
      <c r="AER126" s="368"/>
      <c r="AES126" s="368"/>
      <c r="AET126" s="368"/>
      <c r="AEU126" s="368"/>
      <c r="AEV126" s="368"/>
      <c r="AEW126" s="368"/>
      <c r="AEX126" s="368"/>
      <c r="AEY126" s="368"/>
      <c r="AEZ126" s="368"/>
      <c r="AFA126" s="368"/>
      <c r="AFB126" s="368"/>
      <c r="AFC126" s="368"/>
      <c r="AFD126" s="368"/>
      <c r="AFE126" s="368"/>
      <c r="AFF126" s="368"/>
      <c r="AFG126" s="368"/>
      <c r="AFH126" s="368"/>
      <c r="AFI126" s="368"/>
      <c r="AFJ126" s="368"/>
      <c r="AFK126" s="368"/>
      <c r="AFL126" s="368"/>
      <c r="AFM126" s="368"/>
      <c r="AFN126" s="368"/>
      <c r="AFO126" s="368"/>
      <c r="AFP126" s="368"/>
      <c r="AFQ126" s="368"/>
      <c r="AFR126" s="368"/>
      <c r="AFS126" s="368"/>
      <c r="AFT126" s="368"/>
      <c r="AFU126" s="368"/>
      <c r="AFV126" s="368"/>
      <c r="AFW126" s="368"/>
      <c r="AFX126" s="368"/>
      <c r="AFY126" s="368"/>
      <c r="AFZ126" s="368"/>
      <c r="AGA126" s="368"/>
      <c r="AGB126" s="368"/>
      <c r="AGC126" s="368"/>
      <c r="AGD126" s="368"/>
      <c r="AGE126" s="368"/>
      <c r="AGF126" s="368"/>
      <c r="AGG126" s="368"/>
      <c r="AGH126" s="368"/>
      <c r="AGI126" s="368"/>
      <c r="AGJ126" s="368"/>
      <c r="AGK126" s="368"/>
      <c r="AGL126" s="368"/>
      <c r="AGM126" s="368"/>
      <c r="AGN126" s="368"/>
      <c r="AGO126" s="368"/>
      <c r="AGP126" s="368"/>
      <c r="AGQ126" s="368"/>
      <c r="AGR126" s="368"/>
      <c r="AGS126" s="368"/>
      <c r="AGT126" s="368"/>
      <c r="AGU126" s="368"/>
      <c r="AGV126" s="368"/>
      <c r="AGW126" s="368"/>
      <c r="AGX126" s="368"/>
      <c r="AGY126" s="368"/>
      <c r="AGZ126" s="368"/>
      <c r="AHA126" s="368"/>
      <c r="AHB126" s="368"/>
      <c r="AHC126" s="368"/>
      <c r="AHD126" s="368"/>
      <c r="AHE126" s="368"/>
      <c r="AHF126" s="368"/>
      <c r="AHG126" s="368"/>
      <c r="AHH126" s="368"/>
      <c r="AHI126" s="368"/>
      <c r="AHJ126" s="368"/>
      <c r="AHK126" s="368"/>
      <c r="AHL126" s="368"/>
      <c r="AHM126" s="368"/>
      <c r="AHN126" s="368"/>
      <c r="AHO126" s="368"/>
      <c r="AHP126" s="368"/>
      <c r="AHQ126" s="368"/>
      <c r="AHR126" s="368"/>
      <c r="AHS126" s="368"/>
      <c r="AHT126" s="368"/>
      <c r="AHU126" s="368"/>
      <c r="AHV126" s="368"/>
      <c r="AHW126" s="368"/>
      <c r="AHX126" s="368"/>
      <c r="AHY126" s="368"/>
      <c r="AHZ126" s="368"/>
      <c r="AIA126" s="368"/>
      <c r="AIB126" s="368"/>
      <c r="AIC126" s="368"/>
      <c r="AID126" s="368"/>
      <c r="AIE126" s="368"/>
      <c r="AIF126" s="368"/>
      <c r="AIG126" s="368"/>
      <c r="AIH126" s="368"/>
      <c r="AII126" s="368"/>
      <c r="AIJ126" s="368"/>
      <c r="AIK126" s="368"/>
      <c r="AIL126" s="368"/>
      <c r="AIM126" s="368"/>
      <c r="AIN126" s="368"/>
      <c r="AIO126" s="368"/>
      <c r="AIP126" s="368"/>
      <c r="AIQ126" s="368"/>
      <c r="AIR126" s="368"/>
      <c r="AIS126" s="368"/>
      <c r="AIT126" s="368"/>
      <c r="AIU126" s="368"/>
      <c r="AIV126" s="368"/>
      <c r="AIW126" s="368"/>
      <c r="AIX126" s="368"/>
      <c r="AIY126" s="368"/>
      <c r="AIZ126" s="368"/>
      <c r="AJA126" s="368"/>
      <c r="AJB126" s="368"/>
      <c r="AJC126" s="368"/>
      <c r="AJD126" s="368"/>
      <c r="AJE126" s="368"/>
      <c r="AJF126" s="368"/>
      <c r="AJG126" s="368"/>
      <c r="AJH126" s="368"/>
      <c r="AJI126" s="368"/>
      <c r="AJJ126" s="368"/>
      <c r="AJK126" s="368"/>
      <c r="AJL126" s="368"/>
      <c r="AJM126" s="368"/>
      <c r="AJN126" s="368"/>
      <c r="AJO126" s="368"/>
      <c r="AJP126" s="368"/>
      <c r="AJQ126" s="368"/>
      <c r="AJR126" s="368"/>
      <c r="AJS126" s="368"/>
      <c r="AJT126" s="368"/>
      <c r="AJU126" s="368"/>
      <c r="AJV126" s="368"/>
      <c r="AJW126" s="368"/>
      <c r="AJX126" s="368"/>
      <c r="AJY126" s="368"/>
      <c r="AJZ126" s="368"/>
      <c r="AKA126" s="368"/>
      <c r="AKB126" s="368"/>
      <c r="AKC126" s="368"/>
      <c r="AKD126" s="368"/>
      <c r="AKE126" s="368"/>
      <c r="AKF126" s="368"/>
      <c r="AKG126" s="368"/>
      <c r="AKH126" s="368"/>
      <c r="AKI126" s="368"/>
      <c r="AKJ126" s="368"/>
      <c r="AKK126" s="368"/>
      <c r="AKL126" s="368"/>
      <c r="AKM126" s="368"/>
      <c r="AKN126" s="368"/>
    </row>
    <row r="127" spans="1:976" s="375" customFormat="1" ht="22.5" customHeight="1" x14ac:dyDescent="0.2">
      <c r="A127" s="428" t="s">
        <v>262</v>
      </c>
      <c r="B127" s="428"/>
      <c r="C127" s="428" t="s">
        <v>221</v>
      </c>
      <c r="D127" s="428" t="s">
        <v>222</v>
      </c>
      <c r="E127" s="429">
        <v>412887</v>
      </c>
      <c r="F127" s="429">
        <v>1658</v>
      </c>
      <c r="G127" s="429">
        <v>257</v>
      </c>
      <c r="H127" s="429">
        <v>0</v>
      </c>
      <c r="I127" s="430">
        <v>45876</v>
      </c>
      <c r="J127" s="428" t="s">
        <v>395</v>
      </c>
      <c r="K127" s="428" t="s">
        <v>633</v>
      </c>
      <c r="L127" s="431">
        <v>186.64</v>
      </c>
      <c r="M127" s="431">
        <v>11.96</v>
      </c>
      <c r="N127" s="441">
        <v>198.6</v>
      </c>
      <c r="O127" s="428"/>
      <c r="P127" s="432">
        <v>45888</v>
      </c>
      <c r="Q127" s="431">
        <v>198.6</v>
      </c>
      <c r="R127" s="428" t="s">
        <v>634</v>
      </c>
      <c r="S127" s="431">
        <v>0</v>
      </c>
      <c r="T127" s="431">
        <v>0</v>
      </c>
      <c r="U127" s="431">
        <v>0</v>
      </c>
      <c r="V127" s="431">
        <v>0</v>
      </c>
      <c r="W127" s="428"/>
      <c r="X127" s="428" t="s">
        <v>293</v>
      </c>
      <c r="Y127" s="428" t="s">
        <v>294</v>
      </c>
      <c r="Z127" s="428" t="s">
        <v>42</v>
      </c>
      <c r="AA127" s="428" t="s">
        <v>228</v>
      </c>
      <c r="AB127" s="428" t="s">
        <v>235</v>
      </c>
      <c r="AC127" s="428" t="s">
        <v>236</v>
      </c>
      <c r="AD127" s="428" t="s">
        <v>231</v>
      </c>
      <c r="AE127" s="428" t="s">
        <v>232</v>
      </c>
      <c r="AF127" s="428" t="s">
        <v>231</v>
      </c>
      <c r="AG127" s="428" t="s">
        <v>232</v>
      </c>
      <c r="AH127" s="428"/>
      <c r="AI127" s="428"/>
      <c r="AJ127" s="428"/>
      <c r="AK127" s="428" t="s">
        <v>635</v>
      </c>
      <c r="AL127" s="429">
        <v>1</v>
      </c>
      <c r="AM127" s="429">
        <v>0</v>
      </c>
      <c r="AN127" s="430">
        <v>45888</v>
      </c>
      <c r="AO127" s="430">
        <v>45887</v>
      </c>
      <c r="AP127" s="431">
        <v>198.6</v>
      </c>
      <c r="AQ127" s="430">
        <v>45886</v>
      </c>
      <c r="AR127" s="368"/>
      <c r="AS127" s="368"/>
      <c r="AT127" s="368"/>
      <c r="AU127" s="368"/>
      <c r="AV127" s="368"/>
      <c r="AW127" s="368"/>
      <c r="AX127" s="368"/>
      <c r="AY127" s="368"/>
      <c r="AZ127" s="368"/>
      <c r="BA127" s="368"/>
      <c r="BB127" s="368"/>
      <c r="BC127" s="368"/>
      <c r="BD127" s="368"/>
      <c r="BE127" s="368"/>
      <c r="BF127" s="368"/>
      <c r="BG127" s="368"/>
      <c r="BH127" s="368"/>
      <c r="BI127" s="368"/>
      <c r="BJ127" s="368"/>
      <c r="BK127" s="368"/>
      <c r="BL127" s="368"/>
      <c r="BM127" s="368"/>
      <c r="BN127" s="368"/>
      <c r="BO127" s="368"/>
      <c r="BP127" s="368"/>
      <c r="BQ127" s="368"/>
      <c r="BR127" s="368"/>
      <c r="BS127" s="368"/>
      <c r="BT127" s="368"/>
      <c r="BU127" s="368"/>
      <c r="BV127" s="368"/>
      <c r="BW127" s="368"/>
      <c r="BX127" s="368"/>
      <c r="BY127" s="368"/>
      <c r="BZ127" s="368"/>
      <c r="CA127" s="368"/>
      <c r="CB127" s="368"/>
      <c r="CC127" s="368"/>
      <c r="CD127" s="368"/>
      <c r="CE127" s="368"/>
      <c r="CF127" s="368"/>
      <c r="CG127" s="368"/>
      <c r="CH127" s="368"/>
      <c r="CI127" s="368"/>
      <c r="CJ127" s="368"/>
      <c r="CK127" s="368"/>
      <c r="CL127" s="368"/>
      <c r="CM127" s="368"/>
      <c r="CN127" s="368"/>
      <c r="CO127" s="368"/>
      <c r="CP127" s="368"/>
      <c r="CQ127" s="368"/>
      <c r="CR127" s="368"/>
      <c r="CS127" s="368"/>
      <c r="CT127" s="368"/>
      <c r="CU127" s="368"/>
      <c r="CV127" s="368"/>
      <c r="CW127" s="368"/>
      <c r="CX127" s="368"/>
      <c r="CY127" s="368"/>
      <c r="CZ127" s="368"/>
      <c r="DA127" s="368"/>
      <c r="DB127" s="368"/>
      <c r="DC127" s="368"/>
      <c r="DD127" s="368"/>
      <c r="DE127" s="368"/>
      <c r="DF127" s="368"/>
      <c r="DG127" s="368"/>
      <c r="DH127" s="368"/>
      <c r="DI127" s="368"/>
      <c r="DJ127" s="368"/>
      <c r="DK127" s="368"/>
      <c r="DL127" s="368"/>
      <c r="DM127" s="368"/>
      <c r="DN127" s="368"/>
      <c r="DO127" s="368"/>
      <c r="DP127" s="368"/>
      <c r="DQ127" s="368"/>
      <c r="DR127" s="368"/>
      <c r="DS127" s="368"/>
      <c r="DT127" s="368"/>
      <c r="DU127" s="368"/>
      <c r="DV127" s="368"/>
      <c r="DW127" s="368"/>
      <c r="DX127" s="368"/>
      <c r="DY127" s="368"/>
      <c r="DZ127" s="368"/>
      <c r="EA127" s="368"/>
      <c r="EB127" s="368"/>
      <c r="EC127" s="368"/>
      <c r="ED127" s="368"/>
      <c r="EE127" s="368"/>
      <c r="EF127" s="368"/>
      <c r="EG127" s="368"/>
      <c r="EH127" s="368"/>
      <c r="EI127" s="368"/>
      <c r="EJ127" s="368"/>
      <c r="EK127" s="368"/>
      <c r="EL127" s="368"/>
      <c r="EM127" s="368"/>
      <c r="EN127" s="368"/>
      <c r="EO127" s="368"/>
      <c r="EP127" s="368"/>
      <c r="EQ127" s="368"/>
      <c r="ER127" s="368"/>
      <c r="ES127" s="368"/>
      <c r="ET127" s="368"/>
      <c r="EU127" s="368"/>
      <c r="EV127" s="368"/>
      <c r="EW127" s="368"/>
      <c r="EX127" s="368"/>
      <c r="EY127" s="368"/>
      <c r="EZ127" s="368"/>
      <c r="FA127" s="368"/>
      <c r="FB127" s="368"/>
      <c r="FC127" s="368"/>
      <c r="FD127" s="368"/>
      <c r="FE127" s="368"/>
      <c r="FF127" s="368"/>
      <c r="FG127" s="368"/>
      <c r="FH127" s="368"/>
      <c r="FI127" s="368"/>
      <c r="FJ127" s="368"/>
      <c r="FK127" s="368"/>
      <c r="FL127" s="368"/>
      <c r="FM127" s="368"/>
      <c r="FN127" s="368"/>
      <c r="FO127" s="368"/>
      <c r="FP127" s="368"/>
      <c r="FQ127" s="368"/>
      <c r="FR127" s="368"/>
      <c r="FS127" s="368"/>
      <c r="FT127" s="368"/>
      <c r="FU127" s="368"/>
      <c r="FV127" s="368"/>
      <c r="FW127" s="368"/>
      <c r="FX127" s="368"/>
      <c r="FY127" s="368"/>
      <c r="FZ127" s="368"/>
      <c r="GA127" s="368"/>
      <c r="GB127" s="368"/>
      <c r="GC127" s="368"/>
      <c r="GD127" s="368"/>
      <c r="GE127" s="368"/>
      <c r="GF127" s="368"/>
      <c r="GG127" s="368"/>
      <c r="GH127" s="368"/>
      <c r="GI127" s="368"/>
      <c r="GJ127" s="368"/>
      <c r="GK127" s="368"/>
      <c r="GL127" s="368"/>
      <c r="GM127" s="368"/>
      <c r="GN127" s="368"/>
      <c r="GO127" s="368"/>
      <c r="GP127" s="368"/>
      <c r="GQ127" s="368"/>
      <c r="GR127" s="368"/>
      <c r="GS127" s="368"/>
      <c r="GT127" s="368"/>
      <c r="GU127" s="368"/>
      <c r="GV127" s="368"/>
      <c r="GW127" s="368"/>
      <c r="GX127" s="368"/>
      <c r="GY127" s="368"/>
      <c r="GZ127" s="368"/>
      <c r="HA127" s="368"/>
      <c r="HB127" s="368"/>
      <c r="HC127" s="368"/>
      <c r="HD127" s="368"/>
      <c r="HE127" s="368"/>
      <c r="HF127" s="368"/>
      <c r="HG127" s="368"/>
      <c r="HH127" s="368"/>
      <c r="HI127" s="368"/>
      <c r="HJ127" s="368"/>
      <c r="HK127" s="368"/>
      <c r="HL127" s="368"/>
      <c r="HM127" s="368"/>
      <c r="HN127" s="368"/>
      <c r="HO127" s="368"/>
      <c r="HP127" s="368"/>
      <c r="HQ127" s="368"/>
      <c r="HR127" s="368"/>
      <c r="HS127" s="368"/>
      <c r="HT127" s="368"/>
      <c r="HU127" s="368"/>
      <c r="HV127" s="368"/>
      <c r="HW127" s="368"/>
      <c r="HX127" s="368"/>
      <c r="HY127" s="368"/>
      <c r="HZ127" s="368"/>
      <c r="IA127" s="368"/>
      <c r="IB127" s="368"/>
      <c r="IC127" s="368"/>
      <c r="ID127" s="368"/>
      <c r="IE127" s="368"/>
      <c r="IF127" s="368"/>
      <c r="IG127" s="368"/>
      <c r="IH127" s="368"/>
      <c r="II127" s="368"/>
      <c r="IJ127" s="368"/>
      <c r="IK127" s="368"/>
      <c r="IL127" s="368"/>
      <c r="IM127" s="368"/>
      <c r="IN127" s="368"/>
      <c r="IO127" s="368"/>
      <c r="IP127" s="368"/>
      <c r="IQ127" s="368"/>
      <c r="IR127" s="368"/>
      <c r="IS127" s="368"/>
      <c r="IT127" s="368"/>
      <c r="IU127" s="368"/>
      <c r="IV127" s="368"/>
      <c r="IW127" s="368"/>
      <c r="IX127" s="368"/>
      <c r="IY127" s="368"/>
      <c r="IZ127" s="368"/>
      <c r="JA127" s="368"/>
      <c r="JB127" s="368"/>
      <c r="JC127" s="368"/>
      <c r="JD127" s="368"/>
      <c r="JE127" s="368"/>
      <c r="JF127" s="368"/>
      <c r="JG127" s="368"/>
      <c r="JH127" s="368"/>
      <c r="JI127" s="368"/>
      <c r="JJ127" s="368"/>
      <c r="JK127" s="368"/>
      <c r="JL127" s="368"/>
      <c r="JM127" s="368"/>
      <c r="JN127" s="368"/>
      <c r="JO127" s="368"/>
      <c r="JP127" s="368"/>
      <c r="JQ127" s="368"/>
      <c r="JR127" s="368"/>
      <c r="JS127" s="368"/>
      <c r="JT127" s="368"/>
      <c r="JU127" s="368"/>
      <c r="JV127" s="368"/>
      <c r="JW127" s="368"/>
      <c r="JX127" s="368"/>
      <c r="JY127" s="368"/>
      <c r="JZ127" s="368"/>
      <c r="KA127" s="368"/>
      <c r="KB127" s="368"/>
      <c r="KC127" s="368"/>
      <c r="KD127" s="368"/>
      <c r="KE127" s="368"/>
      <c r="KF127" s="368"/>
      <c r="KG127" s="368"/>
      <c r="KH127" s="368"/>
      <c r="KI127" s="368"/>
      <c r="KJ127" s="368"/>
      <c r="KK127" s="368"/>
      <c r="KL127" s="368"/>
      <c r="KM127" s="368"/>
      <c r="KN127" s="368"/>
      <c r="KO127" s="368"/>
      <c r="KP127" s="368"/>
      <c r="KQ127" s="368"/>
      <c r="KR127" s="368"/>
      <c r="KS127" s="368"/>
      <c r="KT127" s="368"/>
      <c r="KU127" s="368"/>
      <c r="KV127" s="368"/>
      <c r="KW127" s="368"/>
      <c r="KX127" s="368"/>
      <c r="KY127" s="368"/>
      <c r="KZ127" s="368"/>
      <c r="LA127" s="368"/>
      <c r="LB127" s="368"/>
      <c r="LC127" s="368"/>
      <c r="LD127" s="368"/>
      <c r="LE127" s="368"/>
      <c r="LF127" s="368"/>
      <c r="LG127" s="368"/>
      <c r="LH127" s="368"/>
      <c r="LI127" s="368"/>
      <c r="LJ127" s="368"/>
      <c r="LK127" s="368"/>
      <c r="LL127" s="368"/>
      <c r="LM127" s="368"/>
      <c r="LN127" s="368"/>
      <c r="LO127" s="368"/>
      <c r="LP127" s="368"/>
      <c r="LQ127" s="368"/>
      <c r="LR127" s="368"/>
      <c r="LS127" s="368"/>
      <c r="LT127" s="368"/>
      <c r="LU127" s="368"/>
      <c r="LV127" s="368"/>
      <c r="LW127" s="368"/>
      <c r="LX127" s="368"/>
      <c r="LY127" s="368"/>
      <c r="LZ127" s="368"/>
      <c r="MA127" s="368"/>
      <c r="MB127" s="368"/>
      <c r="MC127" s="368"/>
      <c r="MD127" s="368"/>
      <c r="ME127" s="368"/>
      <c r="MF127" s="368"/>
      <c r="MG127" s="368"/>
      <c r="MH127" s="368"/>
      <c r="MI127" s="368"/>
      <c r="MJ127" s="368"/>
      <c r="MK127" s="368"/>
      <c r="ML127" s="368"/>
      <c r="MM127" s="368"/>
      <c r="MN127" s="368"/>
      <c r="MO127" s="368"/>
      <c r="MP127" s="368"/>
      <c r="MQ127" s="368"/>
      <c r="MR127" s="368"/>
      <c r="MS127" s="368"/>
      <c r="MT127" s="368"/>
      <c r="MU127" s="368"/>
      <c r="MV127" s="368"/>
      <c r="MW127" s="368"/>
      <c r="MX127" s="368"/>
      <c r="MY127" s="368"/>
      <c r="MZ127" s="368"/>
      <c r="NA127" s="368"/>
      <c r="NB127" s="368"/>
      <c r="NC127" s="368"/>
      <c r="ND127" s="368"/>
      <c r="NE127" s="368"/>
      <c r="NF127" s="368"/>
      <c r="NG127" s="368"/>
      <c r="NH127" s="368"/>
      <c r="NI127" s="368"/>
      <c r="NJ127" s="368"/>
      <c r="NK127" s="368"/>
      <c r="NL127" s="368"/>
      <c r="NM127" s="368"/>
      <c r="NN127" s="368"/>
      <c r="NO127" s="368"/>
      <c r="NP127" s="368"/>
      <c r="NQ127" s="368"/>
      <c r="NR127" s="368"/>
      <c r="NS127" s="368"/>
      <c r="NT127" s="368"/>
      <c r="NU127" s="368"/>
      <c r="NV127" s="368"/>
      <c r="NW127" s="368"/>
      <c r="NX127" s="368"/>
      <c r="NY127" s="368"/>
      <c r="NZ127" s="368"/>
      <c r="OA127" s="368"/>
      <c r="OB127" s="368"/>
      <c r="OC127" s="368"/>
      <c r="OD127" s="368"/>
      <c r="OE127" s="368"/>
      <c r="OF127" s="368"/>
      <c r="OG127" s="368"/>
      <c r="OH127" s="368"/>
      <c r="OI127" s="368"/>
      <c r="OJ127" s="368"/>
      <c r="OK127" s="368"/>
      <c r="OL127" s="368"/>
      <c r="OM127" s="368"/>
      <c r="ON127" s="368"/>
      <c r="OO127" s="368"/>
      <c r="OP127" s="368"/>
      <c r="OQ127" s="368"/>
      <c r="OR127" s="368"/>
      <c r="OS127" s="368"/>
      <c r="OT127" s="368"/>
      <c r="OU127" s="368"/>
      <c r="OV127" s="368"/>
      <c r="OW127" s="368"/>
      <c r="OX127" s="368"/>
      <c r="OY127" s="368"/>
      <c r="OZ127" s="368"/>
      <c r="PA127" s="368"/>
      <c r="PB127" s="368"/>
      <c r="PC127" s="368"/>
      <c r="PD127" s="368"/>
      <c r="PE127" s="368"/>
      <c r="PF127" s="368"/>
      <c r="PG127" s="368"/>
      <c r="PH127" s="368"/>
      <c r="PI127" s="368"/>
      <c r="PJ127" s="368"/>
      <c r="PK127" s="368"/>
      <c r="PL127" s="368"/>
      <c r="PM127" s="368"/>
      <c r="PN127" s="368"/>
      <c r="PO127" s="368"/>
      <c r="PP127" s="368"/>
      <c r="PQ127" s="368"/>
      <c r="PR127" s="368"/>
      <c r="PS127" s="368"/>
      <c r="PT127" s="368"/>
      <c r="PU127" s="368"/>
      <c r="PV127" s="368"/>
      <c r="PW127" s="368"/>
      <c r="PX127" s="368"/>
      <c r="PY127" s="368"/>
      <c r="PZ127" s="368"/>
      <c r="QA127" s="368"/>
      <c r="QB127" s="368"/>
      <c r="QC127" s="368"/>
      <c r="QD127" s="368"/>
      <c r="QE127" s="368"/>
      <c r="QF127" s="368"/>
      <c r="QG127" s="368"/>
      <c r="QH127" s="368"/>
      <c r="QI127" s="368"/>
      <c r="QJ127" s="368"/>
      <c r="QK127" s="368"/>
      <c r="QL127" s="368"/>
      <c r="QM127" s="368"/>
      <c r="QN127" s="368"/>
      <c r="QO127" s="368"/>
      <c r="QP127" s="368"/>
      <c r="QQ127" s="368"/>
      <c r="QR127" s="368"/>
      <c r="QS127" s="368"/>
      <c r="QT127" s="368"/>
      <c r="QU127" s="368"/>
      <c r="QV127" s="368"/>
      <c r="QW127" s="368"/>
      <c r="QX127" s="368"/>
      <c r="QY127" s="368"/>
      <c r="QZ127" s="368"/>
      <c r="RA127" s="368"/>
      <c r="RB127" s="368"/>
      <c r="RC127" s="368"/>
      <c r="RD127" s="368"/>
      <c r="RE127" s="368"/>
      <c r="RF127" s="368"/>
      <c r="RG127" s="368"/>
      <c r="RH127" s="368"/>
      <c r="RI127" s="368"/>
      <c r="RJ127" s="368"/>
      <c r="RK127" s="368"/>
      <c r="RL127" s="368"/>
      <c r="RM127" s="368"/>
      <c r="RN127" s="368"/>
      <c r="RO127" s="368"/>
      <c r="RP127" s="368"/>
      <c r="RQ127" s="368"/>
      <c r="RR127" s="368"/>
      <c r="RS127" s="368"/>
      <c r="RT127" s="368"/>
      <c r="RU127" s="368"/>
      <c r="RV127" s="368"/>
      <c r="RW127" s="368"/>
      <c r="RX127" s="368"/>
      <c r="RY127" s="368"/>
      <c r="RZ127" s="368"/>
      <c r="SA127" s="368"/>
      <c r="SB127" s="368"/>
      <c r="SC127" s="368"/>
      <c r="SD127" s="368"/>
      <c r="SE127" s="368"/>
      <c r="SF127" s="368"/>
      <c r="SG127" s="368"/>
      <c r="SH127" s="368"/>
      <c r="SI127" s="368"/>
      <c r="SJ127" s="368"/>
      <c r="SK127" s="368"/>
      <c r="SL127" s="368"/>
      <c r="SM127" s="368"/>
      <c r="SN127" s="368"/>
      <c r="SO127" s="368"/>
      <c r="SP127" s="368"/>
      <c r="SQ127" s="368"/>
      <c r="SR127" s="368"/>
      <c r="SS127" s="368"/>
      <c r="ST127" s="368"/>
      <c r="SU127" s="368"/>
      <c r="SV127" s="368"/>
      <c r="SW127" s="368"/>
      <c r="SX127" s="368"/>
      <c r="SY127" s="368"/>
      <c r="SZ127" s="368"/>
      <c r="TA127" s="368"/>
      <c r="TB127" s="368"/>
      <c r="TC127" s="368"/>
      <c r="TD127" s="368"/>
      <c r="TE127" s="368"/>
      <c r="TF127" s="368"/>
      <c r="TG127" s="368"/>
      <c r="TH127" s="368"/>
      <c r="TI127" s="368"/>
      <c r="TJ127" s="368"/>
      <c r="TK127" s="368"/>
      <c r="TL127" s="368"/>
      <c r="TM127" s="368"/>
      <c r="TN127" s="368"/>
      <c r="TO127" s="368"/>
      <c r="TP127" s="368"/>
      <c r="TQ127" s="368"/>
      <c r="TR127" s="368"/>
      <c r="TS127" s="368"/>
      <c r="TT127" s="368"/>
      <c r="TU127" s="368"/>
      <c r="TV127" s="368"/>
      <c r="TW127" s="368"/>
      <c r="TX127" s="368"/>
      <c r="TY127" s="368"/>
      <c r="TZ127" s="368"/>
      <c r="UA127" s="368"/>
      <c r="UB127" s="368"/>
      <c r="UC127" s="368"/>
      <c r="UD127" s="368"/>
      <c r="UE127" s="368"/>
      <c r="UF127" s="368"/>
      <c r="UG127" s="368"/>
      <c r="UH127" s="368"/>
      <c r="UI127" s="368"/>
      <c r="UJ127" s="368"/>
      <c r="UK127" s="368"/>
      <c r="UL127" s="368"/>
      <c r="UM127" s="368"/>
      <c r="UN127" s="368"/>
      <c r="UO127" s="368"/>
      <c r="UP127" s="368"/>
      <c r="UQ127" s="368"/>
      <c r="UR127" s="368"/>
      <c r="US127" s="368"/>
      <c r="UT127" s="368"/>
      <c r="UU127" s="368"/>
      <c r="UV127" s="368"/>
      <c r="UW127" s="368"/>
      <c r="UX127" s="368"/>
      <c r="UY127" s="368"/>
      <c r="UZ127" s="368"/>
      <c r="VA127" s="368"/>
      <c r="VB127" s="368"/>
      <c r="VC127" s="368"/>
      <c r="VD127" s="368"/>
      <c r="VE127" s="368"/>
      <c r="VF127" s="368"/>
      <c r="VG127" s="368"/>
      <c r="VH127" s="368"/>
      <c r="VI127" s="368"/>
      <c r="VJ127" s="368"/>
      <c r="VK127" s="368"/>
      <c r="VL127" s="368"/>
      <c r="VM127" s="368"/>
      <c r="VN127" s="368"/>
      <c r="VO127" s="368"/>
      <c r="VP127" s="368"/>
      <c r="VQ127" s="368"/>
      <c r="VR127" s="368"/>
      <c r="VS127" s="368"/>
      <c r="VT127" s="368"/>
      <c r="VU127" s="368"/>
      <c r="VV127" s="368"/>
      <c r="VW127" s="368"/>
      <c r="VX127" s="368"/>
      <c r="VY127" s="368"/>
      <c r="VZ127" s="368"/>
      <c r="WA127" s="368"/>
      <c r="WB127" s="368"/>
      <c r="WC127" s="368"/>
      <c r="WD127" s="368"/>
      <c r="WE127" s="368"/>
      <c r="WF127" s="368"/>
      <c r="WG127" s="368"/>
      <c r="WH127" s="368"/>
      <c r="WI127" s="368"/>
      <c r="WJ127" s="368"/>
      <c r="WK127" s="368"/>
      <c r="WL127" s="368"/>
      <c r="WM127" s="368"/>
      <c r="WN127" s="368"/>
      <c r="WO127" s="368"/>
      <c r="WP127" s="368"/>
      <c r="WQ127" s="368"/>
      <c r="WR127" s="368"/>
      <c r="WS127" s="368"/>
      <c r="WT127" s="368"/>
      <c r="WU127" s="368"/>
      <c r="WV127" s="368"/>
      <c r="WW127" s="368"/>
      <c r="WX127" s="368"/>
      <c r="WY127" s="368"/>
      <c r="WZ127" s="368"/>
      <c r="XA127" s="368"/>
      <c r="XB127" s="368"/>
      <c r="XC127" s="368"/>
      <c r="XD127" s="368"/>
      <c r="XE127" s="368"/>
      <c r="XF127" s="368"/>
      <c r="XG127" s="368"/>
      <c r="XH127" s="368"/>
      <c r="XI127" s="368"/>
      <c r="XJ127" s="368"/>
      <c r="XK127" s="368"/>
      <c r="XL127" s="368"/>
      <c r="XM127" s="368"/>
      <c r="XN127" s="368"/>
      <c r="XO127" s="368"/>
      <c r="XP127" s="368"/>
      <c r="XQ127" s="368"/>
      <c r="XR127" s="368"/>
      <c r="XS127" s="368"/>
      <c r="XT127" s="368"/>
      <c r="XU127" s="368"/>
      <c r="XV127" s="368"/>
      <c r="XW127" s="368"/>
      <c r="XX127" s="368"/>
      <c r="XY127" s="368"/>
      <c r="XZ127" s="368"/>
      <c r="YA127" s="368"/>
      <c r="YB127" s="368"/>
      <c r="YC127" s="368"/>
      <c r="YD127" s="368"/>
      <c r="YE127" s="368"/>
      <c r="YF127" s="368"/>
      <c r="YG127" s="368"/>
      <c r="YH127" s="368"/>
      <c r="YI127" s="368"/>
      <c r="YJ127" s="368"/>
      <c r="YK127" s="368"/>
      <c r="YL127" s="368"/>
      <c r="YM127" s="368"/>
      <c r="YN127" s="368"/>
      <c r="YO127" s="368"/>
      <c r="YP127" s="368"/>
      <c r="YQ127" s="368"/>
      <c r="YR127" s="368"/>
      <c r="YS127" s="368"/>
      <c r="YT127" s="368"/>
      <c r="YU127" s="368"/>
      <c r="YV127" s="368"/>
      <c r="YW127" s="368"/>
      <c r="YX127" s="368"/>
      <c r="YY127" s="368"/>
      <c r="YZ127" s="368"/>
      <c r="ZA127" s="368"/>
      <c r="ZB127" s="368"/>
      <c r="ZC127" s="368"/>
      <c r="ZD127" s="368"/>
      <c r="ZE127" s="368"/>
      <c r="ZF127" s="368"/>
      <c r="ZG127" s="368"/>
      <c r="ZH127" s="368"/>
      <c r="ZI127" s="368"/>
      <c r="ZJ127" s="368"/>
      <c r="ZK127" s="368"/>
      <c r="ZL127" s="368"/>
      <c r="ZM127" s="368"/>
      <c r="ZN127" s="368"/>
      <c r="ZO127" s="368"/>
      <c r="ZP127" s="368"/>
      <c r="ZQ127" s="368"/>
      <c r="ZR127" s="368"/>
      <c r="ZS127" s="368"/>
      <c r="ZT127" s="368"/>
      <c r="ZU127" s="368"/>
      <c r="ZV127" s="368"/>
      <c r="ZW127" s="368"/>
      <c r="ZX127" s="368"/>
      <c r="ZY127" s="368"/>
      <c r="ZZ127" s="368"/>
      <c r="AAA127" s="368"/>
      <c r="AAB127" s="368"/>
      <c r="AAC127" s="368"/>
      <c r="AAD127" s="368"/>
      <c r="AAE127" s="368"/>
      <c r="AAF127" s="368"/>
      <c r="AAG127" s="368"/>
      <c r="AAH127" s="368"/>
      <c r="AAI127" s="368"/>
      <c r="AAJ127" s="368"/>
      <c r="AAK127" s="368"/>
      <c r="AAL127" s="368"/>
      <c r="AAM127" s="368"/>
      <c r="AAN127" s="368"/>
      <c r="AAO127" s="368"/>
      <c r="AAP127" s="368"/>
      <c r="AAQ127" s="368"/>
      <c r="AAR127" s="368"/>
      <c r="AAS127" s="368"/>
      <c r="AAT127" s="368"/>
      <c r="AAU127" s="368"/>
      <c r="AAV127" s="368"/>
      <c r="AAW127" s="368"/>
      <c r="AAX127" s="368"/>
      <c r="AAY127" s="368"/>
      <c r="AAZ127" s="368"/>
      <c r="ABA127" s="368"/>
      <c r="ABB127" s="368"/>
      <c r="ABC127" s="368"/>
      <c r="ABD127" s="368"/>
      <c r="ABE127" s="368"/>
      <c r="ABF127" s="368"/>
      <c r="ABG127" s="368"/>
      <c r="ABH127" s="368"/>
      <c r="ABI127" s="368"/>
      <c r="ABJ127" s="368"/>
      <c r="ABK127" s="368"/>
      <c r="ABL127" s="368"/>
      <c r="ABM127" s="368"/>
      <c r="ABN127" s="368"/>
      <c r="ABO127" s="368"/>
      <c r="ABP127" s="368"/>
      <c r="ABQ127" s="368"/>
      <c r="ABR127" s="368"/>
      <c r="ABS127" s="368"/>
      <c r="ABT127" s="368"/>
      <c r="ABU127" s="368"/>
      <c r="ABV127" s="368"/>
      <c r="ABW127" s="368"/>
      <c r="ABX127" s="368"/>
      <c r="ABY127" s="368"/>
      <c r="ABZ127" s="368"/>
      <c r="ACA127" s="368"/>
      <c r="ACB127" s="368"/>
      <c r="ACC127" s="368"/>
      <c r="ACD127" s="368"/>
      <c r="ACE127" s="368"/>
      <c r="ACF127" s="368"/>
      <c r="ACG127" s="368"/>
      <c r="ACH127" s="368"/>
      <c r="ACI127" s="368"/>
      <c r="ACJ127" s="368"/>
      <c r="ACK127" s="368"/>
      <c r="ACL127" s="368"/>
      <c r="ACM127" s="368"/>
      <c r="ACN127" s="368"/>
      <c r="ACO127" s="368"/>
      <c r="ACP127" s="368"/>
      <c r="ACQ127" s="368"/>
      <c r="ACR127" s="368"/>
      <c r="ACS127" s="368"/>
      <c r="ACT127" s="368"/>
      <c r="ACU127" s="368"/>
      <c r="ACV127" s="368"/>
      <c r="ACW127" s="368"/>
      <c r="ACX127" s="368"/>
      <c r="ACY127" s="368"/>
      <c r="ACZ127" s="368"/>
      <c r="ADA127" s="368"/>
      <c r="ADB127" s="368"/>
      <c r="ADC127" s="368"/>
      <c r="ADD127" s="368"/>
      <c r="ADE127" s="368"/>
      <c r="ADF127" s="368"/>
      <c r="ADG127" s="368"/>
      <c r="ADH127" s="368"/>
      <c r="ADI127" s="368"/>
      <c r="ADJ127" s="368"/>
      <c r="ADK127" s="368"/>
      <c r="ADL127" s="368"/>
      <c r="ADM127" s="368"/>
      <c r="ADN127" s="368"/>
      <c r="ADO127" s="368"/>
      <c r="ADP127" s="368"/>
      <c r="ADQ127" s="368"/>
      <c r="ADR127" s="368"/>
      <c r="ADS127" s="368"/>
      <c r="ADT127" s="368"/>
      <c r="ADU127" s="368"/>
      <c r="ADV127" s="368"/>
      <c r="ADW127" s="368"/>
      <c r="ADX127" s="368"/>
      <c r="ADY127" s="368"/>
      <c r="ADZ127" s="368"/>
      <c r="AEA127" s="368"/>
      <c r="AEB127" s="368"/>
      <c r="AEC127" s="368"/>
      <c r="AED127" s="368"/>
      <c r="AEE127" s="368"/>
      <c r="AEF127" s="368"/>
      <c r="AEG127" s="368"/>
      <c r="AEH127" s="368"/>
      <c r="AEI127" s="368"/>
      <c r="AEJ127" s="368"/>
      <c r="AEK127" s="368"/>
      <c r="AEL127" s="368"/>
      <c r="AEM127" s="368"/>
      <c r="AEN127" s="368"/>
      <c r="AEO127" s="368"/>
      <c r="AEP127" s="368"/>
      <c r="AEQ127" s="368"/>
      <c r="AER127" s="368"/>
      <c r="AES127" s="368"/>
      <c r="AET127" s="368"/>
      <c r="AEU127" s="368"/>
      <c r="AEV127" s="368"/>
      <c r="AEW127" s="368"/>
      <c r="AEX127" s="368"/>
      <c r="AEY127" s="368"/>
      <c r="AEZ127" s="368"/>
      <c r="AFA127" s="368"/>
      <c r="AFB127" s="368"/>
      <c r="AFC127" s="368"/>
      <c r="AFD127" s="368"/>
      <c r="AFE127" s="368"/>
      <c r="AFF127" s="368"/>
      <c r="AFG127" s="368"/>
      <c r="AFH127" s="368"/>
      <c r="AFI127" s="368"/>
      <c r="AFJ127" s="368"/>
      <c r="AFK127" s="368"/>
      <c r="AFL127" s="368"/>
      <c r="AFM127" s="368"/>
      <c r="AFN127" s="368"/>
      <c r="AFO127" s="368"/>
      <c r="AFP127" s="368"/>
      <c r="AFQ127" s="368"/>
      <c r="AFR127" s="368"/>
      <c r="AFS127" s="368"/>
      <c r="AFT127" s="368"/>
      <c r="AFU127" s="368"/>
      <c r="AFV127" s="368"/>
      <c r="AFW127" s="368"/>
      <c r="AFX127" s="368"/>
      <c r="AFY127" s="368"/>
      <c r="AFZ127" s="368"/>
      <c r="AGA127" s="368"/>
      <c r="AGB127" s="368"/>
      <c r="AGC127" s="368"/>
      <c r="AGD127" s="368"/>
      <c r="AGE127" s="368"/>
      <c r="AGF127" s="368"/>
      <c r="AGG127" s="368"/>
      <c r="AGH127" s="368"/>
      <c r="AGI127" s="368"/>
      <c r="AGJ127" s="368"/>
      <c r="AGK127" s="368"/>
      <c r="AGL127" s="368"/>
      <c r="AGM127" s="368"/>
      <c r="AGN127" s="368"/>
      <c r="AGO127" s="368"/>
      <c r="AGP127" s="368"/>
      <c r="AGQ127" s="368"/>
      <c r="AGR127" s="368"/>
      <c r="AGS127" s="368"/>
      <c r="AGT127" s="368"/>
      <c r="AGU127" s="368"/>
      <c r="AGV127" s="368"/>
      <c r="AGW127" s="368"/>
      <c r="AGX127" s="368"/>
      <c r="AGY127" s="368"/>
      <c r="AGZ127" s="368"/>
      <c r="AHA127" s="368"/>
      <c r="AHB127" s="368"/>
      <c r="AHC127" s="368"/>
      <c r="AHD127" s="368"/>
      <c r="AHE127" s="368"/>
      <c r="AHF127" s="368"/>
      <c r="AHG127" s="368"/>
      <c r="AHH127" s="368"/>
      <c r="AHI127" s="368"/>
      <c r="AHJ127" s="368"/>
      <c r="AHK127" s="368"/>
      <c r="AHL127" s="368"/>
      <c r="AHM127" s="368"/>
      <c r="AHN127" s="368"/>
      <c r="AHO127" s="368"/>
      <c r="AHP127" s="368"/>
      <c r="AHQ127" s="368"/>
      <c r="AHR127" s="368"/>
      <c r="AHS127" s="368"/>
      <c r="AHT127" s="368"/>
      <c r="AHU127" s="368"/>
      <c r="AHV127" s="368"/>
      <c r="AHW127" s="368"/>
      <c r="AHX127" s="368"/>
      <c r="AHY127" s="368"/>
      <c r="AHZ127" s="368"/>
      <c r="AIA127" s="368"/>
      <c r="AIB127" s="368"/>
      <c r="AIC127" s="368"/>
      <c r="AID127" s="368"/>
      <c r="AIE127" s="368"/>
      <c r="AIF127" s="368"/>
      <c r="AIG127" s="368"/>
      <c r="AIH127" s="368"/>
      <c r="AII127" s="368"/>
      <c r="AIJ127" s="368"/>
      <c r="AIK127" s="368"/>
      <c r="AIL127" s="368"/>
      <c r="AIM127" s="368"/>
      <c r="AIN127" s="368"/>
      <c r="AIO127" s="368"/>
      <c r="AIP127" s="368"/>
      <c r="AIQ127" s="368"/>
      <c r="AIR127" s="368"/>
      <c r="AIS127" s="368"/>
      <c r="AIT127" s="368"/>
      <c r="AIU127" s="368"/>
      <c r="AIV127" s="368"/>
      <c r="AIW127" s="368"/>
      <c r="AIX127" s="368"/>
      <c r="AIY127" s="368"/>
      <c r="AIZ127" s="368"/>
      <c r="AJA127" s="368"/>
      <c r="AJB127" s="368"/>
      <c r="AJC127" s="368"/>
      <c r="AJD127" s="368"/>
      <c r="AJE127" s="368"/>
      <c r="AJF127" s="368"/>
      <c r="AJG127" s="368"/>
      <c r="AJH127" s="368"/>
      <c r="AJI127" s="368"/>
      <c r="AJJ127" s="368"/>
      <c r="AJK127" s="368"/>
      <c r="AJL127" s="368"/>
      <c r="AJM127" s="368"/>
      <c r="AJN127" s="368"/>
      <c r="AJO127" s="368"/>
      <c r="AJP127" s="368"/>
      <c r="AJQ127" s="368"/>
      <c r="AJR127" s="368"/>
      <c r="AJS127" s="368"/>
      <c r="AJT127" s="368"/>
      <c r="AJU127" s="368"/>
      <c r="AJV127" s="368"/>
      <c r="AJW127" s="368"/>
      <c r="AJX127" s="368"/>
      <c r="AJY127" s="368"/>
      <c r="AJZ127" s="368"/>
      <c r="AKA127" s="368"/>
      <c r="AKB127" s="368"/>
      <c r="AKC127" s="368"/>
      <c r="AKD127" s="368"/>
      <c r="AKE127" s="368"/>
      <c r="AKF127" s="368"/>
      <c r="AKG127" s="368"/>
      <c r="AKH127" s="368"/>
      <c r="AKI127" s="368"/>
      <c r="AKJ127" s="368"/>
      <c r="AKK127" s="368"/>
      <c r="AKL127" s="368"/>
      <c r="AKM127" s="368"/>
      <c r="AKN127" s="368"/>
    </row>
    <row r="128" spans="1:976" s="375" customFormat="1" ht="22.5" customHeight="1" x14ac:dyDescent="0.2">
      <c r="A128" s="428" t="s">
        <v>262</v>
      </c>
      <c r="B128" s="428"/>
      <c r="C128" s="428" t="s">
        <v>221</v>
      </c>
      <c r="D128" s="428" t="s">
        <v>222</v>
      </c>
      <c r="E128" s="429">
        <v>412907</v>
      </c>
      <c r="F128" s="429">
        <v>1674</v>
      </c>
      <c r="G128" s="429">
        <v>259</v>
      </c>
      <c r="H128" s="429">
        <v>0</v>
      </c>
      <c r="I128" s="430">
        <v>45877</v>
      </c>
      <c r="J128" s="428" t="s">
        <v>395</v>
      </c>
      <c r="K128" s="428" t="s">
        <v>636</v>
      </c>
      <c r="L128" s="431">
        <v>149.54</v>
      </c>
      <c r="M128" s="431">
        <v>10.3</v>
      </c>
      <c r="N128" s="441">
        <v>159.84</v>
      </c>
      <c r="O128" s="428"/>
      <c r="P128" s="432">
        <v>45888</v>
      </c>
      <c r="Q128" s="431">
        <v>159.84</v>
      </c>
      <c r="R128" s="428" t="s">
        <v>637</v>
      </c>
      <c r="S128" s="431">
        <v>0</v>
      </c>
      <c r="T128" s="431">
        <v>0</v>
      </c>
      <c r="U128" s="431">
        <v>0</v>
      </c>
      <c r="V128" s="431">
        <v>0</v>
      </c>
      <c r="W128" s="428"/>
      <c r="X128" s="428" t="s">
        <v>293</v>
      </c>
      <c r="Y128" s="428" t="s">
        <v>294</v>
      </c>
      <c r="Z128" s="428" t="s">
        <v>42</v>
      </c>
      <c r="AA128" s="428" t="s">
        <v>228</v>
      </c>
      <c r="AB128" s="428" t="s">
        <v>235</v>
      </c>
      <c r="AC128" s="428" t="s">
        <v>236</v>
      </c>
      <c r="AD128" s="428" t="s">
        <v>231</v>
      </c>
      <c r="AE128" s="428" t="s">
        <v>232</v>
      </c>
      <c r="AF128" s="428" t="s">
        <v>231</v>
      </c>
      <c r="AG128" s="428" t="s">
        <v>232</v>
      </c>
      <c r="AH128" s="428"/>
      <c r="AI128" s="428"/>
      <c r="AJ128" s="428"/>
      <c r="AK128" s="428" t="s">
        <v>638</v>
      </c>
      <c r="AL128" s="429">
        <v>1</v>
      </c>
      <c r="AM128" s="429">
        <v>0</v>
      </c>
      <c r="AN128" s="430">
        <v>45888</v>
      </c>
      <c r="AO128" s="430">
        <v>45883</v>
      </c>
      <c r="AP128" s="431">
        <v>159.84</v>
      </c>
      <c r="AQ128" s="430">
        <v>45882</v>
      </c>
      <c r="AR128" s="368"/>
      <c r="AS128" s="368"/>
      <c r="AT128" s="368"/>
      <c r="AU128" s="368"/>
      <c r="AV128" s="368"/>
      <c r="AW128" s="368"/>
      <c r="AX128" s="368"/>
      <c r="AY128" s="368"/>
      <c r="AZ128" s="368"/>
      <c r="BA128" s="368"/>
      <c r="BB128" s="368"/>
      <c r="BC128" s="368"/>
      <c r="BD128" s="368"/>
      <c r="BE128" s="368"/>
      <c r="BF128" s="368"/>
      <c r="BG128" s="368"/>
      <c r="BH128" s="368"/>
      <c r="BI128" s="368"/>
      <c r="BJ128" s="368"/>
      <c r="BK128" s="368"/>
      <c r="BL128" s="368"/>
      <c r="BM128" s="368"/>
      <c r="BN128" s="368"/>
      <c r="BO128" s="368"/>
      <c r="BP128" s="368"/>
      <c r="BQ128" s="368"/>
      <c r="BR128" s="368"/>
      <c r="BS128" s="368"/>
      <c r="BT128" s="368"/>
      <c r="BU128" s="368"/>
      <c r="BV128" s="368"/>
      <c r="BW128" s="368"/>
      <c r="BX128" s="368"/>
      <c r="BY128" s="368"/>
      <c r="BZ128" s="368"/>
      <c r="CA128" s="368"/>
      <c r="CB128" s="368"/>
      <c r="CC128" s="368"/>
      <c r="CD128" s="368"/>
      <c r="CE128" s="368"/>
      <c r="CF128" s="368"/>
      <c r="CG128" s="368"/>
      <c r="CH128" s="368"/>
      <c r="CI128" s="368"/>
      <c r="CJ128" s="368"/>
      <c r="CK128" s="368"/>
      <c r="CL128" s="368"/>
      <c r="CM128" s="368"/>
      <c r="CN128" s="368"/>
      <c r="CO128" s="368"/>
      <c r="CP128" s="368"/>
      <c r="CQ128" s="368"/>
      <c r="CR128" s="368"/>
      <c r="CS128" s="368"/>
      <c r="CT128" s="368"/>
      <c r="CU128" s="368"/>
      <c r="CV128" s="368"/>
      <c r="CW128" s="368"/>
      <c r="CX128" s="368"/>
      <c r="CY128" s="368"/>
      <c r="CZ128" s="368"/>
      <c r="DA128" s="368"/>
      <c r="DB128" s="368"/>
      <c r="DC128" s="368"/>
      <c r="DD128" s="368"/>
      <c r="DE128" s="368"/>
      <c r="DF128" s="368"/>
      <c r="DG128" s="368"/>
      <c r="DH128" s="368"/>
      <c r="DI128" s="368"/>
      <c r="DJ128" s="368"/>
      <c r="DK128" s="368"/>
      <c r="DL128" s="368"/>
      <c r="DM128" s="368"/>
      <c r="DN128" s="368"/>
      <c r="DO128" s="368"/>
      <c r="DP128" s="368"/>
      <c r="DQ128" s="368"/>
      <c r="DR128" s="368"/>
      <c r="DS128" s="368"/>
      <c r="DT128" s="368"/>
      <c r="DU128" s="368"/>
      <c r="DV128" s="368"/>
      <c r="DW128" s="368"/>
      <c r="DX128" s="368"/>
      <c r="DY128" s="368"/>
      <c r="DZ128" s="368"/>
      <c r="EA128" s="368"/>
      <c r="EB128" s="368"/>
      <c r="EC128" s="368"/>
      <c r="ED128" s="368"/>
      <c r="EE128" s="368"/>
      <c r="EF128" s="368"/>
      <c r="EG128" s="368"/>
      <c r="EH128" s="368"/>
      <c r="EI128" s="368"/>
      <c r="EJ128" s="368"/>
      <c r="EK128" s="368"/>
      <c r="EL128" s="368"/>
      <c r="EM128" s="368"/>
      <c r="EN128" s="368"/>
      <c r="EO128" s="368"/>
      <c r="EP128" s="368"/>
      <c r="EQ128" s="368"/>
      <c r="ER128" s="368"/>
      <c r="ES128" s="368"/>
      <c r="ET128" s="368"/>
      <c r="EU128" s="368"/>
      <c r="EV128" s="368"/>
      <c r="EW128" s="368"/>
      <c r="EX128" s="368"/>
      <c r="EY128" s="368"/>
      <c r="EZ128" s="368"/>
      <c r="FA128" s="368"/>
      <c r="FB128" s="368"/>
      <c r="FC128" s="368"/>
      <c r="FD128" s="368"/>
      <c r="FE128" s="368"/>
      <c r="FF128" s="368"/>
      <c r="FG128" s="368"/>
      <c r="FH128" s="368"/>
      <c r="FI128" s="368"/>
      <c r="FJ128" s="368"/>
      <c r="FK128" s="368"/>
      <c r="FL128" s="368"/>
      <c r="FM128" s="368"/>
      <c r="FN128" s="368"/>
      <c r="FO128" s="368"/>
      <c r="FP128" s="368"/>
      <c r="FQ128" s="368"/>
      <c r="FR128" s="368"/>
      <c r="FS128" s="368"/>
      <c r="FT128" s="368"/>
      <c r="FU128" s="368"/>
      <c r="FV128" s="368"/>
      <c r="FW128" s="368"/>
      <c r="FX128" s="368"/>
      <c r="FY128" s="368"/>
      <c r="FZ128" s="368"/>
      <c r="GA128" s="368"/>
      <c r="GB128" s="368"/>
      <c r="GC128" s="368"/>
      <c r="GD128" s="368"/>
      <c r="GE128" s="368"/>
      <c r="GF128" s="368"/>
      <c r="GG128" s="368"/>
      <c r="GH128" s="368"/>
      <c r="GI128" s="368"/>
      <c r="GJ128" s="368"/>
      <c r="GK128" s="368"/>
      <c r="GL128" s="368"/>
      <c r="GM128" s="368"/>
      <c r="GN128" s="368"/>
      <c r="GO128" s="368"/>
      <c r="GP128" s="368"/>
      <c r="GQ128" s="368"/>
      <c r="GR128" s="368"/>
      <c r="GS128" s="368"/>
      <c r="GT128" s="368"/>
      <c r="GU128" s="368"/>
      <c r="GV128" s="368"/>
      <c r="GW128" s="368"/>
      <c r="GX128" s="368"/>
      <c r="GY128" s="368"/>
      <c r="GZ128" s="368"/>
      <c r="HA128" s="368"/>
      <c r="HB128" s="368"/>
      <c r="HC128" s="368"/>
      <c r="HD128" s="368"/>
      <c r="HE128" s="368"/>
      <c r="HF128" s="368"/>
      <c r="HG128" s="368"/>
      <c r="HH128" s="368"/>
      <c r="HI128" s="368"/>
      <c r="HJ128" s="368"/>
      <c r="HK128" s="368"/>
      <c r="HL128" s="368"/>
      <c r="HM128" s="368"/>
      <c r="HN128" s="368"/>
      <c r="HO128" s="368"/>
      <c r="HP128" s="368"/>
      <c r="HQ128" s="368"/>
      <c r="HR128" s="368"/>
      <c r="HS128" s="368"/>
      <c r="HT128" s="368"/>
      <c r="HU128" s="368"/>
      <c r="HV128" s="368"/>
      <c r="HW128" s="368"/>
      <c r="HX128" s="368"/>
      <c r="HY128" s="368"/>
      <c r="HZ128" s="368"/>
      <c r="IA128" s="368"/>
      <c r="IB128" s="368"/>
      <c r="IC128" s="368"/>
      <c r="ID128" s="368"/>
      <c r="IE128" s="368"/>
      <c r="IF128" s="368"/>
      <c r="IG128" s="368"/>
      <c r="IH128" s="368"/>
      <c r="II128" s="368"/>
      <c r="IJ128" s="368"/>
      <c r="IK128" s="368"/>
      <c r="IL128" s="368"/>
      <c r="IM128" s="368"/>
      <c r="IN128" s="368"/>
      <c r="IO128" s="368"/>
      <c r="IP128" s="368"/>
      <c r="IQ128" s="368"/>
      <c r="IR128" s="368"/>
      <c r="IS128" s="368"/>
      <c r="IT128" s="368"/>
      <c r="IU128" s="368"/>
      <c r="IV128" s="368"/>
      <c r="IW128" s="368"/>
      <c r="IX128" s="368"/>
      <c r="IY128" s="368"/>
      <c r="IZ128" s="368"/>
      <c r="JA128" s="368"/>
      <c r="JB128" s="368"/>
      <c r="JC128" s="368"/>
      <c r="JD128" s="368"/>
      <c r="JE128" s="368"/>
      <c r="JF128" s="368"/>
      <c r="JG128" s="368"/>
      <c r="JH128" s="368"/>
      <c r="JI128" s="368"/>
      <c r="JJ128" s="368"/>
      <c r="JK128" s="368"/>
      <c r="JL128" s="368"/>
      <c r="JM128" s="368"/>
      <c r="JN128" s="368"/>
      <c r="JO128" s="368"/>
      <c r="JP128" s="368"/>
      <c r="JQ128" s="368"/>
      <c r="JR128" s="368"/>
      <c r="JS128" s="368"/>
      <c r="JT128" s="368"/>
      <c r="JU128" s="368"/>
      <c r="JV128" s="368"/>
      <c r="JW128" s="368"/>
      <c r="JX128" s="368"/>
      <c r="JY128" s="368"/>
      <c r="JZ128" s="368"/>
      <c r="KA128" s="368"/>
      <c r="KB128" s="368"/>
      <c r="KC128" s="368"/>
      <c r="KD128" s="368"/>
      <c r="KE128" s="368"/>
      <c r="KF128" s="368"/>
      <c r="KG128" s="368"/>
      <c r="KH128" s="368"/>
      <c r="KI128" s="368"/>
      <c r="KJ128" s="368"/>
      <c r="KK128" s="368"/>
      <c r="KL128" s="368"/>
      <c r="KM128" s="368"/>
      <c r="KN128" s="368"/>
      <c r="KO128" s="368"/>
      <c r="KP128" s="368"/>
      <c r="KQ128" s="368"/>
      <c r="KR128" s="368"/>
      <c r="KS128" s="368"/>
      <c r="KT128" s="368"/>
      <c r="KU128" s="368"/>
      <c r="KV128" s="368"/>
      <c r="KW128" s="368"/>
      <c r="KX128" s="368"/>
      <c r="KY128" s="368"/>
      <c r="KZ128" s="368"/>
      <c r="LA128" s="368"/>
      <c r="LB128" s="368"/>
      <c r="LC128" s="368"/>
      <c r="LD128" s="368"/>
      <c r="LE128" s="368"/>
      <c r="LF128" s="368"/>
      <c r="LG128" s="368"/>
      <c r="LH128" s="368"/>
      <c r="LI128" s="368"/>
      <c r="LJ128" s="368"/>
      <c r="LK128" s="368"/>
      <c r="LL128" s="368"/>
      <c r="LM128" s="368"/>
      <c r="LN128" s="368"/>
      <c r="LO128" s="368"/>
      <c r="LP128" s="368"/>
      <c r="LQ128" s="368"/>
      <c r="LR128" s="368"/>
      <c r="LS128" s="368"/>
      <c r="LT128" s="368"/>
      <c r="LU128" s="368"/>
      <c r="LV128" s="368"/>
      <c r="LW128" s="368"/>
      <c r="LX128" s="368"/>
      <c r="LY128" s="368"/>
      <c r="LZ128" s="368"/>
      <c r="MA128" s="368"/>
      <c r="MB128" s="368"/>
      <c r="MC128" s="368"/>
      <c r="MD128" s="368"/>
      <c r="ME128" s="368"/>
      <c r="MF128" s="368"/>
      <c r="MG128" s="368"/>
      <c r="MH128" s="368"/>
      <c r="MI128" s="368"/>
      <c r="MJ128" s="368"/>
      <c r="MK128" s="368"/>
      <c r="ML128" s="368"/>
      <c r="MM128" s="368"/>
      <c r="MN128" s="368"/>
      <c r="MO128" s="368"/>
      <c r="MP128" s="368"/>
      <c r="MQ128" s="368"/>
      <c r="MR128" s="368"/>
      <c r="MS128" s="368"/>
      <c r="MT128" s="368"/>
      <c r="MU128" s="368"/>
      <c r="MV128" s="368"/>
      <c r="MW128" s="368"/>
      <c r="MX128" s="368"/>
      <c r="MY128" s="368"/>
      <c r="MZ128" s="368"/>
      <c r="NA128" s="368"/>
      <c r="NB128" s="368"/>
      <c r="NC128" s="368"/>
      <c r="ND128" s="368"/>
      <c r="NE128" s="368"/>
      <c r="NF128" s="368"/>
      <c r="NG128" s="368"/>
      <c r="NH128" s="368"/>
      <c r="NI128" s="368"/>
      <c r="NJ128" s="368"/>
      <c r="NK128" s="368"/>
      <c r="NL128" s="368"/>
      <c r="NM128" s="368"/>
      <c r="NN128" s="368"/>
      <c r="NO128" s="368"/>
      <c r="NP128" s="368"/>
      <c r="NQ128" s="368"/>
      <c r="NR128" s="368"/>
      <c r="NS128" s="368"/>
      <c r="NT128" s="368"/>
      <c r="NU128" s="368"/>
      <c r="NV128" s="368"/>
      <c r="NW128" s="368"/>
      <c r="NX128" s="368"/>
      <c r="NY128" s="368"/>
      <c r="NZ128" s="368"/>
      <c r="OA128" s="368"/>
      <c r="OB128" s="368"/>
      <c r="OC128" s="368"/>
      <c r="OD128" s="368"/>
      <c r="OE128" s="368"/>
      <c r="OF128" s="368"/>
      <c r="OG128" s="368"/>
      <c r="OH128" s="368"/>
      <c r="OI128" s="368"/>
      <c r="OJ128" s="368"/>
      <c r="OK128" s="368"/>
      <c r="OL128" s="368"/>
      <c r="OM128" s="368"/>
      <c r="ON128" s="368"/>
      <c r="OO128" s="368"/>
      <c r="OP128" s="368"/>
      <c r="OQ128" s="368"/>
      <c r="OR128" s="368"/>
      <c r="OS128" s="368"/>
      <c r="OT128" s="368"/>
      <c r="OU128" s="368"/>
      <c r="OV128" s="368"/>
      <c r="OW128" s="368"/>
      <c r="OX128" s="368"/>
      <c r="OY128" s="368"/>
      <c r="OZ128" s="368"/>
      <c r="PA128" s="368"/>
      <c r="PB128" s="368"/>
      <c r="PC128" s="368"/>
      <c r="PD128" s="368"/>
      <c r="PE128" s="368"/>
      <c r="PF128" s="368"/>
      <c r="PG128" s="368"/>
      <c r="PH128" s="368"/>
      <c r="PI128" s="368"/>
      <c r="PJ128" s="368"/>
      <c r="PK128" s="368"/>
      <c r="PL128" s="368"/>
      <c r="PM128" s="368"/>
      <c r="PN128" s="368"/>
      <c r="PO128" s="368"/>
      <c r="PP128" s="368"/>
      <c r="PQ128" s="368"/>
      <c r="PR128" s="368"/>
      <c r="PS128" s="368"/>
      <c r="PT128" s="368"/>
      <c r="PU128" s="368"/>
      <c r="PV128" s="368"/>
      <c r="PW128" s="368"/>
      <c r="PX128" s="368"/>
      <c r="PY128" s="368"/>
      <c r="PZ128" s="368"/>
      <c r="QA128" s="368"/>
      <c r="QB128" s="368"/>
      <c r="QC128" s="368"/>
      <c r="QD128" s="368"/>
      <c r="QE128" s="368"/>
      <c r="QF128" s="368"/>
      <c r="QG128" s="368"/>
      <c r="QH128" s="368"/>
      <c r="QI128" s="368"/>
      <c r="QJ128" s="368"/>
      <c r="QK128" s="368"/>
      <c r="QL128" s="368"/>
      <c r="QM128" s="368"/>
      <c r="QN128" s="368"/>
      <c r="QO128" s="368"/>
      <c r="QP128" s="368"/>
      <c r="QQ128" s="368"/>
      <c r="QR128" s="368"/>
      <c r="QS128" s="368"/>
      <c r="QT128" s="368"/>
      <c r="QU128" s="368"/>
      <c r="QV128" s="368"/>
      <c r="QW128" s="368"/>
      <c r="QX128" s="368"/>
      <c r="QY128" s="368"/>
      <c r="QZ128" s="368"/>
      <c r="RA128" s="368"/>
      <c r="RB128" s="368"/>
      <c r="RC128" s="368"/>
      <c r="RD128" s="368"/>
      <c r="RE128" s="368"/>
      <c r="RF128" s="368"/>
      <c r="RG128" s="368"/>
      <c r="RH128" s="368"/>
      <c r="RI128" s="368"/>
      <c r="RJ128" s="368"/>
      <c r="RK128" s="368"/>
      <c r="RL128" s="368"/>
      <c r="RM128" s="368"/>
      <c r="RN128" s="368"/>
      <c r="RO128" s="368"/>
      <c r="RP128" s="368"/>
      <c r="RQ128" s="368"/>
      <c r="RR128" s="368"/>
      <c r="RS128" s="368"/>
      <c r="RT128" s="368"/>
      <c r="RU128" s="368"/>
      <c r="RV128" s="368"/>
      <c r="RW128" s="368"/>
      <c r="RX128" s="368"/>
      <c r="RY128" s="368"/>
      <c r="RZ128" s="368"/>
      <c r="SA128" s="368"/>
      <c r="SB128" s="368"/>
      <c r="SC128" s="368"/>
      <c r="SD128" s="368"/>
      <c r="SE128" s="368"/>
      <c r="SF128" s="368"/>
      <c r="SG128" s="368"/>
      <c r="SH128" s="368"/>
      <c r="SI128" s="368"/>
      <c r="SJ128" s="368"/>
      <c r="SK128" s="368"/>
      <c r="SL128" s="368"/>
      <c r="SM128" s="368"/>
      <c r="SN128" s="368"/>
      <c r="SO128" s="368"/>
      <c r="SP128" s="368"/>
      <c r="SQ128" s="368"/>
      <c r="SR128" s="368"/>
      <c r="SS128" s="368"/>
      <c r="ST128" s="368"/>
      <c r="SU128" s="368"/>
      <c r="SV128" s="368"/>
      <c r="SW128" s="368"/>
      <c r="SX128" s="368"/>
      <c r="SY128" s="368"/>
      <c r="SZ128" s="368"/>
      <c r="TA128" s="368"/>
      <c r="TB128" s="368"/>
      <c r="TC128" s="368"/>
      <c r="TD128" s="368"/>
      <c r="TE128" s="368"/>
      <c r="TF128" s="368"/>
      <c r="TG128" s="368"/>
      <c r="TH128" s="368"/>
      <c r="TI128" s="368"/>
      <c r="TJ128" s="368"/>
      <c r="TK128" s="368"/>
      <c r="TL128" s="368"/>
      <c r="TM128" s="368"/>
      <c r="TN128" s="368"/>
      <c r="TO128" s="368"/>
      <c r="TP128" s="368"/>
      <c r="TQ128" s="368"/>
      <c r="TR128" s="368"/>
      <c r="TS128" s="368"/>
      <c r="TT128" s="368"/>
      <c r="TU128" s="368"/>
      <c r="TV128" s="368"/>
      <c r="TW128" s="368"/>
      <c r="TX128" s="368"/>
      <c r="TY128" s="368"/>
      <c r="TZ128" s="368"/>
      <c r="UA128" s="368"/>
      <c r="UB128" s="368"/>
      <c r="UC128" s="368"/>
      <c r="UD128" s="368"/>
      <c r="UE128" s="368"/>
      <c r="UF128" s="368"/>
      <c r="UG128" s="368"/>
      <c r="UH128" s="368"/>
      <c r="UI128" s="368"/>
      <c r="UJ128" s="368"/>
      <c r="UK128" s="368"/>
      <c r="UL128" s="368"/>
      <c r="UM128" s="368"/>
      <c r="UN128" s="368"/>
      <c r="UO128" s="368"/>
      <c r="UP128" s="368"/>
      <c r="UQ128" s="368"/>
      <c r="UR128" s="368"/>
      <c r="US128" s="368"/>
      <c r="UT128" s="368"/>
      <c r="UU128" s="368"/>
      <c r="UV128" s="368"/>
      <c r="UW128" s="368"/>
      <c r="UX128" s="368"/>
      <c r="UY128" s="368"/>
      <c r="UZ128" s="368"/>
      <c r="VA128" s="368"/>
      <c r="VB128" s="368"/>
      <c r="VC128" s="368"/>
      <c r="VD128" s="368"/>
      <c r="VE128" s="368"/>
      <c r="VF128" s="368"/>
      <c r="VG128" s="368"/>
      <c r="VH128" s="368"/>
      <c r="VI128" s="368"/>
      <c r="VJ128" s="368"/>
      <c r="VK128" s="368"/>
      <c r="VL128" s="368"/>
      <c r="VM128" s="368"/>
      <c r="VN128" s="368"/>
      <c r="VO128" s="368"/>
      <c r="VP128" s="368"/>
      <c r="VQ128" s="368"/>
      <c r="VR128" s="368"/>
      <c r="VS128" s="368"/>
      <c r="VT128" s="368"/>
      <c r="VU128" s="368"/>
      <c r="VV128" s="368"/>
      <c r="VW128" s="368"/>
      <c r="VX128" s="368"/>
      <c r="VY128" s="368"/>
      <c r="VZ128" s="368"/>
      <c r="WA128" s="368"/>
      <c r="WB128" s="368"/>
      <c r="WC128" s="368"/>
      <c r="WD128" s="368"/>
      <c r="WE128" s="368"/>
      <c r="WF128" s="368"/>
      <c r="WG128" s="368"/>
      <c r="WH128" s="368"/>
      <c r="WI128" s="368"/>
      <c r="WJ128" s="368"/>
      <c r="WK128" s="368"/>
      <c r="WL128" s="368"/>
      <c r="WM128" s="368"/>
      <c r="WN128" s="368"/>
      <c r="WO128" s="368"/>
      <c r="WP128" s="368"/>
      <c r="WQ128" s="368"/>
      <c r="WR128" s="368"/>
      <c r="WS128" s="368"/>
      <c r="WT128" s="368"/>
      <c r="WU128" s="368"/>
      <c r="WV128" s="368"/>
      <c r="WW128" s="368"/>
      <c r="WX128" s="368"/>
      <c r="WY128" s="368"/>
      <c r="WZ128" s="368"/>
      <c r="XA128" s="368"/>
      <c r="XB128" s="368"/>
      <c r="XC128" s="368"/>
      <c r="XD128" s="368"/>
      <c r="XE128" s="368"/>
      <c r="XF128" s="368"/>
      <c r="XG128" s="368"/>
      <c r="XH128" s="368"/>
      <c r="XI128" s="368"/>
      <c r="XJ128" s="368"/>
      <c r="XK128" s="368"/>
      <c r="XL128" s="368"/>
      <c r="XM128" s="368"/>
      <c r="XN128" s="368"/>
      <c r="XO128" s="368"/>
      <c r="XP128" s="368"/>
      <c r="XQ128" s="368"/>
      <c r="XR128" s="368"/>
      <c r="XS128" s="368"/>
      <c r="XT128" s="368"/>
      <c r="XU128" s="368"/>
      <c r="XV128" s="368"/>
      <c r="XW128" s="368"/>
      <c r="XX128" s="368"/>
      <c r="XY128" s="368"/>
      <c r="XZ128" s="368"/>
      <c r="YA128" s="368"/>
      <c r="YB128" s="368"/>
      <c r="YC128" s="368"/>
      <c r="YD128" s="368"/>
      <c r="YE128" s="368"/>
      <c r="YF128" s="368"/>
      <c r="YG128" s="368"/>
      <c r="YH128" s="368"/>
      <c r="YI128" s="368"/>
      <c r="YJ128" s="368"/>
      <c r="YK128" s="368"/>
      <c r="YL128" s="368"/>
      <c r="YM128" s="368"/>
      <c r="YN128" s="368"/>
      <c r="YO128" s="368"/>
      <c r="YP128" s="368"/>
      <c r="YQ128" s="368"/>
      <c r="YR128" s="368"/>
      <c r="YS128" s="368"/>
      <c r="YT128" s="368"/>
      <c r="YU128" s="368"/>
      <c r="YV128" s="368"/>
      <c r="YW128" s="368"/>
      <c r="YX128" s="368"/>
      <c r="YY128" s="368"/>
      <c r="YZ128" s="368"/>
      <c r="ZA128" s="368"/>
      <c r="ZB128" s="368"/>
      <c r="ZC128" s="368"/>
      <c r="ZD128" s="368"/>
      <c r="ZE128" s="368"/>
      <c r="ZF128" s="368"/>
      <c r="ZG128" s="368"/>
      <c r="ZH128" s="368"/>
      <c r="ZI128" s="368"/>
      <c r="ZJ128" s="368"/>
      <c r="ZK128" s="368"/>
      <c r="ZL128" s="368"/>
      <c r="ZM128" s="368"/>
      <c r="ZN128" s="368"/>
      <c r="ZO128" s="368"/>
      <c r="ZP128" s="368"/>
      <c r="ZQ128" s="368"/>
      <c r="ZR128" s="368"/>
      <c r="ZS128" s="368"/>
      <c r="ZT128" s="368"/>
      <c r="ZU128" s="368"/>
      <c r="ZV128" s="368"/>
      <c r="ZW128" s="368"/>
      <c r="ZX128" s="368"/>
      <c r="ZY128" s="368"/>
      <c r="ZZ128" s="368"/>
      <c r="AAA128" s="368"/>
      <c r="AAB128" s="368"/>
      <c r="AAC128" s="368"/>
      <c r="AAD128" s="368"/>
      <c r="AAE128" s="368"/>
      <c r="AAF128" s="368"/>
      <c r="AAG128" s="368"/>
      <c r="AAH128" s="368"/>
      <c r="AAI128" s="368"/>
      <c r="AAJ128" s="368"/>
      <c r="AAK128" s="368"/>
      <c r="AAL128" s="368"/>
      <c r="AAM128" s="368"/>
      <c r="AAN128" s="368"/>
      <c r="AAO128" s="368"/>
      <c r="AAP128" s="368"/>
      <c r="AAQ128" s="368"/>
      <c r="AAR128" s="368"/>
      <c r="AAS128" s="368"/>
      <c r="AAT128" s="368"/>
      <c r="AAU128" s="368"/>
      <c r="AAV128" s="368"/>
      <c r="AAW128" s="368"/>
      <c r="AAX128" s="368"/>
      <c r="AAY128" s="368"/>
      <c r="AAZ128" s="368"/>
      <c r="ABA128" s="368"/>
      <c r="ABB128" s="368"/>
      <c r="ABC128" s="368"/>
      <c r="ABD128" s="368"/>
      <c r="ABE128" s="368"/>
      <c r="ABF128" s="368"/>
      <c r="ABG128" s="368"/>
      <c r="ABH128" s="368"/>
      <c r="ABI128" s="368"/>
      <c r="ABJ128" s="368"/>
      <c r="ABK128" s="368"/>
      <c r="ABL128" s="368"/>
      <c r="ABM128" s="368"/>
      <c r="ABN128" s="368"/>
      <c r="ABO128" s="368"/>
      <c r="ABP128" s="368"/>
      <c r="ABQ128" s="368"/>
      <c r="ABR128" s="368"/>
      <c r="ABS128" s="368"/>
      <c r="ABT128" s="368"/>
      <c r="ABU128" s="368"/>
      <c r="ABV128" s="368"/>
      <c r="ABW128" s="368"/>
      <c r="ABX128" s="368"/>
      <c r="ABY128" s="368"/>
      <c r="ABZ128" s="368"/>
      <c r="ACA128" s="368"/>
      <c r="ACB128" s="368"/>
      <c r="ACC128" s="368"/>
      <c r="ACD128" s="368"/>
      <c r="ACE128" s="368"/>
      <c r="ACF128" s="368"/>
      <c r="ACG128" s="368"/>
      <c r="ACH128" s="368"/>
      <c r="ACI128" s="368"/>
      <c r="ACJ128" s="368"/>
      <c r="ACK128" s="368"/>
      <c r="ACL128" s="368"/>
      <c r="ACM128" s="368"/>
      <c r="ACN128" s="368"/>
      <c r="ACO128" s="368"/>
      <c r="ACP128" s="368"/>
      <c r="ACQ128" s="368"/>
      <c r="ACR128" s="368"/>
      <c r="ACS128" s="368"/>
      <c r="ACT128" s="368"/>
      <c r="ACU128" s="368"/>
      <c r="ACV128" s="368"/>
      <c r="ACW128" s="368"/>
      <c r="ACX128" s="368"/>
      <c r="ACY128" s="368"/>
      <c r="ACZ128" s="368"/>
      <c r="ADA128" s="368"/>
      <c r="ADB128" s="368"/>
      <c r="ADC128" s="368"/>
      <c r="ADD128" s="368"/>
      <c r="ADE128" s="368"/>
      <c r="ADF128" s="368"/>
      <c r="ADG128" s="368"/>
      <c r="ADH128" s="368"/>
      <c r="ADI128" s="368"/>
      <c r="ADJ128" s="368"/>
      <c r="ADK128" s="368"/>
      <c r="ADL128" s="368"/>
      <c r="ADM128" s="368"/>
      <c r="ADN128" s="368"/>
      <c r="ADO128" s="368"/>
      <c r="ADP128" s="368"/>
      <c r="ADQ128" s="368"/>
      <c r="ADR128" s="368"/>
      <c r="ADS128" s="368"/>
      <c r="ADT128" s="368"/>
      <c r="ADU128" s="368"/>
      <c r="ADV128" s="368"/>
      <c r="ADW128" s="368"/>
      <c r="ADX128" s="368"/>
      <c r="ADY128" s="368"/>
      <c r="ADZ128" s="368"/>
      <c r="AEA128" s="368"/>
      <c r="AEB128" s="368"/>
      <c r="AEC128" s="368"/>
      <c r="AED128" s="368"/>
      <c r="AEE128" s="368"/>
      <c r="AEF128" s="368"/>
      <c r="AEG128" s="368"/>
      <c r="AEH128" s="368"/>
      <c r="AEI128" s="368"/>
      <c r="AEJ128" s="368"/>
      <c r="AEK128" s="368"/>
      <c r="AEL128" s="368"/>
      <c r="AEM128" s="368"/>
      <c r="AEN128" s="368"/>
      <c r="AEO128" s="368"/>
      <c r="AEP128" s="368"/>
      <c r="AEQ128" s="368"/>
      <c r="AER128" s="368"/>
      <c r="AES128" s="368"/>
      <c r="AET128" s="368"/>
      <c r="AEU128" s="368"/>
      <c r="AEV128" s="368"/>
      <c r="AEW128" s="368"/>
      <c r="AEX128" s="368"/>
      <c r="AEY128" s="368"/>
      <c r="AEZ128" s="368"/>
      <c r="AFA128" s="368"/>
      <c r="AFB128" s="368"/>
      <c r="AFC128" s="368"/>
      <c r="AFD128" s="368"/>
      <c r="AFE128" s="368"/>
      <c r="AFF128" s="368"/>
      <c r="AFG128" s="368"/>
      <c r="AFH128" s="368"/>
      <c r="AFI128" s="368"/>
      <c r="AFJ128" s="368"/>
      <c r="AFK128" s="368"/>
      <c r="AFL128" s="368"/>
      <c r="AFM128" s="368"/>
      <c r="AFN128" s="368"/>
      <c r="AFO128" s="368"/>
      <c r="AFP128" s="368"/>
      <c r="AFQ128" s="368"/>
      <c r="AFR128" s="368"/>
      <c r="AFS128" s="368"/>
      <c r="AFT128" s="368"/>
      <c r="AFU128" s="368"/>
      <c r="AFV128" s="368"/>
      <c r="AFW128" s="368"/>
      <c r="AFX128" s="368"/>
      <c r="AFY128" s="368"/>
      <c r="AFZ128" s="368"/>
      <c r="AGA128" s="368"/>
      <c r="AGB128" s="368"/>
      <c r="AGC128" s="368"/>
      <c r="AGD128" s="368"/>
      <c r="AGE128" s="368"/>
      <c r="AGF128" s="368"/>
      <c r="AGG128" s="368"/>
      <c r="AGH128" s="368"/>
      <c r="AGI128" s="368"/>
      <c r="AGJ128" s="368"/>
      <c r="AGK128" s="368"/>
      <c r="AGL128" s="368"/>
      <c r="AGM128" s="368"/>
      <c r="AGN128" s="368"/>
      <c r="AGO128" s="368"/>
      <c r="AGP128" s="368"/>
      <c r="AGQ128" s="368"/>
      <c r="AGR128" s="368"/>
      <c r="AGS128" s="368"/>
      <c r="AGT128" s="368"/>
      <c r="AGU128" s="368"/>
      <c r="AGV128" s="368"/>
      <c r="AGW128" s="368"/>
      <c r="AGX128" s="368"/>
      <c r="AGY128" s="368"/>
      <c r="AGZ128" s="368"/>
      <c r="AHA128" s="368"/>
      <c r="AHB128" s="368"/>
      <c r="AHC128" s="368"/>
      <c r="AHD128" s="368"/>
      <c r="AHE128" s="368"/>
      <c r="AHF128" s="368"/>
      <c r="AHG128" s="368"/>
      <c r="AHH128" s="368"/>
      <c r="AHI128" s="368"/>
      <c r="AHJ128" s="368"/>
      <c r="AHK128" s="368"/>
      <c r="AHL128" s="368"/>
      <c r="AHM128" s="368"/>
      <c r="AHN128" s="368"/>
      <c r="AHO128" s="368"/>
      <c r="AHP128" s="368"/>
      <c r="AHQ128" s="368"/>
      <c r="AHR128" s="368"/>
      <c r="AHS128" s="368"/>
      <c r="AHT128" s="368"/>
      <c r="AHU128" s="368"/>
      <c r="AHV128" s="368"/>
      <c r="AHW128" s="368"/>
      <c r="AHX128" s="368"/>
      <c r="AHY128" s="368"/>
      <c r="AHZ128" s="368"/>
      <c r="AIA128" s="368"/>
      <c r="AIB128" s="368"/>
      <c r="AIC128" s="368"/>
      <c r="AID128" s="368"/>
      <c r="AIE128" s="368"/>
      <c r="AIF128" s="368"/>
      <c r="AIG128" s="368"/>
      <c r="AIH128" s="368"/>
      <c r="AII128" s="368"/>
      <c r="AIJ128" s="368"/>
      <c r="AIK128" s="368"/>
      <c r="AIL128" s="368"/>
      <c r="AIM128" s="368"/>
      <c r="AIN128" s="368"/>
      <c r="AIO128" s="368"/>
      <c r="AIP128" s="368"/>
      <c r="AIQ128" s="368"/>
      <c r="AIR128" s="368"/>
      <c r="AIS128" s="368"/>
      <c r="AIT128" s="368"/>
      <c r="AIU128" s="368"/>
      <c r="AIV128" s="368"/>
      <c r="AIW128" s="368"/>
      <c r="AIX128" s="368"/>
      <c r="AIY128" s="368"/>
      <c r="AIZ128" s="368"/>
      <c r="AJA128" s="368"/>
      <c r="AJB128" s="368"/>
      <c r="AJC128" s="368"/>
      <c r="AJD128" s="368"/>
      <c r="AJE128" s="368"/>
      <c r="AJF128" s="368"/>
      <c r="AJG128" s="368"/>
      <c r="AJH128" s="368"/>
      <c r="AJI128" s="368"/>
      <c r="AJJ128" s="368"/>
      <c r="AJK128" s="368"/>
      <c r="AJL128" s="368"/>
      <c r="AJM128" s="368"/>
      <c r="AJN128" s="368"/>
      <c r="AJO128" s="368"/>
      <c r="AJP128" s="368"/>
      <c r="AJQ128" s="368"/>
      <c r="AJR128" s="368"/>
      <c r="AJS128" s="368"/>
      <c r="AJT128" s="368"/>
      <c r="AJU128" s="368"/>
      <c r="AJV128" s="368"/>
      <c r="AJW128" s="368"/>
      <c r="AJX128" s="368"/>
      <c r="AJY128" s="368"/>
      <c r="AJZ128" s="368"/>
      <c r="AKA128" s="368"/>
      <c r="AKB128" s="368"/>
      <c r="AKC128" s="368"/>
      <c r="AKD128" s="368"/>
      <c r="AKE128" s="368"/>
      <c r="AKF128" s="368"/>
      <c r="AKG128" s="368"/>
      <c r="AKH128" s="368"/>
      <c r="AKI128" s="368"/>
      <c r="AKJ128" s="368"/>
      <c r="AKK128" s="368"/>
      <c r="AKL128" s="368"/>
      <c r="AKM128" s="368"/>
      <c r="AKN128" s="368"/>
    </row>
    <row r="129" spans="1:976" s="345" customFormat="1" ht="22.5" customHeight="1" x14ac:dyDescent="0.2">
      <c r="A129" s="423" t="s">
        <v>408</v>
      </c>
      <c r="B129" s="423"/>
      <c r="C129" s="423" t="s">
        <v>221</v>
      </c>
      <c r="D129" s="423" t="s">
        <v>222</v>
      </c>
      <c r="E129" s="424">
        <v>412933</v>
      </c>
      <c r="F129" s="424">
        <v>1765</v>
      </c>
      <c r="G129" s="424">
        <v>276</v>
      </c>
      <c r="H129" s="424">
        <v>2</v>
      </c>
      <c r="I129" s="425">
        <v>45882</v>
      </c>
      <c r="J129" s="423" t="s">
        <v>281</v>
      </c>
      <c r="K129" s="423" t="s">
        <v>639</v>
      </c>
      <c r="L129" s="426">
        <v>153.74</v>
      </c>
      <c r="M129" s="426">
        <v>30.75</v>
      </c>
      <c r="N129" s="451">
        <v>184.49</v>
      </c>
      <c r="O129" s="423"/>
      <c r="P129" s="427">
        <v>45890</v>
      </c>
      <c r="Q129" s="426">
        <v>184.49</v>
      </c>
      <c r="R129" s="423"/>
      <c r="S129" s="426">
        <v>0</v>
      </c>
      <c r="T129" s="426">
        <v>0</v>
      </c>
      <c r="U129" s="426">
        <v>0</v>
      </c>
      <c r="V129" s="426">
        <v>0</v>
      </c>
      <c r="W129" s="423"/>
      <c r="X129" s="423" t="s">
        <v>283</v>
      </c>
      <c r="Y129" s="423" t="s">
        <v>284</v>
      </c>
      <c r="Z129" s="423" t="s">
        <v>53</v>
      </c>
      <c r="AA129" s="423" t="s">
        <v>228</v>
      </c>
      <c r="AB129" s="423" t="s">
        <v>239</v>
      </c>
      <c r="AC129" s="423" t="s">
        <v>243</v>
      </c>
      <c r="AD129" s="423" t="s">
        <v>231</v>
      </c>
      <c r="AE129" s="423" t="s">
        <v>232</v>
      </c>
      <c r="AF129" s="423" t="s">
        <v>231</v>
      </c>
      <c r="AG129" s="423" t="s">
        <v>232</v>
      </c>
      <c r="AH129" s="423"/>
      <c r="AI129" s="423"/>
      <c r="AJ129" s="423"/>
      <c r="AK129" s="423"/>
      <c r="AL129" s="424">
        <v>1</v>
      </c>
      <c r="AM129" s="424">
        <v>0</v>
      </c>
      <c r="AN129" s="425">
        <v>45890</v>
      </c>
      <c r="AO129" s="425">
        <v>45889</v>
      </c>
      <c r="AP129" s="426">
        <v>184.49</v>
      </c>
      <c r="AQ129" s="425">
        <v>45888</v>
      </c>
    </row>
    <row r="130" spans="1:976" s="14" customFormat="1" ht="22.5" customHeight="1" x14ac:dyDescent="0.2">
      <c r="A130" s="408" t="s">
        <v>408</v>
      </c>
      <c r="B130" s="408"/>
      <c r="C130" s="408" t="s">
        <v>221</v>
      </c>
      <c r="D130" s="408" t="s">
        <v>222</v>
      </c>
      <c r="E130" s="409">
        <v>412935</v>
      </c>
      <c r="F130" s="409">
        <v>1765</v>
      </c>
      <c r="G130" s="409">
        <v>276</v>
      </c>
      <c r="H130" s="409">
        <v>1</v>
      </c>
      <c r="I130" s="410">
        <v>45882</v>
      </c>
      <c r="J130" s="408" t="s">
        <v>281</v>
      </c>
      <c r="K130" s="408" t="s">
        <v>640</v>
      </c>
      <c r="L130" s="411">
        <v>20.37</v>
      </c>
      <c r="M130" s="411">
        <v>4.07</v>
      </c>
      <c r="N130" s="450">
        <v>24.44</v>
      </c>
      <c r="O130" s="408"/>
      <c r="P130" s="412">
        <v>45890</v>
      </c>
      <c r="Q130" s="411">
        <v>24.44</v>
      </c>
      <c r="R130" s="408"/>
      <c r="S130" s="411">
        <v>0</v>
      </c>
      <c r="T130" s="411">
        <v>0</v>
      </c>
      <c r="U130" s="411">
        <v>0</v>
      </c>
      <c r="V130" s="411">
        <v>0</v>
      </c>
      <c r="W130" s="408"/>
      <c r="X130" s="408" t="s">
        <v>283</v>
      </c>
      <c r="Y130" s="408" t="s">
        <v>284</v>
      </c>
      <c r="Z130" s="408" t="s">
        <v>46</v>
      </c>
      <c r="AA130" s="408" t="s">
        <v>228</v>
      </c>
      <c r="AB130" s="408" t="s">
        <v>285</v>
      </c>
      <c r="AC130" s="408" t="s">
        <v>286</v>
      </c>
      <c r="AD130" s="408" t="s">
        <v>231</v>
      </c>
      <c r="AE130" s="408" t="s">
        <v>232</v>
      </c>
      <c r="AF130" s="408" t="s">
        <v>231</v>
      </c>
      <c r="AG130" s="408" t="s">
        <v>232</v>
      </c>
      <c r="AH130" s="408"/>
      <c r="AI130" s="408"/>
      <c r="AJ130" s="408"/>
      <c r="AK130" s="408"/>
      <c r="AL130" s="409">
        <v>1</v>
      </c>
      <c r="AM130" s="409">
        <v>0</v>
      </c>
      <c r="AN130" s="410">
        <v>45890</v>
      </c>
      <c r="AO130" s="410">
        <v>45889</v>
      </c>
      <c r="AP130" s="411">
        <v>24.44</v>
      </c>
      <c r="AQ130" s="410">
        <v>45888</v>
      </c>
    </row>
    <row r="131" spans="1:976" s="14" customFormat="1" ht="22.5" customHeight="1" x14ac:dyDescent="0.2">
      <c r="A131" s="408" t="s">
        <v>408</v>
      </c>
      <c r="B131" s="408"/>
      <c r="C131" s="408" t="s">
        <v>221</v>
      </c>
      <c r="D131" s="408" t="s">
        <v>222</v>
      </c>
      <c r="E131" s="409">
        <v>412936</v>
      </c>
      <c r="F131" s="409">
        <v>1765</v>
      </c>
      <c r="G131" s="409">
        <v>276</v>
      </c>
      <c r="H131" s="409">
        <v>1</v>
      </c>
      <c r="I131" s="410">
        <v>45882</v>
      </c>
      <c r="J131" s="408" t="s">
        <v>281</v>
      </c>
      <c r="K131" s="408" t="s">
        <v>641</v>
      </c>
      <c r="L131" s="411">
        <v>32.78</v>
      </c>
      <c r="M131" s="411">
        <v>6.55</v>
      </c>
      <c r="N131" s="450">
        <v>39.33</v>
      </c>
      <c r="O131" s="408"/>
      <c r="P131" s="412">
        <v>45890</v>
      </c>
      <c r="Q131" s="411">
        <v>39.33</v>
      </c>
      <c r="R131" s="408"/>
      <c r="S131" s="411">
        <v>0</v>
      </c>
      <c r="T131" s="411">
        <v>0</v>
      </c>
      <c r="U131" s="411">
        <v>0</v>
      </c>
      <c r="V131" s="411">
        <v>0</v>
      </c>
      <c r="W131" s="408"/>
      <c r="X131" s="408" t="s">
        <v>283</v>
      </c>
      <c r="Y131" s="408" t="s">
        <v>284</v>
      </c>
      <c r="Z131" s="408" t="s">
        <v>46</v>
      </c>
      <c r="AA131" s="408" t="s">
        <v>228</v>
      </c>
      <c r="AB131" s="408" t="s">
        <v>285</v>
      </c>
      <c r="AC131" s="408" t="s">
        <v>286</v>
      </c>
      <c r="AD131" s="408" t="s">
        <v>231</v>
      </c>
      <c r="AE131" s="408" t="s">
        <v>232</v>
      </c>
      <c r="AF131" s="408" t="s">
        <v>231</v>
      </c>
      <c r="AG131" s="408" t="s">
        <v>232</v>
      </c>
      <c r="AH131" s="408"/>
      <c r="AI131" s="408"/>
      <c r="AJ131" s="408"/>
      <c r="AK131" s="408"/>
      <c r="AL131" s="409">
        <v>1</v>
      </c>
      <c r="AM131" s="409">
        <v>0</v>
      </c>
      <c r="AN131" s="410">
        <v>45890</v>
      </c>
      <c r="AO131" s="410">
        <v>45889</v>
      </c>
      <c r="AP131" s="411">
        <v>39.33</v>
      </c>
      <c r="AQ131" s="410">
        <v>45888</v>
      </c>
    </row>
    <row r="132" spans="1:976" s="351" customFormat="1" ht="22.5" customHeight="1" x14ac:dyDescent="0.2">
      <c r="A132" s="418" t="s">
        <v>262</v>
      </c>
      <c r="B132" s="418"/>
      <c r="C132" s="418" t="s">
        <v>221</v>
      </c>
      <c r="D132" s="418" t="s">
        <v>222</v>
      </c>
      <c r="E132" s="419">
        <v>414169</v>
      </c>
      <c r="F132" s="419">
        <v>1788</v>
      </c>
      <c r="G132" s="419">
        <v>282</v>
      </c>
      <c r="H132" s="419">
        <v>0</v>
      </c>
      <c r="I132" s="420">
        <v>45889</v>
      </c>
      <c r="J132" s="418" t="s">
        <v>395</v>
      </c>
      <c r="K132" s="418" t="s">
        <v>642</v>
      </c>
      <c r="L132" s="421">
        <v>21.12</v>
      </c>
      <c r="M132" s="421">
        <v>1.06</v>
      </c>
      <c r="N132" s="443">
        <v>22.18</v>
      </c>
      <c r="O132" s="418"/>
      <c r="P132" s="422">
        <v>45903</v>
      </c>
      <c r="Q132" s="421">
        <v>22.18</v>
      </c>
      <c r="R132" s="418" t="s">
        <v>463</v>
      </c>
      <c r="S132" s="421">
        <v>0</v>
      </c>
      <c r="T132" s="421">
        <v>0</v>
      </c>
      <c r="U132" s="421">
        <v>0</v>
      </c>
      <c r="V132" s="421">
        <v>0</v>
      </c>
      <c r="W132" s="418"/>
      <c r="X132" s="418" t="s">
        <v>266</v>
      </c>
      <c r="Y132" s="418" t="s">
        <v>267</v>
      </c>
      <c r="Z132" s="418" t="s">
        <v>42</v>
      </c>
      <c r="AA132" s="418" t="s">
        <v>228</v>
      </c>
      <c r="AB132" s="418" t="s">
        <v>34</v>
      </c>
      <c r="AC132" s="418" t="s">
        <v>250</v>
      </c>
      <c r="AD132" s="418" t="s">
        <v>231</v>
      </c>
      <c r="AE132" s="418" t="s">
        <v>232</v>
      </c>
      <c r="AF132" s="418" t="s">
        <v>231</v>
      </c>
      <c r="AG132" s="418" t="s">
        <v>232</v>
      </c>
      <c r="AH132" s="418"/>
      <c r="AI132" s="418"/>
      <c r="AJ132" s="418"/>
      <c r="AK132" s="418" t="s">
        <v>643</v>
      </c>
      <c r="AL132" s="419">
        <v>1</v>
      </c>
      <c r="AM132" s="419">
        <v>0</v>
      </c>
      <c r="AN132" s="420">
        <v>45902</v>
      </c>
      <c r="AO132" s="420">
        <v>45902</v>
      </c>
      <c r="AP132" s="421">
        <v>22.18</v>
      </c>
      <c r="AQ132" s="420">
        <v>45901</v>
      </c>
      <c r="AR132" s="368"/>
      <c r="AS132" s="368"/>
      <c r="AT132" s="368"/>
      <c r="AU132" s="368"/>
      <c r="AV132" s="368"/>
      <c r="AW132" s="368"/>
      <c r="AX132" s="368"/>
      <c r="AY132" s="368"/>
      <c r="AZ132" s="368"/>
      <c r="BA132" s="368"/>
      <c r="BB132" s="368"/>
      <c r="BC132" s="368"/>
      <c r="BD132" s="368"/>
      <c r="BE132" s="368"/>
      <c r="BF132" s="368"/>
      <c r="BG132" s="368"/>
      <c r="BH132" s="368"/>
      <c r="BI132" s="368"/>
      <c r="BJ132" s="368"/>
      <c r="BK132" s="368"/>
      <c r="BL132" s="368"/>
      <c r="BM132" s="368"/>
      <c r="BN132" s="368"/>
      <c r="BO132" s="368"/>
      <c r="BP132" s="368"/>
      <c r="BQ132" s="368"/>
      <c r="BR132" s="368"/>
      <c r="BS132" s="368"/>
      <c r="BT132" s="368"/>
      <c r="BU132" s="368"/>
      <c r="BV132" s="368"/>
      <c r="BW132" s="368"/>
      <c r="BX132" s="368"/>
      <c r="BY132" s="368"/>
      <c r="BZ132" s="368"/>
      <c r="CA132" s="368"/>
      <c r="CB132" s="368"/>
      <c r="CC132" s="368"/>
      <c r="CD132" s="368"/>
      <c r="CE132" s="368"/>
      <c r="CF132" s="368"/>
      <c r="CG132" s="368"/>
      <c r="CH132" s="368"/>
      <c r="CI132" s="368"/>
      <c r="CJ132" s="368"/>
      <c r="CK132" s="368"/>
      <c r="CL132" s="368"/>
      <c r="CM132" s="368"/>
      <c r="CN132" s="368"/>
      <c r="CO132" s="368"/>
      <c r="CP132" s="368"/>
      <c r="CQ132" s="368"/>
      <c r="CR132" s="368"/>
      <c r="CS132" s="368"/>
      <c r="CT132" s="368"/>
      <c r="CU132" s="368"/>
      <c r="CV132" s="368"/>
      <c r="CW132" s="368"/>
      <c r="CX132" s="368"/>
      <c r="CY132" s="368"/>
      <c r="CZ132" s="368"/>
      <c r="DA132" s="368"/>
      <c r="DB132" s="368"/>
      <c r="DC132" s="368"/>
      <c r="DD132" s="368"/>
      <c r="DE132" s="368"/>
      <c r="DF132" s="368"/>
      <c r="DG132" s="368"/>
      <c r="DH132" s="368"/>
      <c r="DI132" s="368"/>
      <c r="DJ132" s="368"/>
      <c r="DK132" s="368"/>
      <c r="DL132" s="368"/>
      <c r="DM132" s="368"/>
      <c r="DN132" s="368"/>
      <c r="DO132" s="368"/>
      <c r="DP132" s="368"/>
      <c r="DQ132" s="368"/>
      <c r="DR132" s="368"/>
      <c r="DS132" s="368"/>
      <c r="DT132" s="368"/>
      <c r="DU132" s="368"/>
      <c r="DV132" s="368"/>
      <c r="DW132" s="368"/>
      <c r="DX132" s="368"/>
      <c r="DY132" s="368"/>
      <c r="DZ132" s="368"/>
      <c r="EA132" s="368"/>
      <c r="EB132" s="368"/>
      <c r="EC132" s="368"/>
      <c r="ED132" s="368"/>
      <c r="EE132" s="368"/>
      <c r="EF132" s="368"/>
      <c r="EG132" s="368"/>
      <c r="EH132" s="368"/>
      <c r="EI132" s="368"/>
      <c r="EJ132" s="368"/>
      <c r="EK132" s="368"/>
      <c r="EL132" s="368"/>
      <c r="EM132" s="368"/>
      <c r="EN132" s="368"/>
      <c r="EO132" s="368"/>
      <c r="EP132" s="368"/>
      <c r="EQ132" s="368"/>
      <c r="ER132" s="368"/>
      <c r="ES132" s="368"/>
      <c r="ET132" s="368"/>
      <c r="EU132" s="368"/>
      <c r="EV132" s="368"/>
      <c r="EW132" s="368"/>
      <c r="EX132" s="368"/>
      <c r="EY132" s="368"/>
      <c r="EZ132" s="368"/>
      <c r="FA132" s="368"/>
      <c r="FB132" s="368"/>
      <c r="FC132" s="368"/>
      <c r="FD132" s="368"/>
      <c r="FE132" s="368"/>
      <c r="FF132" s="368"/>
      <c r="FG132" s="368"/>
      <c r="FH132" s="368"/>
      <c r="FI132" s="368"/>
      <c r="FJ132" s="368"/>
      <c r="FK132" s="368"/>
      <c r="FL132" s="368"/>
      <c r="FM132" s="368"/>
      <c r="FN132" s="368"/>
      <c r="FO132" s="368"/>
      <c r="FP132" s="368"/>
      <c r="FQ132" s="368"/>
      <c r="FR132" s="368"/>
      <c r="FS132" s="368"/>
      <c r="FT132" s="368"/>
      <c r="FU132" s="368"/>
      <c r="FV132" s="368"/>
      <c r="FW132" s="368"/>
      <c r="FX132" s="368"/>
      <c r="FY132" s="368"/>
      <c r="FZ132" s="368"/>
      <c r="GA132" s="368"/>
      <c r="GB132" s="368"/>
      <c r="GC132" s="368"/>
      <c r="GD132" s="368"/>
      <c r="GE132" s="368"/>
      <c r="GF132" s="368"/>
      <c r="GG132" s="368"/>
      <c r="GH132" s="368"/>
      <c r="GI132" s="368"/>
      <c r="GJ132" s="368"/>
      <c r="GK132" s="368"/>
      <c r="GL132" s="368"/>
      <c r="GM132" s="368"/>
      <c r="GN132" s="368"/>
      <c r="GO132" s="368"/>
      <c r="GP132" s="368"/>
      <c r="GQ132" s="368"/>
      <c r="GR132" s="368"/>
      <c r="GS132" s="368"/>
      <c r="GT132" s="368"/>
      <c r="GU132" s="368"/>
      <c r="GV132" s="368"/>
      <c r="GW132" s="368"/>
      <c r="GX132" s="368"/>
      <c r="GY132" s="368"/>
      <c r="GZ132" s="368"/>
      <c r="HA132" s="368"/>
      <c r="HB132" s="368"/>
      <c r="HC132" s="368"/>
      <c r="HD132" s="368"/>
      <c r="HE132" s="368"/>
      <c r="HF132" s="368"/>
      <c r="HG132" s="368"/>
      <c r="HH132" s="368"/>
      <c r="HI132" s="368"/>
      <c r="HJ132" s="368"/>
      <c r="HK132" s="368"/>
      <c r="HL132" s="368"/>
      <c r="HM132" s="368"/>
      <c r="HN132" s="368"/>
      <c r="HO132" s="368"/>
      <c r="HP132" s="368"/>
      <c r="HQ132" s="368"/>
      <c r="HR132" s="368"/>
      <c r="HS132" s="368"/>
      <c r="HT132" s="368"/>
      <c r="HU132" s="368"/>
      <c r="HV132" s="368"/>
      <c r="HW132" s="368"/>
      <c r="HX132" s="368"/>
      <c r="HY132" s="368"/>
      <c r="HZ132" s="368"/>
      <c r="IA132" s="368"/>
      <c r="IB132" s="368"/>
      <c r="IC132" s="368"/>
      <c r="ID132" s="368"/>
      <c r="IE132" s="368"/>
      <c r="IF132" s="368"/>
      <c r="IG132" s="368"/>
      <c r="IH132" s="368"/>
      <c r="II132" s="368"/>
      <c r="IJ132" s="368"/>
      <c r="IK132" s="368"/>
      <c r="IL132" s="368"/>
      <c r="IM132" s="368"/>
      <c r="IN132" s="368"/>
      <c r="IO132" s="368"/>
      <c r="IP132" s="368"/>
      <c r="IQ132" s="368"/>
      <c r="IR132" s="368"/>
      <c r="IS132" s="368"/>
      <c r="IT132" s="368"/>
      <c r="IU132" s="368"/>
      <c r="IV132" s="368"/>
      <c r="IW132" s="368"/>
      <c r="IX132" s="368"/>
      <c r="IY132" s="368"/>
      <c r="IZ132" s="368"/>
      <c r="JA132" s="368"/>
      <c r="JB132" s="368"/>
      <c r="JC132" s="368"/>
      <c r="JD132" s="368"/>
      <c r="JE132" s="368"/>
      <c r="JF132" s="368"/>
      <c r="JG132" s="368"/>
      <c r="JH132" s="368"/>
      <c r="JI132" s="368"/>
      <c r="JJ132" s="368"/>
      <c r="JK132" s="368"/>
      <c r="JL132" s="368"/>
      <c r="JM132" s="368"/>
      <c r="JN132" s="368"/>
      <c r="JO132" s="368"/>
      <c r="JP132" s="368"/>
      <c r="JQ132" s="368"/>
      <c r="JR132" s="368"/>
      <c r="JS132" s="368"/>
      <c r="JT132" s="368"/>
      <c r="JU132" s="368"/>
      <c r="JV132" s="368"/>
      <c r="JW132" s="368"/>
      <c r="JX132" s="368"/>
      <c r="JY132" s="368"/>
      <c r="JZ132" s="368"/>
      <c r="KA132" s="368"/>
      <c r="KB132" s="368"/>
      <c r="KC132" s="368"/>
      <c r="KD132" s="368"/>
      <c r="KE132" s="368"/>
      <c r="KF132" s="368"/>
      <c r="KG132" s="368"/>
      <c r="KH132" s="368"/>
      <c r="KI132" s="368"/>
      <c r="KJ132" s="368"/>
      <c r="KK132" s="368"/>
      <c r="KL132" s="368"/>
      <c r="KM132" s="368"/>
      <c r="KN132" s="368"/>
      <c r="KO132" s="368"/>
      <c r="KP132" s="368"/>
      <c r="KQ132" s="368"/>
      <c r="KR132" s="368"/>
      <c r="KS132" s="368"/>
      <c r="KT132" s="368"/>
      <c r="KU132" s="368"/>
      <c r="KV132" s="368"/>
      <c r="KW132" s="368"/>
      <c r="KX132" s="368"/>
      <c r="KY132" s="368"/>
      <c r="KZ132" s="368"/>
      <c r="LA132" s="368"/>
      <c r="LB132" s="368"/>
      <c r="LC132" s="368"/>
      <c r="LD132" s="368"/>
      <c r="LE132" s="368"/>
      <c r="LF132" s="368"/>
      <c r="LG132" s="368"/>
      <c r="LH132" s="368"/>
      <c r="LI132" s="368"/>
      <c r="LJ132" s="368"/>
      <c r="LK132" s="368"/>
      <c r="LL132" s="368"/>
      <c r="LM132" s="368"/>
      <c r="LN132" s="368"/>
      <c r="LO132" s="368"/>
      <c r="LP132" s="368"/>
      <c r="LQ132" s="368"/>
      <c r="LR132" s="368"/>
      <c r="LS132" s="368"/>
      <c r="LT132" s="368"/>
      <c r="LU132" s="368"/>
      <c r="LV132" s="368"/>
      <c r="LW132" s="368"/>
      <c r="LX132" s="368"/>
      <c r="LY132" s="368"/>
      <c r="LZ132" s="368"/>
      <c r="MA132" s="368"/>
      <c r="MB132" s="368"/>
      <c r="MC132" s="368"/>
      <c r="MD132" s="368"/>
      <c r="ME132" s="368"/>
      <c r="MF132" s="368"/>
      <c r="MG132" s="368"/>
      <c r="MH132" s="368"/>
      <c r="MI132" s="368"/>
      <c r="MJ132" s="368"/>
      <c r="MK132" s="368"/>
      <c r="ML132" s="368"/>
      <c r="MM132" s="368"/>
      <c r="MN132" s="368"/>
      <c r="MO132" s="368"/>
      <c r="MP132" s="368"/>
      <c r="MQ132" s="368"/>
      <c r="MR132" s="368"/>
      <c r="MS132" s="368"/>
      <c r="MT132" s="368"/>
      <c r="MU132" s="368"/>
      <c r="MV132" s="368"/>
      <c r="MW132" s="368"/>
      <c r="MX132" s="368"/>
      <c r="MY132" s="368"/>
      <c r="MZ132" s="368"/>
      <c r="NA132" s="368"/>
      <c r="NB132" s="368"/>
      <c r="NC132" s="368"/>
      <c r="ND132" s="368"/>
      <c r="NE132" s="368"/>
      <c r="NF132" s="368"/>
      <c r="NG132" s="368"/>
      <c r="NH132" s="368"/>
      <c r="NI132" s="368"/>
      <c r="NJ132" s="368"/>
      <c r="NK132" s="368"/>
      <c r="NL132" s="368"/>
      <c r="NM132" s="368"/>
      <c r="NN132" s="368"/>
      <c r="NO132" s="368"/>
      <c r="NP132" s="368"/>
      <c r="NQ132" s="368"/>
      <c r="NR132" s="368"/>
      <c r="NS132" s="368"/>
      <c r="NT132" s="368"/>
      <c r="NU132" s="368"/>
      <c r="NV132" s="368"/>
      <c r="NW132" s="368"/>
      <c r="NX132" s="368"/>
      <c r="NY132" s="368"/>
      <c r="NZ132" s="368"/>
      <c r="OA132" s="368"/>
      <c r="OB132" s="368"/>
      <c r="OC132" s="368"/>
      <c r="OD132" s="368"/>
      <c r="OE132" s="368"/>
      <c r="OF132" s="368"/>
      <c r="OG132" s="368"/>
      <c r="OH132" s="368"/>
      <c r="OI132" s="368"/>
      <c r="OJ132" s="368"/>
      <c r="OK132" s="368"/>
      <c r="OL132" s="368"/>
      <c r="OM132" s="368"/>
      <c r="ON132" s="368"/>
      <c r="OO132" s="368"/>
      <c r="OP132" s="368"/>
      <c r="OQ132" s="368"/>
      <c r="OR132" s="368"/>
      <c r="OS132" s="368"/>
      <c r="OT132" s="368"/>
      <c r="OU132" s="368"/>
      <c r="OV132" s="368"/>
      <c r="OW132" s="368"/>
      <c r="OX132" s="368"/>
      <c r="OY132" s="368"/>
      <c r="OZ132" s="368"/>
      <c r="PA132" s="368"/>
      <c r="PB132" s="368"/>
      <c r="PC132" s="368"/>
      <c r="PD132" s="368"/>
      <c r="PE132" s="368"/>
      <c r="PF132" s="368"/>
      <c r="PG132" s="368"/>
      <c r="PH132" s="368"/>
      <c r="PI132" s="368"/>
      <c r="PJ132" s="368"/>
      <c r="PK132" s="368"/>
      <c r="PL132" s="368"/>
      <c r="PM132" s="368"/>
      <c r="PN132" s="368"/>
      <c r="PO132" s="368"/>
      <c r="PP132" s="368"/>
      <c r="PQ132" s="368"/>
      <c r="PR132" s="368"/>
      <c r="PS132" s="368"/>
      <c r="PT132" s="368"/>
      <c r="PU132" s="368"/>
      <c r="PV132" s="368"/>
      <c r="PW132" s="368"/>
      <c r="PX132" s="368"/>
      <c r="PY132" s="368"/>
      <c r="PZ132" s="368"/>
      <c r="QA132" s="368"/>
      <c r="QB132" s="368"/>
      <c r="QC132" s="368"/>
      <c r="QD132" s="368"/>
      <c r="QE132" s="368"/>
      <c r="QF132" s="368"/>
      <c r="QG132" s="368"/>
      <c r="QH132" s="368"/>
      <c r="QI132" s="368"/>
      <c r="QJ132" s="368"/>
      <c r="QK132" s="368"/>
      <c r="QL132" s="368"/>
      <c r="QM132" s="368"/>
      <c r="QN132" s="368"/>
      <c r="QO132" s="368"/>
      <c r="QP132" s="368"/>
      <c r="QQ132" s="368"/>
      <c r="QR132" s="368"/>
      <c r="QS132" s="368"/>
      <c r="QT132" s="368"/>
      <c r="QU132" s="368"/>
      <c r="QV132" s="368"/>
      <c r="QW132" s="368"/>
      <c r="QX132" s="368"/>
      <c r="QY132" s="368"/>
      <c r="QZ132" s="368"/>
      <c r="RA132" s="368"/>
      <c r="RB132" s="368"/>
      <c r="RC132" s="368"/>
      <c r="RD132" s="368"/>
      <c r="RE132" s="368"/>
      <c r="RF132" s="368"/>
      <c r="RG132" s="368"/>
      <c r="RH132" s="368"/>
      <c r="RI132" s="368"/>
      <c r="RJ132" s="368"/>
      <c r="RK132" s="368"/>
      <c r="RL132" s="368"/>
      <c r="RM132" s="368"/>
      <c r="RN132" s="368"/>
      <c r="RO132" s="368"/>
      <c r="RP132" s="368"/>
      <c r="RQ132" s="368"/>
      <c r="RR132" s="368"/>
      <c r="RS132" s="368"/>
      <c r="RT132" s="368"/>
      <c r="RU132" s="368"/>
      <c r="RV132" s="368"/>
      <c r="RW132" s="368"/>
      <c r="RX132" s="368"/>
      <c r="RY132" s="368"/>
      <c r="RZ132" s="368"/>
      <c r="SA132" s="368"/>
      <c r="SB132" s="368"/>
      <c r="SC132" s="368"/>
      <c r="SD132" s="368"/>
      <c r="SE132" s="368"/>
      <c r="SF132" s="368"/>
      <c r="SG132" s="368"/>
      <c r="SH132" s="368"/>
      <c r="SI132" s="368"/>
      <c r="SJ132" s="368"/>
      <c r="SK132" s="368"/>
      <c r="SL132" s="368"/>
      <c r="SM132" s="368"/>
      <c r="SN132" s="368"/>
      <c r="SO132" s="368"/>
      <c r="SP132" s="368"/>
      <c r="SQ132" s="368"/>
      <c r="SR132" s="368"/>
      <c r="SS132" s="368"/>
      <c r="ST132" s="368"/>
      <c r="SU132" s="368"/>
      <c r="SV132" s="368"/>
      <c r="SW132" s="368"/>
      <c r="SX132" s="368"/>
      <c r="SY132" s="368"/>
      <c r="SZ132" s="368"/>
      <c r="TA132" s="368"/>
      <c r="TB132" s="368"/>
      <c r="TC132" s="368"/>
      <c r="TD132" s="368"/>
      <c r="TE132" s="368"/>
      <c r="TF132" s="368"/>
      <c r="TG132" s="368"/>
      <c r="TH132" s="368"/>
      <c r="TI132" s="368"/>
      <c r="TJ132" s="368"/>
      <c r="TK132" s="368"/>
      <c r="TL132" s="368"/>
      <c r="TM132" s="368"/>
      <c r="TN132" s="368"/>
      <c r="TO132" s="368"/>
      <c r="TP132" s="368"/>
      <c r="TQ132" s="368"/>
      <c r="TR132" s="368"/>
      <c r="TS132" s="368"/>
      <c r="TT132" s="368"/>
      <c r="TU132" s="368"/>
      <c r="TV132" s="368"/>
      <c r="TW132" s="368"/>
      <c r="TX132" s="368"/>
      <c r="TY132" s="368"/>
      <c r="TZ132" s="368"/>
      <c r="UA132" s="368"/>
      <c r="UB132" s="368"/>
      <c r="UC132" s="368"/>
      <c r="UD132" s="368"/>
      <c r="UE132" s="368"/>
      <c r="UF132" s="368"/>
      <c r="UG132" s="368"/>
      <c r="UH132" s="368"/>
      <c r="UI132" s="368"/>
      <c r="UJ132" s="368"/>
      <c r="UK132" s="368"/>
      <c r="UL132" s="368"/>
      <c r="UM132" s="368"/>
      <c r="UN132" s="368"/>
      <c r="UO132" s="368"/>
      <c r="UP132" s="368"/>
      <c r="UQ132" s="368"/>
      <c r="UR132" s="368"/>
      <c r="US132" s="368"/>
      <c r="UT132" s="368"/>
      <c r="UU132" s="368"/>
      <c r="UV132" s="368"/>
      <c r="UW132" s="368"/>
      <c r="UX132" s="368"/>
      <c r="UY132" s="368"/>
      <c r="UZ132" s="368"/>
      <c r="VA132" s="368"/>
      <c r="VB132" s="368"/>
      <c r="VC132" s="368"/>
      <c r="VD132" s="368"/>
      <c r="VE132" s="368"/>
      <c r="VF132" s="368"/>
      <c r="VG132" s="368"/>
      <c r="VH132" s="368"/>
      <c r="VI132" s="368"/>
      <c r="VJ132" s="368"/>
      <c r="VK132" s="368"/>
      <c r="VL132" s="368"/>
      <c r="VM132" s="368"/>
      <c r="VN132" s="368"/>
      <c r="VO132" s="368"/>
      <c r="VP132" s="368"/>
      <c r="VQ132" s="368"/>
      <c r="VR132" s="368"/>
      <c r="VS132" s="368"/>
      <c r="VT132" s="368"/>
      <c r="VU132" s="368"/>
      <c r="VV132" s="368"/>
      <c r="VW132" s="368"/>
      <c r="VX132" s="368"/>
      <c r="VY132" s="368"/>
      <c r="VZ132" s="368"/>
      <c r="WA132" s="368"/>
      <c r="WB132" s="368"/>
      <c r="WC132" s="368"/>
      <c r="WD132" s="368"/>
      <c r="WE132" s="368"/>
      <c r="WF132" s="368"/>
      <c r="WG132" s="368"/>
      <c r="WH132" s="368"/>
      <c r="WI132" s="368"/>
      <c r="WJ132" s="368"/>
      <c r="WK132" s="368"/>
      <c r="WL132" s="368"/>
      <c r="WM132" s="368"/>
      <c r="WN132" s="368"/>
      <c r="WO132" s="368"/>
      <c r="WP132" s="368"/>
      <c r="WQ132" s="368"/>
      <c r="WR132" s="368"/>
      <c r="WS132" s="368"/>
      <c r="WT132" s="368"/>
      <c r="WU132" s="368"/>
      <c r="WV132" s="368"/>
      <c r="WW132" s="368"/>
      <c r="WX132" s="368"/>
      <c r="WY132" s="368"/>
      <c r="WZ132" s="368"/>
      <c r="XA132" s="368"/>
      <c r="XB132" s="368"/>
      <c r="XC132" s="368"/>
      <c r="XD132" s="368"/>
      <c r="XE132" s="368"/>
      <c r="XF132" s="368"/>
      <c r="XG132" s="368"/>
      <c r="XH132" s="368"/>
      <c r="XI132" s="368"/>
      <c r="XJ132" s="368"/>
      <c r="XK132" s="368"/>
      <c r="XL132" s="368"/>
      <c r="XM132" s="368"/>
      <c r="XN132" s="368"/>
      <c r="XO132" s="368"/>
      <c r="XP132" s="368"/>
      <c r="XQ132" s="368"/>
      <c r="XR132" s="368"/>
      <c r="XS132" s="368"/>
      <c r="XT132" s="368"/>
      <c r="XU132" s="368"/>
      <c r="XV132" s="368"/>
      <c r="XW132" s="368"/>
      <c r="XX132" s="368"/>
      <c r="XY132" s="368"/>
      <c r="XZ132" s="368"/>
      <c r="YA132" s="368"/>
      <c r="YB132" s="368"/>
      <c r="YC132" s="368"/>
      <c r="YD132" s="368"/>
      <c r="YE132" s="368"/>
      <c r="YF132" s="368"/>
      <c r="YG132" s="368"/>
      <c r="YH132" s="368"/>
      <c r="YI132" s="368"/>
      <c r="YJ132" s="368"/>
      <c r="YK132" s="368"/>
      <c r="YL132" s="368"/>
      <c r="YM132" s="368"/>
      <c r="YN132" s="368"/>
      <c r="YO132" s="368"/>
      <c r="YP132" s="368"/>
      <c r="YQ132" s="368"/>
      <c r="YR132" s="368"/>
      <c r="YS132" s="368"/>
      <c r="YT132" s="368"/>
      <c r="YU132" s="368"/>
      <c r="YV132" s="368"/>
      <c r="YW132" s="368"/>
      <c r="YX132" s="368"/>
      <c r="YY132" s="368"/>
      <c r="YZ132" s="368"/>
      <c r="ZA132" s="368"/>
      <c r="ZB132" s="368"/>
      <c r="ZC132" s="368"/>
      <c r="ZD132" s="368"/>
      <c r="ZE132" s="368"/>
      <c r="ZF132" s="368"/>
      <c r="ZG132" s="368"/>
      <c r="ZH132" s="368"/>
      <c r="ZI132" s="368"/>
      <c r="ZJ132" s="368"/>
      <c r="ZK132" s="368"/>
      <c r="ZL132" s="368"/>
      <c r="ZM132" s="368"/>
      <c r="ZN132" s="368"/>
      <c r="ZO132" s="368"/>
      <c r="ZP132" s="368"/>
      <c r="ZQ132" s="368"/>
      <c r="ZR132" s="368"/>
      <c r="ZS132" s="368"/>
      <c r="ZT132" s="368"/>
      <c r="ZU132" s="368"/>
      <c r="ZV132" s="368"/>
      <c r="ZW132" s="368"/>
      <c r="ZX132" s="368"/>
      <c r="ZY132" s="368"/>
      <c r="ZZ132" s="368"/>
      <c r="AAA132" s="368"/>
      <c r="AAB132" s="368"/>
      <c r="AAC132" s="368"/>
      <c r="AAD132" s="368"/>
      <c r="AAE132" s="368"/>
      <c r="AAF132" s="368"/>
      <c r="AAG132" s="368"/>
      <c r="AAH132" s="368"/>
      <c r="AAI132" s="368"/>
      <c r="AAJ132" s="368"/>
      <c r="AAK132" s="368"/>
      <c r="AAL132" s="368"/>
      <c r="AAM132" s="368"/>
      <c r="AAN132" s="368"/>
      <c r="AAO132" s="368"/>
      <c r="AAP132" s="368"/>
      <c r="AAQ132" s="368"/>
      <c r="AAR132" s="368"/>
      <c r="AAS132" s="368"/>
      <c r="AAT132" s="368"/>
      <c r="AAU132" s="368"/>
      <c r="AAV132" s="368"/>
      <c r="AAW132" s="368"/>
      <c r="AAX132" s="368"/>
      <c r="AAY132" s="368"/>
      <c r="AAZ132" s="368"/>
      <c r="ABA132" s="368"/>
      <c r="ABB132" s="368"/>
      <c r="ABC132" s="368"/>
      <c r="ABD132" s="368"/>
      <c r="ABE132" s="368"/>
      <c r="ABF132" s="368"/>
      <c r="ABG132" s="368"/>
      <c r="ABH132" s="368"/>
      <c r="ABI132" s="368"/>
      <c r="ABJ132" s="368"/>
      <c r="ABK132" s="368"/>
      <c r="ABL132" s="368"/>
      <c r="ABM132" s="368"/>
      <c r="ABN132" s="368"/>
      <c r="ABO132" s="368"/>
      <c r="ABP132" s="368"/>
      <c r="ABQ132" s="368"/>
      <c r="ABR132" s="368"/>
      <c r="ABS132" s="368"/>
      <c r="ABT132" s="368"/>
      <c r="ABU132" s="368"/>
      <c r="ABV132" s="368"/>
      <c r="ABW132" s="368"/>
      <c r="ABX132" s="368"/>
      <c r="ABY132" s="368"/>
      <c r="ABZ132" s="368"/>
      <c r="ACA132" s="368"/>
      <c r="ACB132" s="368"/>
      <c r="ACC132" s="368"/>
      <c r="ACD132" s="368"/>
      <c r="ACE132" s="368"/>
      <c r="ACF132" s="368"/>
      <c r="ACG132" s="368"/>
      <c r="ACH132" s="368"/>
      <c r="ACI132" s="368"/>
      <c r="ACJ132" s="368"/>
      <c r="ACK132" s="368"/>
      <c r="ACL132" s="368"/>
      <c r="ACM132" s="368"/>
      <c r="ACN132" s="368"/>
      <c r="ACO132" s="368"/>
      <c r="ACP132" s="368"/>
      <c r="ACQ132" s="368"/>
      <c r="ACR132" s="368"/>
      <c r="ACS132" s="368"/>
      <c r="ACT132" s="368"/>
      <c r="ACU132" s="368"/>
      <c r="ACV132" s="368"/>
      <c r="ACW132" s="368"/>
      <c r="ACX132" s="368"/>
      <c r="ACY132" s="368"/>
      <c r="ACZ132" s="368"/>
      <c r="ADA132" s="368"/>
      <c r="ADB132" s="368"/>
      <c r="ADC132" s="368"/>
      <c r="ADD132" s="368"/>
      <c r="ADE132" s="368"/>
      <c r="ADF132" s="368"/>
      <c r="ADG132" s="368"/>
      <c r="ADH132" s="368"/>
      <c r="ADI132" s="368"/>
      <c r="ADJ132" s="368"/>
      <c r="ADK132" s="368"/>
      <c r="ADL132" s="368"/>
      <c r="ADM132" s="368"/>
      <c r="ADN132" s="368"/>
      <c r="ADO132" s="368"/>
      <c r="ADP132" s="368"/>
      <c r="ADQ132" s="368"/>
      <c r="ADR132" s="368"/>
      <c r="ADS132" s="368"/>
      <c r="ADT132" s="368"/>
      <c r="ADU132" s="368"/>
      <c r="ADV132" s="368"/>
      <c r="ADW132" s="368"/>
      <c r="ADX132" s="368"/>
      <c r="ADY132" s="368"/>
      <c r="ADZ132" s="368"/>
      <c r="AEA132" s="368"/>
      <c r="AEB132" s="368"/>
      <c r="AEC132" s="368"/>
      <c r="AED132" s="368"/>
      <c r="AEE132" s="368"/>
      <c r="AEF132" s="368"/>
      <c r="AEG132" s="368"/>
      <c r="AEH132" s="368"/>
      <c r="AEI132" s="368"/>
      <c r="AEJ132" s="368"/>
      <c r="AEK132" s="368"/>
      <c r="AEL132" s="368"/>
      <c r="AEM132" s="368"/>
      <c r="AEN132" s="368"/>
      <c r="AEO132" s="368"/>
      <c r="AEP132" s="368"/>
      <c r="AEQ132" s="368"/>
      <c r="AER132" s="368"/>
      <c r="AES132" s="368"/>
      <c r="AET132" s="368"/>
      <c r="AEU132" s="368"/>
      <c r="AEV132" s="368"/>
      <c r="AEW132" s="368"/>
      <c r="AEX132" s="368"/>
      <c r="AEY132" s="368"/>
      <c r="AEZ132" s="368"/>
      <c r="AFA132" s="368"/>
      <c r="AFB132" s="368"/>
      <c r="AFC132" s="368"/>
      <c r="AFD132" s="368"/>
      <c r="AFE132" s="368"/>
      <c r="AFF132" s="368"/>
      <c r="AFG132" s="368"/>
      <c r="AFH132" s="368"/>
      <c r="AFI132" s="368"/>
      <c r="AFJ132" s="368"/>
      <c r="AFK132" s="368"/>
      <c r="AFL132" s="368"/>
      <c r="AFM132" s="368"/>
      <c r="AFN132" s="368"/>
      <c r="AFO132" s="368"/>
      <c r="AFP132" s="368"/>
      <c r="AFQ132" s="368"/>
      <c r="AFR132" s="368"/>
      <c r="AFS132" s="368"/>
      <c r="AFT132" s="368"/>
      <c r="AFU132" s="368"/>
      <c r="AFV132" s="368"/>
      <c r="AFW132" s="368"/>
      <c r="AFX132" s="368"/>
      <c r="AFY132" s="368"/>
      <c r="AFZ132" s="368"/>
      <c r="AGA132" s="368"/>
      <c r="AGB132" s="368"/>
      <c r="AGC132" s="368"/>
      <c r="AGD132" s="368"/>
      <c r="AGE132" s="368"/>
      <c r="AGF132" s="368"/>
      <c r="AGG132" s="368"/>
      <c r="AGH132" s="368"/>
      <c r="AGI132" s="368"/>
      <c r="AGJ132" s="368"/>
      <c r="AGK132" s="368"/>
      <c r="AGL132" s="368"/>
      <c r="AGM132" s="368"/>
      <c r="AGN132" s="368"/>
      <c r="AGO132" s="368"/>
      <c r="AGP132" s="368"/>
      <c r="AGQ132" s="368"/>
      <c r="AGR132" s="368"/>
      <c r="AGS132" s="368"/>
      <c r="AGT132" s="368"/>
      <c r="AGU132" s="368"/>
      <c r="AGV132" s="368"/>
      <c r="AGW132" s="368"/>
      <c r="AGX132" s="368"/>
      <c r="AGY132" s="368"/>
      <c r="AGZ132" s="368"/>
      <c r="AHA132" s="368"/>
      <c r="AHB132" s="368"/>
      <c r="AHC132" s="368"/>
      <c r="AHD132" s="368"/>
      <c r="AHE132" s="368"/>
      <c r="AHF132" s="368"/>
      <c r="AHG132" s="368"/>
      <c r="AHH132" s="368"/>
      <c r="AHI132" s="368"/>
      <c r="AHJ132" s="368"/>
      <c r="AHK132" s="368"/>
      <c r="AHL132" s="368"/>
      <c r="AHM132" s="368"/>
      <c r="AHN132" s="368"/>
      <c r="AHO132" s="368"/>
      <c r="AHP132" s="368"/>
      <c r="AHQ132" s="368"/>
      <c r="AHR132" s="368"/>
      <c r="AHS132" s="368"/>
      <c r="AHT132" s="368"/>
      <c r="AHU132" s="368"/>
      <c r="AHV132" s="368"/>
      <c r="AHW132" s="368"/>
      <c r="AHX132" s="368"/>
      <c r="AHY132" s="368"/>
      <c r="AHZ132" s="368"/>
      <c r="AIA132" s="368"/>
      <c r="AIB132" s="368"/>
      <c r="AIC132" s="368"/>
      <c r="AID132" s="368"/>
      <c r="AIE132" s="368"/>
      <c r="AIF132" s="368"/>
      <c r="AIG132" s="368"/>
      <c r="AIH132" s="368"/>
      <c r="AII132" s="368"/>
      <c r="AIJ132" s="368"/>
      <c r="AIK132" s="368"/>
      <c r="AIL132" s="368"/>
      <c r="AIM132" s="368"/>
      <c r="AIN132" s="368"/>
      <c r="AIO132" s="368"/>
      <c r="AIP132" s="368"/>
      <c r="AIQ132" s="368"/>
      <c r="AIR132" s="368"/>
      <c r="AIS132" s="368"/>
      <c r="AIT132" s="368"/>
      <c r="AIU132" s="368"/>
      <c r="AIV132" s="368"/>
      <c r="AIW132" s="368"/>
      <c r="AIX132" s="368"/>
      <c r="AIY132" s="368"/>
      <c r="AIZ132" s="368"/>
      <c r="AJA132" s="368"/>
      <c r="AJB132" s="368"/>
      <c r="AJC132" s="368"/>
      <c r="AJD132" s="368"/>
      <c r="AJE132" s="368"/>
      <c r="AJF132" s="368"/>
      <c r="AJG132" s="368"/>
      <c r="AJH132" s="368"/>
      <c r="AJI132" s="368"/>
      <c r="AJJ132" s="368"/>
      <c r="AJK132" s="368"/>
      <c r="AJL132" s="368"/>
      <c r="AJM132" s="368"/>
      <c r="AJN132" s="368"/>
      <c r="AJO132" s="368"/>
      <c r="AJP132" s="368"/>
      <c r="AJQ132" s="368"/>
      <c r="AJR132" s="368"/>
      <c r="AJS132" s="368"/>
      <c r="AJT132" s="368"/>
      <c r="AJU132" s="368"/>
      <c r="AJV132" s="368"/>
      <c r="AJW132" s="368"/>
      <c r="AJX132" s="368"/>
      <c r="AJY132" s="368"/>
      <c r="AJZ132" s="368"/>
      <c r="AKA132" s="368"/>
      <c r="AKB132" s="368"/>
      <c r="AKC132" s="368"/>
      <c r="AKD132" s="368"/>
      <c r="AKE132" s="368"/>
      <c r="AKF132" s="368"/>
      <c r="AKG132" s="368"/>
      <c r="AKH132" s="368"/>
      <c r="AKI132" s="368"/>
      <c r="AKJ132" s="368"/>
      <c r="AKK132" s="368"/>
      <c r="AKL132" s="368"/>
      <c r="AKM132" s="368"/>
      <c r="AKN132" s="368"/>
    </row>
    <row r="133" spans="1:976" s="357" customFormat="1" ht="22.5" customHeight="1" x14ac:dyDescent="0.2">
      <c r="A133" s="413" t="s">
        <v>262</v>
      </c>
      <c r="B133" s="413"/>
      <c r="C133" s="413" t="s">
        <v>221</v>
      </c>
      <c r="D133" s="413" t="s">
        <v>222</v>
      </c>
      <c r="E133" s="414">
        <v>414170</v>
      </c>
      <c r="F133" s="414">
        <v>1789</v>
      </c>
      <c r="G133" s="414">
        <v>282</v>
      </c>
      <c r="H133" s="414">
        <v>0</v>
      </c>
      <c r="I133" s="415">
        <v>45889</v>
      </c>
      <c r="J133" s="413" t="s">
        <v>395</v>
      </c>
      <c r="K133" s="413" t="s">
        <v>644</v>
      </c>
      <c r="L133" s="416">
        <v>21.12</v>
      </c>
      <c r="M133" s="416">
        <v>1.1599999999999999</v>
      </c>
      <c r="N133" s="446">
        <v>22.28</v>
      </c>
      <c r="O133" s="413"/>
      <c r="P133" s="417">
        <v>45903</v>
      </c>
      <c r="Q133" s="416">
        <v>22.28</v>
      </c>
      <c r="R133" s="413" t="s">
        <v>466</v>
      </c>
      <c r="S133" s="416">
        <v>0</v>
      </c>
      <c r="T133" s="416">
        <v>0</v>
      </c>
      <c r="U133" s="416">
        <v>0</v>
      </c>
      <c r="V133" s="416">
        <v>0</v>
      </c>
      <c r="W133" s="413"/>
      <c r="X133" s="413" t="s">
        <v>266</v>
      </c>
      <c r="Y133" s="413" t="s">
        <v>267</v>
      </c>
      <c r="Z133" s="413" t="s">
        <v>42</v>
      </c>
      <c r="AA133" s="413" t="s">
        <v>228</v>
      </c>
      <c r="AB133" s="413" t="s">
        <v>34</v>
      </c>
      <c r="AC133" s="413" t="s">
        <v>50</v>
      </c>
      <c r="AD133" s="413" t="s">
        <v>231</v>
      </c>
      <c r="AE133" s="413" t="s">
        <v>232</v>
      </c>
      <c r="AF133" s="413" t="s">
        <v>231</v>
      </c>
      <c r="AG133" s="413" t="s">
        <v>232</v>
      </c>
      <c r="AH133" s="413"/>
      <c r="AI133" s="413"/>
      <c r="AJ133" s="413"/>
      <c r="AK133" s="413" t="s">
        <v>645</v>
      </c>
      <c r="AL133" s="414">
        <v>1</v>
      </c>
      <c r="AM133" s="414">
        <v>0</v>
      </c>
      <c r="AN133" s="415">
        <v>45902</v>
      </c>
      <c r="AO133" s="415">
        <v>45902</v>
      </c>
      <c r="AP133" s="416">
        <v>22.28</v>
      </c>
      <c r="AQ133" s="415">
        <v>45901</v>
      </c>
      <c r="AR133" s="368"/>
      <c r="AS133" s="368"/>
      <c r="AT133" s="368"/>
      <c r="AU133" s="368"/>
      <c r="AV133" s="368"/>
      <c r="AW133" s="368"/>
      <c r="AX133" s="368"/>
      <c r="AY133" s="368"/>
      <c r="AZ133" s="368"/>
      <c r="BA133" s="368"/>
      <c r="BB133" s="368"/>
      <c r="BC133" s="368"/>
      <c r="BD133" s="368"/>
      <c r="BE133" s="368"/>
      <c r="BF133" s="368"/>
      <c r="BG133" s="368"/>
      <c r="BH133" s="368"/>
      <c r="BI133" s="368"/>
      <c r="BJ133" s="368"/>
      <c r="BK133" s="368"/>
      <c r="BL133" s="368"/>
      <c r="BM133" s="368"/>
      <c r="BN133" s="368"/>
      <c r="BO133" s="368"/>
      <c r="BP133" s="368"/>
      <c r="BQ133" s="368"/>
      <c r="BR133" s="368"/>
      <c r="BS133" s="368"/>
      <c r="BT133" s="368"/>
      <c r="BU133" s="368"/>
      <c r="BV133" s="368"/>
      <c r="BW133" s="368"/>
      <c r="BX133" s="368"/>
      <c r="BY133" s="368"/>
      <c r="BZ133" s="368"/>
      <c r="CA133" s="368"/>
      <c r="CB133" s="368"/>
      <c r="CC133" s="368"/>
      <c r="CD133" s="368"/>
      <c r="CE133" s="368"/>
      <c r="CF133" s="368"/>
      <c r="CG133" s="368"/>
      <c r="CH133" s="368"/>
      <c r="CI133" s="368"/>
      <c r="CJ133" s="368"/>
      <c r="CK133" s="368"/>
      <c r="CL133" s="368"/>
      <c r="CM133" s="368"/>
      <c r="CN133" s="368"/>
      <c r="CO133" s="368"/>
      <c r="CP133" s="368"/>
      <c r="CQ133" s="368"/>
      <c r="CR133" s="368"/>
      <c r="CS133" s="368"/>
      <c r="CT133" s="368"/>
      <c r="CU133" s="368"/>
      <c r="CV133" s="368"/>
      <c r="CW133" s="368"/>
      <c r="CX133" s="368"/>
      <c r="CY133" s="368"/>
      <c r="CZ133" s="368"/>
      <c r="DA133" s="368"/>
      <c r="DB133" s="368"/>
      <c r="DC133" s="368"/>
      <c r="DD133" s="368"/>
      <c r="DE133" s="368"/>
      <c r="DF133" s="368"/>
      <c r="DG133" s="368"/>
      <c r="DH133" s="368"/>
      <c r="DI133" s="368"/>
      <c r="DJ133" s="368"/>
      <c r="DK133" s="368"/>
      <c r="DL133" s="368"/>
      <c r="DM133" s="368"/>
      <c r="DN133" s="368"/>
      <c r="DO133" s="368"/>
      <c r="DP133" s="368"/>
      <c r="DQ133" s="368"/>
      <c r="DR133" s="368"/>
      <c r="DS133" s="368"/>
      <c r="DT133" s="368"/>
      <c r="DU133" s="368"/>
      <c r="DV133" s="368"/>
      <c r="DW133" s="368"/>
      <c r="DX133" s="368"/>
      <c r="DY133" s="368"/>
      <c r="DZ133" s="368"/>
      <c r="EA133" s="368"/>
      <c r="EB133" s="368"/>
      <c r="EC133" s="368"/>
      <c r="ED133" s="368"/>
      <c r="EE133" s="368"/>
      <c r="EF133" s="368"/>
      <c r="EG133" s="368"/>
      <c r="EH133" s="368"/>
      <c r="EI133" s="368"/>
      <c r="EJ133" s="368"/>
      <c r="EK133" s="368"/>
      <c r="EL133" s="368"/>
      <c r="EM133" s="368"/>
      <c r="EN133" s="368"/>
      <c r="EO133" s="368"/>
      <c r="EP133" s="368"/>
      <c r="EQ133" s="368"/>
      <c r="ER133" s="368"/>
      <c r="ES133" s="368"/>
      <c r="ET133" s="368"/>
      <c r="EU133" s="368"/>
      <c r="EV133" s="368"/>
      <c r="EW133" s="368"/>
      <c r="EX133" s="368"/>
      <c r="EY133" s="368"/>
      <c r="EZ133" s="368"/>
      <c r="FA133" s="368"/>
      <c r="FB133" s="368"/>
      <c r="FC133" s="368"/>
      <c r="FD133" s="368"/>
      <c r="FE133" s="368"/>
      <c r="FF133" s="368"/>
      <c r="FG133" s="368"/>
      <c r="FH133" s="368"/>
      <c r="FI133" s="368"/>
      <c r="FJ133" s="368"/>
      <c r="FK133" s="368"/>
      <c r="FL133" s="368"/>
      <c r="FM133" s="368"/>
      <c r="FN133" s="368"/>
      <c r="FO133" s="368"/>
      <c r="FP133" s="368"/>
      <c r="FQ133" s="368"/>
      <c r="FR133" s="368"/>
      <c r="FS133" s="368"/>
      <c r="FT133" s="368"/>
      <c r="FU133" s="368"/>
      <c r="FV133" s="368"/>
      <c r="FW133" s="368"/>
      <c r="FX133" s="368"/>
      <c r="FY133" s="368"/>
      <c r="FZ133" s="368"/>
      <c r="GA133" s="368"/>
      <c r="GB133" s="368"/>
      <c r="GC133" s="368"/>
      <c r="GD133" s="368"/>
      <c r="GE133" s="368"/>
      <c r="GF133" s="368"/>
      <c r="GG133" s="368"/>
      <c r="GH133" s="368"/>
      <c r="GI133" s="368"/>
      <c r="GJ133" s="368"/>
      <c r="GK133" s="368"/>
      <c r="GL133" s="368"/>
      <c r="GM133" s="368"/>
      <c r="GN133" s="368"/>
      <c r="GO133" s="368"/>
      <c r="GP133" s="368"/>
      <c r="GQ133" s="368"/>
      <c r="GR133" s="368"/>
      <c r="GS133" s="368"/>
      <c r="GT133" s="368"/>
      <c r="GU133" s="368"/>
      <c r="GV133" s="368"/>
      <c r="GW133" s="368"/>
      <c r="GX133" s="368"/>
      <c r="GY133" s="368"/>
      <c r="GZ133" s="368"/>
      <c r="HA133" s="368"/>
      <c r="HB133" s="368"/>
      <c r="HC133" s="368"/>
      <c r="HD133" s="368"/>
      <c r="HE133" s="368"/>
      <c r="HF133" s="368"/>
      <c r="HG133" s="368"/>
      <c r="HH133" s="368"/>
      <c r="HI133" s="368"/>
      <c r="HJ133" s="368"/>
      <c r="HK133" s="368"/>
      <c r="HL133" s="368"/>
      <c r="HM133" s="368"/>
      <c r="HN133" s="368"/>
      <c r="HO133" s="368"/>
      <c r="HP133" s="368"/>
      <c r="HQ133" s="368"/>
      <c r="HR133" s="368"/>
      <c r="HS133" s="368"/>
      <c r="HT133" s="368"/>
      <c r="HU133" s="368"/>
      <c r="HV133" s="368"/>
      <c r="HW133" s="368"/>
      <c r="HX133" s="368"/>
      <c r="HY133" s="368"/>
      <c r="HZ133" s="368"/>
      <c r="IA133" s="368"/>
      <c r="IB133" s="368"/>
      <c r="IC133" s="368"/>
      <c r="ID133" s="368"/>
      <c r="IE133" s="368"/>
      <c r="IF133" s="368"/>
      <c r="IG133" s="368"/>
      <c r="IH133" s="368"/>
      <c r="II133" s="368"/>
      <c r="IJ133" s="368"/>
      <c r="IK133" s="368"/>
      <c r="IL133" s="368"/>
      <c r="IM133" s="368"/>
      <c r="IN133" s="368"/>
      <c r="IO133" s="368"/>
      <c r="IP133" s="368"/>
      <c r="IQ133" s="368"/>
      <c r="IR133" s="368"/>
      <c r="IS133" s="368"/>
      <c r="IT133" s="368"/>
      <c r="IU133" s="368"/>
      <c r="IV133" s="368"/>
      <c r="IW133" s="368"/>
      <c r="IX133" s="368"/>
      <c r="IY133" s="368"/>
      <c r="IZ133" s="368"/>
      <c r="JA133" s="368"/>
      <c r="JB133" s="368"/>
      <c r="JC133" s="368"/>
      <c r="JD133" s="368"/>
      <c r="JE133" s="368"/>
      <c r="JF133" s="368"/>
      <c r="JG133" s="368"/>
      <c r="JH133" s="368"/>
      <c r="JI133" s="368"/>
      <c r="JJ133" s="368"/>
      <c r="JK133" s="368"/>
      <c r="JL133" s="368"/>
      <c r="JM133" s="368"/>
      <c r="JN133" s="368"/>
      <c r="JO133" s="368"/>
      <c r="JP133" s="368"/>
      <c r="JQ133" s="368"/>
      <c r="JR133" s="368"/>
      <c r="JS133" s="368"/>
      <c r="JT133" s="368"/>
      <c r="JU133" s="368"/>
      <c r="JV133" s="368"/>
      <c r="JW133" s="368"/>
      <c r="JX133" s="368"/>
      <c r="JY133" s="368"/>
      <c r="JZ133" s="368"/>
      <c r="KA133" s="368"/>
      <c r="KB133" s="368"/>
      <c r="KC133" s="368"/>
      <c r="KD133" s="368"/>
      <c r="KE133" s="368"/>
      <c r="KF133" s="368"/>
      <c r="KG133" s="368"/>
      <c r="KH133" s="368"/>
      <c r="KI133" s="368"/>
      <c r="KJ133" s="368"/>
      <c r="KK133" s="368"/>
      <c r="KL133" s="368"/>
      <c r="KM133" s="368"/>
      <c r="KN133" s="368"/>
      <c r="KO133" s="368"/>
      <c r="KP133" s="368"/>
      <c r="KQ133" s="368"/>
      <c r="KR133" s="368"/>
      <c r="KS133" s="368"/>
      <c r="KT133" s="368"/>
      <c r="KU133" s="368"/>
      <c r="KV133" s="368"/>
      <c r="KW133" s="368"/>
      <c r="KX133" s="368"/>
      <c r="KY133" s="368"/>
      <c r="KZ133" s="368"/>
      <c r="LA133" s="368"/>
      <c r="LB133" s="368"/>
      <c r="LC133" s="368"/>
      <c r="LD133" s="368"/>
      <c r="LE133" s="368"/>
      <c r="LF133" s="368"/>
      <c r="LG133" s="368"/>
      <c r="LH133" s="368"/>
      <c r="LI133" s="368"/>
      <c r="LJ133" s="368"/>
      <c r="LK133" s="368"/>
      <c r="LL133" s="368"/>
      <c r="LM133" s="368"/>
      <c r="LN133" s="368"/>
      <c r="LO133" s="368"/>
      <c r="LP133" s="368"/>
      <c r="LQ133" s="368"/>
      <c r="LR133" s="368"/>
      <c r="LS133" s="368"/>
      <c r="LT133" s="368"/>
      <c r="LU133" s="368"/>
      <c r="LV133" s="368"/>
      <c r="LW133" s="368"/>
      <c r="LX133" s="368"/>
      <c r="LY133" s="368"/>
      <c r="LZ133" s="368"/>
      <c r="MA133" s="368"/>
      <c r="MB133" s="368"/>
      <c r="MC133" s="368"/>
      <c r="MD133" s="368"/>
      <c r="ME133" s="368"/>
      <c r="MF133" s="368"/>
      <c r="MG133" s="368"/>
      <c r="MH133" s="368"/>
      <c r="MI133" s="368"/>
      <c r="MJ133" s="368"/>
      <c r="MK133" s="368"/>
      <c r="ML133" s="368"/>
      <c r="MM133" s="368"/>
      <c r="MN133" s="368"/>
      <c r="MO133" s="368"/>
      <c r="MP133" s="368"/>
      <c r="MQ133" s="368"/>
      <c r="MR133" s="368"/>
      <c r="MS133" s="368"/>
      <c r="MT133" s="368"/>
      <c r="MU133" s="368"/>
      <c r="MV133" s="368"/>
      <c r="MW133" s="368"/>
      <c r="MX133" s="368"/>
      <c r="MY133" s="368"/>
      <c r="MZ133" s="368"/>
      <c r="NA133" s="368"/>
      <c r="NB133" s="368"/>
      <c r="NC133" s="368"/>
      <c r="ND133" s="368"/>
      <c r="NE133" s="368"/>
      <c r="NF133" s="368"/>
      <c r="NG133" s="368"/>
      <c r="NH133" s="368"/>
      <c r="NI133" s="368"/>
      <c r="NJ133" s="368"/>
      <c r="NK133" s="368"/>
      <c r="NL133" s="368"/>
      <c r="NM133" s="368"/>
      <c r="NN133" s="368"/>
      <c r="NO133" s="368"/>
      <c r="NP133" s="368"/>
      <c r="NQ133" s="368"/>
      <c r="NR133" s="368"/>
      <c r="NS133" s="368"/>
      <c r="NT133" s="368"/>
      <c r="NU133" s="368"/>
      <c r="NV133" s="368"/>
      <c r="NW133" s="368"/>
      <c r="NX133" s="368"/>
      <c r="NY133" s="368"/>
      <c r="NZ133" s="368"/>
      <c r="OA133" s="368"/>
      <c r="OB133" s="368"/>
      <c r="OC133" s="368"/>
      <c r="OD133" s="368"/>
      <c r="OE133" s="368"/>
      <c r="OF133" s="368"/>
      <c r="OG133" s="368"/>
      <c r="OH133" s="368"/>
      <c r="OI133" s="368"/>
      <c r="OJ133" s="368"/>
      <c r="OK133" s="368"/>
      <c r="OL133" s="368"/>
      <c r="OM133" s="368"/>
      <c r="ON133" s="368"/>
      <c r="OO133" s="368"/>
      <c r="OP133" s="368"/>
      <c r="OQ133" s="368"/>
      <c r="OR133" s="368"/>
      <c r="OS133" s="368"/>
      <c r="OT133" s="368"/>
      <c r="OU133" s="368"/>
      <c r="OV133" s="368"/>
      <c r="OW133" s="368"/>
      <c r="OX133" s="368"/>
      <c r="OY133" s="368"/>
      <c r="OZ133" s="368"/>
      <c r="PA133" s="368"/>
      <c r="PB133" s="368"/>
      <c r="PC133" s="368"/>
      <c r="PD133" s="368"/>
      <c r="PE133" s="368"/>
      <c r="PF133" s="368"/>
      <c r="PG133" s="368"/>
      <c r="PH133" s="368"/>
      <c r="PI133" s="368"/>
      <c r="PJ133" s="368"/>
      <c r="PK133" s="368"/>
      <c r="PL133" s="368"/>
      <c r="PM133" s="368"/>
      <c r="PN133" s="368"/>
      <c r="PO133" s="368"/>
      <c r="PP133" s="368"/>
      <c r="PQ133" s="368"/>
      <c r="PR133" s="368"/>
      <c r="PS133" s="368"/>
      <c r="PT133" s="368"/>
      <c r="PU133" s="368"/>
      <c r="PV133" s="368"/>
      <c r="PW133" s="368"/>
      <c r="PX133" s="368"/>
      <c r="PY133" s="368"/>
      <c r="PZ133" s="368"/>
      <c r="QA133" s="368"/>
      <c r="QB133" s="368"/>
      <c r="QC133" s="368"/>
      <c r="QD133" s="368"/>
      <c r="QE133" s="368"/>
      <c r="QF133" s="368"/>
      <c r="QG133" s="368"/>
      <c r="QH133" s="368"/>
      <c r="QI133" s="368"/>
      <c r="QJ133" s="368"/>
      <c r="QK133" s="368"/>
      <c r="QL133" s="368"/>
      <c r="QM133" s="368"/>
      <c r="QN133" s="368"/>
      <c r="QO133" s="368"/>
      <c r="QP133" s="368"/>
      <c r="QQ133" s="368"/>
      <c r="QR133" s="368"/>
      <c r="QS133" s="368"/>
      <c r="QT133" s="368"/>
      <c r="QU133" s="368"/>
      <c r="QV133" s="368"/>
      <c r="QW133" s="368"/>
      <c r="QX133" s="368"/>
      <c r="QY133" s="368"/>
      <c r="QZ133" s="368"/>
      <c r="RA133" s="368"/>
      <c r="RB133" s="368"/>
      <c r="RC133" s="368"/>
      <c r="RD133" s="368"/>
      <c r="RE133" s="368"/>
      <c r="RF133" s="368"/>
      <c r="RG133" s="368"/>
      <c r="RH133" s="368"/>
      <c r="RI133" s="368"/>
      <c r="RJ133" s="368"/>
      <c r="RK133" s="368"/>
      <c r="RL133" s="368"/>
      <c r="RM133" s="368"/>
      <c r="RN133" s="368"/>
      <c r="RO133" s="368"/>
      <c r="RP133" s="368"/>
      <c r="RQ133" s="368"/>
      <c r="RR133" s="368"/>
      <c r="RS133" s="368"/>
      <c r="RT133" s="368"/>
      <c r="RU133" s="368"/>
      <c r="RV133" s="368"/>
      <c r="RW133" s="368"/>
      <c r="RX133" s="368"/>
      <c r="RY133" s="368"/>
      <c r="RZ133" s="368"/>
      <c r="SA133" s="368"/>
      <c r="SB133" s="368"/>
      <c r="SC133" s="368"/>
      <c r="SD133" s="368"/>
      <c r="SE133" s="368"/>
      <c r="SF133" s="368"/>
      <c r="SG133" s="368"/>
      <c r="SH133" s="368"/>
      <c r="SI133" s="368"/>
      <c r="SJ133" s="368"/>
      <c r="SK133" s="368"/>
      <c r="SL133" s="368"/>
      <c r="SM133" s="368"/>
      <c r="SN133" s="368"/>
      <c r="SO133" s="368"/>
      <c r="SP133" s="368"/>
      <c r="SQ133" s="368"/>
      <c r="SR133" s="368"/>
      <c r="SS133" s="368"/>
      <c r="ST133" s="368"/>
      <c r="SU133" s="368"/>
      <c r="SV133" s="368"/>
      <c r="SW133" s="368"/>
      <c r="SX133" s="368"/>
      <c r="SY133" s="368"/>
      <c r="SZ133" s="368"/>
      <c r="TA133" s="368"/>
      <c r="TB133" s="368"/>
      <c r="TC133" s="368"/>
      <c r="TD133" s="368"/>
      <c r="TE133" s="368"/>
      <c r="TF133" s="368"/>
      <c r="TG133" s="368"/>
      <c r="TH133" s="368"/>
      <c r="TI133" s="368"/>
      <c r="TJ133" s="368"/>
      <c r="TK133" s="368"/>
      <c r="TL133" s="368"/>
      <c r="TM133" s="368"/>
      <c r="TN133" s="368"/>
      <c r="TO133" s="368"/>
      <c r="TP133" s="368"/>
      <c r="TQ133" s="368"/>
      <c r="TR133" s="368"/>
      <c r="TS133" s="368"/>
      <c r="TT133" s="368"/>
      <c r="TU133" s="368"/>
      <c r="TV133" s="368"/>
      <c r="TW133" s="368"/>
      <c r="TX133" s="368"/>
      <c r="TY133" s="368"/>
      <c r="TZ133" s="368"/>
      <c r="UA133" s="368"/>
      <c r="UB133" s="368"/>
      <c r="UC133" s="368"/>
      <c r="UD133" s="368"/>
      <c r="UE133" s="368"/>
      <c r="UF133" s="368"/>
      <c r="UG133" s="368"/>
      <c r="UH133" s="368"/>
      <c r="UI133" s="368"/>
      <c r="UJ133" s="368"/>
      <c r="UK133" s="368"/>
      <c r="UL133" s="368"/>
      <c r="UM133" s="368"/>
      <c r="UN133" s="368"/>
      <c r="UO133" s="368"/>
      <c r="UP133" s="368"/>
      <c r="UQ133" s="368"/>
      <c r="UR133" s="368"/>
      <c r="US133" s="368"/>
      <c r="UT133" s="368"/>
      <c r="UU133" s="368"/>
      <c r="UV133" s="368"/>
      <c r="UW133" s="368"/>
      <c r="UX133" s="368"/>
      <c r="UY133" s="368"/>
      <c r="UZ133" s="368"/>
      <c r="VA133" s="368"/>
      <c r="VB133" s="368"/>
      <c r="VC133" s="368"/>
      <c r="VD133" s="368"/>
      <c r="VE133" s="368"/>
      <c r="VF133" s="368"/>
      <c r="VG133" s="368"/>
      <c r="VH133" s="368"/>
      <c r="VI133" s="368"/>
      <c r="VJ133" s="368"/>
      <c r="VK133" s="368"/>
      <c r="VL133" s="368"/>
      <c r="VM133" s="368"/>
      <c r="VN133" s="368"/>
      <c r="VO133" s="368"/>
      <c r="VP133" s="368"/>
      <c r="VQ133" s="368"/>
      <c r="VR133" s="368"/>
      <c r="VS133" s="368"/>
      <c r="VT133" s="368"/>
      <c r="VU133" s="368"/>
      <c r="VV133" s="368"/>
      <c r="VW133" s="368"/>
      <c r="VX133" s="368"/>
      <c r="VY133" s="368"/>
      <c r="VZ133" s="368"/>
      <c r="WA133" s="368"/>
      <c r="WB133" s="368"/>
      <c r="WC133" s="368"/>
      <c r="WD133" s="368"/>
      <c r="WE133" s="368"/>
      <c r="WF133" s="368"/>
      <c r="WG133" s="368"/>
      <c r="WH133" s="368"/>
      <c r="WI133" s="368"/>
      <c r="WJ133" s="368"/>
      <c r="WK133" s="368"/>
      <c r="WL133" s="368"/>
      <c r="WM133" s="368"/>
      <c r="WN133" s="368"/>
      <c r="WO133" s="368"/>
      <c r="WP133" s="368"/>
      <c r="WQ133" s="368"/>
      <c r="WR133" s="368"/>
      <c r="WS133" s="368"/>
      <c r="WT133" s="368"/>
      <c r="WU133" s="368"/>
      <c r="WV133" s="368"/>
      <c r="WW133" s="368"/>
      <c r="WX133" s="368"/>
      <c r="WY133" s="368"/>
      <c r="WZ133" s="368"/>
      <c r="XA133" s="368"/>
      <c r="XB133" s="368"/>
      <c r="XC133" s="368"/>
      <c r="XD133" s="368"/>
      <c r="XE133" s="368"/>
      <c r="XF133" s="368"/>
      <c r="XG133" s="368"/>
      <c r="XH133" s="368"/>
      <c r="XI133" s="368"/>
      <c r="XJ133" s="368"/>
      <c r="XK133" s="368"/>
      <c r="XL133" s="368"/>
      <c r="XM133" s="368"/>
      <c r="XN133" s="368"/>
      <c r="XO133" s="368"/>
      <c r="XP133" s="368"/>
      <c r="XQ133" s="368"/>
      <c r="XR133" s="368"/>
      <c r="XS133" s="368"/>
      <c r="XT133" s="368"/>
      <c r="XU133" s="368"/>
      <c r="XV133" s="368"/>
      <c r="XW133" s="368"/>
      <c r="XX133" s="368"/>
      <c r="XY133" s="368"/>
      <c r="XZ133" s="368"/>
      <c r="YA133" s="368"/>
      <c r="YB133" s="368"/>
      <c r="YC133" s="368"/>
      <c r="YD133" s="368"/>
      <c r="YE133" s="368"/>
      <c r="YF133" s="368"/>
      <c r="YG133" s="368"/>
      <c r="YH133" s="368"/>
      <c r="YI133" s="368"/>
      <c r="YJ133" s="368"/>
      <c r="YK133" s="368"/>
      <c r="YL133" s="368"/>
      <c r="YM133" s="368"/>
      <c r="YN133" s="368"/>
      <c r="YO133" s="368"/>
      <c r="YP133" s="368"/>
      <c r="YQ133" s="368"/>
      <c r="YR133" s="368"/>
      <c r="YS133" s="368"/>
      <c r="YT133" s="368"/>
      <c r="YU133" s="368"/>
      <c r="YV133" s="368"/>
      <c r="YW133" s="368"/>
      <c r="YX133" s="368"/>
      <c r="YY133" s="368"/>
      <c r="YZ133" s="368"/>
      <c r="ZA133" s="368"/>
      <c r="ZB133" s="368"/>
      <c r="ZC133" s="368"/>
      <c r="ZD133" s="368"/>
      <c r="ZE133" s="368"/>
      <c r="ZF133" s="368"/>
      <c r="ZG133" s="368"/>
      <c r="ZH133" s="368"/>
      <c r="ZI133" s="368"/>
      <c r="ZJ133" s="368"/>
      <c r="ZK133" s="368"/>
      <c r="ZL133" s="368"/>
      <c r="ZM133" s="368"/>
      <c r="ZN133" s="368"/>
      <c r="ZO133" s="368"/>
      <c r="ZP133" s="368"/>
      <c r="ZQ133" s="368"/>
      <c r="ZR133" s="368"/>
      <c r="ZS133" s="368"/>
      <c r="ZT133" s="368"/>
      <c r="ZU133" s="368"/>
      <c r="ZV133" s="368"/>
      <c r="ZW133" s="368"/>
      <c r="ZX133" s="368"/>
      <c r="ZY133" s="368"/>
      <c r="ZZ133" s="368"/>
      <c r="AAA133" s="368"/>
      <c r="AAB133" s="368"/>
      <c r="AAC133" s="368"/>
      <c r="AAD133" s="368"/>
      <c r="AAE133" s="368"/>
      <c r="AAF133" s="368"/>
      <c r="AAG133" s="368"/>
      <c r="AAH133" s="368"/>
      <c r="AAI133" s="368"/>
      <c r="AAJ133" s="368"/>
      <c r="AAK133" s="368"/>
      <c r="AAL133" s="368"/>
      <c r="AAM133" s="368"/>
      <c r="AAN133" s="368"/>
      <c r="AAO133" s="368"/>
      <c r="AAP133" s="368"/>
      <c r="AAQ133" s="368"/>
      <c r="AAR133" s="368"/>
      <c r="AAS133" s="368"/>
      <c r="AAT133" s="368"/>
      <c r="AAU133" s="368"/>
      <c r="AAV133" s="368"/>
      <c r="AAW133" s="368"/>
      <c r="AAX133" s="368"/>
      <c r="AAY133" s="368"/>
      <c r="AAZ133" s="368"/>
      <c r="ABA133" s="368"/>
      <c r="ABB133" s="368"/>
      <c r="ABC133" s="368"/>
      <c r="ABD133" s="368"/>
      <c r="ABE133" s="368"/>
      <c r="ABF133" s="368"/>
      <c r="ABG133" s="368"/>
      <c r="ABH133" s="368"/>
      <c r="ABI133" s="368"/>
      <c r="ABJ133" s="368"/>
      <c r="ABK133" s="368"/>
      <c r="ABL133" s="368"/>
      <c r="ABM133" s="368"/>
      <c r="ABN133" s="368"/>
      <c r="ABO133" s="368"/>
      <c r="ABP133" s="368"/>
      <c r="ABQ133" s="368"/>
      <c r="ABR133" s="368"/>
      <c r="ABS133" s="368"/>
      <c r="ABT133" s="368"/>
      <c r="ABU133" s="368"/>
      <c r="ABV133" s="368"/>
      <c r="ABW133" s="368"/>
      <c r="ABX133" s="368"/>
      <c r="ABY133" s="368"/>
      <c r="ABZ133" s="368"/>
      <c r="ACA133" s="368"/>
      <c r="ACB133" s="368"/>
      <c r="ACC133" s="368"/>
      <c r="ACD133" s="368"/>
      <c r="ACE133" s="368"/>
      <c r="ACF133" s="368"/>
      <c r="ACG133" s="368"/>
      <c r="ACH133" s="368"/>
      <c r="ACI133" s="368"/>
      <c r="ACJ133" s="368"/>
      <c r="ACK133" s="368"/>
      <c r="ACL133" s="368"/>
      <c r="ACM133" s="368"/>
      <c r="ACN133" s="368"/>
      <c r="ACO133" s="368"/>
      <c r="ACP133" s="368"/>
      <c r="ACQ133" s="368"/>
      <c r="ACR133" s="368"/>
      <c r="ACS133" s="368"/>
      <c r="ACT133" s="368"/>
      <c r="ACU133" s="368"/>
      <c r="ACV133" s="368"/>
      <c r="ACW133" s="368"/>
      <c r="ACX133" s="368"/>
      <c r="ACY133" s="368"/>
      <c r="ACZ133" s="368"/>
      <c r="ADA133" s="368"/>
      <c r="ADB133" s="368"/>
      <c r="ADC133" s="368"/>
      <c r="ADD133" s="368"/>
      <c r="ADE133" s="368"/>
      <c r="ADF133" s="368"/>
      <c r="ADG133" s="368"/>
      <c r="ADH133" s="368"/>
      <c r="ADI133" s="368"/>
      <c r="ADJ133" s="368"/>
      <c r="ADK133" s="368"/>
      <c r="ADL133" s="368"/>
      <c r="ADM133" s="368"/>
      <c r="ADN133" s="368"/>
      <c r="ADO133" s="368"/>
      <c r="ADP133" s="368"/>
      <c r="ADQ133" s="368"/>
      <c r="ADR133" s="368"/>
      <c r="ADS133" s="368"/>
      <c r="ADT133" s="368"/>
      <c r="ADU133" s="368"/>
      <c r="ADV133" s="368"/>
      <c r="ADW133" s="368"/>
      <c r="ADX133" s="368"/>
      <c r="ADY133" s="368"/>
      <c r="ADZ133" s="368"/>
      <c r="AEA133" s="368"/>
      <c r="AEB133" s="368"/>
      <c r="AEC133" s="368"/>
      <c r="AED133" s="368"/>
      <c r="AEE133" s="368"/>
      <c r="AEF133" s="368"/>
      <c r="AEG133" s="368"/>
      <c r="AEH133" s="368"/>
      <c r="AEI133" s="368"/>
      <c r="AEJ133" s="368"/>
      <c r="AEK133" s="368"/>
      <c r="AEL133" s="368"/>
      <c r="AEM133" s="368"/>
      <c r="AEN133" s="368"/>
      <c r="AEO133" s="368"/>
      <c r="AEP133" s="368"/>
      <c r="AEQ133" s="368"/>
      <c r="AER133" s="368"/>
      <c r="AES133" s="368"/>
      <c r="AET133" s="368"/>
      <c r="AEU133" s="368"/>
      <c r="AEV133" s="368"/>
      <c r="AEW133" s="368"/>
      <c r="AEX133" s="368"/>
      <c r="AEY133" s="368"/>
      <c r="AEZ133" s="368"/>
      <c r="AFA133" s="368"/>
      <c r="AFB133" s="368"/>
      <c r="AFC133" s="368"/>
      <c r="AFD133" s="368"/>
      <c r="AFE133" s="368"/>
      <c r="AFF133" s="368"/>
      <c r="AFG133" s="368"/>
      <c r="AFH133" s="368"/>
      <c r="AFI133" s="368"/>
      <c r="AFJ133" s="368"/>
      <c r="AFK133" s="368"/>
      <c r="AFL133" s="368"/>
      <c r="AFM133" s="368"/>
      <c r="AFN133" s="368"/>
      <c r="AFO133" s="368"/>
      <c r="AFP133" s="368"/>
      <c r="AFQ133" s="368"/>
      <c r="AFR133" s="368"/>
      <c r="AFS133" s="368"/>
      <c r="AFT133" s="368"/>
      <c r="AFU133" s="368"/>
      <c r="AFV133" s="368"/>
      <c r="AFW133" s="368"/>
      <c r="AFX133" s="368"/>
      <c r="AFY133" s="368"/>
      <c r="AFZ133" s="368"/>
      <c r="AGA133" s="368"/>
      <c r="AGB133" s="368"/>
      <c r="AGC133" s="368"/>
      <c r="AGD133" s="368"/>
      <c r="AGE133" s="368"/>
      <c r="AGF133" s="368"/>
      <c r="AGG133" s="368"/>
      <c r="AGH133" s="368"/>
      <c r="AGI133" s="368"/>
      <c r="AGJ133" s="368"/>
      <c r="AGK133" s="368"/>
      <c r="AGL133" s="368"/>
      <c r="AGM133" s="368"/>
      <c r="AGN133" s="368"/>
      <c r="AGO133" s="368"/>
      <c r="AGP133" s="368"/>
      <c r="AGQ133" s="368"/>
      <c r="AGR133" s="368"/>
      <c r="AGS133" s="368"/>
      <c r="AGT133" s="368"/>
      <c r="AGU133" s="368"/>
      <c r="AGV133" s="368"/>
      <c r="AGW133" s="368"/>
      <c r="AGX133" s="368"/>
      <c r="AGY133" s="368"/>
      <c r="AGZ133" s="368"/>
      <c r="AHA133" s="368"/>
      <c r="AHB133" s="368"/>
      <c r="AHC133" s="368"/>
      <c r="AHD133" s="368"/>
      <c r="AHE133" s="368"/>
      <c r="AHF133" s="368"/>
      <c r="AHG133" s="368"/>
      <c r="AHH133" s="368"/>
      <c r="AHI133" s="368"/>
      <c r="AHJ133" s="368"/>
      <c r="AHK133" s="368"/>
      <c r="AHL133" s="368"/>
      <c r="AHM133" s="368"/>
      <c r="AHN133" s="368"/>
      <c r="AHO133" s="368"/>
      <c r="AHP133" s="368"/>
      <c r="AHQ133" s="368"/>
      <c r="AHR133" s="368"/>
      <c r="AHS133" s="368"/>
      <c r="AHT133" s="368"/>
      <c r="AHU133" s="368"/>
      <c r="AHV133" s="368"/>
      <c r="AHW133" s="368"/>
      <c r="AHX133" s="368"/>
      <c r="AHY133" s="368"/>
      <c r="AHZ133" s="368"/>
      <c r="AIA133" s="368"/>
      <c r="AIB133" s="368"/>
      <c r="AIC133" s="368"/>
      <c r="AID133" s="368"/>
      <c r="AIE133" s="368"/>
      <c r="AIF133" s="368"/>
      <c r="AIG133" s="368"/>
      <c r="AIH133" s="368"/>
      <c r="AII133" s="368"/>
      <c r="AIJ133" s="368"/>
      <c r="AIK133" s="368"/>
      <c r="AIL133" s="368"/>
      <c r="AIM133" s="368"/>
      <c r="AIN133" s="368"/>
      <c r="AIO133" s="368"/>
      <c r="AIP133" s="368"/>
      <c r="AIQ133" s="368"/>
      <c r="AIR133" s="368"/>
      <c r="AIS133" s="368"/>
      <c r="AIT133" s="368"/>
      <c r="AIU133" s="368"/>
      <c r="AIV133" s="368"/>
      <c r="AIW133" s="368"/>
      <c r="AIX133" s="368"/>
      <c r="AIY133" s="368"/>
      <c r="AIZ133" s="368"/>
      <c r="AJA133" s="368"/>
      <c r="AJB133" s="368"/>
      <c r="AJC133" s="368"/>
      <c r="AJD133" s="368"/>
      <c r="AJE133" s="368"/>
      <c r="AJF133" s="368"/>
      <c r="AJG133" s="368"/>
      <c r="AJH133" s="368"/>
      <c r="AJI133" s="368"/>
      <c r="AJJ133" s="368"/>
      <c r="AJK133" s="368"/>
      <c r="AJL133" s="368"/>
      <c r="AJM133" s="368"/>
      <c r="AJN133" s="368"/>
      <c r="AJO133" s="368"/>
      <c r="AJP133" s="368"/>
      <c r="AJQ133" s="368"/>
      <c r="AJR133" s="368"/>
      <c r="AJS133" s="368"/>
      <c r="AJT133" s="368"/>
      <c r="AJU133" s="368"/>
      <c r="AJV133" s="368"/>
      <c r="AJW133" s="368"/>
      <c r="AJX133" s="368"/>
      <c r="AJY133" s="368"/>
      <c r="AJZ133" s="368"/>
      <c r="AKA133" s="368"/>
      <c r="AKB133" s="368"/>
      <c r="AKC133" s="368"/>
      <c r="AKD133" s="368"/>
      <c r="AKE133" s="368"/>
      <c r="AKF133" s="368"/>
      <c r="AKG133" s="368"/>
      <c r="AKH133" s="368"/>
      <c r="AKI133" s="368"/>
      <c r="AKJ133" s="368"/>
      <c r="AKK133" s="368"/>
      <c r="AKL133" s="368"/>
      <c r="AKM133" s="368"/>
      <c r="AKN133" s="368"/>
    </row>
    <row r="134" spans="1:976" s="369" customFormat="1" ht="22.5" customHeight="1" x14ac:dyDescent="0.2">
      <c r="A134" s="352" t="s">
        <v>262</v>
      </c>
      <c r="B134" s="352"/>
      <c r="C134" s="352" t="s">
        <v>221</v>
      </c>
      <c r="D134" s="352" t="s">
        <v>222</v>
      </c>
      <c r="E134" s="353">
        <v>414171</v>
      </c>
      <c r="F134" s="353">
        <v>1790</v>
      </c>
      <c r="G134" s="353">
        <v>282</v>
      </c>
      <c r="H134" s="353">
        <v>0</v>
      </c>
      <c r="I134" s="354">
        <v>45889</v>
      </c>
      <c r="J134" s="352" t="s">
        <v>395</v>
      </c>
      <c r="K134" s="352" t="s">
        <v>646</v>
      </c>
      <c r="L134" s="355">
        <v>26.4</v>
      </c>
      <c r="M134" s="355">
        <v>1.45</v>
      </c>
      <c r="N134" s="449">
        <v>27.85</v>
      </c>
      <c r="O134" s="352"/>
      <c r="P134" s="356">
        <v>45903</v>
      </c>
      <c r="Q134" s="355">
        <v>27.85</v>
      </c>
      <c r="R134" s="352" t="s">
        <v>469</v>
      </c>
      <c r="S134" s="355">
        <v>0</v>
      </c>
      <c r="T134" s="355">
        <v>0</v>
      </c>
      <c r="U134" s="355">
        <v>0</v>
      </c>
      <c r="V134" s="355">
        <v>0</v>
      </c>
      <c r="W134" s="352"/>
      <c r="X134" s="352" t="s">
        <v>266</v>
      </c>
      <c r="Y134" s="352" t="s">
        <v>267</v>
      </c>
      <c r="Z134" s="352" t="s">
        <v>42</v>
      </c>
      <c r="AA134" s="352" t="s">
        <v>228</v>
      </c>
      <c r="AB134" s="352" t="s">
        <v>34</v>
      </c>
      <c r="AC134" s="352" t="s">
        <v>43</v>
      </c>
      <c r="AD134" s="352" t="s">
        <v>231</v>
      </c>
      <c r="AE134" s="352" t="s">
        <v>232</v>
      </c>
      <c r="AF134" s="352" t="s">
        <v>231</v>
      </c>
      <c r="AG134" s="352" t="s">
        <v>232</v>
      </c>
      <c r="AH134" s="352"/>
      <c r="AI134" s="352"/>
      <c r="AJ134" s="352"/>
      <c r="AK134" s="352" t="s">
        <v>647</v>
      </c>
      <c r="AL134" s="353">
        <v>1</v>
      </c>
      <c r="AM134" s="353">
        <v>0</v>
      </c>
      <c r="AN134" s="354">
        <v>45902</v>
      </c>
      <c r="AO134" s="354">
        <v>45902</v>
      </c>
      <c r="AP134" s="355">
        <v>27.85</v>
      </c>
      <c r="AQ134" s="354">
        <v>45901</v>
      </c>
      <c r="AR134" s="368"/>
      <c r="AS134" s="368"/>
      <c r="AT134" s="368"/>
      <c r="AU134" s="368"/>
      <c r="AV134" s="368"/>
      <c r="AW134" s="368"/>
      <c r="AX134" s="368"/>
      <c r="AY134" s="368"/>
      <c r="AZ134" s="368"/>
      <c r="BA134" s="368"/>
      <c r="BB134" s="368"/>
      <c r="BC134" s="368"/>
      <c r="BD134" s="368"/>
      <c r="BE134" s="368"/>
      <c r="BF134" s="368"/>
      <c r="BG134" s="368"/>
      <c r="BH134" s="368"/>
      <c r="BI134" s="368"/>
      <c r="BJ134" s="368"/>
      <c r="BK134" s="368"/>
      <c r="BL134" s="368"/>
      <c r="BM134" s="368"/>
      <c r="BN134" s="368"/>
      <c r="BO134" s="368"/>
      <c r="BP134" s="368"/>
      <c r="BQ134" s="368"/>
      <c r="BR134" s="368"/>
      <c r="BS134" s="368"/>
      <c r="BT134" s="368"/>
      <c r="BU134" s="368"/>
      <c r="BV134" s="368"/>
      <c r="BW134" s="368"/>
      <c r="BX134" s="368"/>
      <c r="BY134" s="368"/>
      <c r="BZ134" s="368"/>
      <c r="CA134" s="368"/>
      <c r="CB134" s="368"/>
      <c r="CC134" s="368"/>
      <c r="CD134" s="368"/>
      <c r="CE134" s="368"/>
      <c r="CF134" s="368"/>
      <c r="CG134" s="368"/>
      <c r="CH134" s="368"/>
      <c r="CI134" s="368"/>
      <c r="CJ134" s="368"/>
      <c r="CK134" s="368"/>
      <c r="CL134" s="368"/>
      <c r="CM134" s="368"/>
      <c r="CN134" s="368"/>
      <c r="CO134" s="368"/>
      <c r="CP134" s="368"/>
      <c r="CQ134" s="368"/>
      <c r="CR134" s="368"/>
      <c r="CS134" s="368"/>
      <c r="CT134" s="368"/>
      <c r="CU134" s="368"/>
      <c r="CV134" s="368"/>
      <c r="CW134" s="368"/>
      <c r="CX134" s="368"/>
      <c r="CY134" s="368"/>
      <c r="CZ134" s="368"/>
      <c r="DA134" s="368"/>
      <c r="DB134" s="368"/>
      <c r="DC134" s="368"/>
      <c r="DD134" s="368"/>
      <c r="DE134" s="368"/>
      <c r="DF134" s="368"/>
      <c r="DG134" s="368"/>
      <c r="DH134" s="368"/>
      <c r="DI134" s="368"/>
      <c r="DJ134" s="368"/>
      <c r="DK134" s="368"/>
      <c r="DL134" s="368"/>
      <c r="DM134" s="368"/>
      <c r="DN134" s="368"/>
      <c r="DO134" s="368"/>
      <c r="DP134" s="368"/>
      <c r="DQ134" s="368"/>
      <c r="DR134" s="368"/>
      <c r="DS134" s="368"/>
      <c r="DT134" s="368"/>
      <c r="DU134" s="368"/>
      <c r="DV134" s="368"/>
      <c r="DW134" s="368"/>
      <c r="DX134" s="368"/>
      <c r="DY134" s="368"/>
      <c r="DZ134" s="368"/>
      <c r="EA134" s="368"/>
      <c r="EB134" s="368"/>
      <c r="EC134" s="368"/>
      <c r="ED134" s="368"/>
      <c r="EE134" s="368"/>
      <c r="EF134" s="368"/>
      <c r="EG134" s="368"/>
      <c r="EH134" s="368"/>
      <c r="EI134" s="368"/>
      <c r="EJ134" s="368"/>
      <c r="EK134" s="368"/>
      <c r="EL134" s="368"/>
      <c r="EM134" s="368"/>
      <c r="EN134" s="368"/>
      <c r="EO134" s="368"/>
      <c r="EP134" s="368"/>
      <c r="EQ134" s="368"/>
      <c r="ER134" s="368"/>
      <c r="ES134" s="368"/>
      <c r="ET134" s="368"/>
      <c r="EU134" s="368"/>
      <c r="EV134" s="368"/>
      <c r="EW134" s="368"/>
      <c r="EX134" s="368"/>
      <c r="EY134" s="368"/>
      <c r="EZ134" s="368"/>
      <c r="FA134" s="368"/>
      <c r="FB134" s="368"/>
      <c r="FC134" s="368"/>
      <c r="FD134" s="368"/>
      <c r="FE134" s="368"/>
      <c r="FF134" s="368"/>
      <c r="FG134" s="368"/>
      <c r="FH134" s="368"/>
      <c r="FI134" s="368"/>
      <c r="FJ134" s="368"/>
      <c r="FK134" s="368"/>
      <c r="FL134" s="368"/>
      <c r="FM134" s="368"/>
      <c r="FN134" s="368"/>
      <c r="FO134" s="368"/>
      <c r="FP134" s="368"/>
      <c r="FQ134" s="368"/>
      <c r="FR134" s="368"/>
      <c r="FS134" s="368"/>
      <c r="FT134" s="368"/>
      <c r="FU134" s="368"/>
      <c r="FV134" s="368"/>
      <c r="FW134" s="368"/>
      <c r="FX134" s="368"/>
      <c r="FY134" s="368"/>
      <c r="FZ134" s="368"/>
      <c r="GA134" s="368"/>
      <c r="GB134" s="368"/>
      <c r="GC134" s="368"/>
      <c r="GD134" s="368"/>
      <c r="GE134" s="368"/>
      <c r="GF134" s="368"/>
      <c r="GG134" s="368"/>
      <c r="GH134" s="368"/>
      <c r="GI134" s="368"/>
      <c r="GJ134" s="368"/>
      <c r="GK134" s="368"/>
      <c r="GL134" s="368"/>
      <c r="GM134" s="368"/>
      <c r="GN134" s="368"/>
      <c r="GO134" s="368"/>
      <c r="GP134" s="368"/>
      <c r="GQ134" s="368"/>
      <c r="GR134" s="368"/>
      <c r="GS134" s="368"/>
      <c r="GT134" s="368"/>
      <c r="GU134" s="368"/>
      <c r="GV134" s="368"/>
      <c r="GW134" s="368"/>
      <c r="GX134" s="368"/>
      <c r="GY134" s="368"/>
      <c r="GZ134" s="368"/>
      <c r="HA134" s="368"/>
      <c r="HB134" s="368"/>
      <c r="HC134" s="368"/>
      <c r="HD134" s="368"/>
      <c r="HE134" s="368"/>
      <c r="HF134" s="368"/>
      <c r="HG134" s="368"/>
      <c r="HH134" s="368"/>
      <c r="HI134" s="368"/>
      <c r="HJ134" s="368"/>
      <c r="HK134" s="368"/>
      <c r="HL134" s="368"/>
      <c r="HM134" s="368"/>
      <c r="HN134" s="368"/>
      <c r="HO134" s="368"/>
      <c r="HP134" s="368"/>
      <c r="HQ134" s="368"/>
      <c r="HR134" s="368"/>
      <c r="HS134" s="368"/>
      <c r="HT134" s="368"/>
      <c r="HU134" s="368"/>
      <c r="HV134" s="368"/>
      <c r="HW134" s="368"/>
      <c r="HX134" s="368"/>
      <c r="HY134" s="368"/>
      <c r="HZ134" s="368"/>
      <c r="IA134" s="368"/>
      <c r="IB134" s="368"/>
      <c r="IC134" s="368"/>
      <c r="ID134" s="368"/>
      <c r="IE134" s="368"/>
      <c r="IF134" s="368"/>
      <c r="IG134" s="368"/>
      <c r="IH134" s="368"/>
      <c r="II134" s="368"/>
      <c r="IJ134" s="368"/>
      <c r="IK134" s="368"/>
      <c r="IL134" s="368"/>
      <c r="IM134" s="368"/>
      <c r="IN134" s="368"/>
      <c r="IO134" s="368"/>
      <c r="IP134" s="368"/>
      <c r="IQ134" s="368"/>
      <c r="IR134" s="368"/>
      <c r="IS134" s="368"/>
      <c r="IT134" s="368"/>
      <c r="IU134" s="368"/>
      <c r="IV134" s="368"/>
      <c r="IW134" s="368"/>
      <c r="IX134" s="368"/>
      <c r="IY134" s="368"/>
      <c r="IZ134" s="368"/>
      <c r="JA134" s="368"/>
      <c r="JB134" s="368"/>
      <c r="JC134" s="368"/>
      <c r="JD134" s="368"/>
      <c r="JE134" s="368"/>
      <c r="JF134" s="368"/>
      <c r="JG134" s="368"/>
      <c r="JH134" s="368"/>
      <c r="JI134" s="368"/>
      <c r="JJ134" s="368"/>
      <c r="JK134" s="368"/>
      <c r="JL134" s="368"/>
      <c r="JM134" s="368"/>
      <c r="JN134" s="368"/>
      <c r="JO134" s="368"/>
      <c r="JP134" s="368"/>
      <c r="JQ134" s="368"/>
      <c r="JR134" s="368"/>
      <c r="JS134" s="368"/>
      <c r="JT134" s="368"/>
      <c r="JU134" s="368"/>
      <c r="JV134" s="368"/>
      <c r="JW134" s="368"/>
      <c r="JX134" s="368"/>
      <c r="JY134" s="368"/>
      <c r="JZ134" s="368"/>
      <c r="KA134" s="368"/>
      <c r="KB134" s="368"/>
      <c r="KC134" s="368"/>
      <c r="KD134" s="368"/>
      <c r="KE134" s="368"/>
      <c r="KF134" s="368"/>
      <c r="KG134" s="368"/>
      <c r="KH134" s="368"/>
      <c r="KI134" s="368"/>
      <c r="KJ134" s="368"/>
      <c r="KK134" s="368"/>
      <c r="KL134" s="368"/>
      <c r="KM134" s="368"/>
      <c r="KN134" s="368"/>
      <c r="KO134" s="368"/>
      <c r="KP134" s="368"/>
      <c r="KQ134" s="368"/>
      <c r="KR134" s="368"/>
      <c r="KS134" s="368"/>
      <c r="KT134" s="368"/>
      <c r="KU134" s="368"/>
      <c r="KV134" s="368"/>
      <c r="KW134" s="368"/>
      <c r="KX134" s="368"/>
      <c r="KY134" s="368"/>
      <c r="KZ134" s="368"/>
      <c r="LA134" s="368"/>
      <c r="LB134" s="368"/>
      <c r="LC134" s="368"/>
      <c r="LD134" s="368"/>
      <c r="LE134" s="368"/>
      <c r="LF134" s="368"/>
      <c r="LG134" s="368"/>
      <c r="LH134" s="368"/>
      <c r="LI134" s="368"/>
      <c r="LJ134" s="368"/>
      <c r="LK134" s="368"/>
      <c r="LL134" s="368"/>
      <c r="LM134" s="368"/>
      <c r="LN134" s="368"/>
      <c r="LO134" s="368"/>
      <c r="LP134" s="368"/>
      <c r="LQ134" s="368"/>
      <c r="LR134" s="368"/>
      <c r="LS134" s="368"/>
      <c r="LT134" s="368"/>
      <c r="LU134" s="368"/>
      <c r="LV134" s="368"/>
      <c r="LW134" s="368"/>
      <c r="LX134" s="368"/>
      <c r="LY134" s="368"/>
      <c r="LZ134" s="368"/>
      <c r="MA134" s="368"/>
      <c r="MB134" s="368"/>
      <c r="MC134" s="368"/>
      <c r="MD134" s="368"/>
      <c r="ME134" s="368"/>
      <c r="MF134" s="368"/>
      <c r="MG134" s="368"/>
      <c r="MH134" s="368"/>
      <c r="MI134" s="368"/>
      <c r="MJ134" s="368"/>
      <c r="MK134" s="368"/>
      <c r="ML134" s="368"/>
      <c r="MM134" s="368"/>
      <c r="MN134" s="368"/>
      <c r="MO134" s="368"/>
      <c r="MP134" s="368"/>
      <c r="MQ134" s="368"/>
      <c r="MR134" s="368"/>
      <c r="MS134" s="368"/>
      <c r="MT134" s="368"/>
      <c r="MU134" s="368"/>
      <c r="MV134" s="368"/>
      <c r="MW134" s="368"/>
      <c r="MX134" s="368"/>
      <c r="MY134" s="368"/>
      <c r="MZ134" s="368"/>
      <c r="NA134" s="368"/>
      <c r="NB134" s="368"/>
      <c r="NC134" s="368"/>
      <c r="ND134" s="368"/>
      <c r="NE134" s="368"/>
      <c r="NF134" s="368"/>
      <c r="NG134" s="368"/>
      <c r="NH134" s="368"/>
      <c r="NI134" s="368"/>
      <c r="NJ134" s="368"/>
      <c r="NK134" s="368"/>
      <c r="NL134" s="368"/>
      <c r="NM134" s="368"/>
      <c r="NN134" s="368"/>
      <c r="NO134" s="368"/>
      <c r="NP134" s="368"/>
      <c r="NQ134" s="368"/>
      <c r="NR134" s="368"/>
      <c r="NS134" s="368"/>
      <c r="NT134" s="368"/>
      <c r="NU134" s="368"/>
      <c r="NV134" s="368"/>
      <c r="NW134" s="368"/>
      <c r="NX134" s="368"/>
      <c r="NY134" s="368"/>
      <c r="NZ134" s="368"/>
      <c r="OA134" s="368"/>
      <c r="OB134" s="368"/>
      <c r="OC134" s="368"/>
      <c r="OD134" s="368"/>
      <c r="OE134" s="368"/>
      <c r="OF134" s="368"/>
      <c r="OG134" s="368"/>
      <c r="OH134" s="368"/>
      <c r="OI134" s="368"/>
      <c r="OJ134" s="368"/>
      <c r="OK134" s="368"/>
      <c r="OL134" s="368"/>
      <c r="OM134" s="368"/>
      <c r="ON134" s="368"/>
      <c r="OO134" s="368"/>
      <c r="OP134" s="368"/>
      <c r="OQ134" s="368"/>
      <c r="OR134" s="368"/>
      <c r="OS134" s="368"/>
      <c r="OT134" s="368"/>
      <c r="OU134" s="368"/>
      <c r="OV134" s="368"/>
      <c r="OW134" s="368"/>
      <c r="OX134" s="368"/>
      <c r="OY134" s="368"/>
      <c r="OZ134" s="368"/>
      <c r="PA134" s="368"/>
      <c r="PB134" s="368"/>
      <c r="PC134" s="368"/>
      <c r="PD134" s="368"/>
      <c r="PE134" s="368"/>
      <c r="PF134" s="368"/>
      <c r="PG134" s="368"/>
      <c r="PH134" s="368"/>
      <c r="PI134" s="368"/>
      <c r="PJ134" s="368"/>
      <c r="PK134" s="368"/>
      <c r="PL134" s="368"/>
      <c r="PM134" s="368"/>
      <c r="PN134" s="368"/>
      <c r="PO134" s="368"/>
      <c r="PP134" s="368"/>
      <c r="PQ134" s="368"/>
      <c r="PR134" s="368"/>
      <c r="PS134" s="368"/>
      <c r="PT134" s="368"/>
      <c r="PU134" s="368"/>
      <c r="PV134" s="368"/>
      <c r="PW134" s="368"/>
      <c r="PX134" s="368"/>
      <c r="PY134" s="368"/>
      <c r="PZ134" s="368"/>
      <c r="QA134" s="368"/>
      <c r="QB134" s="368"/>
      <c r="QC134" s="368"/>
      <c r="QD134" s="368"/>
      <c r="QE134" s="368"/>
      <c r="QF134" s="368"/>
      <c r="QG134" s="368"/>
      <c r="QH134" s="368"/>
      <c r="QI134" s="368"/>
      <c r="QJ134" s="368"/>
      <c r="QK134" s="368"/>
      <c r="QL134" s="368"/>
      <c r="QM134" s="368"/>
      <c r="QN134" s="368"/>
      <c r="QO134" s="368"/>
      <c r="QP134" s="368"/>
      <c r="QQ134" s="368"/>
      <c r="QR134" s="368"/>
      <c r="QS134" s="368"/>
      <c r="QT134" s="368"/>
      <c r="QU134" s="368"/>
      <c r="QV134" s="368"/>
      <c r="QW134" s="368"/>
      <c r="QX134" s="368"/>
      <c r="QY134" s="368"/>
      <c r="QZ134" s="368"/>
      <c r="RA134" s="368"/>
      <c r="RB134" s="368"/>
      <c r="RC134" s="368"/>
      <c r="RD134" s="368"/>
      <c r="RE134" s="368"/>
      <c r="RF134" s="368"/>
      <c r="RG134" s="368"/>
      <c r="RH134" s="368"/>
      <c r="RI134" s="368"/>
      <c r="RJ134" s="368"/>
      <c r="RK134" s="368"/>
      <c r="RL134" s="368"/>
      <c r="RM134" s="368"/>
      <c r="RN134" s="368"/>
      <c r="RO134" s="368"/>
      <c r="RP134" s="368"/>
      <c r="RQ134" s="368"/>
      <c r="RR134" s="368"/>
      <c r="RS134" s="368"/>
      <c r="RT134" s="368"/>
      <c r="RU134" s="368"/>
      <c r="RV134" s="368"/>
      <c r="RW134" s="368"/>
      <c r="RX134" s="368"/>
      <c r="RY134" s="368"/>
      <c r="RZ134" s="368"/>
      <c r="SA134" s="368"/>
      <c r="SB134" s="368"/>
      <c r="SC134" s="368"/>
      <c r="SD134" s="368"/>
      <c r="SE134" s="368"/>
      <c r="SF134" s="368"/>
      <c r="SG134" s="368"/>
      <c r="SH134" s="368"/>
      <c r="SI134" s="368"/>
      <c r="SJ134" s="368"/>
      <c r="SK134" s="368"/>
      <c r="SL134" s="368"/>
      <c r="SM134" s="368"/>
      <c r="SN134" s="368"/>
      <c r="SO134" s="368"/>
      <c r="SP134" s="368"/>
      <c r="SQ134" s="368"/>
      <c r="SR134" s="368"/>
      <c r="SS134" s="368"/>
      <c r="ST134" s="368"/>
      <c r="SU134" s="368"/>
      <c r="SV134" s="368"/>
      <c r="SW134" s="368"/>
      <c r="SX134" s="368"/>
      <c r="SY134" s="368"/>
      <c r="SZ134" s="368"/>
      <c r="TA134" s="368"/>
      <c r="TB134" s="368"/>
      <c r="TC134" s="368"/>
      <c r="TD134" s="368"/>
      <c r="TE134" s="368"/>
      <c r="TF134" s="368"/>
      <c r="TG134" s="368"/>
      <c r="TH134" s="368"/>
      <c r="TI134" s="368"/>
      <c r="TJ134" s="368"/>
      <c r="TK134" s="368"/>
      <c r="TL134" s="368"/>
      <c r="TM134" s="368"/>
      <c r="TN134" s="368"/>
      <c r="TO134" s="368"/>
      <c r="TP134" s="368"/>
      <c r="TQ134" s="368"/>
      <c r="TR134" s="368"/>
      <c r="TS134" s="368"/>
      <c r="TT134" s="368"/>
      <c r="TU134" s="368"/>
      <c r="TV134" s="368"/>
      <c r="TW134" s="368"/>
      <c r="TX134" s="368"/>
      <c r="TY134" s="368"/>
      <c r="TZ134" s="368"/>
      <c r="UA134" s="368"/>
      <c r="UB134" s="368"/>
      <c r="UC134" s="368"/>
      <c r="UD134" s="368"/>
      <c r="UE134" s="368"/>
      <c r="UF134" s="368"/>
      <c r="UG134" s="368"/>
      <c r="UH134" s="368"/>
      <c r="UI134" s="368"/>
      <c r="UJ134" s="368"/>
      <c r="UK134" s="368"/>
      <c r="UL134" s="368"/>
      <c r="UM134" s="368"/>
      <c r="UN134" s="368"/>
      <c r="UO134" s="368"/>
      <c r="UP134" s="368"/>
      <c r="UQ134" s="368"/>
      <c r="UR134" s="368"/>
      <c r="US134" s="368"/>
      <c r="UT134" s="368"/>
      <c r="UU134" s="368"/>
      <c r="UV134" s="368"/>
      <c r="UW134" s="368"/>
      <c r="UX134" s="368"/>
      <c r="UY134" s="368"/>
      <c r="UZ134" s="368"/>
      <c r="VA134" s="368"/>
      <c r="VB134" s="368"/>
      <c r="VC134" s="368"/>
      <c r="VD134" s="368"/>
      <c r="VE134" s="368"/>
      <c r="VF134" s="368"/>
      <c r="VG134" s="368"/>
      <c r="VH134" s="368"/>
      <c r="VI134" s="368"/>
      <c r="VJ134" s="368"/>
      <c r="VK134" s="368"/>
      <c r="VL134" s="368"/>
      <c r="VM134" s="368"/>
      <c r="VN134" s="368"/>
      <c r="VO134" s="368"/>
      <c r="VP134" s="368"/>
      <c r="VQ134" s="368"/>
      <c r="VR134" s="368"/>
      <c r="VS134" s="368"/>
      <c r="VT134" s="368"/>
      <c r="VU134" s="368"/>
      <c r="VV134" s="368"/>
      <c r="VW134" s="368"/>
      <c r="VX134" s="368"/>
      <c r="VY134" s="368"/>
      <c r="VZ134" s="368"/>
      <c r="WA134" s="368"/>
      <c r="WB134" s="368"/>
      <c r="WC134" s="368"/>
      <c r="WD134" s="368"/>
      <c r="WE134" s="368"/>
      <c r="WF134" s="368"/>
      <c r="WG134" s="368"/>
      <c r="WH134" s="368"/>
      <c r="WI134" s="368"/>
      <c r="WJ134" s="368"/>
      <c r="WK134" s="368"/>
      <c r="WL134" s="368"/>
      <c r="WM134" s="368"/>
      <c r="WN134" s="368"/>
      <c r="WO134" s="368"/>
      <c r="WP134" s="368"/>
      <c r="WQ134" s="368"/>
      <c r="WR134" s="368"/>
      <c r="WS134" s="368"/>
      <c r="WT134" s="368"/>
      <c r="WU134" s="368"/>
      <c r="WV134" s="368"/>
      <c r="WW134" s="368"/>
      <c r="WX134" s="368"/>
      <c r="WY134" s="368"/>
      <c r="WZ134" s="368"/>
      <c r="XA134" s="368"/>
      <c r="XB134" s="368"/>
      <c r="XC134" s="368"/>
      <c r="XD134" s="368"/>
      <c r="XE134" s="368"/>
      <c r="XF134" s="368"/>
      <c r="XG134" s="368"/>
      <c r="XH134" s="368"/>
      <c r="XI134" s="368"/>
      <c r="XJ134" s="368"/>
      <c r="XK134" s="368"/>
      <c r="XL134" s="368"/>
      <c r="XM134" s="368"/>
      <c r="XN134" s="368"/>
      <c r="XO134" s="368"/>
      <c r="XP134" s="368"/>
      <c r="XQ134" s="368"/>
      <c r="XR134" s="368"/>
      <c r="XS134" s="368"/>
      <c r="XT134" s="368"/>
      <c r="XU134" s="368"/>
      <c r="XV134" s="368"/>
      <c r="XW134" s="368"/>
      <c r="XX134" s="368"/>
      <c r="XY134" s="368"/>
      <c r="XZ134" s="368"/>
      <c r="YA134" s="368"/>
      <c r="YB134" s="368"/>
      <c r="YC134" s="368"/>
      <c r="YD134" s="368"/>
      <c r="YE134" s="368"/>
      <c r="YF134" s="368"/>
      <c r="YG134" s="368"/>
      <c r="YH134" s="368"/>
      <c r="YI134" s="368"/>
      <c r="YJ134" s="368"/>
      <c r="YK134" s="368"/>
      <c r="YL134" s="368"/>
      <c r="YM134" s="368"/>
      <c r="YN134" s="368"/>
      <c r="YO134" s="368"/>
      <c r="YP134" s="368"/>
      <c r="YQ134" s="368"/>
      <c r="YR134" s="368"/>
      <c r="YS134" s="368"/>
      <c r="YT134" s="368"/>
      <c r="YU134" s="368"/>
      <c r="YV134" s="368"/>
      <c r="YW134" s="368"/>
      <c r="YX134" s="368"/>
      <c r="YY134" s="368"/>
      <c r="YZ134" s="368"/>
      <c r="ZA134" s="368"/>
      <c r="ZB134" s="368"/>
      <c r="ZC134" s="368"/>
      <c r="ZD134" s="368"/>
      <c r="ZE134" s="368"/>
      <c r="ZF134" s="368"/>
      <c r="ZG134" s="368"/>
      <c r="ZH134" s="368"/>
      <c r="ZI134" s="368"/>
      <c r="ZJ134" s="368"/>
      <c r="ZK134" s="368"/>
      <c r="ZL134" s="368"/>
      <c r="ZM134" s="368"/>
      <c r="ZN134" s="368"/>
      <c r="ZO134" s="368"/>
      <c r="ZP134" s="368"/>
      <c r="ZQ134" s="368"/>
      <c r="ZR134" s="368"/>
      <c r="ZS134" s="368"/>
      <c r="ZT134" s="368"/>
      <c r="ZU134" s="368"/>
      <c r="ZV134" s="368"/>
      <c r="ZW134" s="368"/>
      <c r="ZX134" s="368"/>
      <c r="ZY134" s="368"/>
      <c r="ZZ134" s="368"/>
      <c r="AAA134" s="368"/>
      <c r="AAB134" s="368"/>
      <c r="AAC134" s="368"/>
      <c r="AAD134" s="368"/>
      <c r="AAE134" s="368"/>
      <c r="AAF134" s="368"/>
      <c r="AAG134" s="368"/>
      <c r="AAH134" s="368"/>
      <c r="AAI134" s="368"/>
      <c r="AAJ134" s="368"/>
      <c r="AAK134" s="368"/>
      <c r="AAL134" s="368"/>
      <c r="AAM134" s="368"/>
      <c r="AAN134" s="368"/>
      <c r="AAO134" s="368"/>
      <c r="AAP134" s="368"/>
      <c r="AAQ134" s="368"/>
      <c r="AAR134" s="368"/>
      <c r="AAS134" s="368"/>
      <c r="AAT134" s="368"/>
      <c r="AAU134" s="368"/>
      <c r="AAV134" s="368"/>
      <c r="AAW134" s="368"/>
      <c r="AAX134" s="368"/>
      <c r="AAY134" s="368"/>
      <c r="AAZ134" s="368"/>
      <c r="ABA134" s="368"/>
      <c r="ABB134" s="368"/>
      <c r="ABC134" s="368"/>
      <c r="ABD134" s="368"/>
      <c r="ABE134" s="368"/>
      <c r="ABF134" s="368"/>
      <c r="ABG134" s="368"/>
      <c r="ABH134" s="368"/>
      <c r="ABI134" s="368"/>
      <c r="ABJ134" s="368"/>
      <c r="ABK134" s="368"/>
      <c r="ABL134" s="368"/>
      <c r="ABM134" s="368"/>
      <c r="ABN134" s="368"/>
      <c r="ABO134" s="368"/>
      <c r="ABP134" s="368"/>
      <c r="ABQ134" s="368"/>
      <c r="ABR134" s="368"/>
      <c r="ABS134" s="368"/>
      <c r="ABT134" s="368"/>
      <c r="ABU134" s="368"/>
      <c r="ABV134" s="368"/>
      <c r="ABW134" s="368"/>
      <c r="ABX134" s="368"/>
      <c r="ABY134" s="368"/>
      <c r="ABZ134" s="368"/>
      <c r="ACA134" s="368"/>
      <c r="ACB134" s="368"/>
      <c r="ACC134" s="368"/>
      <c r="ACD134" s="368"/>
      <c r="ACE134" s="368"/>
      <c r="ACF134" s="368"/>
      <c r="ACG134" s="368"/>
      <c r="ACH134" s="368"/>
      <c r="ACI134" s="368"/>
      <c r="ACJ134" s="368"/>
      <c r="ACK134" s="368"/>
      <c r="ACL134" s="368"/>
      <c r="ACM134" s="368"/>
      <c r="ACN134" s="368"/>
      <c r="ACO134" s="368"/>
      <c r="ACP134" s="368"/>
      <c r="ACQ134" s="368"/>
      <c r="ACR134" s="368"/>
      <c r="ACS134" s="368"/>
      <c r="ACT134" s="368"/>
      <c r="ACU134" s="368"/>
      <c r="ACV134" s="368"/>
      <c r="ACW134" s="368"/>
      <c r="ACX134" s="368"/>
      <c r="ACY134" s="368"/>
      <c r="ACZ134" s="368"/>
      <c r="ADA134" s="368"/>
      <c r="ADB134" s="368"/>
      <c r="ADC134" s="368"/>
      <c r="ADD134" s="368"/>
      <c r="ADE134" s="368"/>
      <c r="ADF134" s="368"/>
      <c r="ADG134" s="368"/>
      <c r="ADH134" s="368"/>
      <c r="ADI134" s="368"/>
      <c r="ADJ134" s="368"/>
      <c r="ADK134" s="368"/>
      <c r="ADL134" s="368"/>
      <c r="ADM134" s="368"/>
      <c r="ADN134" s="368"/>
      <c r="ADO134" s="368"/>
      <c r="ADP134" s="368"/>
      <c r="ADQ134" s="368"/>
      <c r="ADR134" s="368"/>
      <c r="ADS134" s="368"/>
      <c r="ADT134" s="368"/>
      <c r="ADU134" s="368"/>
      <c r="ADV134" s="368"/>
      <c r="ADW134" s="368"/>
      <c r="ADX134" s="368"/>
      <c r="ADY134" s="368"/>
      <c r="ADZ134" s="368"/>
      <c r="AEA134" s="368"/>
      <c r="AEB134" s="368"/>
      <c r="AEC134" s="368"/>
      <c r="AED134" s="368"/>
      <c r="AEE134" s="368"/>
      <c r="AEF134" s="368"/>
      <c r="AEG134" s="368"/>
      <c r="AEH134" s="368"/>
      <c r="AEI134" s="368"/>
      <c r="AEJ134" s="368"/>
      <c r="AEK134" s="368"/>
      <c r="AEL134" s="368"/>
      <c r="AEM134" s="368"/>
      <c r="AEN134" s="368"/>
      <c r="AEO134" s="368"/>
      <c r="AEP134" s="368"/>
      <c r="AEQ134" s="368"/>
      <c r="AER134" s="368"/>
      <c r="AES134" s="368"/>
      <c r="AET134" s="368"/>
      <c r="AEU134" s="368"/>
      <c r="AEV134" s="368"/>
      <c r="AEW134" s="368"/>
      <c r="AEX134" s="368"/>
      <c r="AEY134" s="368"/>
      <c r="AEZ134" s="368"/>
      <c r="AFA134" s="368"/>
      <c r="AFB134" s="368"/>
      <c r="AFC134" s="368"/>
      <c r="AFD134" s="368"/>
      <c r="AFE134" s="368"/>
      <c r="AFF134" s="368"/>
      <c r="AFG134" s="368"/>
      <c r="AFH134" s="368"/>
      <c r="AFI134" s="368"/>
      <c r="AFJ134" s="368"/>
      <c r="AFK134" s="368"/>
      <c r="AFL134" s="368"/>
      <c r="AFM134" s="368"/>
      <c r="AFN134" s="368"/>
      <c r="AFO134" s="368"/>
      <c r="AFP134" s="368"/>
      <c r="AFQ134" s="368"/>
      <c r="AFR134" s="368"/>
      <c r="AFS134" s="368"/>
      <c r="AFT134" s="368"/>
      <c r="AFU134" s="368"/>
      <c r="AFV134" s="368"/>
      <c r="AFW134" s="368"/>
      <c r="AFX134" s="368"/>
      <c r="AFY134" s="368"/>
      <c r="AFZ134" s="368"/>
      <c r="AGA134" s="368"/>
      <c r="AGB134" s="368"/>
      <c r="AGC134" s="368"/>
      <c r="AGD134" s="368"/>
      <c r="AGE134" s="368"/>
      <c r="AGF134" s="368"/>
      <c r="AGG134" s="368"/>
      <c r="AGH134" s="368"/>
      <c r="AGI134" s="368"/>
      <c r="AGJ134" s="368"/>
      <c r="AGK134" s="368"/>
      <c r="AGL134" s="368"/>
      <c r="AGM134" s="368"/>
      <c r="AGN134" s="368"/>
      <c r="AGO134" s="368"/>
      <c r="AGP134" s="368"/>
      <c r="AGQ134" s="368"/>
      <c r="AGR134" s="368"/>
      <c r="AGS134" s="368"/>
      <c r="AGT134" s="368"/>
      <c r="AGU134" s="368"/>
      <c r="AGV134" s="368"/>
      <c r="AGW134" s="368"/>
      <c r="AGX134" s="368"/>
      <c r="AGY134" s="368"/>
      <c r="AGZ134" s="368"/>
      <c r="AHA134" s="368"/>
      <c r="AHB134" s="368"/>
      <c r="AHC134" s="368"/>
      <c r="AHD134" s="368"/>
      <c r="AHE134" s="368"/>
      <c r="AHF134" s="368"/>
      <c r="AHG134" s="368"/>
      <c r="AHH134" s="368"/>
      <c r="AHI134" s="368"/>
      <c r="AHJ134" s="368"/>
      <c r="AHK134" s="368"/>
      <c r="AHL134" s="368"/>
      <c r="AHM134" s="368"/>
      <c r="AHN134" s="368"/>
      <c r="AHO134" s="368"/>
      <c r="AHP134" s="368"/>
      <c r="AHQ134" s="368"/>
      <c r="AHR134" s="368"/>
      <c r="AHS134" s="368"/>
      <c r="AHT134" s="368"/>
      <c r="AHU134" s="368"/>
      <c r="AHV134" s="368"/>
      <c r="AHW134" s="368"/>
      <c r="AHX134" s="368"/>
      <c r="AHY134" s="368"/>
      <c r="AHZ134" s="368"/>
      <c r="AIA134" s="368"/>
      <c r="AIB134" s="368"/>
      <c r="AIC134" s="368"/>
      <c r="AID134" s="368"/>
      <c r="AIE134" s="368"/>
      <c r="AIF134" s="368"/>
      <c r="AIG134" s="368"/>
      <c r="AIH134" s="368"/>
      <c r="AII134" s="368"/>
      <c r="AIJ134" s="368"/>
      <c r="AIK134" s="368"/>
      <c r="AIL134" s="368"/>
      <c r="AIM134" s="368"/>
      <c r="AIN134" s="368"/>
      <c r="AIO134" s="368"/>
      <c r="AIP134" s="368"/>
      <c r="AIQ134" s="368"/>
      <c r="AIR134" s="368"/>
      <c r="AIS134" s="368"/>
      <c r="AIT134" s="368"/>
      <c r="AIU134" s="368"/>
      <c r="AIV134" s="368"/>
      <c r="AIW134" s="368"/>
      <c r="AIX134" s="368"/>
      <c r="AIY134" s="368"/>
      <c r="AIZ134" s="368"/>
      <c r="AJA134" s="368"/>
      <c r="AJB134" s="368"/>
      <c r="AJC134" s="368"/>
      <c r="AJD134" s="368"/>
      <c r="AJE134" s="368"/>
      <c r="AJF134" s="368"/>
      <c r="AJG134" s="368"/>
      <c r="AJH134" s="368"/>
      <c r="AJI134" s="368"/>
      <c r="AJJ134" s="368"/>
      <c r="AJK134" s="368"/>
      <c r="AJL134" s="368"/>
      <c r="AJM134" s="368"/>
      <c r="AJN134" s="368"/>
      <c r="AJO134" s="368"/>
      <c r="AJP134" s="368"/>
      <c r="AJQ134" s="368"/>
      <c r="AJR134" s="368"/>
      <c r="AJS134" s="368"/>
      <c r="AJT134" s="368"/>
      <c r="AJU134" s="368"/>
      <c r="AJV134" s="368"/>
      <c r="AJW134" s="368"/>
      <c r="AJX134" s="368"/>
      <c r="AJY134" s="368"/>
      <c r="AJZ134" s="368"/>
      <c r="AKA134" s="368"/>
      <c r="AKB134" s="368"/>
      <c r="AKC134" s="368"/>
      <c r="AKD134" s="368"/>
      <c r="AKE134" s="368"/>
      <c r="AKF134" s="368"/>
      <c r="AKG134" s="368"/>
      <c r="AKH134" s="368"/>
      <c r="AKI134" s="368"/>
      <c r="AKJ134" s="368"/>
      <c r="AKK134" s="368"/>
      <c r="AKL134" s="368"/>
      <c r="AKM134" s="368"/>
      <c r="AKN134" s="368"/>
    </row>
    <row r="135" spans="1:976" s="363" customFormat="1" ht="22.5" customHeight="1" x14ac:dyDescent="0.2">
      <c r="A135" s="358" t="s">
        <v>262</v>
      </c>
      <c r="B135" s="358"/>
      <c r="C135" s="358" t="s">
        <v>221</v>
      </c>
      <c r="D135" s="358" t="s">
        <v>222</v>
      </c>
      <c r="E135" s="359">
        <v>414172</v>
      </c>
      <c r="F135" s="359">
        <v>1791</v>
      </c>
      <c r="G135" s="359">
        <v>282</v>
      </c>
      <c r="H135" s="359">
        <v>0</v>
      </c>
      <c r="I135" s="360">
        <v>45889</v>
      </c>
      <c r="J135" s="358" t="s">
        <v>395</v>
      </c>
      <c r="K135" s="358" t="s">
        <v>648</v>
      </c>
      <c r="L135" s="361">
        <v>911.68</v>
      </c>
      <c r="M135" s="361">
        <v>50.14</v>
      </c>
      <c r="N135" s="448">
        <v>961.82</v>
      </c>
      <c r="O135" s="358"/>
      <c r="P135" s="362">
        <v>45903</v>
      </c>
      <c r="Q135" s="361">
        <v>961.82</v>
      </c>
      <c r="R135" s="358" t="s">
        <v>460</v>
      </c>
      <c r="S135" s="361">
        <v>0</v>
      </c>
      <c r="T135" s="361">
        <v>0</v>
      </c>
      <c r="U135" s="361">
        <v>0</v>
      </c>
      <c r="V135" s="361">
        <v>0</v>
      </c>
      <c r="W135" s="358"/>
      <c r="X135" s="358" t="s">
        <v>266</v>
      </c>
      <c r="Y135" s="358" t="s">
        <v>267</v>
      </c>
      <c r="Z135" s="358" t="s">
        <v>32</v>
      </c>
      <c r="AA135" s="358" t="s">
        <v>228</v>
      </c>
      <c r="AB135" s="358" t="s">
        <v>34</v>
      </c>
      <c r="AC135" s="358" t="s">
        <v>31</v>
      </c>
      <c r="AD135" s="358" t="s">
        <v>231</v>
      </c>
      <c r="AE135" s="358" t="s">
        <v>232</v>
      </c>
      <c r="AF135" s="358" t="s">
        <v>231</v>
      </c>
      <c r="AG135" s="358" t="s">
        <v>232</v>
      </c>
      <c r="AH135" s="358"/>
      <c r="AI135" s="358"/>
      <c r="AJ135" s="358"/>
      <c r="AK135" s="358" t="s">
        <v>649</v>
      </c>
      <c r="AL135" s="359">
        <v>1</v>
      </c>
      <c r="AM135" s="359">
        <v>0</v>
      </c>
      <c r="AN135" s="360">
        <v>45902</v>
      </c>
      <c r="AO135" s="360">
        <v>45902</v>
      </c>
      <c r="AP135" s="361">
        <v>961.82</v>
      </c>
      <c r="AQ135" s="360">
        <v>45901</v>
      </c>
      <c r="AR135" s="368"/>
      <c r="AS135" s="368"/>
      <c r="AT135" s="368"/>
      <c r="AU135" s="368"/>
      <c r="AV135" s="368"/>
      <c r="AW135" s="368"/>
      <c r="AX135" s="368"/>
      <c r="AY135" s="368"/>
      <c r="AZ135" s="368"/>
      <c r="BA135" s="368"/>
      <c r="BB135" s="368"/>
      <c r="BC135" s="368"/>
      <c r="BD135" s="368"/>
      <c r="BE135" s="368"/>
      <c r="BF135" s="368"/>
      <c r="BG135" s="368"/>
      <c r="BH135" s="368"/>
      <c r="BI135" s="368"/>
      <c r="BJ135" s="368"/>
      <c r="BK135" s="368"/>
      <c r="BL135" s="368"/>
      <c r="BM135" s="368"/>
      <c r="BN135" s="368"/>
      <c r="BO135" s="368"/>
      <c r="BP135" s="368"/>
      <c r="BQ135" s="368"/>
      <c r="BR135" s="368"/>
      <c r="BS135" s="368"/>
      <c r="BT135" s="368"/>
      <c r="BU135" s="368"/>
      <c r="BV135" s="368"/>
      <c r="BW135" s="368"/>
      <c r="BX135" s="368"/>
      <c r="BY135" s="368"/>
      <c r="BZ135" s="368"/>
      <c r="CA135" s="368"/>
      <c r="CB135" s="368"/>
      <c r="CC135" s="368"/>
      <c r="CD135" s="368"/>
      <c r="CE135" s="368"/>
      <c r="CF135" s="368"/>
      <c r="CG135" s="368"/>
      <c r="CH135" s="368"/>
      <c r="CI135" s="368"/>
      <c r="CJ135" s="368"/>
      <c r="CK135" s="368"/>
      <c r="CL135" s="368"/>
      <c r="CM135" s="368"/>
      <c r="CN135" s="368"/>
      <c r="CO135" s="368"/>
      <c r="CP135" s="368"/>
      <c r="CQ135" s="368"/>
      <c r="CR135" s="368"/>
      <c r="CS135" s="368"/>
      <c r="CT135" s="368"/>
      <c r="CU135" s="368"/>
      <c r="CV135" s="368"/>
      <c r="CW135" s="368"/>
      <c r="CX135" s="368"/>
      <c r="CY135" s="368"/>
      <c r="CZ135" s="368"/>
      <c r="DA135" s="368"/>
      <c r="DB135" s="368"/>
      <c r="DC135" s="368"/>
      <c r="DD135" s="368"/>
      <c r="DE135" s="368"/>
      <c r="DF135" s="368"/>
      <c r="DG135" s="368"/>
      <c r="DH135" s="368"/>
      <c r="DI135" s="368"/>
      <c r="DJ135" s="368"/>
      <c r="DK135" s="368"/>
      <c r="DL135" s="368"/>
      <c r="DM135" s="368"/>
      <c r="DN135" s="368"/>
      <c r="DO135" s="368"/>
      <c r="DP135" s="368"/>
      <c r="DQ135" s="368"/>
      <c r="DR135" s="368"/>
      <c r="DS135" s="368"/>
      <c r="DT135" s="368"/>
      <c r="DU135" s="368"/>
      <c r="DV135" s="368"/>
      <c r="DW135" s="368"/>
      <c r="DX135" s="368"/>
      <c r="DY135" s="368"/>
      <c r="DZ135" s="368"/>
      <c r="EA135" s="368"/>
      <c r="EB135" s="368"/>
      <c r="EC135" s="368"/>
      <c r="ED135" s="368"/>
      <c r="EE135" s="368"/>
      <c r="EF135" s="368"/>
      <c r="EG135" s="368"/>
      <c r="EH135" s="368"/>
      <c r="EI135" s="368"/>
      <c r="EJ135" s="368"/>
      <c r="EK135" s="368"/>
      <c r="EL135" s="368"/>
      <c r="EM135" s="368"/>
      <c r="EN135" s="368"/>
      <c r="EO135" s="368"/>
      <c r="EP135" s="368"/>
      <c r="EQ135" s="368"/>
      <c r="ER135" s="368"/>
      <c r="ES135" s="368"/>
      <c r="ET135" s="368"/>
      <c r="EU135" s="368"/>
      <c r="EV135" s="368"/>
      <c r="EW135" s="368"/>
      <c r="EX135" s="368"/>
      <c r="EY135" s="368"/>
      <c r="EZ135" s="368"/>
      <c r="FA135" s="368"/>
      <c r="FB135" s="368"/>
      <c r="FC135" s="368"/>
      <c r="FD135" s="368"/>
      <c r="FE135" s="368"/>
      <c r="FF135" s="368"/>
      <c r="FG135" s="368"/>
      <c r="FH135" s="368"/>
      <c r="FI135" s="368"/>
      <c r="FJ135" s="368"/>
      <c r="FK135" s="368"/>
      <c r="FL135" s="368"/>
      <c r="FM135" s="368"/>
      <c r="FN135" s="368"/>
      <c r="FO135" s="368"/>
      <c r="FP135" s="368"/>
      <c r="FQ135" s="368"/>
      <c r="FR135" s="368"/>
      <c r="FS135" s="368"/>
      <c r="FT135" s="368"/>
      <c r="FU135" s="368"/>
      <c r="FV135" s="368"/>
      <c r="FW135" s="368"/>
      <c r="FX135" s="368"/>
      <c r="FY135" s="368"/>
      <c r="FZ135" s="368"/>
      <c r="GA135" s="368"/>
      <c r="GB135" s="368"/>
      <c r="GC135" s="368"/>
      <c r="GD135" s="368"/>
      <c r="GE135" s="368"/>
      <c r="GF135" s="368"/>
      <c r="GG135" s="368"/>
      <c r="GH135" s="368"/>
      <c r="GI135" s="368"/>
      <c r="GJ135" s="368"/>
      <c r="GK135" s="368"/>
      <c r="GL135" s="368"/>
      <c r="GM135" s="368"/>
      <c r="GN135" s="368"/>
      <c r="GO135" s="368"/>
      <c r="GP135" s="368"/>
      <c r="GQ135" s="368"/>
      <c r="GR135" s="368"/>
      <c r="GS135" s="368"/>
      <c r="GT135" s="368"/>
      <c r="GU135" s="368"/>
      <c r="GV135" s="368"/>
      <c r="GW135" s="368"/>
      <c r="GX135" s="368"/>
      <c r="GY135" s="368"/>
      <c r="GZ135" s="368"/>
      <c r="HA135" s="368"/>
      <c r="HB135" s="368"/>
      <c r="HC135" s="368"/>
      <c r="HD135" s="368"/>
      <c r="HE135" s="368"/>
      <c r="HF135" s="368"/>
      <c r="HG135" s="368"/>
      <c r="HH135" s="368"/>
      <c r="HI135" s="368"/>
      <c r="HJ135" s="368"/>
      <c r="HK135" s="368"/>
      <c r="HL135" s="368"/>
      <c r="HM135" s="368"/>
      <c r="HN135" s="368"/>
      <c r="HO135" s="368"/>
      <c r="HP135" s="368"/>
      <c r="HQ135" s="368"/>
      <c r="HR135" s="368"/>
      <c r="HS135" s="368"/>
      <c r="HT135" s="368"/>
      <c r="HU135" s="368"/>
      <c r="HV135" s="368"/>
      <c r="HW135" s="368"/>
      <c r="HX135" s="368"/>
      <c r="HY135" s="368"/>
      <c r="HZ135" s="368"/>
      <c r="IA135" s="368"/>
      <c r="IB135" s="368"/>
      <c r="IC135" s="368"/>
      <c r="ID135" s="368"/>
      <c r="IE135" s="368"/>
      <c r="IF135" s="368"/>
      <c r="IG135" s="368"/>
      <c r="IH135" s="368"/>
      <c r="II135" s="368"/>
      <c r="IJ135" s="368"/>
      <c r="IK135" s="368"/>
      <c r="IL135" s="368"/>
      <c r="IM135" s="368"/>
      <c r="IN135" s="368"/>
      <c r="IO135" s="368"/>
      <c r="IP135" s="368"/>
      <c r="IQ135" s="368"/>
      <c r="IR135" s="368"/>
      <c r="IS135" s="368"/>
      <c r="IT135" s="368"/>
      <c r="IU135" s="368"/>
      <c r="IV135" s="368"/>
      <c r="IW135" s="368"/>
      <c r="IX135" s="368"/>
      <c r="IY135" s="368"/>
      <c r="IZ135" s="368"/>
      <c r="JA135" s="368"/>
      <c r="JB135" s="368"/>
      <c r="JC135" s="368"/>
      <c r="JD135" s="368"/>
      <c r="JE135" s="368"/>
      <c r="JF135" s="368"/>
      <c r="JG135" s="368"/>
      <c r="JH135" s="368"/>
      <c r="JI135" s="368"/>
      <c r="JJ135" s="368"/>
      <c r="JK135" s="368"/>
      <c r="JL135" s="368"/>
      <c r="JM135" s="368"/>
      <c r="JN135" s="368"/>
      <c r="JO135" s="368"/>
      <c r="JP135" s="368"/>
      <c r="JQ135" s="368"/>
      <c r="JR135" s="368"/>
      <c r="JS135" s="368"/>
      <c r="JT135" s="368"/>
      <c r="JU135" s="368"/>
      <c r="JV135" s="368"/>
      <c r="JW135" s="368"/>
      <c r="JX135" s="368"/>
      <c r="JY135" s="368"/>
      <c r="JZ135" s="368"/>
      <c r="KA135" s="368"/>
      <c r="KB135" s="368"/>
      <c r="KC135" s="368"/>
      <c r="KD135" s="368"/>
      <c r="KE135" s="368"/>
      <c r="KF135" s="368"/>
      <c r="KG135" s="368"/>
      <c r="KH135" s="368"/>
      <c r="KI135" s="368"/>
      <c r="KJ135" s="368"/>
      <c r="KK135" s="368"/>
      <c r="KL135" s="368"/>
      <c r="KM135" s="368"/>
      <c r="KN135" s="368"/>
      <c r="KO135" s="368"/>
      <c r="KP135" s="368"/>
      <c r="KQ135" s="368"/>
      <c r="KR135" s="368"/>
      <c r="KS135" s="368"/>
      <c r="KT135" s="368"/>
      <c r="KU135" s="368"/>
      <c r="KV135" s="368"/>
      <c r="KW135" s="368"/>
      <c r="KX135" s="368"/>
      <c r="KY135" s="368"/>
      <c r="KZ135" s="368"/>
      <c r="LA135" s="368"/>
      <c r="LB135" s="368"/>
      <c r="LC135" s="368"/>
      <c r="LD135" s="368"/>
      <c r="LE135" s="368"/>
      <c r="LF135" s="368"/>
      <c r="LG135" s="368"/>
      <c r="LH135" s="368"/>
      <c r="LI135" s="368"/>
      <c r="LJ135" s="368"/>
      <c r="LK135" s="368"/>
      <c r="LL135" s="368"/>
      <c r="LM135" s="368"/>
      <c r="LN135" s="368"/>
      <c r="LO135" s="368"/>
      <c r="LP135" s="368"/>
      <c r="LQ135" s="368"/>
      <c r="LR135" s="368"/>
      <c r="LS135" s="368"/>
      <c r="LT135" s="368"/>
      <c r="LU135" s="368"/>
      <c r="LV135" s="368"/>
      <c r="LW135" s="368"/>
      <c r="LX135" s="368"/>
      <c r="LY135" s="368"/>
      <c r="LZ135" s="368"/>
      <c r="MA135" s="368"/>
      <c r="MB135" s="368"/>
      <c r="MC135" s="368"/>
      <c r="MD135" s="368"/>
      <c r="ME135" s="368"/>
      <c r="MF135" s="368"/>
      <c r="MG135" s="368"/>
      <c r="MH135" s="368"/>
      <c r="MI135" s="368"/>
      <c r="MJ135" s="368"/>
      <c r="MK135" s="368"/>
      <c r="ML135" s="368"/>
      <c r="MM135" s="368"/>
      <c r="MN135" s="368"/>
      <c r="MO135" s="368"/>
      <c r="MP135" s="368"/>
      <c r="MQ135" s="368"/>
      <c r="MR135" s="368"/>
      <c r="MS135" s="368"/>
      <c r="MT135" s="368"/>
      <c r="MU135" s="368"/>
      <c r="MV135" s="368"/>
      <c r="MW135" s="368"/>
      <c r="MX135" s="368"/>
      <c r="MY135" s="368"/>
      <c r="MZ135" s="368"/>
      <c r="NA135" s="368"/>
      <c r="NB135" s="368"/>
      <c r="NC135" s="368"/>
      <c r="ND135" s="368"/>
      <c r="NE135" s="368"/>
      <c r="NF135" s="368"/>
      <c r="NG135" s="368"/>
      <c r="NH135" s="368"/>
      <c r="NI135" s="368"/>
      <c r="NJ135" s="368"/>
      <c r="NK135" s="368"/>
      <c r="NL135" s="368"/>
      <c r="NM135" s="368"/>
      <c r="NN135" s="368"/>
      <c r="NO135" s="368"/>
      <c r="NP135" s="368"/>
      <c r="NQ135" s="368"/>
      <c r="NR135" s="368"/>
      <c r="NS135" s="368"/>
      <c r="NT135" s="368"/>
      <c r="NU135" s="368"/>
      <c r="NV135" s="368"/>
      <c r="NW135" s="368"/>
      <c r="NX135" s="368"/>
      <c r="NY135" s="368"/>
      <c r="NZ135" s="368"/>
      <c r="OA135" s="368"/>
      <c r="OB135" s="368"/>
      <c r="OC135" s="368"/>
      <c r="OD135" s="368"/>
      <c r="OE135" s="368"/>
      <c r="OF135" s="368"/>
      <c r="OG135" s="368"/>
      <c r="OH135" s="368"/>
      <c r="OI135" s="368"/>
      <c r="OJ135" s="368"/>
      <c r="OK135" s="368"/>
      <c r="OL135" s="368"/>
      <c r="OM135" s="368"/>
      <c r="ON135" s="368"/>
      <c r="OO135" s="368"/>
      <c r="OP135" s="368"/>
      <c r="OQ135" s="368"/>
      <c r="OR135" s="368"/>
      <c r="OS135" s="368"/>
      <c r="OT135" s="368"/>
      <c r="OU135" s="368"/>
      <c r="OV135" s="368"/>
      <c r="OW135" s="368"/>
      <c r="OX135" s="368"/>
      <c r="OY135" s="368"/>
      <c r="OZ135" s="368"/>
      <c r="PA135" s="368"/>
      <c r="PB135" s="368"/>
      <c r="PC135" s="368"/>
      <c r="PD135" s="368"/>
      <c r="PE135" s="368"/>
      <c r="PF135" s="368"/>
      <c r="PG135" s="368"/>
      <c r="PH135" s="368"/>
      <c r="PI135" s="368"/>
      <c r="PJ135" s="368"/>
      <c r="PK135" s="368"/>
      <c r="PL135" s="368"/>
      <c r="PM135" s="368"/>
      <c r="PN135" s="368"/>
      <c r="PO135" s="368"/>
      <c r="PP135" s="368"/>
      <c r="PQ135" s="368"/>
      <c r="PR135" s="368"/>
      <c r="PS135" s="368"/>
      <c r="PT135" s="368"/>
      <c r="PU135" s="368"/>
      <c r="PV135" s="368"/>
      <c r="PW135" s="368"/>
      <c r="PX135" s="368"/>
      <c r="PY135" s="368"/>
      <c r="PZ135" s="368"/>
      <c r="QA135" s="368"/>
      <c r="QB135" s="368"/>
      <c r="QC135" s="368"/>
      <c r="QD135" s="368"/>
      <c r="QE135" s="368"/>
      <c r="QF135" s="368"/>
      <c r="QG135" s="368"/>
      <c r="QH135" s="368"/>
      <c r="QI135" s="368"/>
      <c r="QJ135" s="368"/>
      <c r="QK135" s="368"/>
      <c r="QL135" s="368"/>
      <c r="QM135" s="368"/>
      <c r="QN135" s="368"/>
      <c r="QO135" s="368"/>
      <c r="QP135" s="368"/>
      <c r="QQ135" s="368"/>
      <c r="QR135" s="368"/>
      <c r="QS135" s="368"/>
      <c r="QT135" s="368"/>
      <c r="QU135" s="368"/>
      <c r="QV135" s="368"/>
      <c r="QW135" s="368"/>
      <c r="QX135" s="368"/>
      <c r="QY135" s="368"/>
      <c r="QZ135" s="368"/>
      <c r="RA135" s="368"/>
      <c r="RB135" s="368"/>
      <c r="RC135" s="368"/>
      <c r="RD135" s="368"/>
      <c r="RE135" s="368"/>
      <c r="RF135" s="368"/>
      <c r="RG135" s="368"/>
      <c r="RH135" s="368"/>
      <c r="RI135" s="368"/>
      <c r="RJ135" s="368"/>
      <c r="RK135" s="368"/>
      <c r="RL135" s="368"/>
      <c r="RM135" s="368"/>
      <c r="RN135" s="368"/>
      <c r="RO135" s="368"/>
      <c r="RP135" s="368"/>
      <c r="RQ135" s="368"/>
      <c r="RR135" s="368"/>
      <c r="RS135" s="368"/>
      <c r="RT135" s="368"/>
      <c r="RU135" s="368"/>
      <c r="RV135" s="368"/>
      <c r="RW135" s="368"/>
      <c r="RX135" s="368"/>
      <c r="RY135" s="368"/>
      <c r="RZ135" s="368"/>
      <c r="SA135" s="368"/>
      <c r="SB135" s="368"/>
      <c r="SC135" s="368"/>
      <c r="SD135" s="368"/>
      <c r="SE135" s="368"/>
      <c r="SF135" s="368"/>
      <c r="SG135" s="368"/>
      <c r="SH135" s="368"/>
      <c r="SI135" s="368"/>
      <c r="SJ135" s="368"/>
      <c r="SK135" s="368"/>
      <c r="SL135" s="368"/>
      <c r="SM135" s="368"/>
      <c r="SN135" s="368"/>
      <c r="SO135" s="368"/>
      <c r="SP135" s="368"/>
      <c r="SQ135" s="368"/>
      <c r="SR135" s="368"/>
      <c r="SS135" s="368"/>
      <c r="ST135" s="368"/>
      <c r="SU135" s="368"/>
      <c r="SV135" s="368"/>
      <c r="SW135" s="368"/>
      <c r="SX135" s="368"/>
      <c r="SY135" s="368"/>
      <c r="SZ135" s="368"/>
      <c r="TA135" s="368"/>
      <c r="TB135" s="368"/>
      <c r="TC135" s="368"/>
      <c r="TD135" s="368"/>
      <c r="TE135" s="368"/>
      <c r="TF135" s="368"/>
      <c r="TG135" s="368"/>
      <c r="TH135" s="368"/>
      <c r="TI135" s="368"/>
      <c r="TJ135" s="368"/>
      <c r="TK135" s="368"/>
      <c r="TL135" s="368"/>
      <c r="TM135" s="368"/>
      <c r="TN135" s="368"/>
      <c r="TO135" s="368"/>
      <c r="TP135" s="368"/>
      <c r="TQ135" s="368"/>
      <c r="TR135" s="368"/>
      <c r="TS135" s="368"/>
      <c r="TT135" s="368"/>
      <c r="TU135" s="368"/>
      <c r="TV135" s="368"/>
      <c r="TW135" s="368"/>
      <c r="TX135" s="368"/>
      <c r="TY135" s="368"/>
      <c r="TZ135" s="368"/>
      <c r="UA135" s="368"/>
      <c r="UB135" s="368"/>
      <c r="UC135" s="368"/>
      <c r="UD135" s="368"/>
      <c r="UE135" s="368"/>
      <c r="UF135" s="368"/>
      <c r="UG135" s="368"/>
      <c r="UH135" s="368"/>
      <c r="UI135" s="368"/>
      <c r="UJ135" s="368"/>
      <c r="UK135" s="368"/>
      <c r="UL135" s="368"/>
      <c r="UM135" s="368"/>
      <c r="UN135" s="368"/>
      <c r="UO135" s="368"/>
      <c r="UP135" s="368"/>
      <c r="UQ135" s="368"/>
      <c r="UR135" s="368"/>
      <c r="US135" s="368"/>
      <c r="UT135" s="368"/>
      <c r="UU135" s="368"/>
      <c r="UV135" s="368"/>
      <c r="UW135" s="368"/>
      <c r="UX135" s="368"/>
      <c r="UY135" s="368"/>
      <c r="UZ135" s="368"/>
      <c r="VA135" s="368"/>
      <c r="VB135" s="368"/>
      <c r="VC135" s="368"/>
      <c r="VD135" s="368"/>
      <c r="VE135" s="368"/>
      <c r="VF135" s="368"/>
      <c r="VG135" s="368"/>
      <c r="VH135" s="368"/>
      <c r="VI135" s="368"/>
      <c r="VJ135" s="368"/>
      <c r="VK135" s="368"/>
      <c r="VL135" s="368"/>
      <c r="VM135" s="368"/>
      <c r="VN135" s="368"/>
      <c r="VO135" s="368"/>
      <c r="VP135" s="368"/>
      <c r="VQ135" s="368"/>
      <c r="VR135" s="368"/>
      <c r="VS135" s="368"/>
      <c r="VT135" s="368"/>
      <c r="VU135" s="368"/>
      <c r="VV135" s="368"/>
      <c r="VW135" s="368"/>
      <c r="VX135" s="368"/>
      <c r="VY135" s="368"/>
      <c r="VZ135" s="368"/>
      <c r="WA135" s="368"/>
      <c r="WB135" s="368"/>
      <c r="WC135" s="368"/>
      <c r="WD135" s="368"/>
      <c r="WE135" s="368"/>
      <c r="WF135" s="368"/>
      <c r="WG135" s="368"/>
      <c r="WH135" s="368"/>
      <c r="WI135" s="368"/>
      <c r="WJ135" s="368"/>
      <c r="WK135" s="368"/>
      <c r="WL135" s="368"/>
      <c r="WM135" s="368"/>
      <c r="WN135" s="368"/>
      <c r="WO135" s="368"/>
      <c r="WP135" s="368"/>
      <c r="WQ135" s="368"/>
      <c r="WR135" s="368"/>
      <c r="WS135" s="368"/>
      <c r="WT135" s="368"/>
      <c r="WU135" s="368"/>
      <c r="WV135" s="368"/>
      <c r="WW135" s="368"/>
      <c r="WX135" s="368"/>
      <c r="WY135" s="368"/>
      <c r="WZ135" s="368"/>
      <c r="XA135" s="368"/>
      <c r="XB135" s="368"/>
      <c r="XC135" s="368"/>
      <c r="XD135" s="368"/>
      <c r="XE135" s="368"/>
      <c r="XF135" s="368"/>
      <c r="XG135" s="368"/>
      <c r="XH135" s="368"/>
      <c r="XI135" s="368"/>
      <c r="XJ135" s="368"/>
      <c r="XK135" s="368"/>
      <c r="XL135" s="368"/>
      <c r="XM135" s="368"/>
      <c r="XN135" s="368"/>
      <c r="XO135" s="368"/>
      <c r="XP135" s="368"/>
      <c r="XQ135" s="368"/>
      <c r="XR135" s="368"/>
      <c r="XS135" s="368"/>
      <c r="XT135" s="368"/>
      <c r="XU135" s="368"/>
      <c r="XV135" s="368"/>
      <c r="XW135" s="368"/>
      <c r="XX135" s="368"/>
      <c r="XY135" s="368"/>
      <c r="XZ135" s="368"/>
      <c r="YA135" s="368"/>
      <c r="YB135" s="368"/>
      <c r="YC135" s="368"/>
      <c r="YD135" s="368"/>
      <c r="YE135" s="368"/>
      <c r="YF135" s="368"/>
      <c r="YG135" s="368"/>
      <c r="YH135" s="368"/>
      <c r="YI135" s="368"/>
      <c r="YJ135" s="368"/>
      <c r="YK135" s="368"/>
      <c r="YL135" s="368"/>
      <c r="YM135" s="368"/>
      <c r="YN135" s="368"/>
      <c r="YO135" s="368"/>
      <c r="YP135" s="368"/>
      <c r="YQ135" s="368"/>
      <c r="YR135" s="368"/>
      <c r="YS135" s="368"/>
      <c r="YT135" s="368"/>
      <c r="YU135" s="368"/>
      <c r="YV135" s="368"/>
      <c r="YW135" s="368"/>
      <c r="YX135" s="368"/>
      <c r="YY135" s="368"/>
      <c r="YZ135" s="368"/>
      <c r="ZA135" s="368"/>
      <c r="ZB135" s="368"/>
      <c r="ZC135" s="368"/>
      <c r="ZD135" s="368"/>
      <c r="ZE135" s="368"/>
      <c r="ZF135" s="368"/>
      <c r="ZG135" s="368"/>
      <c r="ZH135" s="368"/>
      <c r="ZI135" s="368"/>
      <c r="ZJ135" s="368"/>
      <c r="ZK135" s="368"/>
      <c r="ZL135" s="368"/>
      <c r="ZM135" s="368"/>
      <c r="ZN135" s="368"/>
      <c r="ZO135" s="368"/>
      <c r="ZP135" s="368"/>
      <c r="ZQ135" s="368"/>
      <c r="ZR135" s="368"/>
      <c r="ZS135" s="368"/>
      <c r="ZT135" s="368"/>
      <c r="ZU135" s="368"/>
      <c r="ZV135" s="368"/>
      <c r="ZW135" s="368"/>
      <c r="ZX135" s="368"/>
      <c r="ZY135" s="368"/>
      <c r="ZZ135" s="368"/>
      <c r="AAA135" s="368"/>
      <c r="AAB135" s="368"/>
      <c r="AAC135" s="368"/>
      <c r="AAD135" s="368"/>
      <c r="AAE135" s="368"/>
      <c r="AAF135" s="368"/>
      <c r="AAG135" s="368"/>
      <c r="AAH135" s="368"/>
      <c r="AAI135" s="368"/>
      <c r="AAJ135" s="368"/>
      <c r="AAK135" s="368"/>
      <c r="AAL135" s="368"/>
      <c r="AAM135" s="368"/>
      <c r="AAN135" s="368"/>
      <c r="AAO135" s="368"/>
      <c r="AAP135" s="368"/>
      <c r="AAQ135" s="368"/>
      <c r="AAR135" s="368"/>
      <c r="AAS135" s="368"/>
      <c r="AAT135" s="368"/>
      <c r="AAU135" s="368"/>
      <c r="AAV135" s="368"/>
      <c r="AAW135" s="368"/>
      <c r="AAX135" s="368"/>
      <c r="AAY135" s="368"/>
      <c r="AAZ135" s="368"/>
      <c r="ABA135" s="368"/>
      <c r="ABB135" s="368"/>
      <c r="ABC135" s="368"/>
      <c r="ABD135" s="368"/>
      <c r="ABE135" s="368"/>
      <c r="ABF135" s="368"/>
      <c r="ABG135" s="368"/>
      <c r="ABH135" s="368"/>
      <c r="ABI135" s="368"/>
      <c r="ABJ135" s="368"/>
      <c r="ABK135" s="368"/>
      <c r="ABL135" s="368"/>
      <c r="ABM135" s="368"/>
      <c r="ABN135" s="368"/>
      <c r="ABO135" s="368"/>
      <c r="ABP135" s="368"/>
      <c r="ABQ135" s="368"/>
      <c r="ABR135" s="368"/>
      <c r="ABS135" s="368"/>
      <c r="ABT135" s="368"/>
      <c r="ABU135" s="368"/>
      <c r="ABV135" s="368"/>
      <c r="ABW135" s="368"/>
      <c r="ABX135" s="368"/>
      <c r="ABY135" s="368"/>
      <c r="ABZ135" s="368"/>
      <c r="ACA135" s="368"/>
      <c r="ACB135" s="368"/>
      <c r="ACC135" s="368"/>
      <c r="ACD135" s="368"/>
      <c r="ACE135" s="368"/>
      <c r="ACF135" s="368"/>
      <c r="ACG135" s="368"/>
      <c r="ACH135" s="368"/>
      <c r="ACI135" s="368"/>
      <c r="ACJ135" s="368"/>
      <c r="ACK135" s="368"/>
      <c r="ACL135" s="368"/>
      <c r="ACM135" s="368"/>
      <c r="ACN135" s="368"/>
      <c r="ACO135" s="368"/>
      <c r="ACP135" s="368"/>
      <c r="ACQ135" s="368"/>
      <c r="ACR135" s="368"/>
      <c r="ACS135" s="368"/>
      <c r="ACT135" s="368"/>
      <c r="ACU135" s="368"/>
      <c r="ACV135" s="368"/>
      <c r="ACW135" s="368"/>
      <c r="ACX135" s="368"/>
      <c r="ACY135" s="368"/>
      <c r="ACZ135" s="368"/>
      <c r="ADA135" s="368"/>
      <c r="ADB135" s="368"/>
      <c r="ADC135" s="368"/>
      <c r="ADD135" s="368"/>
      <c r="ADE135" s="368"/>
      <c r="ADF135" s="368"/>
      <c r="ADG135" s="368"/>
      <c r="ADH135" s="368"/>
      <c r="ADI135" s="368"/>
      <c r="ADJ135" s="368"/>
      <c r="ADK135" s="368"/>
      <c r="ADL135" s="368"/>
      <c r="ADM135" s="368"/>
      <c r="ADN135" s="368"/>
      <c r="ADO135" s="368"/>
      <c r="ADP135" s="368"/>
      <c r="ADQ135" s="368"/>
      <c r="ADR135" s="368"/>
      <c r="ADS135" s="368"/>
      <c r="ADT135" s="368"/>
      <c r="ADU135" s="368"/>
      <c r="ADV135" s="368"/>
      <c r="ADW135" s="368"/>
      <c r="ADX135" s="368"/>
      <c r="ADY135" s="368"/>
      <c r="ADZ135" s="368"/>
      <c r="AEA135" s="368"/>
      <c r="AEB135" s="368"/>
      <c r="AEC135" s="368"/>
      <c r="AED135" s="368"/>
      <c r="AEE135" s="368"/>
      <c r="AEF135" s="368"/>
      <c r="AEG135" s="368"/>
      <c r="AEH135" s="368"/>
      <c r="AEI135" s="368"/>
      <c r="AEJ135" s="368"/>
      <c r="AEK135" s="368"/>
      <c r="AEL135" s="368"/>
      <c r="AEM135" s="368"/>
      <c r="AEN135" s="368"/>
      <c r="AEO135" s="368"/>
      <c r="AEP135" s="368"/>
      <c r="AEQ135" s="368"/>
      <c r="AER135" s="368"/>
      <c r="AES135" s="368"/>
      <c r="AET135" s="368"/>
      <c r="AEU135" s="368"/>
      <c r="AEV135" s="368"/>
      <c r="AEW135" s="368"/>
      <c r="AEX135" s="368"/>
      <c r="AEY135" s="368"/>
      <c r="AEZ135" s="368"/>
      <c r="AFA135" s="368"/>
      <c r="AFB135" s="368"/>
      <c r="AFC135" s="368"/>
      <c r="AFD135" s="368"/>
      <c r="AFE135" s="368"/>
      <c r="AFF135" s="368"/>
      <c r="AFG135" s="368"/>
      <c r="AFH135" s="368"/>
      <c r="AFI135" s="368"/>
      <c r="AFJ135" s="368"/>
      <c r="AFK135" s="368"/>
      <c r="AFL135" s="368"/>
      <c r="AFM135" s="368"/>
      <c r="AFN135" s="368"/>
      <c r="AFO135" s="368"/>
      <c r="AFP135" s="368"/>
      <c r="AFQ135" s="368"/>
      <c r="AFR135" s="368"/>
      <c r="AFS135" s="368"/>
      <c r="AFT135" s="368"/>
      <c r="AFU135" s="368"/>
      <c r="AFV135" s="368"/>
      <c r="AFW135" s="368"/>
      <c r="AFX135" s="368"/>
      <c r="AFY135" s="368"/>
      <c r="AFZ135" s="368"/>
      <c r="AGA135" s="368"/>
      <c r="AGB135" s="368"/>
      <c r="AGC135" s="368"/>
      <c r="AGD135" s="368"/>
      <c r="AGE135" s="368"/>
      <c r="AGF135" s="368"/>
      <c r="AGG135" s="368"/>
      <c r="AGH135" s="368"/>
      <c r="AGI135" s="368"/>
      <c r="AGJ135" s="368"/>
      <c r="AGK135" s="368"/>
      <c r="AGL135" s="368"/>
      <c r="AGM135" s="368"/>
      <c r="AGN135" s="368"/>
      <c r="AGO135" s="368"/>
      <c r="AGP135" s="368"/>
      <c r="AGQ135" s="368"/>
      <c r="AGR135" s="368"/>
      <c r="AGS135" s="368"/>
      <c r="AGT135" s="368"/>
      <c r="AGU135" s="368"/>
      <c r="AGV135" s="368"/>
      <c r="AGW135" s="368"/>
      <c r="AGX135" s="368"/>
      <c r="AGY135" s="368"/>
      <c r="AGZ135" s="368"/>
      <c r="AHA135" s="368"/>
      <c r="AHB135" s="368"/>
      <c r="AHC135" s="368"/>
      <c r="AHD135" s="368"/>
      <c r="AHE135" s="368"/>
      <c r="AHF135" s="368"/>
      <c r="AHG135" s="368"/>
      <c r="AHH135" s="368"/>
      <c r="AHI135" s="368"/>
      <c r="AHJ135" s="368"/>
      <c r="AHK135" s="368"/>
      <c r="AHL135" s="368"/>
      <c r="AHM135" s="368"/>
      <c r="AHN135" s="368"/>
      <c r="AHO135" s="368"/>
      <c r="AHP135" s="368"/>
      <c r="AHQ135" s="368"/>
      <c r="AHR135" s="368"/>
      <c r="AHS135" s="368"/>
      <c r="AHT135" s="368"/>
      <c r="AHU135" s="368"/>
      <c r="AHV135" s="368"/>
      <c r="AHW135" s="368"/>
      <c r="AHX135" s="368"/>
      <c r="AHY135" s="368"/>
      <c r="AHZ135" s="368"/>
      <c r="AIA135" s="368"/>
      <c r="AIB135" s="368"/>
      <c r="AIC135" s="368"/>
      <c r="AID135" s="368"/>
      <c r="AIE135" s="368"/>
      <c r="AIF135" s="368"/>
      <c r="AIG135" s="368"/>
      <c r="AIH135" s="368"/>
      <c r="AII135" s="368"/>
      <c r="AIJ135" s="368"/>
      <c r="AIK135" s="368"/>
      <c r="AIL135" s="368"/>
      <c r="AIM135" s="368"/>
      <c r="AIN135" s="368"/>
      <c r="AIO135" s="368"/>
      <c r="AIP135" s="368"/>
      <c r="AIQ135" s="368"/>
      <c r="AIR135" s="368"/>
      <c r="AIS135" s="368"/>
      <c r="AIT135" s="368"/>
      <c r="AIU135" s="368"/>
      <c r="AIV135" s="368"/>
      <c r="AIW135" s="368"/>
      <c r="AIX135" s="368"/>
      <c r="AIY135" s="368"/>
      <c r="AIZ135" s="368"/>
      <c r="AJA135" s="368"/>
      <c r="AJB135" s="368"/>
      <c r="AJC135" s="368"/>
      <c r="AJD135" s="368"/>
      <c r="AJE135" s="368"/>
      <c r="AJF135" s="368"/>
      <c r="AJG135" s="368"/>
      <c r="AJH135" s="368"/>
      <c r="AJI135" s="368"/>
      <c r="AJJ135" s="368"/>
      <c r="AJK135" s="368"/>
      <c r="AJL135" s="368"/>
      <c r="AJM135" s="368"/>
      <c r="AJN135" s="368"/>
      <c r="AJO135" s="368"/>
      <c r="AJP135" s="368"/>
      <c r="AJQ135" s="368"/>
      <c r="AJR135" s="368"/>
      <c r="AJS135" s="368"/>
      <c r="AJT135" s="368"/>
      <c r="AJU135" s="368"/>
      <c r="AJV135" s="368"/>
      <c r="AJW135" s="368"/>
      <c r="AJX135" s="368"/>
      <c r="AJY135" s="368"/>
      <c r="AJZ135" s="368"/>
      <c r="AKA135" s="368"/>
      <c r="AKB135" s="368"/>
      <c r="AKC135" s="368"/>
      <c r="AKD135" s="368"/>
      <c r="AKE135" s="368"/>
      <c r="AKF135" s="368"/>
      <c r="AKG135" s="368"/>
      <c r="AKH135" s="368"/>
      <c r="AKI135" s="368"/>
      <c r="AKJ135" s="368"/>
      <c r="AKK135" s="368"/>
      <c r="AKL135" s="368"/>
      <c r="AKM135" s="368"/>
      <c r="AKN135" s="368"/>
    </row>
    <row r="136" spans="1:976" s="351" customFormat="1" ht="22.5" customHeight="1" x14ac:dyDescent="0.2">
      <c r="A136" s="418" t="s">
        <v>262</v>
      </c>
      <c r="B136" s="418"/>
      <c r="C136" s="418" t="s">
        <v>221</v>
      </c>
      <c r="D136" s="418" t="s">
        <v>222</v>
      </c>
      <c r="E136" s="419">
        <v>414173</v>
      </c>
      <c r="F136" s="419">
        <v>1792</v>
      </c>
      <c r="G136" s="419">
        <v>282</v>
      </c>
      <c r="H136" s="419">
        <v>0</v>
      </c>
      <c r="I136" s="420">
        <v>45889</v>
      </c>
      <c r="J136" s="418" t="s">
        <v>395</v>
      </c>
      <c r="K136" s="418" t="s">
        <v>650</v>
      </c>
      <c r="L136" s="421">
        <v>42.24</v>
      </c>
      <c r="M136" s="421">
        <v>2.3199999999999998</v>
      </c>
      <c r="N136" s="443">
        <v>44.56</v>
      </c>
      <c r="O136" s="418"/>
      <c r="P136" s="422">
        <v>45903</v>
      </c>
      <c r="Q136" s="421">
        <v>44.56</v>
      </c>
      <c r="R136" s="418" t="s">
        <v>463</v>
      </c>
      <c r="S136" s="421">
        <v>0</v>
      </c>
      <c r="T136" s="421">
        <v>0</v>
      </c>
      <c r="U136" s="421">
        <v>0</v>
      </c>
      <c r="V136" s="421">
        <v>0</v>
      </c>
      <c r="W136" s="418"/>
      <c r="X136" s="418" t="s">
        <v>266</v>
      </c>
      <c r="Y136" s="418" t="s">
        <v>267</v>
      </c>
      <c r="Z136" s="418" t="s">
        <v>42</v>
      </c>
      <c r="AA136" s="418" t="s">
        <v>228</v>
      </c>
      <c r="AB136" s="418" t="s">
        <v>34</v>
      </c>
      <c r="AC136" s="418" t="s">
        <v>250</v>
      </c>
      <c r="AD136" s="418" t="s">
        <v>231</v>
      </c>
      <c r="AE136" s="418" t="s">
        <v>232</v>
      </c>
      <c r="AF136" s="418" t="s">
        <v>231</v>
      </c>
      <c r="AG136" s="418" t="s">
        <v>232</v>
      </c>
      <c r="AH136" s="418"/>
      <c r="AI136" s="418"/>
      <c r="AJ136" s="418"/>
      <c r="AK136" s="418" t="s">
        <v>651</v>
      </c>
      <c r="AL136" s="419">
        <v>1</v>
      </c>
      <c r="AM136" s="419">
        <v>0</v>
      </c>
      <c r="AN136" s="420">
        <v>45902</v>
      </c>
      <c r="AO136" s="420">
        <v>45902</v>
      </c>
      <c r="AP136" s="421">
        <v>44.56</v>
      </c>
      <c r="AQ136" s="420">
        <v>45901</v>
      </c>
      <c r="AR136" s="368"/>
      <c r="AS136" s="368"/>
      <c r="AT136" s="368"/>
      <c r="AU136" s="368"/>
      <c r="AV136" s="368"/>
      <c r="AW136" s="368"/>
      <c r="AX136" s="368"/>
      <c r="AY136" s="368"/>
      <c r="AZ136" s="368"/>
      <c r="BA136" s="368"/>
      <c r="BB136" s="368"/>
      <c r="BC136" s="368"/>
      <c r="BD136" s="368"/>
      <c r="BE136" s="368"/>
      <c r="BF136" s="368"/>
      <c r="BG136" s="368"/>
      <c r="BH136" s="368"/>
      <c r="BI136" s="368"/>
      <c r="BJ136" s="368"/>
      <c r="BK136" s="368"/>
      <c r="BL136" s="368"/>
      <c r="BM136" s="368"/>
      <c r="BN136" s="368"/>
      <c r="BO136" s="368"/>
      <c r="BP136" s="368"/>
      <c r="BQ136" s="368"/>
      <c r="BR136" s="368"/>
      <c r="BS136" s="368"/>
      <c r="BT136" s="368"/>
      <c r="BU136" s="368"/>
      <c r="BV136" s="368"/>
      <c r="BW136" s="368"/>
      <c r="BX136" s="368"/>
      <c r="BY136" s="368"/>
      <c r="BZ136" s="368"/>
      <c r="CA136" s="368"/>
      <c r="CB136" s="368"/>
      <c r="CC136" s="368"/>
      <c r="CD136" s="368"/>
      <c r="CE136" s="368"/>
      <c r="CF136" s="368"/>
      <c r="CG136" s="368"/>
      <c r="CH136" s="368"/>
      <c r="CI136" s="368"/>
      <c r="CJ136" s="368"/>
      <c r="CK136" s="368"/>
      <c r="CL136" s="368"/>
      <c r="CM136" s="368"/>
      <c r="CN136" s="368"/>
      <c r="CO136" s="368"/>
      <c r="CP136" s="368"/>
      <c r="CQ136" s="368"/>
      <c r="CR136" s="368"/>
      <c r="CS136" s="368"/>
      <c r="CT136" s="368"/>
      <c r="CU136" s="368"/>
      <c r="CV136" s="368"/>
      <c r="CW136" s="368"/>
      <c r="CX136" s="368"/>
      <c r="CY136" s="368"/>
      <c r="CZ136" s="368"/>
      <c r="DA136" s="368"/>
      <c r="DB136" s="368"/>
      <c r="DC136" s="368"/>
      <c r="DD136" s="368"/>
      <c r="DE136" s="368"/>
      <c r="DF136" s="368"/>
      <c r="DG136" s="368"/>
      <c r="DH136" s="368"/>
      <c r="DI136" s="368"/>
      <c r="DJ136" s="368"/>
      <c r="DK136" s="368"/>
      <c r="DL136" s="368"/>
      <c r="DM136" s="368"/>
      <c r="DN136" s="368"/>
      <c r="DO136" s="368"/>
      <c r="DP136" s="368"/>
      <c r="DQ136" s="368"/>
      <c r="DR136" s="368"/>
      <c r="DS136" s="368"/>
      <c r="DT136" s="368"/>
      <c r="DU136" s="368"/>
      <c r="DV136" s="368"/>
      <c r="DW136" s="368"/>
      <c r="DX136" s="368"/>
      <c r="DY136" s="368"/>
      <c r="DZ136" s="368"/>
      <c r="EA136" s="368"/>
      <c r="EB136" s="368"/>
      <c r="EC136" s="368"/>
      <c r="ED136" s="368"/>
      <c r="EE136" s="368"/>
      <c r="EF136" s="368"/>
      <c r="EG136" s="368"/>
      <c r="EH136" s="368"/>
      <c r="EI136" s="368"/>
      <c r="EJ136" s="368"/>
      <c r="EK136" s="368"/>
      <c r="EL136" s="368"/>
      <c r="EM136" s="368"/>
      <c r="EN136" s="368"/>
      <c r="EO136" s="368"/>
      <c r="EP136" s="368"/>
      <c r="EQ136" s="368"/>
      <c r="ER136" s="368"/>
      <c r="ES136" s="368"/>
      <c r="ET136" s="368"/>
      <c r="EU136" s="368"/>
      <c r="EV136" s="368"/>
      <c r="EW136" s="368"/>
      <c r="EX136" s="368"/>
      <c r="EY136" s="368"/>
      <c r="EZ136" s="368"/>
      <c r="FA136" s="368"/>
      <c r="FB136" s="368"/>
      <c r="FC136" s="368"/>
      <c r="FD136" s="368"/>
      <c r="FE136" s="368"/>
      <c r="FF136" s="368"/>
      <c r="FG136" s="368"/>
      <c r="FH136" s="368"/>
      <c r="FI136" s="368"/>
      <c r="FJ136" s="368"/>
      <c r="FK136" s="368"/>
      <c r="FL136" s="368"/>
      <c r="FM136" s="368"/>
      <c r="FN136" s="368"/>
      <c r="FO136" s="368"/>
      <c r="FP136" s="368"/>
      <c r="FQ136" s="368"/>
      <c r="FR136" s="368"/>
      <c r="FS136" s="368"/>
      <c r="FT136" s="368"/>
      <c r="FU136" s="368"/>
      <c r="FV136" s="368"/>
      <c r="FW136" s="368"/>
      <c r="FX136" s="368"/>
      <c r="FY136" s="368"/>
      <c r="FZ136" s="368"/>
      <c r="GA136" s="368"/>
      <c r="GB136" s="368"/>
      <c r="GC136" s="368"/>
      <c r="GD136" s="368"/>
      <c r="GE136" s="368"/>
      <c r="GF136" s="368"/>
      <c r="GG136" s="368"/>
      <c r="GH136" s="368"/>
      <c r="GI136" s="368"/>
      <c r="GJ136" s="368"/>
      <c r="GK136" s="368"/>
      <c r="GL136" s="368"/>
      <c r="GM136" s="368"/>
      <c r="GN136" s="368"/>
      <c r="GO136" s="368"/>
      <c r="GP136" s="368"/>
      <c r="GQ136" s="368"/>
      <c r="GR136" s="368"/>
      <c r="GS136" s="368"/>
      <c r="GT136" s="368"/>
      <c r="GU136" s="368"/>
      <c r="GV136" s="368"/>
      <c r="GW136" s="368"/>
      <c r="GX136" s="368"/>
      <c r="GY136" s="368"/>
      <c r="GZ136" s="368"/>
      <c r="HA136" s="368"/>
      <c r="HB136" s="368"/>
      <c r="HC136" s="368"/>
      <c r="HD136" s="368"/>
      <c r="HE136" s="368"/>
      <c r="HF136" s="368"/>
      <c r="HG136" s="368"/>
      <c r="HH136" s="368"/>
      <c r="HI136" s="368"/>
      <c r="HJ136" s="368"/>
      <c r="HK136" s="368"/>
      <c r="HL136" s="368"/>
      <c r="HM136" s="368"/>
      <c r="HN136" s="368"/>
      <c r="HO136" s="368"/>
      <c r="HP136" s="368"/>
      <c r="HQ136" s="368"/>
      <c r="HR136" s="368"/>
      <c r="HS136" s="368"/>
      <c r="HT136" s="368"/>
      <c r="HU136" s="368"/>
      <c r="HV136" s="368"/>
      <c r="HW136" s="368"/>
      <c r="HX136" s="368"/>
      <c r="HY136" s="368"/>
      <c r="HZ136" s="368"/>
      <c r="IA136" s="368"/>
      <c r="IB136" s="368"/>
      <c r="IC136" s="368"/>
      <c r="ID136" s="368"/>
      <c r="IE136" s="368"/>
      <c r="IF136" s="368"/>
      <c r="IG136" s="368"/>
      <c r="IH136" s="368"/>
      <c r="II136" s="368"/>
      <c r="IJ136" s="368"/>
      <c r="IK136" s="368"/>
      <c r="IL136" s="368"/>
      <c r="IM136" s="368"/>
      <c r="IN136" s="368"/>
      <c r="IO136" s="368"/>
      <c r="IP136" s="368"/>
      <c r="IQ136" s="368"/>
      <c r="IR136" s="368"/>
      <c r="IS136" s="368"/>
      <c r="IT136" s="368"/>
      <c r="IU136" s="368"/>
      <c r="IV136" s="368"/>
      <c r="IW136" s="368"/>
      <c r="IX136" s="368"/>
      <c r="IY136" s="368"/>
      <c r="IZ136" s="368"/>
      <c r="JA136" s="368"/>
      <c r="JB136" s="368"/>
      <c r="JC136" s="368"/>
      <c r="JD136" s="368"/>
      <c r="JE136" s="368"/>
      <c r="JF136" s="368"/>
      <c r="JG136" s="368"/>
      <c r="JH136" s="368"/>
      <c r="JI136" s="368"/>
      <c r="JJ136" s="368"/>
      <c r="JK136" s="368"/>
      <c r="JL136" s="368"/>
      <c r="JM136" s="368"/>
      <c r="JN136" s="368"/>
      <c r="JO136" s="368"/>
      <c r="JP136" s="368"/>
      <c r="JQ136" s="368"/>
      <c r="JR136" s="368"/>
      <c r="JS136" s="368"/>
      <c r="JT136" s="368"/>
      <c r="JU136" s="368"/>
      <c r="JV136" s="368"/>
      <c r="JW136" s="368"/>
      <c r="JX136" s="368"/>
      <c r="JY136" s="368"/>
      <c r="JZ136" s="368"/>
      <c r="KA136" s="368"/>
      <c r="KB136" s="368"/>
      <c r="KC136" s="368"/>
      <c r="KD136" s="368"/>
      <c r="KE136" s="368"/>
      <c r="KF136" s="368"/>
      <c r="KG136" s="368"/>
      <c r="KH136" s="368"/>
      <c r="KI136" s="368"/>
      <c r="KJ136" s="368"/>
      <c r="KK136" s="368"/>
      <c r="KL136" s="368"/>
      <c r="KM136" s="368"/>
      <c r="KN136" s="368"/>
      <c r="KO136" s="368"/>
      <c r="KP136" s="368"/>
      <c r="KQ136" s="368"/>
      <c r="KR136" s="368"/>
      <c r="KS136" s="368"/>
      <c r="KT136" s="368"/>
      <c r="KU136" s="368"/>
      <c r="KV136" s="368"/>
      <c r="KW136" s="368"/>
      <c r="KX136" s="368"/>
      <c r="KY136" s="368"/>
      <c r="KZ136" s="368"/>
      <c r="LA136" s="368"/>
      <c r="LB136" s="368"/>
      <c r="LC136" s="368"/>
      <c r="LD136" s="368"/>
      <c r="LE136" s="368"/>
      <c r="LF136" s="368"/>
      <c r="LG136" s="368"/>
      <c r="LH136" s="368"/>
      <c r="LI136" s="368"/>
      <c r="LJ136" s="368"/>
      <c r="LK136" s="368"/>
      <c r="LL136" s="368"/>
      <c r="LM136" s="368"/>
      <c r="LN136" s="368"/>
      <c r="LO136" s="368"/>
      <c r="LP136" s="368"/>
      <c r="LQ136" s="368"/>
      <c r="LR136" s="368"/>
      <c r="LS136" s="368"/>
      <c r="LT136" s="368"/>
      <c r="LU136" s="368"/>
      <c r="LV136" s="368"/>
      <c r="LW136" s="368"/>
      <c r="LX136" s="368"/>
      <c r="LY136" s="368"/>
      <c r="LZ136" s="368"/>
      <c r="MA136" s="368"/>
      <c r="MB136" s="368"/>
      <c r="MC136" s="368"/>
      <c r="MD136" s="368"/>
      <c r="ME136" s="368"/>
      <c r="MF136" s="368"/>
      <c r="MG136" s="368"/>
      <c r="MH136" s="368"/>
      <c r="MI136" s="368"/>
      <c r="MJ136" s="368"/>
      <c r="MK136" s="368"/>
      <c r="ML136" s="368"/>
      <c r="MM136" s="368"/>
      <c r="MN136" s="368"/>
      <c r="MO136" s="368"/>
      <c r="MP136" s="368"/>
      <c r="MQ136" s="368"/>
      <c r="MR136" s="368"/>
      <c r="MS136" s="368"/>
      <c r="MT136" s="368"/>
      <c r="MU136" s="368"/>
      <c r="MV136" s="368"/>
      <c r="MW136" s="368"/>
      <c r="MX136" s="368"/>
      <c r="MY136" s="368"/>
      <c r="MZ136" s="368"/>
      <c r="NA136" s="368"/>
      <c r="NB136" s="368"/>
      <c r="NC136" s="368"/>
      <c r="ND136" s="368"/>
      <c r="NE136" s="368"/>
      <c r="NF136" s="368"/>
      <c r="NG136" s="368"/>
      <c r="NH136" s="368"/>
      <c r="NI136" s="368"/>
      <c r="NJ136" s="368"/>
      <c r="NK136" s="368"/>
      <c r="NL136" s="368"/>
      <c r="NM136" s="368"/>
      <c r="NN136" s="368"/>
      <c r="NO136" s="368"/>
      <c r="NP136" s="368"/>
      <c r="NQ136" s="368"/>
      <c r="NR136" s="368"/>
      <c r="NS136" s="368"/>
      <c r="NT136" s="368"/>
      <c r="NU136" s="368"/>
      <c r="NV136" s="368"/>
      <c r="NW136" s="368"/>
      <c r="NX136" s="368"/>
      <c r="NY136" s="368"/>
      <c r="NZ136" s="368"/>
      <c r="OA136" s="368"/>
      <c r="OB136" s="368"/>
      <c r="OC136" s="368"/>
      <c r="OD136" s="368"/>
      <c r="OE136" s="368"/>
      <c r="OF136" s="368"/>
      <c r="OG136" s="368"/>
      <c r="OH136" s="368"/>
      <c r="OI136" s="368"/>
      <c r="OJ136" s="368"/>
      <c r="OK136" s="368"/>
      <c r="OL136" s="368"/>
      <c r="OM136" s="368"/>
      <c r="ON136" s="368"/>
      <c r="OO136" s="368"/>
      <c r="OP136" s="368"/>
      <c r="OQ136" s="368"/>
      <c r="OR136" s="368"/>
      <c r="OS136" s="368"/>
      <c r="OT136" s="368"/>
      <c r="OU136" s="368"/>
      <c r="OV136" s="368"/>
      <c r="OW136" s="368"/>
      <c r="OX136" s="368"/>
      <c r="OY136" s="368"/>
      <c r="OZ136" s="368"/>
      <c r="PA136" s="368"/>
      <c r="PB136" s="368"/>
      <c r="PC136" s="368"/>
      <c r="PD136" s="368"/>
      <c r="PE136" s="368"/>
      <c r="PF136" s="368"/>
      <c r="PG136" s="368"/>
      <c r="PH136" s="368"/>
      <c r="PI136" s="368"/>
      <c r="PJ136" s="368"/>
      <c r="PK136" s="368"/>
      <c r="PL136" s="368"/>
      <c r="PM136" s="368"/>
      <c r="PN136" s="368"/>
      <c r="PO136" s="368"/>
      <c r="PP136" s="368"/>
      <c r="PQ136" s="368"/>
      <c r="PR136" s="368"/>
      <c r="PS136" s="368"/>
      <c r="PT136" s="368"/>
      <c r="PU136" s="368"/>
      <c r="PV136" s="368"/>
      <c r="PW136" s="368"/>
      <c r="PX136" s="368"/>
      <c r="PY136" s="368"/>
      <c r="PZ136" s="368"/>
      <c r="QA136" s="368"/>
      <c r="QB136" s="368"/>
      <c r="QC136" s="368"/>
      <c r="QD136" s="368"/>
      <c r="QE136" s="368"/>
      <c r="QF136" s="368"/>
      <c r="QG136" s="368"/>
      <c r="QH136" s="368"/>
      <c r="QI136" s="368"/>
      <c r="QJ136" s="368"/>
      <c r="QK136" s="368"/>
      <c r="QL136" s="368"/>
      <c r="QM136" s="368"/>
      <c r="QN136" s="368"/>
      <c r="QO136" s="368"/>
      <c r="QP136" s="368"/>
      <c r="QQ136" s="368"/>
      <c r="QR136" s="368"/>
      <c r="QS136" s="368"/>
      <c r="QT136" s="368"/>
      <c r="QU136" s="368"/>
      <c r="QV136" s="368"/>
      <c r="QW136" s="368"/>
      <c r="QX136" s="368"/>
      <c r="QY136" s="368"/>
      <c r="QZ136" s="368"/>
      <c r="RA136" s="368"/>
      <c r="RB136" s="368"/>
      <c r="RC136" s="368"/>
      <c r="RD136" s="368"/>
      <c r="RE136" s="368"/>
      <c r="RF136" s="368"/>
      <c r="RG136" s="368"/>
      <c r="RH136" s="368"/>
      <c r="RI136" s="368"/>
      <c r="RJ136" s="368"/>
      <c r="RK136" s="368"/>
      <c r="RL136" s="368"/>
      <c r="RM136" s="368"/>
      <c r="RN136" s="368"/>
      <c r="RO136" s="368"/>
      <c r="RP136" s="368"/>
      <c r="RQ136" s="368"/>
      <c r="RR136" s="368"/>
      <c r="RS136" s="368"/>
      <c r="RT136" s="368"/>
      <c r="RU136" s="368"/>
      <c r="RV136" s="368"/>
      <c r="RW136" s="368"/>
      <c r="RX136" s="368"/>
      <c r="RY136" s="368"/>
      <c r="RZ136" s="368"/>
      <c r="SA136" s="368"/>
      <c r="SB136" s="368"/>
      <c r="SC136" s="368"/>
      <c r="SD136" s="368"/>
      <c r="SE136" s="368"/>
      <c r="SF136" s="368"/>
      <c r="SG136" s="368"/>
      <c r="SH136" s="368"/>
      <c r="SI136" s="368"/>
      <c r="SJ136" s="368"/>
      <c r="SK136" s="368"/>
      <c r="SL136" s="368"/>
      <c r="SM136" s="368"/>
      <c r="SN136" s="368"/>
      <c r="SO136" s="368"/>
      <c r="SP136" s="368"/>
      <c r="SQ136" s="368"/>
      <c r="SR136" s="368"/>
      <c r="SS136" s="368"/>
      <c r="ST136" s="368"/>
      <c r="SU136" s="368"/>
      <c r="SV136" s="368"/>
      <c r="SW136" s="368"/>
      <c r="SX136" s="368"/>
      <c r="SY136" s="368"/>
      <c r="SZ136" s="368"/>
      <c r="TA136" s="368"/>
      <c r="TB136" s="368"/>
      <c r="TC136" s="368"/>
      <c r="TD136" s="368"/>
      <c r="TE136" s="368"/>
      <c r="TF136" s="368"/>
      <c r="TG136" s="368"/>
      <c r="TH136" s="368"/>
      <c r="TI136" s="368"/>
      <c r="TJ136" s="368"/>
      <c r="TK136" s="368"/>
      <c r="TL136" s="368"/>
      <c r="TM136" s="368"/>
      <c r="TN136" s="368"/>
      <c r="TO136" s="368"/>
      <c r="TP136" s="368"/>
      <c r="TQ136" s="368"/>
      <c r="TR136" s="368"/>
      <c r="TS136" s="368"/>
      <c r="TT136" s="368"/>
      <c r="TU136" s="368"/>
      <c r="TV136" s="368"/>
      <c r="TW136" s="368"/>
      <c r="TX136" s="368"/>
      <c r="TY136" s="368"/>
      <c r="TZ136" s="368"/>
      <c r="UA136" s="368"/>
      <c r="UB136" s="368"/>
      <c r="UC136" s="368"/>
      <c r="UD136" s="368"/>
      <c r="UE136" s="368"/>
      <c r="UF136" s="368"/>
      <c r="UG136" s="368"/>
      <c r="UH136" s="368"/>
      <c r="UI136" s="368"/>
      <c r="UJ136" s="368"/>
      <c r="UK136" s="368"/>
      <c r="UL136" s="368"/>
      <c r="UM136" s="368"/>
      <c r="UN136" s="368"/>
      <c r="UO136" s="368"/>
      <c r="UP136" s="368"/>
      <c r="UQ136" s="368"/>
      <c r="UR136" s="368"/>
      <c r="US136" s="368"/>
      <c r="UT136" s="368"/>
      <c r="UU136" s="368"/>
      <c r="UV136" s="368"/>
      <c r="UW136" s="368"/>
      <c r="UX136" s="368"/>
      <c r="UY136" s="368"/>
      <c r="UZ136" s="368"/>
      <c r="VA136" s="368"/>
      <c r="VB136" s="368"/>
      <c r="VC136" s="368"/>
      <c r="VD136" s="368"/>
      <c r="VE136" s="368"/>
      <c r="VF136" s="368"/>
      <c r="VG136" s="368"/>
      <c r="VH136" s="368"/>
      <c r="VI136" s="368"/>
      <c r="VJ136" s="368"/>
      <c r="VK136" s="368"/>
      <c r="VL136" s="368"/>
      <c r="VM136" s="368"/>
      <c r="VN136" s="368"/>
      <c r="VO136" s="368"/>
      <c r="VP136" s="368"/>
      <c r="VQ136" s="368"/>
      <c r="VR136" s="368"/>
      <c r="VS136" s="368"/>
      <c r="VT136" s="368"/>
      <c r="VU136" s="368"/>
      <c r="VV136" s="368"/>
      <c r="VW136" s="368"/>
      <c r="VX136" s="368"/>
      <c r="VY136" s="368"/>
      <c r="VZ136" s="368"/>
      <c r="WA136" s="368"/>
      <c r="WB136" s="368"/>
      <c r="WC136" s="368"/>
      <c r="WD136" s="368"/>
      <c r="WE136" s="368"/>
      <c r="WF136" s="368"/>
      <c r="WG136" s="368"/>
      <c r="WH136" s="368"/>
      <c r="WI136" s="368"/>
      <c r="WJ136" s="368"/>
      <c r="WK136" s="368"/>
      <c r="WL136" s="368"/>
      <c r="WM136" s="368"/>
      <c r="WN136" s="368"/>
      <c r="WO136" s="368"/>
      <c r="WP136" s="368"/>
      <c r="WQ136" s="368"/>
      <c r="WR136" s="368"/>
      <c r="WS136" s="368"/>
      <c r="WT136" s="368"/>
      <c r="WU136" s="368"/>
      <c r="WV136" s="368"/>
      <c r="WW136" s="368"/>
      <c r="WX136" s="368"/>
      <c r="WY136" s="368"/>
      <c r="WZ136" s="368"/>
      <c r="XA136" s="368"/>
      <c r="XB136" s="368"/>
      <c r="XC136" s="368"/>
      <c r="XD136" s="368"/>
      <c r="XE136" s="368"/>
      <c r="XF136" s="368"/>
      <c r="XG136" s="368"/>
      <c r="XH136" s="368"/>
      <c r="XI136" s="368"/>
      <c r="XJ136" s="368"/>
      <c r="XK136" s="368"/>
      <c r="XL136" s="368"/>
      <c r="XM136" s="368"/>
      <c r="XN136" s="368"/>
      <c r="XO136" s="368"/>
      <c r="XP136" s="368"/>
      <c r="XQ136" s="368"/>
      <c r="XR136" s="368"/>
      <c r="XS136" s="368"/>
      <c r="XT136" s="368"/>
      <c r="XU136" s="368"/>
      <c r="XV136" s="368"/>
      <c r="XW136" s="368"/>
      <c r="XX136" s="368"/>
      <c r="XY136" s="368"/>
      <c r="XZ136" s="368"/>
      <c r="YA136" s="368"/>
      <c r="YB136" s="368"/>
      <c r="YC136" s="368"/>
      <c r="YD136" s="368"/>
      <c r="YE136" s="368"/>
      <c r="YF136" s="368"/>
      <c r="YG136" s="368"/>
      <c r="YH136" s="368"/>
      <c r="YI136" s="368"/>
      <c r="YJ136" s="368"/>
      <c r="YK136" s="368"/>
      <c r="YL136" s="368"/>
      <c r="YM136" s="368"/>
      <c r="YN136" s="368"/>
      <c r="YO136" s="368"/>
      <c r="YP136" s="368"/>
      <c r="YQ136" s="368"/>
      <c r="YR136" s="368"/>
      <c r="YS136" s="368"/>
      <c r="YT136" s="368"/>
      <c r="YU136" s="368"/>
      <c r="YV136" s="368"/>
      <c r="YW136" s="368"/>
      <c r="YX136" s="368"/>
      <c r="YY136" s="368"/>
      <c r="YZ136" s="368"/>
      <c r="ZA136" s="368"/>
      <c r="ZB136" s="368"/>
      <c r="ZC136" s="368"/>
      <c r="ZD136" s="368"/>
      <c r="ZE136" s="368"/>
      <c r="ZF136" s="368"/>
      <c r="ZG136" s="368"/>
      <c r="ZH136" s="368"/>
      <c r="ZI136" s="368"/>
      <c r="ZJ136" s="368"/>
      <c r="ZK136" s="368"/>
      <c r="ZL136" s="368"/>
      <c r="ZM136" s="368"/>
      <c r="ZN136" s="368"/>
      <c r="ZO136" s="368"/>
      <c r="ZP136" s="368"/>
      <c r="ZQ136" s="368"/>
      <c r="ZR136" s="368"/>
      <c r="ZS136" s="368"/>
      <c r="ZT136" s="368"/>
      <c r="ZU136" s="368"/>
      <c r="ZV136" s="368"/>
      <c r="ZW136" s="368"/>
      <c r="ZX136" s="368"/>
      <c r="ZY136" s="368"/>
      <c r="ZZ136" s="368"/>
      <c r="AAA136" s="368"/>
      <c r="AAB136" s="368"/>
      <c r="AAC136" s="368"/>
      <c r="AAD136" s="368"/>
      <c r="AAE136" s="368"/>
      <c r="AAF136" s="368"/>
      <c r="AAG136" s="368"/>
      <c r="AAH136" s="368"/>
      <c r="AAI136" s="368"/>
      <c r="AAJ136" s="368"/>
      <c r="AAK136" s="368"/>
      <c r="AAL136" s="368"/>
      <c r="AAM136" s="368"/>
      <c r="AAN136" s="368"/>
      <c r="AAO136" s="368"/>
      <c r="AAP136" s="368"/>
      <c r="AAQ136" s="368"/>
      <c r="AAR136" s="368"/>
      <c r="AAS136" s="368"/>
      <c r="AAT136" s="368"/>
      <c r="AAU136" s="368"/>
      <c r="AAV136" s="368"/>
      <c r="AAW136" s="368"/>
      <c r="AAX136" s="368"/>
      <c r="AAY136" s="368"/>
      <c r="AAZ136" s="368"/>
      <c r="ABA136" s="368"/>
      <c r="ABB136" s="368"/>
      <c r="ABC136" s="368"/>
      <c r="ABD136" s="368"/>
      <c r="ABE136" s="368"/>
      <c r="ABF136" s="368"/>
      <c r="ABG136" s="368"/>
      <c r="ABH136" s="368"/>
      <c r="ABI136" s="368"/>
      <c r="ABJ136" s="368"/>
      <c r="ABK136" s="368"/>
      <c r="ABL136" s="368"/>
      <c r="ABM136" s="368"/>
      <c r="ABN136" s="368"/>
      <c r="ABO136" s="368"/>
      <c r="ABP136" s="368"/>
      <c r="ABQ136" s="368"/>
      <c r="ABR136" s="368"/>
      <c r="ABS136" s="368"/>
      <c r="ABT136" s="368"/>
      <c r="ABU136" s="368"/>
      <c r="ABV136" s="368"/>
      <c r="ABW136" s="368"/>
      <c r="ABX136" s="368"/>
      <c r="ABY136" s="368"/>
      <c r="ABZ136" s="368"/>
      <c r="ACA136" s="368"/>
      <c r="ACB136" s="368"/>
      <c r="ACC136" s="368"/>
      <c r="ACD136" s="368"/>
      <c r="ACE136" s="368"/>
      <c r="ACF136" s="368"/>
      <c r="ACG136" s="368"/>
      <c r="ACH136" s="368"/>
      <c r="ACI136" s="368"/>
      <c r="ACJ136" s="368"/>
      <c r="ACK136" s="368"/>
      <c r="ACL136" s="368"/>
      <c r="ACM136" s="368"/>
      <c r="ACN136" s="368"/>
      <c r="ACO136" s="368"/>
      <c r="ACP136" s="368"/>
      <c r="ACQ136" s="368"/>
      <c r="ACR136" s="368"/>
      <c r="ACS136" s="368"/>
      <c r="ACT136" s="368"/>
      <c r="ACU136" s="368"/>
      <c r="ACV136" s="368"/>
      <c r="ACW136" s="368"/>
      <c r="ACX136" s="368"/>
      <c r="ACY136" s="368"/>
      <c r="ACZ136" s="368"/>
      <c r="ADA136" s="368"/>
      <c r="ADB136" s="368"/>
      <c r="ADC136" s="368"/>
      <c r="ADD136" s="368"/>
      <c r="ADE136" s="368"/>
      <c r="ADF136" s="368"/>
      <c r="ADG136" s="368"/>
      <c r="ADH136" s="368"/>
      <c r="ADI136" s="368"/>
      <c r="ADJ136" s="368"/>
      <c r="ADK136" s="368"/>
      <c r="ADL136" s="368"/>
      <c r="ADM136" s="368"/>
      <c r="ADN136" s="368"/>
      <c r="ADO136" s="368"/>
      <c r="ADP136" s="368"/>
      <c r="ADQ136" s="368"/>
      <c r="ADR136" s="368"/>
      <c r="ADS136" s="368"/>
      <c r="ADT136" s="368"/>
      <c r="ADU136" s="368"/>
      <c r="ADV136" s="368"/>
      <c r="ADW136" s="368"/>
      <c r="ADX136" s="368"/>
      <c r="ADY136" s="368"/>
      <c r="ADZ136" s="368"/>
      <c r="AEA136" s="368"/>
      <c r="AEB136" s="368"/>
      <c r="AEC136" s="368"/>
      <c r="AED136" s="368"/>
      <c r="AEE136" s="368"/>
      <c r="AEF136" s="368"/>
      <c r="AEG136" s="368"/>
      <c r="AEH136" s="368"/>
      <c r="AEI136" s="368"/>
      <c r="AEJ136" s="368"/>
      <c r="AEK136" s="368"/>
      <c r="AEL136" s="368"/>
      <c r="AEM136" s="368"/>
      <c r="AEN136" s="368"/>
      <c r="AEO136" s="368"/>
      <c r="AEP136" s="368"/>
      <c r="AEQ136" s="368"/>
      <c r="AER136" s="368"/>
      <c r="AES136" s="368"/>
      <c r="AET136" s="368"/>
      <c r="AEU136" s="368"/>
      <c r="AEV136" s="368"/>
      <c r="AEW136" s="368"/>
      <c r="AEX136" s="368"/>
      <c r="AEY136" s="368"/>
      <c r="AEZ136" s="368"/>
      <c r="AFA136" s="368"/>
      <c r="AFB136" s="368"/>
      <c r="AFC136" s="368"/>
      <c r="AFD136" s="368"/>
      <c r="AFE136" s="368"/>
      <c r="AFF136" s="368"/>
      <c r="AFG136" s="368"/>
      <c r="AFH136" s="368"/>
      <c r="AFI136" s="368"/>
      <c r="AFJ136" s="368"/>
      <c r="AFK136" s="368"/>
      <c r="AFL136" s="368"/>
      <c r="AFM136" s="368"/>
      <c r="AFN136" s="368"/>
      <c r="AFO136" s="368"/>
      <c r="AFP136" s="368"/>
      <c r="AFQ136" s="368"/>
      <c r="AFR136" s="368"/>
      <c r="AFS136" s="368"/>
      <c r="AFT136" s="368"/>
      <c r="AFU136" s="368"/>
      <c r="AFV136" s="368"/>
      <c r="AFW136" s="368"/>
      <c r="AFX136" s="368"/>
      <c r="AFY136" s="368"/>
      <c r="AFZ136" s="368"/>
      <c r="AGA136" s="368"/>
      <c r="AGB136" s="368"/>
      <c r="AGC136" s="368"/>
      <c r="AGD136" s="368"/>
      <c r="AGE136" s="368"/>
      <c r="AGF136" s="368"/>
      <c r="AGG136" s="368"/>
      <c r="AGH136" s="368"/>
      <c r="AGI136" s="368"/>
      <c r="AGJ136" s="368"/>
      <c r="AGK136" s="368"/>
      <c r="AGL136" s="368"/>
      <c r="AGM136" s="368"/>
      <c r="AGN136" s="368"/>
      <c r="AGO136" s="368"/>
      <c r="AGP136" s="368"/>
      <c r="AGQ136" s="368"/>
      <c r="AGR136" s="368"/>
      <c r="AGS136" s="368"/>
      <c r="AGT136" s="368"/>
      <c r="AGU136" s="368"/>
      <c r="AGV136" s="368"/>
      <c r="AGW136" s="368"/>
      <c r="AGX136" s="368"/>
      <c r="AGY136" s="368"/>
      <c r="AGZ136" s="368"/>
      <c r="AHA136" s="368"/>
      <c r="AHB136" s="368"/>
      <c r="AHC136" s="368"/>
      <c r="AHD136" s="368"/>
      <c r="AHE136" s="368"/>
      <c r="AHF136" s="368"/>
      <c r="AHG136" s="368"/>
      <c r="AHH136" s="368"/>
      <c r="AHI136" s="368"/>
      <c r="AHJ136" s="368"/>
      <c r="AHK136" s="368"/>
      <c r="AHL136" s="368"/>
      <c r="AHM136" s="368"/>
      <c r="AHN136" s="368"/>
      <c r="AHO136" s="368"/>
      <c r="AHP136" s="368"/>
      <c r="AHQ136" s="368"/>
      <c r="AHR136" s="368"/>
      <c r="AHS136" s="368"/>
      <c r="AHT136" s="368"/>
      <c r="AHU136" s="368"/>
      <c r="AHV136" s="368"/>
      <c r="AHW136" s="368"/>
      <c r="AHX136" s="368"/>
      <c r="AHY136" s="368"/>
      <c r="AHZ136" s="368"/>
      <c r="AIA136" s="368"/>
      <c r="AIB136" s="368"/>
      <c r="AIC136" s="368"/>
      <c r="AID136" s="368"/>
      <c r="AIE136" s="368"/>
      <c r="AIF136" s="368"/>
      <c r="AIG136" s="368"/>
      <c r="AIH136" s="368"/>
      <c r="AII136" s="368"/>
      <c r="AIJ136" s="368"/>
      <c r="AIK136" s="368"/>
      <c r="AIL136" s="368"/>
      <c r="AIM136" s="368"/>
      <c r="AIN136" s="368"/>
      <c r="AIO136" s="368"/>
      <c r="AIP136" s="368"/>
      <c r="AIQ136" s="368"/>
      <c r="AIR136" s="368"/>
      <c r="AIS136" s="368"/>
      <c r="AIT136" s="368"/>
      <c r="AIU136" s="368"/>
      <c r="AIV136" s="368"/>
      <c r="AIW136" s="368"/>
      <c r="AIX136" s="368"/>
      <c r="AIY136" s="368"/>
      <c r="AIZ136" s="368"/>
      <c r="AJA136" s="368"/>
      <c r="AJB136" s="368"/>
      <c r="AJC136" s="368"/>
      <c r="AJD136" s="368"/>
      <c r="AJE136" s="368"/>
      <c r="AJF136" s="368"/>
      <c r="AJG136" s="368"/>
      <c r="AJH136" s="368"/>
      <c r="AJI136" s="368"/>
      <c r="AJJ136" s="368"/>
      <c r="AJK136" s="368"/>
      <c r="AJL136" s="368"/>
      <c r="AJM136" s="368"/>
      <c r="AJN136" s="368"/>
      <c r="AJO136" s="368"/>
      <c r="AJP136" s="368"/>
      <c r="AJQ136" s="368"/>
      <c r="AJR136" s="368"/>
      <c r="AJS136" s="368"/>
      <c r="AJT136" s="368"/>
      <c r="AJU136" s="368"/>
      <c r="AJV136" s="368"/>
      <c r="AJW136" s="368"/>
      <c r="AJX136" s="368"/>
      <c r="AJY136" s="368"/>
      <c r="AJZ136" s="368"/>
      <c r="AKA136" s="368"/>
      <c r="AKB136" s="368"/>
      <c r="AKC136" s="368"/>
      <c r="AKD136" s="368"/>
      <c r="AKE136" s="368"/>
      <c r="AKF136" s="368"/>
      <c r="AKG136" s="368"/>
      <c r="AKH136" s="368"/>
      <c r="AKI136" s="368"/>
      <c r="AKJ136" s="368"/>
      <c r="AKK136" s="368"/>
      <c r="AKL136" s="368"/>
      <c r="AKM136" s="368"/>
      <c r="AKN136" s="368"/>
    </row>
    <row r="137" spans="1:976" s="357" customFormat="1" ht="22.5" customHeight="1" x14ac:dyDescent="0.2">
      <c r="A137" s="413" t="s">
        <v>262</v>
      </c>
      <c r="B137" s="413"/>
      <c r="C137" s="413" t="s">
        <v>221</v>
      </c>
      <c r="D137" s="413" t="s">
        <v>222</v>
      </c>
      <c r="E137" s="414">
        <v>414174</v>
      </c>
      <c r="F137" s="414">
        <v>1793</v>
      </c>
      <c r="G137" s="414">
        <v>282</v>
      </c>
      <c r="H137" s="414">
        <v>0</v>
      </c>
      <c r="I137" s="415">
        <v>45889</v>
      </c>
      <c r="J137" s="413" t="s">
        <v>395</v>
      </c>
      <c r="K137" s="413" t="s">
        <v>652</v>
      </c>
      <c r="L137" s="416">
        <v>42.24</v>
      </c>
      <c r="M137" s="416">
        <v>2.3199999999999998</v>
      </c>
      <c r="N137" s="446">
        <v>44.56</v>
      </c>
      <c r="O137" s="413"/>
      <c r="P137" s="417">
        <v>45903</v>
      </c>
      <c r="Q137" s="416">
        <v>44.56</v>
      </c>
      <c r="R137" s="413" t="s">
        <v>466</v>
      </c>
      <c r="S137" s="416">
        <v>0</v>
      </c>
      <c r="T137" s="416">
        <v>0</v>
      </c>
      <c r="U137" s="416">
        <v>0</v>
      </c>
      <c r="V137" s="416">
        <v>0</v>
      </c>
      <c r="W137" s="413"/>
      <c r="X137" s="413" t="s">
        <v>266</v>
      </c>
      <c r="Y137" s="413" t="s">
        <v>267</v>
      </c>
      <c r="Z137" s="413" t="s">
        <v>42</v>
      </c>
      <c r="AA137" s="413" t="s">
        <v>228</v>
      </c>
      <c r="AB137" s="413" t="s">
        <v>34</v>
      </c>
      <c r="AC137" s="413" t="s">
        <v>50</v>
      </c>
      <c r="AD137" s="413" t="s">
        <v>231</v>
      </c>
      <c r="AE137" s="413" t="s">
        <v>232</v>
      </c>
      <c r="AF137" s="413" t="s">
        <v>231</v>
      </c>
      <c r="AG137" s="413" t="s">
        <v>232</v>
      </c>
      <c r="AH137" s="413"/>
      <c r="AI137" s="413"/>
      <c r="AJ137" s="413"/>
      <c r="AK137" s="413" t="s">
        <v>653</v>
      </c>
      <c r="AL137" s="414">
        <v>1</v>
      </c>
      <c r="AM137" s="414">
        <v>0</v>
      </c>
      <c r="AN137" s="415">
        <v>45902</v>
      </c>
      <c r="AO137" s="415">
        <v>45902</v>
      </c>
      <c r="AP137" s="416">
        <v>44.56</v>
      </c>
      <c r="AQ137" s="415">
        <v>45901</v>
      </c>
      <c r="AR137" s="368"/>
      <c r="AS137" s="368"/>
      <c r="AT137" s="368"/>
      <c r="AU137" s="368"/>
      <c r="AV137" s="368"/>
      <c r="AW137" s="368"/>
      <c r="AX137" s="368"/>
      <c r="AY137" s="368"/>
      <c r="AZ137" s="368"/>
      <c r="BA137" s="368"/>
      <c r="BB137" s="368"/>
      <c r="BC137" s="368"/>
      <c r="BD137" s="368"/>
      <c r="BE137" s="368"/>
      <c r="BF137" s="368"/>
      <c r="BG137" s="368"/>
      <c r="BH137" s="368"/>
      <c r="BI137" s="368"/>
      <c r="BJ137" s="368"/>
      <c r="BK137" s="368"/>
      <c r="BL137" s="368"/>
      <c r="BM137" s="368"/>
      <c r="BN137" s="368"/>
      <c r="BO137" s="368"/>
      <c r="BP137" s="368"/>
      <c r="BQ137" s="368"/>
      <c r="BR137" s="368"/>
      <c r="BS137" s="368"/>
      <c r="BT137" s="368"/>
      <c r="BU137" s="368"/>
      <c r="BV137" s="368"/>
      <c r="BW137" s="368"/>
      <c r="BX137" s="368"/>
      <c r="BY137" s="368"/>
      <c r="BZ137" s="368"/>
      <c r="CA137" s="368"/>
      <c r="CB137" s="368"/>
      <c r="CC137" s="368"/>
      <c r="CD137" s="368"/>
      <c r="CE137" s="368"/>
      <c r="CF137" s="368"/>
      <c r="CG137" s="368"/>
      <c r="CH137" s="368"/>
      <c r="CI137" s="368"/>
      <c r="CJ137" s="368"/>
      <c r="CK137" s="368"/>
      <c r="CL137" s="368"/>
      <c r="CM137" s="368"/>
      <c r="CN137" s="368"/>
      <c r="CO137" s="368"/>
      <c r="CP137" s="368"/>
      <c r="CQ137" s="368"/>
      <c r="CR137" s="368"/>
      <c r="CS137" s="368"/>
      <c r="CT137" s="368"/>
      <c r="CU137" s="368"/>
      <c r="CV137" s="368"/>
      <c r="CW137" s="368"/>
      <c r="CX137" s="368"/>
      <c r="CY137" s="368"/>
      <c r="CZ137" s="368"/>
      <c r="DA137" s="368"/>
      <c r="DB137" s="368"/>
      <c r="DC137" s="368"/>
      <c r="DD137" s="368"/>
      <c r="DE137" s="368"/>
      <c r="DF137" s="368"/>
      <c r="DG137" s="368"/>
      <c r="DH137" s="368"/>
      <c r="DI137" s="368"/>
      <c r="DJ137" s="368"/>
      <c r="DK137" s="368"/>
      <c r="DL137" s="368"/>
      <c r="DM137" s="368"/>
      <c r="DN137" s="368"/>
      <c r="DO137" s="368"/>
      <c r="DP137" s="368"/>
      <c r="DQ137" s="368"/>
      <c r="DR137" s="368"/>
      <c r="DS137" s="368"/>
      <c r="DT137" s="368"/>
      <c r="DU137" s="368"/>
      <c r="DV137" s="368"/>
      <c r="DW137" s="368"/>
      <c r="DX137" s="368"/>
      <c r="DY137" s="368"/>
      <c r="DZ137" s="368"/>
      <c r="EA137" s="368"/>
      <c r="EB137" s="368"/>
      <c r="EC137" s="368"/>
      <c r="ED137" s="368"/>
      <c r="EE137" s="368"/>
      <c r="EF137" s="368"/>
      <c r="EG137" s="368"/>
      <c r="EH137" s="368"/>
      <c r="EI137" s="368"/>
      <c r="EJ137" s="368"/>
      <c r="EK137" s="368"/>
      <c r="EL137" s="368"/>
      <c r="EM137" s="368"/>
      <c r="EN137" s="368"/>
      <c r="EO137" s="368"/>
      <c r="EP137" s="368"/>
      <c r="EQ137" s="368"/>
      <c r="ER137" s="368"/>
      <c r="ES137" s="368"/>
      <c r="ET137" s="368"/>
      <c r="EU137" s="368"/>
      <c r="EV137" s="368"/>
      <c r="EW137" s="368"/>
      <c r="EX137" s="368"/>
      <c r="EY137" s="368"/>
      <c r="EZ137" s="368"/>
      <c r="FA137" s="368"/>
      <c r="FB137" s="368"/>
      <c r="FC137" s="368"/>
      <c r="FD137" s="368"/>
      <c r="FE137" s="368"/>
      <c r="FF137" s="368"/>
      <c r="FG137" s="368"/>
      <c r="FH137" s="368"/>
      <c r="FI137" s="368"/>
      <c r="FJ137" s="368"/>
      <c r="FK137" s="368"/>
      <c r="FL137" s="368"/>
      <c r="FM137" s="368"/>
      <c r="FN137" s="368"/>
      <c r="FO137" s="368"/>
      <c r="FP137" s="368"/>
      <c r="FQ137" s="368"/>
      <c r="FR137" s="368"/>
      <c r="FS137" s="368"/>
      <c r="FT137" s="368"/>
      <c r="FU137" s="368"/>
      <c r="FV137" s="368"/>
      <c r="FW137" s="368"/>
      <c r="FX137" s="368"/>
      <c r="FY137" s="368"/>
      <c r="FZ137" s="368"/>
      <c r="GA137" s="368"/>
      <c r="GB137" s="368"/>
      <c r="GC137" s="368"/>
      <c r="GD137" s="368"/>
      <c r="GE137" s="368"/>
      <c r="GF137" s="368"/>
      <c r="GG137" s="368"/>
      <c r="GH137" s="368"/>
      <c r="GI137" s="368"/>
      <c r="GJ137" s="368"/>
      <c r="GK137" s="368"/>
      <c r="GL137" s="368"/>
      <c r="GM137" s="368"/>
      <c r="GN137" s="368"/>
      <c r="GO137" s="368"/>
      <c r="GP137" s="368"/>
      <c r="GQ137" s="368"/>
      <c r="GR137" s="368"/>
      <c r="GS137" s="368"/>
      <c r="GT137" s="368"/>
      <c r="GU137" s="368"/>
      <c r="GV137" s="368"/>
      <c r="GW137" s="368"/>
      <c r="GX137" s="368"/>
      <c r="GY137" s="368"/>
      <c r="GZ137" s="368"/>
      <c r="HA137" s="368"/>
      <c r="HB137" s="368"/>
      <c r="HC137" s="368"/>
      <c r="HD137" s="368"/>
      <c r="HE137" s="368"/>
      <c r="HF137" s="368"/>
      <c r="HG137" s="368"/>
      <c r="HH137" s="368"/>
      <c r="HI137" s="368"/>
      <c r="HJ137" s="368"/>
      <c r="HK137" s="368"/>
      <c r="HL137" s="368"/>
      <c r="HM137" s="368"/>
      <c r="HN137" s="368"/>
      <c r="HO137" s="368"/>
      <c r="HP137" s="368"/>
      <c r="HQ137" s="368"/>
      <c r="HR137" s="368"/>
      <c r="HS137" s="368"/>
      <c r="HT137" s="368"/>
      <c r="HU137" s="368"/>
      <c r="HV137" s="368"/>
      <c r="HW137" s="368"/>
      <c r="HX137" s="368"/>
      <c r="HY137" s="368"/>
      <c r="HZ137" s="368"/>
      <c r="IA137" s="368"/>
      <c r="IB137" s="368"/>
      <c r="IC137" s="368"/>
      <c r="ID137" s="368"/>
      <c r="IE137" s="368"/>
      <c r="IF137" s="368"/>
      <c r="IG137" s="368"/>
      <c r="IH137" s="368"/>
      <c r="II137" s="368"/>
      <c r="IJ137" s="368"/>
      <c r="IK137" s="368"/>
      <c r="IL137" s="368"/>
      <c r="IM137" s="368"/>
      <c r="IN137" s="368"/>
      <c r="IO137" s="368"/>
      <c r="IP137" s="368"/>
      <c r="IQ137" s="368"/>
      <c r="IR137" s="368"/>
      <c r="IS137" s="368"/>
      <c r="IT137" s="368"/>
      <c r="IU137" s="368"/>
      <c r="IV137" s="368"/>
      <c r="IW137" s="368"/>
      <c r="IX137" s="368"/>
      <c r="IY137" s="368"/>
      <c r="IZ137" s="368"/>
      <c r="JA137" s="368"/>
      <c r="JB137" s="368"/>
      <c r="JC137" s="368"/>
      <c r="JD137" s="368"/>
      <c r="JE137" s="368"/>
      <c r="JF137" s="368"/>
      <c r="JG137" s="368"/>
      <c r="JH137" s="368"/>
      <c r="JI137" s="368"/>
      <c r="JJ137" s="368"/>
      <c r="JK137" s="368"/>
      <c r="JL137" s="368"/>
      <c r="JM137" s="368"/>
      <c r="JN137" s="368"/>
      <c r="JO137" s="368"/>
      <c r="JP137" s="368"/>
      <c r="JQ137" s="368"/>
      <c r="JR137" s="368"/>
      <c r="JS137" s="368"/>
      <c r="JT137" s="368"/>
      <c r="JU137" s="368"/>
      <c r="JV137" s="368"/>
      <c r="JW137" s="368"/>
      <c r="JX137" s="368"/>
      <c r="JY137" s="368"/>
      <c r="JZ137" s="368"/>
      <c r="KA137" s="368"/>
      <c r="KB137" s="368"/>
      <c r="KC137" s="368"/>
      <c r="KD137" s="368"/>
      <c r="KE137" s="368"/>
      <c r="KF137" s="368"/>
      <c r="KG137" s="368"/>
      <c r="KH137" s="368"/>
      <c r="KI137" s="368"/>
      <c r="KJ137" s="368"/>
      <c r="KK137" s="368"/>
      <c r="KL137" s="368"/>
      <c r="KM137" s="368"/>
      <c r="KN137" s="368"/>
      <c r="KO137" s="368"/>
      <c r="KP137" s="368"/>
      <c r="KQ137" s="368"/>
      <c r="KR137" s="368"/>
      <c r="KS137" s="368"/>
      <c r="KT137" s="368"/>
      <c r="KU137" s="368"/>
      <c r="KV137" s="368"/>
      <c r="KW137" s="368"/>
      <c r="KX137" s="368"/>
      <c r="KY137" s="368"/>
      <c r="KZ137" s="368"/>
      <c r="LA137" s="368"/>
      <c r="LB137" s="368"/>
      <c r="LC137" s="368"/>
      <c r="LD137" s="368"/>
      <c r="LE137" s="368"/>
      <c r="LF137" s="368"/>
      <c r="LG137" s="368"/>
      <c r="LH137" s="368"/>
      <c r="LI137" s="368"/>
      <c r="LJ137" s="368"/>
      <c r="LK137" s="368"/>
      <c r="LL137" s="368"/>
      <c r="LM137" s="368"/>
      <c r="LN137" s="368"/>
      <c r="LO137" s="368"/>
      <c r="LP137" s="368"/>
      <c r="LQ137" s="368"/>
      <c r="LR137" s="368"/>
      <c r="LS137" s="368"/>
      <c r="LT137" s="368"/>
      <c r="LU137" s="368"/>
      <c r="LV137" s="368"/>
      <c r="LW137" s="368"/>
      <c r="LX137" s="368"/>
      <c r="LY137" s="368"/>
      <c r="LZ137" s="368"/>
      <c r="MA137" s="368"/>
      <c r="MB137" s="368"/>
      <c r="MC137" s="368"/>
      <c r="MD137" s="368"/>
      <c r="ME137" s="368"/>
      <c r="MF137" s="368"/>
      <c r="MG137" s="368"/>
      <c r="MH137" s="368"/>
      <c r="MI137" s="368"/>
      <c r="MJ137" s="368"/>
      <c r="MK137" s="368"/>
      <c r="ML137" s="368"/>
      <c r="MM137" s="368"/>
      <c r="MN137" s="368"/>
      <c r="MO137" s="368"/>
      <c r="MP137" s="368"/>
      <c r="MQ137" s="368"/>
      <c r="MR137" s="368"/>
      <c r="MS137" s="368"/>
      <c r="MT137" s="368"/>
      <c r="MU137" s="368"/>
      <c r="MV137" s="368"/>
      <c r="MW137" s="368"/>
      <c r="MX137" s="368"/>
      <c r="MY137" s="368"/>
      <c r="MZ137" s="368"/>
      <c r="NA137" s="368"/>
      <c r="NB137" s="368"/>
      <c r="NC137" s="368"/>
      <c r="ND137" s="368"/>
      <c r="NE137" s="368"/>
      <c r="NF137" s="368"/>
      <c r="NG137" s="368"/>
      <c r="NH137" s="368"/>
      <c r="NI137" s="368"/>
      <c r="NJ137" s="368"/>
      <c r="NK137" s="368"/>
      <c r="NL137" s="368"/>
      <c r="NM137" s="368"/>
      <c r="NN137" s="368"/>
      <c r="NO137" s="368"/>
      <c r="NP137" s="368"/>
      <c r="NQ137" s="368"/>
      <c r="NR137" s="368"/>
      <c r="NS137" s="368"/>
      <c r="NT137" s="368"/>
      <c r="NU137" s="368"/>
      <c r="NV137" s="368"/>
      <c r="NW137" s="368"/>
      <c r="NX137" s="368"/>
      <c r="NY137" s="368"/>
      <c r="NZ137" s="368"/>
      <c r="OA137" s="368"/>
      <c r="OB137" s="368"/>
      <c r="OC137" s="368"/>
      <c r="OD137" s="368"/>
      <c r="OE137" s="368"/>
      <c r="OF137" s="368"/>
      <c r="OG137" s="368"/>
      <c r="OH137" s="368"/>
      <c r="OI137" s="368"/>
      <c r="OJ137" s="368"/>
      <c r="OK137" s="368"/>
      <c r="OL137" s="368"/>
      <c r="OM137" s="368"/>
      <c r="ON137" s="368"/>
      <c r="OO137" s="368"/>
      <c r="OP137" s="368"/>
      <c r="OQ137" s="368"/>
      <c r="OR137" s="368"/>
      <c r="OS137" s="368"/>
      <c r="OT137" s="368"/>
      <c r="OU137" s="368"/>
      <c r="OV137" s="368"/>
      <c r="OW137" s="368"/>
      <c r="OX137" s="368"/>
      <c r="OY137" s="368"/>
      <c r="OZ137" s="368"/>
      <c r="PA137" s="368"/>
      <c r="PB137" s="368"/>
      <c r="PC137" s="368"/>
      <c r="PD137" s="368"/>
      <c r="PE137" s="368"/>
      <c r="PF137" s="368"/>
      <c r="PG137" s="368"/>
      <c r="PH137" s="368"/>
      <c r="PI137" s="368"/>
      <c r="PJ137" s="368"/>
      <c r="PK137" s="368"/>
      <c r="PL137" s="368"/>
      <c r="PM137" s="368"/>
      <c r="PN137" s="368"/>
      <c r="PO137" s="368"/>
      <c r="PP137" s="368"/>
      <c r="PQ137" s="368"/>
      <c r="PR137" s="368"/>
      <c r="PS137" s="368"/>
      <c r="PT137" s="368"/>
      <c r="PU137" s="368"/>
      <c r="PV137" s="368"/>
      <c r="PW137" s="368"/>
      <c r="PX137" s="368"/>
      <c r="PY137" s="368"/>
      <c r="PZ137" s="368"/>
      <c r="QA137" s="368"/>
      <c r="QB137" s="368"/>
      <c r="QC137" s="368"/>
      <c r="QD137" s="368"/>
      <c r="QE137" s="368"/>
      <c r="QF137" s="368"/>
      <c r="QG137" s="368"/>
      <c r="QH137" s="368"/>
      <c r="QI137" s="368"/>
      <c r="QJ137" s="368"/>
      <c r="QK137" s="368"/>
      <c r="QL137" s="368"/>
      <c r="QM137" s="368"/>
      <c r="QN137" s="368"/>
      <c r="QO137" s="368"/>
      <c r="QP137" s="368"/>
      <c r="QQ137" s="368"/>
      <c r="QR137" s="368"/>
      <c r="QS137" s="368"/>
      <c r="QT137" s="368"/>
      <c r="QU137" s="368"/>
      <c r="QV137" s="368"/>
      <c r="QW137" s="368"/>
      <c r="QX137" s="368"/>
      <c r="QY137" s="368"/>
      <c r="QZ137" s="368"/>
      <c r="RA137" s="368"/>
      <c r="RB137" s="368"/>
      <c r="RC137" s="368"/>
      <c r="RD137" s="368"/>
      <c r="RE137" s="368"/>
      <c r="RF137" s="368"/>
      <c r="RG137" s="368"/>
      <c r="RH137" s="368"/>
      <c r="RI137" s="368"/>
      <c r="RJ137" s="368"/>
      <c r="RK137" s="368"/>
      <c r="RL137" s="368"/>
      <c r="RM137" s="368"/>
      <c r="RN137" s="368"/>
      <c r="RO137" s="368"/>
      <c r="RP137" s="368"/>
      <c r="RQ137" s="368"/>
      <c r="RR137" s="368"/>
      <c r="RS137" s="368"/>
      <c r="RT137" s="368"/>
      <c r="RU137" s="368"/>
      <c r="RV137" s="368"/>
      <c r="RW137" s="368"/>
      <c r="RX137" s="368"/>
      <c r="RY137" s="368"/>
      <c r="RZ137" s="368"/>
      <c r="SA137" s="368"/>
      <c r="SB137" s="368"/>
      <c r="SC137" s="368"/>
      <c r="SD137" s="368"/>
      <c r="SE137" s="368"/>
      <c r="SF137" s="368"/>
      <c r="SG137" s="368"/>
      <c r="SH137" s="368"/>
      <c r="SI137" s="368"/>
      <c r="SJ137" s="368"/>
      <c r="SK137" s="368"/>
      <c r="SL137" s="368"/>
      <c r="SM137" s="368"/>
      <c r="SN137" s="368"/>
      <c r="SO137" s="368"/>
      <c r="SP137" s="368"/>
      <c r="SQ137" s="368"/>
      <c r="SR137" s="368"/>
      <c r="SS137" s="368"/>
      <c r="ST137" s="368"/>
      <c r="SU137" s="368"/>
      <c r="SV137" s="368"/>
      <c r="SW137" s="368"/>
      <c r="SX137" s="368"/>
      <c r="SY137" s="368"/>
      <c r="SZ137" s="368"/>
      <c r="TA137" s="368"/>
      <c r="TB137" s="368"/>
      <c r="TC137" s="368"/>
      <c r="TD137" s="368"/>
      <c r="TE137" s="368"/>
      <c r="TF137" s="368"/>
      <c r="TG137" s="368"/>
      <c r="TH137" s="368"/>
      <c r="TI137" s="368"/>
      <c r="TJ137" s="368"/>
      <c r="TK137" s="368"/>
      <c r="TL137" s="368"/>
      <c r="TM137" s="368"/>
      <c r="TN137" s="368"/>
      <c r="TO137" s="368"/>
      <c r="TP137" s="368"/>
      <c r="TQ137" s="368"/>
      <c r="TR137" s="368"/>
      <c r="TS137" s="368"/>
      <c r="TT137" s="368"/>
      <c r="TU137" s="368"/>
      <c r="TV137" s="368"/>
      <c r="TW137" s="368"/>
      <c r="TX137" s="368"/>
      <c r="TY137" s="368"/>
      <c r="TZ137" s="368"/>
      <c r="UA137" s="368"/>
      <c r="UB137" s="368"/>
      <c r="UC137" s="368"/>
      <c r="UD137" s="368"/>
      <c r="UE137" s="368"/>
      <c r="UF137" s="368"/>
      <c r="UG137" s="368"/>
      <c r="UH137" s="368"/>
      <c r="UI137" s="368"/>
      <c r="UJ137" s="368"/>
      <c r="UK137" s="368"/>
      <c r="UL137" s="368"/>
      <c r="UM137" s="368"/>
      <c r="UN137" s="368"/>
      <c r="UO137" s="368"/>
      <c r="UP137" s="368"/>
      <c r="UQ137" s="368"/>
      <c r="UR137" s="368"/>
      <c r="US137" s="368"/>
      <c r="UT137" s="368"/>
      <c r="UU137" s="368"/>
      <c r="UV137" s="368"/>
      <c r="UW137" s="368"/>
      <c r="UX137" s="368"/>
      <c r="UY137" s="368"/>
      <c r="UZ137" s="368"/>
      <c r="VA137" s="368"/>
      <c r="VB137" s="368"/>
      <c r="VC137" s="368"/>
      <c r="VD137" s="368"/>
      <c r="VE137" s="368"/>
      <c r="VF137" s="368"/>
      <c r="VG137" s="368"/>
      <c r="VH137" s="368"/>
      <c r="VI137" s="368"/>
      <c r="VJ137" s="368"/>
      <c r="VK137" s="368"/>
      <c r="VL137" s="368"/>
      <c r="VM137" s="368"/>
      <c r="VN137" s="368"/>
      <c r="VO137" s="368"/>
      <c r="VP137" s="368"/>
      <c r="VQ137" s="368"/>
      <c r="VR137" s="368"/>
      <c r="VS137" s="368"/>
      <c r="VT137" s="368"/>
      <c r="VU137" s="368"/>
      <c r="VV137" s="368"/>
      <c r="VW137" s="368"/>
      <c r="VX137" s="368"/>
      <c r="VY137" s="368"/>
      <c r="VZ137" s="368"/>
      <c r="WA137" s="368"/>
      <c r="WB137" s="368"/>
      <c r="WC137" s="368"/>
      <c r="WD137" s="368"/>
      <c r="WE137" s="368"/>
      <c r="WF137" s="368"/>
      <c r="WG137" s="368"/>
      <c r="WH137" s="368"/>
      <c r="WI137" s="368"/>
      <c r="WJ137" s="368"/>
      <c r="WK137" s="368"/>
      <c r="WL137" s="368"/>
      <c r="WM137" s="368"/>
      <c r="WN137" s="368"/>
      <c r="WO137" s="368"/>
      <c r="WP137" s="368"/>
      <c r="WQ137" s="368"/>
      <c r="WR137" s="368"/>
      <c r="WS137" s="368"/>
      <c r="WT137" s="368"/>
      <c r="WU137" s="368"/>
      <c r="WV137" s="368"/>
      <c r="WW137" s="368"/>
      <c r="WX137" s="368"/>
      <c r="WY137" s="368"/>
      <c r="WZ137" s="368"/>
      <c r="XA137" s="368"/>
      <c r="XB137" s="368"/>
      <c r="XC137" s="368"/>
      <c r="XD137" s="368"/>
      <c r="XE137" s="368"/>
      <c r="XF137" s="368"/>
      <c r="XG137" s="368"/>
      <c r="XH137" s="368"/>
      <c r="XI137" s="368"/>
      <c r="XJ137" s="368"/>
      <c r="XK137" s="368"/>
      <c r="XL137" s="368"/>
      <c r="XM137" s="368"/>
      <c r="XN137" s="368"/>
      <c r="XO137" s="368"/>
      <c r="XP137" s="368"/>
      <c r="XQ137" s="368"/>
      <c r="XR137" s="368"/>
      <c r="XS137" s="368"/>
      <c r="XT137" s="368"/>
      <c r="XU137" s="368"/>
      <c r="XV137" s="368"/>
      <c r="XW137" s="368"/>
      <c r="XX137" s="368"/>
      <c r="XY137" s="368"/>
      <c r="XZ137" s="368"/>
      <c r="YA137" s="368"/>
      <c r="YB137" s="368"/>
      <c r="YC137" s="368"/>
      <c r="YD137" s="368"/>
      <c r="YE137" s="368"/>
      <c r="YF137" s="368"/>
      <c r="YG137" s="368"/>
      <c r="YH137" s="368"/>
      <c r="YI137" s="368"/>
      <c r="YJ137" s="368"/>
      <c r="YK137" s="368"/>
      <c r="YL137" s="368"/>
      <c r="YM137" s="368"/>
      <c r="YN137" s="368"/>
      <c r="YO137" s="368"/>
      <c r="YP137" s="368"/>
      <c r="YQ137" s="368"/>
      <c r="YR137" s="368"/>
      <c r="YS137" s="368"/>
      <c r="YT137" s="368"/>
      <c r="YU137" s="368"/>
      <c r="YV137" s="368"/>
      <c r="YW137" s="368"/>
      <c r="YX137" s="368"/>
      <c r="YY137" s="368"/>
      <c r="YZ137" s="368"/>
      <c r="ZA137" s="368"/>
      <c r="ZB137" s="368"/>
      <c r="ZC137" s="368"/>
      <c r="ZD137" s="368"/>
      <c r="ZE137" s="368"/>
      <c r="ZF137" s="368"/>
      <c r="ZG137" s="368"/>
      <c r="ZH137" s="368"/>
      <c r="ZI137" s="368"/>
      <c r="ZJ137" s="368"/>
      <c r="ZK137" s="368"/>
      <c r="ZL137" s="368"/>
      <c r="ZM137" s="368"/>
      <c r="ZN137" s="368"/>
      <c r="ZO137" s="368"/>
      <c r="ZP137" s="368"/>
      <c r="ZQ137" s="368"/>
      <c r="ZR137" s="368"/>
      <c r="ZS137" s="368"/>
      <c r="ZT137" s="368"/>
      <c r="ZU137" s="368"/>
      <c r="ZV137" s="368"/>
      <c r="ZW137" s="368"/>
      <c r="ZX137" s="368"/>
      <c r="ZY137" s="368"/>
      <c r="ZZ137" s="368"/>
      <c r="AAA137" s="368"/>
      <c r="AAB137" s="368"/>
      <c r="AAC137" s="368"/>
      <c r="AAD137" s="368"/>
      <c r="AAE137" s="368"/>
      <c r="AAF137" s="368"/>
      <c r="AAG137" s="368"/>
      <c r="AAH137" s="368"/>
      <c r="AAI137" s="368"/>
      <c r="AAJ137" s="368"/>
      <c r="AAK137" s="368"/>
      <c r="AAL137" s="368"/>
      <c r="AAM137" s="368"/>
      <c r="AAN137" s="368"/>
      <c r="AAO137" s="368"/>
      <c r="AAP137" s="368"/>
      <c r="AAQ137" s="368"/>
      <c r="AAR137" s="368"/>
      <c r="AAS137" s="368"/>
      <c r="AAT137" s="368"/>
      <c r="AAU137" s="368"/>
      <c r="AAV137" s="368"/>
      <c r="AAW137" s="368"/>
      <c r="AAX137" s="368"/>
      <c r="AAY137" s="368"/>
      <c r="AAZ137" s="368"/>
      <c r="ABA137" s="368"/>
      <c r="ABB137" s="368"/>
      <c r="ABC137" s="368"/>
      <c r="ABD137" s="368"/>
      <c r="ABE137" s="368"/>
      <c r="ABF137" s="368"/>
      <c r="ABG137" s="368"/>
      <c r="ABH137" s="368"/>
      <c r="ABI137" s="368"/>
      <c r="ABJ137" s="368"/>
      <c r="ABK137" s="368"/>
      <c r="ABL137" s="368"/>
      <c r="ABM137" s="368"/>
      <c r="ABN137" s="368"/>
      <c r="ABO137" s="368"/>
      <c r="ABP137" s="368"/>
      <c r="ABQ137" s="368"/>
      <c r="ABR137" s="368"/>
      <c r="ABS137" s="368"/>
      <c r="ABT137" s="368"/>
      <c r="ABU137" s="368"/>
      <c r="ABV137" s="368"/>
      <c r="ABW137" s="368"/>
      <c r="ABX137" s="368"/>
      <c r="ABY137" s="368"/>
      <c r="ABZ137" s="368"/>
      <c r="ACA137" s="368"/>
      <c r="ACB137" s="368"/>
      <c r="ACC137" s="368"/>
      <c r="ACD137" s="368"/>
      <c r="ACE137" s="368"/>
      <c r="ACF137" s="368"/>
      <c r="ACG137" s="368"/>
      <c r="ACH137" s="368"/>
      <c r="ACI137" s="368"/>
      <c r="ACJ137" s="368"/>
      <c r="ACK137" s="368"/>
      <c r="ACL137" s="368"/>
      <c r="ACM137" s="368"/>
      <c r="ACN137" s="368"/>
      <c r="ACO137" s="368"/>
      <c r="ACP137" s="368"/>
      <c r="ACQ137" s="368"/>
      <c r="ACR137" s="368"/>
      <c r="ACS137" s="368"/>
      <c r="ACT137" s="368"/>
      <c r="ACU137" s="368"/>
      <c r="ACV137" s="368"/>
      <c r="ACW137" s="368"/>
      <c r="ACX137" s="368"/>
      <c r="ACY137" s="368"/>
      <c r="ACZ137" s="368"/>
      <c r="ADA137" s="368"/>
      <c r="ADB137" s="368"/>
      <c r="ADC137" s="368"/>
      <c r="ADD137" s="368"/>
      <c r="ADE137" s="368"/>
      <c r="ADF137" s="368"/>
      <c r="ADG137" s="368"/>
      <c r="ADH137" s="368"/>
      <c r="ADI137" s="368"/>
      <c r="ADJ137" s="368"/>
      <c r="ADK137" s="368"/>
      <c r="ADL137" s="368"/>
      <c r="ADM137" s="368"/>
      <c r="ADN137" s="368"/>
      <c r="ADO137" s="368"/>
      <c r="ADP137" s="368"/>
      <c r="ADQ137" s="368"/>
      <c r="ADR137" s="368"/>
      <c r="ADS137" s="368"/>
      <c r="ADT137" s="368"/>
      <c r="ADU137" s="368"/>
      <c r="ADV137" s="368"/>
      <c r="ADW137" s="368"/>
      <c r="ADX137" s="368"/>
      <c r="ADY137" s="368"/>
      <c r="ADZ137" s="368"/>
      <c r="AEA137" s="368"/>
      <c r="AEB137" s="368"/>
      <c r="AEC137" s="368"/>
      <c r="AED137" s="368"/>
      <c r="AEE137" s="368"/>
      <c r="AEF137" s="368"/>
      <c r="AEG137" s="368"/>
      <c r="AEH137" s="368"/>
      <c r="AEI137" s="368"/>
      <c r="AEJ137" s="368"/>
      <c r="AEK137" s="368"/>
      <c r="AEL137" s="368"/>
      <c r="AEM137" s="368"/>
      <c r="AEN137" s="368"/>
      <c r="AEO137" s="368"/>
      <c r="AEP137" s="368"/>
      <c r="AEQ137" s="368"/>
      <c r="AER137" s="368"/>
      <c r="AES137" s="368"/>
      <c r="AET137" s="368"/>
      <c r="AEU137" s="368"/>
      <c r="AEV137" s="368"/>
      <c r="AEW137" s="368"/>
      <c r="AEX137" s="368"/>
      <c r="AEY137" s="368"/>
      <c r="AEZ137" s="368"/>
      <c r="AFA137" s="368"/>
      <c r="AFB137" s="368"/>
      <c r="AFC137" s="368"/>
      <c r="AFD137" s="368"/>
      <c r="AFE137" s="368"/>
      <c r="AFF137" s="368"/>
      <c r="AFG137" s="368"/>
      <c r="AFH137" s="368"/>
      <c r="AFI137" s="368"/>
      <c r="AFJ137" s="368"/>
      <c r="AFK137" s="368"/>
      <c r="AFL137" s="368"/>
      <c r="AFM137" s="368"/>
      <c r="AFN137" s="368"/>
      <c r="AFO137" s="368"/>
      <c r="AFP137" s="368"/>
      <c r="AFQ137" s="368"/>
      <c r="AFR137" s="368"/>
      <c r="AFS137" s="368"/>
      <c r="AFT137" s="368"/>
      <c r="AFU137" s="368"/>
      <c r="AFV137" s="368"/>
      <c r="AFW137" s="368"/>
      <c r="AFX137" s="368"/>
      <c r="AFY137" s="368"/>
      <c r="AFZ137" s="368"/>
      <c r="AGA137" s="368"/>
      <c r="AGB137" s="368"/>
      <c r="AGC137" s="368"/>
      <c r="AGD137" s="368"/>
      <c r="AGE137" s="368"/>
      <c r="AGF137" s="368"/>
      <c r="AGG137" s="368"/>
      <c r="AGH137" s="368"/>
      <c r="AGI137" s="368"/>
      <c r="AGJ137" s="368"/>
      <c r="AGK137" s="368"/>
      <c r="AGL137" s="368"/>
      <c r="AGM137" s="368"/>
      <c r="AGN137" s="368"/>
      <c r="AGO137" s="368"/>
      <c r="AGP137" s="368"/>
      <c r="AGQ137" s="368"/>
      <c r="AGR137" s="368"/>
      <c r="AGS137" s="368"/>
      <c r="AGT137" s="368"/>
      <c r="AGU137" s="368"/>
      <c r="AGV137" s="368"/>
      <c r="AGW137" s="368"/>
      <c r="AGX137" s="368"/>
      <c r="AGY137" s="368"/>
      <c r="AGZ137" s="368"/>
      <c r="AHA137" s="368"/>
      <c r="AHB137" s="368"/>
      <c r="AHC137" s="368"/>
      <c r="AHD137" s="368"/>
      <c r="AHE137" s="368"/>
      <c r="AHF137" s="368"/>
      <c r="AHG137" s="368"/>
      <c r="AHH137" s="368"/>
      <c r="AHI137" s="368"/>
      <c r="AHJ137" s="368"/>
      <c r="AHK137" s="368"/>
      <c r="AHL137" s="368"/>
      <c r="AHM137" s="368"/>
      <c r="AHN137" s="368"/>
      <c r="AHO137" s="368"/>
      <c r="AHP137" s="368"/>
      <c r="AHQ137" s="368"/>
      <c r="AHR137" s="368"/>
      <c r="AHS137" s="368"/>
      <c r="AHT137" s="368"/>
      <c r="AHU137" s="368"/>
      <c r="AHV137" s="368"/>
      <c r="AHW137" s="368"/>
      <c r="AHX137" s="368"/>
      <c r="AHY137" s="368"/>
      <c r="AHZ137" s="368"/>
      <c r="AIA137" s="368"/>
      <c r="AIB137" s="368"/>
      <c r="AIC137" s="368"/>
      <c r="AID137" s="368"/>
      <c r="AIE137" s="368"/>
      <c r="AIF137" s="368"/>
      <c r="AIG137" s="368"/>
      <c r="AIH137" s="368"/>
      <c r="AII137" s="368"/>
      <c r="AIJ137" s="368"/>
      <c r="AIK137" s="368"/>
      <c r="AIL137" s="368"/>
      <c r="AIM137" s="368"/>
      <c r="AIN137" s="368"/>
      <c r="AIO137" s="368"/>
      <c r="AIP137" s="368"/>
      <c r="AIQ137" s="368"/>
      <c r="AIR137" s="368"/>
      <c r="AIS137" s="368"/>
      <c r="AIT137" s="368"/>
      <c r="AIU137" s="368"/>
      <c r="AIV137" s="368"/>
      <c r="AIW137" s="368"/>
      <c r="AIX137" s="368"/>
      <c r="AIY137" s="368"/>
      <c r="AIZ137" s="368"/>
      <c r="AJA137" s="368"/>
      <c r="AJB137" s="368"/>
      <c r="AJC137" s="368"/>
      <c r="AJD137" s="368"/>
      <c r="AJE137" s="368"/>
      <c r="AJF137" s="368"/>
      <c r="AJG137" s="368"/>
      <c r="AJH137" s="368"/>
      <c r="AJI137" s="368"/>
      <c r="AJJ137" s="368"/>
      <c r="AJK137" s="368"/>
      <c r="AJL137" s="368"/>
      <c r="AJM137" s="368"/>
      <c r="AJN137" s="368"/>
      <c r="AJO137" s="368"/>
      <c r="AJP137" s="368"/>
      <c r="AJQ137" s="368"/>
      <c r="AJR137" s="368"/>
      <c r="AJS137" s="368"/>
      <c r="AJT137" s="368"/>
      <c r="AJU137" s="368"/>
      <c r="AJV137" s="368"/>
      <c r="AJW137" s="368"/>
      <c r="AJX137" s="368"/>
      <c r="AJY137" s="368"/>
      <c r="AJZ137" s="368"/>
      <c r="AKA137" s="368"/>
      <c r="AKB137" s="368"/>
      <c r="AKC137" s="368"/>
      <c r="AKD137" s="368"/>
      <c r="AKE137" s="368"/>
      <c r="AKF137" s="368"/>
      <c r="AKG137" s="368"/>
      <c r="AKH137" s="368"/>
      <c r="AKI137" s="368"/>
      <c r="AKJ137" s="368"/>
      <c r="AKK137" s="368"/>
      <c r="AKL137" s="368"/>
      <c r="AKM137" s="368"/>
      <c r="AKN137" s="368"/>
    </row>
    <row r="138" spans="1:976" s="364" customFormat="1" ht="22.5" customHeight="1" x14ac:dyDescent="0.2">
      <c r="A138" s="347" t="s">
        <v>262</v>
      </c>
      <c r="B138" s="347"/>
      <c r="C138" s="347" t="s">
        <v>221</v>
      </c>
      <c r="D138" s="347" t="s">
        <v>222</v>
      </c>
      <c r="E138" s="348">
        <v>414175</v>
      </c>
      <c r="F138" s="348">
        <v>1794</v>
      </c>
      <c r="G138" s="348">
        <v>282</v>
      </c>
      <c r="H138" s="348">
        <v>0</v>
      </c>
      <c r="I138" s="349">
        <v>45889</v>
      </c>
      <c r="J138" s="347" t="s">
        <v>395</v>
      </c>
      <c r="K138" s="347" t="s">
        <v>654</v>
      </c>
      <c r="L138" s="344">
        <v>24.64</v>
      </c>
      <c r="M138" s="344">
        <v>1.36</v>
      </c>
      <c r="N138" s="447">
        <v>26</v>
      </c>
      <c r="O138" s="347"/>
      <c r="P138" s="350">
        <v>45903</v>
      </c>
      <c r="Q138" s="344">
        <v>26</v>
      </c>
      <c r="R138" s="347" t="s">
        <v>472</v>
      </c>
      <c r="S138" s="344">
        <v>0</v>
      </c>
      <c r="T138" s="344">
        <v>0</v>
      </c>
      <c r="U138" s="344">
        <v>0</v>
      </c>
      <c r="V138" s="344">
        <v>0</v>
      </c>
      <c r="W138" s="347"/>
      <c r="X138" s="347" t="s">
        <v>266</v>
      </c>
      <c r="Y138" s="347" t="s">
        <v>267</v>
      </c>
      <c r="Z138" s="347" t="s">
        <v>46</v>
      </c>
      <c r="AA138" s="347" t="s">
        <v>228</v>
      </c>
      <c r="AB138" s="347" t="s">
        <v>34</v>
      </c>
      <c r="AC138" s="347" t="s">
        <v>47</v>
      </c>
      <c r="AD138" s="347" t="s">
        <v>231</v>
      </c>
      <c r="AE138" s="347" t="s">
        <v>232</v>
      </c>
      <c r="AF138" s="347" t="s">
        <v>231</v>
      </c>
      <c r="AG138" s="347" t="s">
        <v>232</v>
      </c>
      <c r="AH138" s="347"/>
      <c r="AI138" s="347"/>
      <c r="AJ138" s="347"/>
      <c r="AK138" s="347" t="s">
        <v>655</v>
      </c>
      <c r="AL138" s="348">
        <v>1</v>
      </c>
      <c r="AM138" s="348">
        <v>0</v>
      </c>
      <c r="AN138" s="349">
        <v>45902</v>
      </c>
      <c r="AO138" s="349">
        <v>45902</v>
      </c>
      <c r="AP138" s="344">
        <v>26</v>
      </c>
      <c r="AQ138" s="349">
        <v>45901</v>
      </c>
      <c r="AR138" s="368"/>
      <c r="AS138" s="368"/>
      <c r="AT138" s="368"/>
      <c r="AU138" s="368"/>
      <c r="AV138" s="368"/>
      <c r="AW138" s="368"/>
      <c r="AX138" s="368"/>
      <c r="AY138" s="368"/>
      <c r="AZ138" s="368"/>
      <c r="BA138" s="368"/>
      <c r="BB138" s="368"/>
      <c r="BC138" s="368"/>
      <c r="BD138" s="368"/>
      <c r="BE138" s="368"/>
      <c r="BF138" s="368"/>
      <c r="BG138" s="368"/>
      <c r="BH138" s="368"/>
      <c r="BI138" s="368"/>
      <c r="BJ138" s="368"/>
      <c r="BK138" s="368"/>
      <c r="BL138" s="368"/>
      <c r="BM138" s="368"/>
      <c r="BN138" s="368"/>
      <c r="BO138" s="368"/>
      <c r="BP138" s="368"/>
      <c r="BQ138" s="368"/>
      <c r="BR138" s="368"/>
      <c r="BS138" s="368"/>
      <c r="BT138" s="368"/>
      <c r="BU138" s="368"/>
      <c r="BV138" s="368"/>
      <c r="BW138" s="368"/>
      <c r="BX138" s="368"/>
      <c r="BY138" s="368"/>
      <c r="BZ138" s="368"/>
      <c r="CA138" s="368"/>
      <c r="CB138" s="368"/>
      <c r="CC138" s="368"/>
      <c r="CD138" s="368"/>
      <c r="CE138" s="368"/>
      <c r="CF138" s="368"/>
      <c r="CG138" s="368"/>
      <c r="CH138" s="368"/>
      <c r="CI138" s="368"/>
      <c r="CJ138" s="368"/>
      <c r="CK138" s="368"/>
      <c r="CL138" s="368"/>
      <c r="CM138" s="368"/>
      <c r="CN138" s="368"/>
      <c r="CO138" s="368"/>
      <c r="CP138" s="368"/>
      <c r="CQ138" s="368"/>
      <c r="CR138" s="368"/>
      <c r="CS138" s="368"/>
      <c r="CT138" s="368"/>
      <c r="CU138" s="368"/>
      <c r="CV138" s="368"/>
      <c r="CW138" s="368"/>
      <c r="CX138" s="368"/>
      <c r="CY138" s="368"/>
      <c r="CZ138" s="368"/>
      <c r="DA138" s="368"/>
      <c r="DB138" s="368"/>
      <c r="DC138" s="368"/>
      <c r="DD138" s="368"/>
      <c r="DE138" s="368"/>
      <c r="DF138" s="368"/>
      <c r="DG138" s="368"/>
      <c r="DH138" s="368"/>
      <c r="DI138" s="368"/>
      <c r="DJ138" s="368"/>
      <c r="DK138" s="368"/>
      <c r="DL138" s="368"/>
      <c r="DM138" s="368"/>
      <c r="DN138" s="368"/>
      <c r="DO138" s="368"/>
      <c r="DP138" s="368"/>
      <c r="DQ138" s="368"/>
      <c r="DR138" s="368"/>
      <c r="DS138" s="368"/>
      <c r="DT138" s="368"/>
      <c r="DU138" s="368"/>
      <c r="DV138" s="368"/>
      <c r="DW138" s="368"/>
      <c r="DX138" s="368"/>
      <c r="DY138" s="368"/>
      <c r="DZ138" s="368"/>
      <c r="EA138" s="368"/>
      <c r="EB138" s="368"/>
      <c r="EC138" s="368"/>
      <c r="ED138" s="368"/>
      <c r="EE138" s="368"/>
      <c r="EF138" s="368"/>
      <c r="EG138" s="368"/>
      <c r="EH138" s="368"/>
      <c r="EI138" s="368"/>
      <c r="EJ138" s="368"/>
      <c r="EK138" s="368"/>
      <c r="EL138" s="368"/>
      <c r="EM138" s="368"/>
      <c r="EN138" s="368"/>
      <c r="EO138" s="368"/>
      <c r="EP138" s="368"/>
      <c r="EQ138" s="368"/>
      <c r="ER138" s="368"/>
      <c r="ES138" s="368"/>
      <c r="ET138" s="368"/>
      <c r="EU138" s="368"/>
      <c r="EV138" s="368"/>
      <c r="EW138" s="368"/>
      <c r="EX138" s="368"/>
      <c r="EY138" s="368"/>
      <c r="EZ138" s="368"/>
      <c r="FA138" s="368"/>
      <c r="FB138" s="368"/>
      <c r="FC138" s="368"/>
      <c r="FD138" s="368"/>
      <c r="FE138" s="368"/>
      <c r="FF138" s="368"/>
      <c r="FG138" s="368"/>
      <c r="FH138" s="368"/>
      <c r="FI138" s="368"/>
      <c r="FJ138" s="368"/>
      <c r="FK138" s="368"/>
      <c r="FL138" s="368"/>
      <c r="FM138" s="368"/>
      <c r="FN138" s="368"/>
      <c r="FO138" s="368"/>
      <c r="FP138" s="368"/>
      <c r="FQ138" s="368"/>
      <c r="FR138" s="368"/>
      <c r="FS138" s="368"/>
      <c r="FT138" s="368"/>
      <c r="FU138" s="368"/>
      <c r="FV138" s="368"/>
      <c r="FW138" s="368"/>
      <c r="FX138" s="368"/>
      <c r="FY138" s="368"/>
      <c r="FZ138" s="368"/>
      <c r="GA138" s="368"/>
      <c r="GB138" s="368"/>
      <c r="GC138" s="368"/>
      <c r="GD138" s="368"/>
      <c r="GE138" s="368"/>
      <c r="GF138" s="368"/>
      <c r="GG138" s="368"/>
      <c r="GH138" s="368"/>
      <c r="GI138" s="368"/>
      <c r="GJ138" s="368"/>
      <c r="GK138" s="368"/>
      <c r="GL138" s="368"/>
      <c r="GM138" s="368"/>
      <c r="GN138" s="368"/>
      <c r="GO138" s="368"/>
      <c r="GP138" s="368"/>
      <c r="GQ138" s="368"/>
      <c r="GR138" s="368"/>
      <c r="GS138" s="368"/>
      <c r="GT138" s="368"/>
      <c r="GU138" s="368"/>
      <c r="GV138" s="368"/>
      <c r="GW138" s="368"/>
      <c r="GX138" s="368"/>
      <c r="GY138" s="368"/>
      <c r="GZ138" s="368"/>
      <c r="HA138" s="368"/>
      <c r="HB138" s="368"/>
      <c r="HC138" s="368"/>
      <c r="HD138" s="368"/>
      <c r="HE138" s="368"/>
      <c r="HF138" s="368"/>
      <c r="HG138" s="368"/>
      <c r="HH138" s="368"/>
      <c r="HI138" s="368"/>
      <c r="HJ138" s="368"/>
      <c r="HK138" s="368"/>
      <c r="HL138" s="368"/>
      <c r="HM138" s="368"/>
      <c r="HN138" s="368"/>
      <c r="HO138" s="368"/>
      <c r="HP138" s="368"/>
      <c r="HQ138" s="368"/>
      <c r="HR138" s="368"/>
      <c r="HS138" s="368"/>
      <c r="HT138" s="368"/>
      <c r="HU138" s="368"/>
      <c r="HV138" s="368"/>
      <c r="HW138" s="368"/>
      <c r="HX138" s="368"/>
      <c r="HY138" s="368"/>
      <c r="HZ138" s="368"/>
      <c r="IA138" s="368"/>
      <c r="IB138" s="368"/>
      <c r="IC138" s="368"/>
      <c r="ID138" s="368"/>
      <c r="IE138" s="368"/>
      <c r="IF138" s="368"/>
      <c r="IG138" s="368"/>
      <c r="IH138" s="368"/>
      <c r="II138" s="368"/>
      <c r="IJ138" s="368"/>
      <c r="IK138" s="368"/>
      <c r="IL138" s="368"/>
      <c r="IM138" s="368"/>
      <c r="IN138" s="368"/>
      <c r="IO138" s="368"/>
      <c r="IP138" s="368"/>
      <c r="IQ138" s="368"/>
      <c r="IR138" s="368"/>
      <c r="IS138" s="368"/>
      <c r="IT138" s="368"/>
      <c r="IU138" s="368"/>
      <c r="IV138" s="368"/>
      <c r="IW138" s="368"/>
      <c r="IX138" s="368"/>
      <c r="IY138" s="368"/>
      <c r="IZ138" s="368"/>
      <c r="JA138" s="368"/>
      <c r="JB138" s="368"/>
      <c r="JC138" s="368"/>
      <c r="JD138" s="368"/>
      <c r="JE138" s="368"/>
      <c r="JF138" s="368"/>
      <c r="JG138" s="368"/>
      <c r="JH138" s="368"/>
      <c r="JI138" s="368"/>
      <c r="JJ138" s="368"/>
      <c r="JK138" s="368"/>
      <c r="JL138" s="368"/>
      <c r="JM138" s="368"/>
      <c r="JN138" s="368"/>
      <c r="JO138" s="368"/>
      <c r="JP138" s="368"/>
      <c r="JQ138" s="368"/>
      <c r="JR138" s="368"/>
      <c r="JS138" s="368"/>
      <c r="JT138" s="368"/>
      <c r="JU138" s="368"/>
      <c r="JV138" s="368"/>
      <c r="JW138" s="368"/>
      <c r="JX138" s="368"/>
      <c r="JY138" s="368"/>
      <c r="JZ138" s="368"/>
      <c r="KA138" s="368"/>
      <c r="KB138" s="368"/>
      <c r="KC138" s="368"/>
      <c r="KD138" s="368"/>
      <c r="KE138" s="368"/>
      <c r="KF138" s="368"/>
      <c r="KG138" s="368"/>
      <c r="KH138" s="368"/>
      <c r="KI138" s="368"/>
      <c r="KJ138" s="368"/>
      <c r="KK138" s="368"/>
      <c r="KL138" s="368"/>
      <c r="KM138" s="368"/>
      <c r="KN138" s="368"/>
      <c r="KO138" s="368"/>
      <c r="KP138" s="368"/>
      <c r="KQ138" s="368"/>
      <c r="KR138" s="368"/>
      <c r="KS138" s="368"/>
      <c r="KT138" s="368"/>
      <c r="KU138" s="368"/>
      <c r="KV138" s="368"/>
      <c r="KW138" s="368"/>
      <c r="KX138" s="368"/>
      <c r="KY138" s="368"/>
      <c r="KZ138" s="368"/>
      <c r="LA138" s="368"/>
      <c r="LB138" s="368"/>
      <c r="LC138" s="368"/>
      <c r="LD138" s="368"/>
      <c r="LE138" s="368"/>
      <c r="LF138" s="368"/>
      <c r="LG138" s="368"/>
      <c r="LH138" s="368"/>
      <c r="LI138" s="368"/>
      <c r="LJ138" s="368"/>
      <c r="LK138" s="368"/>
      <c r="LL138" s="368"/>
      <c r="LM138" s="368"/>
      <c r="LN138" s="368"/>
      <c r="LO138" s="368"/>
      <c r="LP138" s="368"/>
      <c r="LQ138" s="368"/>
      <c r="LR138" s="368"/>
      <c r="LS138" s="368"/>
      <c r="LT138" s="368"/>
      <c r="LU138" s="368"/>
      <c r="LV138" s="368"/>
      <c r="LW138" s="368"/>
      <c r="LX138" s="368"/>
      <c r="LY138" s="368"/>
      <c r="LZ138" s="368"/>
      <c r="MA138" s="368"/>
      <c r="MB138" s="368"/>
      <c r="MC138" s="368"/>
      <c r="MD138" s="368"/>
      <c r="ME138" s="368"/>
      <c r="MF138" s="368"/>
      <c r="MG138" s="368"/>
      <c r="MH138" s="368"/>
      <c r="MI138" s="368"/>
      <c r="MJ138" s="368"/>
      <c r="MK138" s="368"/>
      <c r="ML138" s="368"/>
      <c r="MM138" s="368"/>
      <c r="MN138" s="368"/>
      <c r="MO138" s="368"/>
      <c r="MP138" s="368"/>
      <c r="MQ138" s="368"/>
      <c r="MR138" s="368"/>
      <c r="MS138" s="368"/>
      <c r="MT138" s="368"/>
      <c r="MU138" s="368"/>
      <c r="MV138" s="368"/>
      <c r="MW138" s="368"/>
      <c r="MX138" s="368"/>
      <c r="MY138" s="368"/>
      <c r="MZ138" s="368"/>
      <c r="NA138" s="368"/>
      <c r="NB138" s="368"/>
      <c r="NC138" s="368"/>
      <c r="ND138" s="368"/>
      <c r="NE138" s="368"/>
      <c r="NF138" s="368"/>
      <c r="NG138" s="368"/>
      <c r="NH138" s="368"/>
      <c r="NI138" s="368"/>
      <c r="NJ138" s="368"/>
      <c r="NK138" s="368"/>
      <c r="NL138" s="368"/>
      <c r="NM138" s="368"/>
      <c r="NN138" s="368"/>
      <c r="NO138" s="368"/>
      <c r="NP138" s="368"/>
      <c r="NQ138" s="368"/>
      <c r="NR138" s="368"/>
      <c r="NS138" s="368"/>
      <c r="NT138" s="368"/>
      <c r="NU138" s="368"/>
      <c r="NV138" s="368"/>
      <c r="NW138" s="368"/>
      <c r="NX138" s="368"/>
      <c r="NY138" s="368"/>
      <c r="NZ138" s="368"/>
      <c r="OA138" s="368"/>
      <c r="OB138" s="368"/>
      <c r="OC138" s="368"/>
      <c r="OD138" s="368"/>
      <c r="OE138" s="368"/>
      <c r="OF138" s="368"/>
      <c r="OG138" s="368"/>
      <c r="OH138" s="368"/>
      <c r="OI138" s="368"/>
      <c r="OJ138" s="368"/>
      <c r="OK138" s="368"/>
      <c r="OL138" s="368"/>
      <c r="OM138" s="368"/>
      <c r="ON138" s="368"/>
      <c r="OO138" s="368"/>
      <c r="OP138" s="368"/>
      <c r="OQ138" s="368"/>
      <c r="OR138" s="368"/>
      <c r="OS138" s="368"/>
      <c r="OT138" s="368"/>
      <c r="OU138" s="368"/>
      <c r="OV138" s="368"/>
      <c r="OW138" s="368"/>
      <c r="OX138" s="368"/>
      <c r="OY138" s="368"/>
      <c r="OZ138" s="368"/>
      <c r="PA138" s="368"/>
      <c r="PB138" s="368"/>
      <c r="PC138" s="368"/>
      <c r="PD138" s="368"/>
      <c r="PE138" s="368"/>
      <c r="PF138" s="368"/>
      <c r="PG138" s="368"/>
      <c r="PH138" s="368"/>
      <c r="PI138" s="368"/>
      <c r="PJ138" s="368"/>
      <c r="PK138" s="368"/>
      <c r="PL138" s="368"/>
      <c r="PM138" s="368"/>
      <c r="PN138" s="368"/>
      <c r="PO138" s="368"/>
      <c r="PP138" s="368"/>
      <c r="PQ138" s="368"/>
      <c r="PR138" s="368"/>
      <c r="PS138" s="368"/>
      <c r="PT138" s="368"/>
      <c r="PU138" s="368"/>
      <c r="PV138" s="368"/>
      <c r="PW138" s="368"/>
      <c r="PX138" s="368"/>
      <c r="PY138" s="368"/>
      <c r="PZ138" s="368"/>
      <c r="QA138" s="368"/>
      <c r="QB138" s="368"/>
      <c r="QC138" s="368"/>
      <c r="QD138" s="368"/>
      <c r="QE138" s="368"/>
      <c r="QF138" s="368"/>
      <c r="QG138" s="368"/>
      <c r="QH138" s="368"/>
      <c r="QI138" s="368"/>
      <c r="QJ138" s="368"/>
      <c r="QK138" s="368"/>
      <c r="QL138" s="368"/>
      <c r="QM138" s="368"/>
      <c r="QN138" s="368"/>
      <c r="QO138" s="368"/>
      <c r="QP138" s="368"/>
      <c r="QQ138" s="368"/>
      <c r="QR138" s="368"/>
      <c r="QS138" s="368"/>
      <c r="QT138" s="368"/>
      <c r="QU138" s="368"/>
      <c r="QV138" s="368"/>
      <c r="QW138" s="368"/>
      <c r="QX138" s="368"/>
      <c r="QY138" s="368"/>
      <c r="QZ138" s="368"/>
      <c r="RA138" s="368"/>
      <c r="RB138" s="368"/>
      <c r="RC138" s="368"/>
      <c r="RD138" s="368"/>
      <c r="RE138" s="368"/>
      <c r="RF138" s="368"/>
      <c r="RG138" s="368"/>
      <c r="RH138" s="368"/>
      <c r="RI138" s="368"/>
      <c r="RJ138" s="368"/>
      <c r="RK138" s="368"/>
      <c r="RL138" s="368"/>
      <c r="RM138" s="368"/>
      <c r="RN138" s="368"/>
      <c r="RO138" s="368"/>
      <c r="RP138" s="368"/>
      <c r="RQ138" s="368"/>
      <c r="RR138" s="368"/>
      <c r="RS138" s="368"/>
      <c r="RT138" s="368"/>
      <c r="RU138" s="368"/>
      <c r="RV138" s="368"/>
      <c r="RW138" s="368"/>
      <c r="RX138" s="368"/>
      <c r="RY138" s="368"/>
      <c r="RZ138" s="368"/>
      <c r="SA138" s="368"/>
      <c r="SB138" s="368"/>
      <c r="SC138" s="368"/>
      <c r="SD138" s="368"/>
      <c r="SE138" s="368"/>
      <c r="SF138" s="368"/>
      <c r="SG138" s="368"/>
      <c r="SH138" s="368"/>
      <c r="SI138" s="368"/>
      <c r="SJ138" s="368"/>
      <c r="SK138" s="368"/>
      <c r="SL138" s="368"/>
      <c r="SM138" s="368"/>
      <c r="SN138" s="368"/>
      <c r="SO138" s="368"/>
      <c r="SP138" s="368"/>
      <c r="SQ138" s="368"/>
      <c r="SR138" s="368"/>
      <c r="SS138" s="368"/>
      <c r="ST138" s="368"/>
      <c r="SU138" s="368"/>
      <c r="SV138" s="368"/>
      <c r="SW138" s="368"/>
      <c r="SX138" s="368"/>
      <c r="SY138" s="368"/>
      <c r="SZ138" s="368"/>
      <c r="TA138" s="368"/>
      <c r="TB138" s="368"/>
      <c r="TC138" s="368"/>
      <c r="TD138" s="368"/>
      <c r="TE138" s="368"/>
      <c r="TF138" s="368"/>
      <c r="TG138" s="368"/>
      <c r="TH138" s="368"/>
      <c r="TI138" s="368"/>
      <c r="TJ138" s="368"/>
      <c r="TK138" s="368"/>
      <c r="TL138" s="368"/>
      <c r="TM138" s="368"/>
      <c r="TN138" s="368"/>
      <c r="TO138" s="368"/>
      <c r="TP138" s="368"/>
      <c r="TQ138" s="368"/>
      <c r="TR138" s="368"/>
      <c r="TS138" s="368"/>
      <c r="TT138" s="368"/>
      <c r="TU138" s="368"/>
      <c r="TV138" s="368"/>
      <c r="TW138" s="368"/>
      <c r="TX138" s="368"/>
      <c r="TY138" s="368"/>
      <c r="TZ138" s="368"/>
      <c r="UA138" s="368"/>
      <c r="UB138" s="368"/>
      <c r="UC138" s="368"/>
      <c r="UD138" s="368"/>
      <c r="UE138" s="368"/>
      <c r="UF138" s="368"/>
      <c r="UG138" s="368"/>
      <c r="UH138" s="368"/>
      <c r="UI138" s="368"/>
      <c r="UJ138" s="368"/>
      <c r="UK138" s="368"/>
      <c r="UL138" s="368"/>
      <c r="UM138" s="368"/>
      <c r="UN138" s="368"/>
      <c r="UO138" s="368"/>
      <c r="UP138" s="368"/>
      <c r="UQ138" s="368"/>
      <c r="UR138" s="368"/>
      <c r="US138" s="368"/>
      <c r="UT138" s="368"/>
      <c r="UU138" s="368"/>
      <c r="UV138" s="368"/>
      <c r="UW138" s="368"/>
      <c r="UX138" s="368"/>
      <c r="UY138" s="368"/>
      <c r="UZ138" s="368"/>
      <c r="VA138" s="368"/>
      <c r="VB138" s="368"/>
      <c r="VC138" s="368"/>
      <c r="VD138" s="368"/>
      <c r="VE138" s="368"/>
      <c r="VF138" s="368"/>
      <c r="VG138" s="368"/>
      <c r="VH138" s="368"/>
      <c r="VI138" s="368"/>
      <c r="VJ138" s="368"/>
      <c r="VK138" s="368"/>
      <c r="VL138" s="368"/>
      <c r="VM138" s="368"/>
      <c r="VN138" s="368"/>
      <c r="VO138" s="368"/>
      <c r="VP138" s="368"/>
      <c r="VQ138" s="368"/>
      <c r="VR138" s="368"/>
      <c r="VS138" s="368"/>
      <c r="VT138" s="368"/>
      <c r="VU138" s="368"/>
      <c r="VV138" s="368"/>
      <c r="VW138" s="368"/>
      <c r="VX138" s="368"/>
      <c r="VY138" s="368"/>
      <c r="VZ138" s="368"/>
      <c r="WA138" s="368"/>
      <c r="WB138" s="368"/>
      <c r="WC138" s="368"/>
      <c r="WD138" s="368"/>
      <c r="WE138" s="368"/>
      <c r="WF138" s="368"/>
      <c r="WG138" s="368"/>
      <c r="WH138" s="368"/>
      <c r="WI138" s="368"/>
      <c r="WJ138" s="368"/>
      <c r="WK138" s="368"/>
      <c r="WL138" s="368"/>
      <c r="WM138" s="368"/>
      <c r="WN138" s="368"/>
      <c r="WO138" s="368"/>
      <c r="WP138" s="368"/>
      <c r="WQ138" s="368"/>
      <c r="WR138" s="368"/>
      <c r="WS138" s="368"/>
      <c r="WT138" s="368"/>
      <c r="WU138" s="368"/>
      <c r="WV138" s="368"/>
      <c r="WW138" s="368"/>
      <c r="WX138" s="368"/>
      <c r="WY138" s="368"/>
      <c r="WZ138" s="368"/>
      <c r="XA138" s="368"/>
      <c r="XB138" s="368"/>
      <c r="XC138" s="368"/>
      <c r="XD138" s="368"/>
      <c r="XE138" s="368"/>
      <c r="XF138" s="368"/>
      <c r="XG138" s="368"/>
      <c r="XH138" s="368"/>
      <c r="XI138" s="368"/>
      <c r="XJ138" s="368"/>
      <c r="XK138" s="368"/>
      <c r="XL138" s="368"/>
      <c r="XM138" s="368"/>
      <c r="XN138" s="368"/>
      <c r="XO138" s="368"/>
      <c r="XP138" s="368"/>
      <c r="XQ138" s="368"/>
      <c r="XR138" s="368"/>
      <c r="XS138" s="368"/>
      <c r="XT138" s="368"/>
      <c r="XU138" s="368"/>
      <c r="XV138" s="368"/>
      <c r="XW138" s="368"/>
      <c r="XX138" s="368"/>
      <c r="XY138" s="368"/>
      <c r="XZ138" s="368"/>
      <c r="YA138" s="368"/>
      <c r="YB138" s="368"/>
      <c r="YC138" s="368"/>
      <c r="YD138" s="368"/>
      <c r="YE138" s="368"/>
      <c r="YF138" s="368"/>
      <c r="YG138" s="368"/>
      <c r="YH138" s="368"/>
      <c r="YI138" s="368"/>
      <c r="YJ138" s="368"/>
      <c r="YK138" s="368"/>
      <c r="YL138" s="368"/>
      <c r="YM138" s="368"/>
      <c r="YN138" s="368"/>
      <c r="YO138" s="368"/>
      <c r="YP138" s="368"/>
      <c r="YQ138" s="368"/>
      <c r="YR138" s="368"/>
      <c r="YS138" s="368"/>
      <c r="YT138" s="368"/>
      <c r="YU138" s="368"/>
      <c r="YV138" s="368"/>
      <c r="YW138" s="368"/>
      <c r="YX138" s="368"/>
      <c r="YY138" s="368"/>
      <c r="YZ138" s="368"/>
      <c r="ZA138" s="368"/>
      <c r="ZB138" s="368"/>
      <c r="ZC138" s="368"/>
      <c r="ZD138" s="368"/>
      <c r="ZE138" s="368"/>
      <c r="ZF138" s="368"/>
      <c r="ZG138" s="368"/>
      <c r="ZH138" s="368"/>
      <c r="ZI138" s="368"/>
      <c r="ZJ138" s="368"/>
      <c r="ZK138" s="368"/>
      <c r="ZL138" s="368"/>
      <c r="ZM138" s="368"/>
      <c r="ZN138" s="368"/>
      <c r="ZO138" s="368"/>
      <c r="ZP138" s="368"/>
      <c r="ZQ138" s="368"/>
      <c r="ZR138" s="368"/>
      <c r="ZS138" s="368"/>
      <c r="ZT138" s="368"/>
      <c r="ZU138" s="368"/>
      <c r="ZV138" s="368"/>
      <c r="ZW138" s="368"/>
      <c r="ZX138" s="368"/>
      <c r="ZY138" s="368"/>
      <c r="ZZ138" s="368"/>
      <c r="AAA138" s="368"/>
      <c r="AAB138" s="368"/>
      <c r="AAC138" s="368"/>
      <c r="AAD138" s="368"/>
      <c r="AAE138" s="368"/>
      <c r="AAF138" s="368"/>
      <c r="AAG138" s="368"/>
      <c r="AAH138" s="368"/>
      <c r="AAI138" s="368"/>
      <c r="AAJ138" s="368"/>
      <c r="AAK138" s="368"/>
      <c r="AAL138" s="368"/>
      <c r="AAM138" s="368"/>
      <c r="AAN138" s="368"/>
      <c r="AAO138" s="368"/>
      <c r="AAP138" s="368"/>
      <c r="AAQ138" s="368"/>
      <c r="AAR138" s="368"/>
      <c r="AAS138" s="368"/>
      <c r="AAT138" s="368"/>
      <c r="AAU138" s="368"/>
      <c r="AAV138" s="368"/>
      <c r="AAW138" s="368"/>
      <c r="AAX138" s="368"/>
      <c r="AAY138" s="368"/>
      <c r="AAZ138" s="368"/>
      <c r="ABA138" s="368"/>
      <c r="ABB138" s="368"/>
      <c r="ABC138" s="368"/>
      <c r="ABD138" s="368"/>
      <c r="ABE138" s="368"/>
      <c r="ABF138" s="368"/>
      <c r="ABG138" s="368"/>
      <c r="ABH138" s="368"/>
      <c r="ABI138" s="368"/>
      <c r="ABJ138" s="368"/>
      <c r="ABK138" s="368"/>
      <c r="ABL138" s="368"/>
      <c r="ABM138" s="368"/>
      <c r="ABN138" s="368"/>
      <c r="ABO138" s="368"/>
      <c r="ABP138" s="368"/>
      <c r="ABQ138" s="368"/>
      <c r="ABR138" s="368"/>
      <c r="ABS138" s="368"/>
      <c r="ABT138" s="368"/>
      <c r="ABU138" s="368"/>
      <c r="ABV138" s="368"/>
      <c r="ABW138" s="368"/>
      <c r="ABX138" s="368"/>
      <c r="ABY138" s="368"/>
      <c r="ABZ138" s="368"/>
      <c r="ACA138" s="368"/>
      <c r="ACB138" s="368"/>
      <c r="ACC138" s="368"/>
      <c r="ACD138" s="368"/>
      <c r="ACE138" s="368"/>
      <c r="ACF138" s="368"/>
      <c r="ACG138" s="368"/>
      <c r="ACH138" s="368"/>
      <c r="ACI138" s="368"/>
      <c r="ACJ138" s="368"/>
      <c r="ACK138" s="368"/>
      <c r="ACL138" s="368"/>
      <c r="ACM138" s="368"/>
      <c r="ACN138" s="368"/>
      <c r="ACO138" s="368"/>
      <c r="ACP138" s="368"/>
      <c r="ACQ138" s="368"/>
      <c r="ACR138" s="368"/>
      <c r="ACS138" s="368"/>
      <c r="ACT138" s="368"/>
      <c r="ACU138" s="368"/>
      <c r="ACV138" s="368"/>
      <c r="ACW138" s="368"/>
      <c r="ACX138" s="368"/>
      <c r="ACY138" s="368"/>
      <c r="ACZ138" s="368"/>
      <c r="ADA138" s="368"/>
      <c r="ADB138" s="368"/>
      <c r="ADC138" s="368"/>
      <c r="ADD138" s="368"/>
      <c r="ADE138" s="368"/>
      <c r="ADF138" s="368"/>
      <c r="ADG138" s="368"/>
      <c r="ADH138" s="368"/>
      <c r="ADI138" s="368"/>
      <c r="ADJ138" s="368"/>
      <c r="ADK138" s="368"/>
      <c r="ADL138" s="368"/>
      <c r="ADM138" s="368"/>
      <c r="ADN138" s="368"/>
      <c r="ADO138" s="368"/>
      <c r="ADP138" s="368"/>
      <c r="ADQ138" s="368"/>
      <c r="ADR138" s="368"/>
      <c r="ADS138" s="368"/>
      <c r="ADT138" s="368"/>
      <c r="ADU138" s="368"/>
      <c r="ADV138" s="368"/>
      <c r="ADW138" s="368"/>
      <c r="ADX138" s="368"/>
      <c r="ADY138" s="368"/>
      <c r="ADZ138" s="368"/>
      <c r="AEA138" s="368"/>
      <c r="AEB138" s="368"/>
      <c r="AEC138" s="368"/>
      <c r="AED138" s="368"/>
      <c r="AEE138" s="368"/>
      <c r="AEF138" s="368"/>
      <c r="AEG138" s="368"/>
      <c r="AEH138" s="368"/>
      <c r="AEI138" s="368"/>
      <c r="AEJ138" s="368"/>
      <c r="AEK138" s="368"/>
      <c r="AEL138" s="368"/>
      <c r="AEM138" s="368"/>
      <c r="AEN138" s="368"/>
      <c r="AEO138" s="368"/>
      <c r="AEP138" s="368"/>
      <c r="AEQ138" s="368"/>
      <c r="AER138" s="368"/>
      <c r="AES138" s="368"/>
      <c r="AET138" s="368"/>
      <c r="AEU138" s="368"/>
      <c r="AEV138" s="368"/>
      <c r="AEW138" s="368"/>
      <c r="AEX138" s="368"/>
      <c r="AEY138" s="368"/>
      <c r="AEZ138" s="368"/>
      <c r="AFA138" s="368"/>
      <c r="AFB138" s="368"/>
      <c r="AFC138" s="368"/>
      <c r="AFD138" s="368"/>
      <c r="AFE138" s="368"/>
      <c r="AFF138" s="368"/>
      <c r="AFG138" s="368"/>
      <c r="AFH138" s="368"/>
      <c r="AFI138" s="368"/>
      <c r="AFJ138" s="368"/>
      <c r="AFK138" s="368"/>
      <c r="AFL138" s="368"/>
      <c r="AFM138" s="368"/>
      <c r="AFN138" s="368"/>
      <c r="AFO138" s="368"/>
      <c r="AFP138" s="368"/>
      <c r="AFQ138" s="368"/>
      <c r="AFR138" s="368"/>
      <c r="AFS138" s="368"/>
      <c r="AFT138" s="368"/>
      <c r="AFU138" s="368"/>
      <c r="AFV138" s="368"/>
      <c r="AFW138" s="368"/>
      <c r="AFX138" s="368"/>
      <c r="AFY138" s="368"/>
      <c r="AFZ138" s="368"/>
      <c r="AGA138" s="368"/>
      <c r="AGB138" s="368"/>
      <c r="AGC138" s="368"/>
      <c r="AGD138" s="368"/>
      <c r="AGE138" s="368"/>
      <c r="AGF138" s="368"/>
      <c r="AGG138" s="368"/>
      <c r="AGH138" s="368"/>
      <c r="AGI138" s="368"/>
      <c r="AGJ138" s="368"/>
      <c r="AGK138" s="368"/>
      <c r="AGL138" s="368"/>
      <c r="AGM138" s="368"/>
      <c r="AGN138" s="368"/>
      <c r="AGO138" s="368"/>
      <c r="AGP138" s="368"/>
      <c r="AGQ138" s="368"/>
      <c r="AGR138" s="368"/>
      <c r="AGS138" s="368"/>
      <c r="AGT138" s="368"/>
      <c r="AGU138" s="368"/>
      <c r="AGV138" s="368"/>
      <c r="AGW138" s="368"/>
      <c r="AGX138" s="368"/>
      <c r="AGY138" s="368"/>
      <c r="AGZ138" s="368"/>
      <c r="AHA138" s="368"/>
      <c r="AHB138" s="368"/>
      <c r="AHC138" s="368"/>
      <c r="AHD138" s="368"/>
      <c r="AHE138" s="368"/>
      <c r="AHF138" s="368"/>
      <c r="AHG138" s="368"/>
      <c r="AHH138" s="368"/>
      <c r="AHI138" s="368"/>
      <c r="AHJ138" s="368"/>
      <c r="AHK138" s="368"/>
      <c r="AHL138" s="368"/>
      <c r="AHM138" s="368"/>
      <c r="AHN138" s="368"/>
      <c r="AHO138" s="368"/>
      <c r="AHP138" s="368"/>
      <c r="AHQ138" s="368"/>
      <c r="AHR138" s="368"/>
      <c r="AHS138" s="368"/>
      <c r="AHT138" s="368"/>
      <c r="AHU138" s="368"/>
      <c r="AHV138" s="368"/>
      <c r="AHW138" s="368"/>
      <c r="AHX138" s="368"/>
      <c r="AHY138" s="368"/>
      <c r="AHZ138" s="368"/>
      <c r="AIA138" s="368"/>
      <c r="AIB138" s="368"/>
      <c r="AIC138" s="368"/>
      <c r="AID138" s="368"/>
      <c r="AIE138" s="368"/>
      <c r="AIF138" s="368"/>
      <c r="AIG138" s="368"/>
      <c r="AIH138" s="368"/>
      <c r="AII138" s="368"/>
      <c r="AIJ138" s="368"/>
      <c r="AIK138" s="368"/>
      <c r="AIL138" s="368"/>
      <c r="AIM138" s="368"/>
      <c r="AIN138" s="368"/>
      <c r="AIO138" s="368"/>
      <c r="AIP138" s="368"/>
      <c r="AIQ138" s="368"/>
      <c r="AIR138" s="368"/>
      <c r="AIS138" s="368"/>
      <c r="AIT138" s="368"/>
      <c r="AIU138" s="368"/>
      <c r="AIV138" s="368"/>
      <c r="AIW138" s="368"/>
      <c r="AIX138" s="368"/>
      <c r="AIY138" s="368"/>
      <c r="AIZ138" s="368"/>
      <c r="AJA138" s="368"/>
      <c r="AJB138" s="368"/>
      <c r="AJC138" s="368"/>
      <c r="AJD138" s="368"/>
      <c r="AJE138" s="368"/>
      <c r="AJF138" s="368"/>
      <c r="AJG138" s="368"/>
      <c r="AJH138" s="368"/>
      <c r="AJI138" s="368"/>
      <c r="AJJ138" s="368"/>
      <c r="AJK138" s="368"/>
      <c r="AJL138" s="368"/>
      <c r="AJM138" s="368"/>
      <c r="AJN138" s="368"/>
      <c r="AJO138" s="368"/>
      <c r="AJP138" s="368"/>
      <c r="AJQ138" s="368"/>
      <c r="AJR138" s="368"/>
      <c r="AJS138" s="368"/>
      <c r="AJT138" s="368"/>
      <c r="AJU138" s="368"/>
      <c r="AJV138" s="368"/>
      <c r="AJW138" s="368"/>
      <c r="AJX138" s="368"/>
      <c r="AJY138" s="368"/>
      <c r="AJZ138" s="368"/>
      <c r="AKA138" s="368"/>
      <c r="AKB138" s="368"/>
      <c r="AKC138" s="368"/>
      <c r="AKD138" s="368"/>
      <c r="AKE138" s="368"/>
      <c r="AKF138" s="368"/>
      <c r="AKG138" s="368"/>
      <c r="AKH138" s="368"/>
      <c r="AKI138" s="368"/>
      <c r="AKJ138" s="368"/>
      <c r="AKK138" s="368"/>
      <c r="AKL138" s="368"/>
      <c r="AKM138" s="368"/>
      <c r="AKN138" s="368"/>
    </row>
    <row r="139" spans="1:976" s="346" customFormat="1" ht="22.5" customHeight="1" x14ac:dyDescent="0.2">
      <c r="A139" s="370" t="s">
        <v>262</v>
      </c>
      <c r="B139" s="370"/>
      <c r="C139" s="370" t="s">
        <v>221</v>
      </c>
      <c r="D139" s="370" t="s">
        <v>222</v>
      </c>
      <c r="E139" s="371">
        <v>414742</v>
      </c>
      <c r="F139" s="371">
        <v>1863</v>
      </c>
      <c r="G139" s="371">
        <v>302</v>
      </c>
      <c r="H139" s="371">
        <v>0</v>
      </c>
      <c r="I139" s="372">
        <v>45902</v>
      </c>
      <c r="J139" s="370" t="s">
        <v>656</v>
      </c>
      <c r="K139" s="370" t="s">
        <v>657</v>
      </c>
      <c r="L139" s="373">
        <v>25.89</v>
      </c>
      <c r="M139" s="373">
        <v>2.71</v>
      </c>
      <c r="N139" s="444">
        <v>28.6</v>
      </c>
      <c r="O139" s="370"/>
      <c r="P139" s="374">
        <v>45904</v>
      </c>
      <c r="Q139" s="373">
        <v>28.6</v>
      </c>
      <c r="R139" s="370" t="s">
        <v>658</v>
      </c>
      <c r="S139" s="373">
        <v>0</v>
      </c>
      <c r="T139" s="373">
        <v>0</v>
      </c>
      <c r="U139" s="373">
        <v>0</v>
      </c>
      <c r="V139" s="373">
        <v>0</v>
      </c>
      <c r="W139" s="370"/>
      <c r="X139" s="370" t="s">
        <v>293</v>
      </c>
      <c r="Y139" s="370" t="s">
        <v>294</v>
      </c>
      <c r="Z139" s="370" t="s">
        <v>42</v>
      </c>
      <c r="AA139" s="370" t="s">
        <v>228</v>
      </c>
      <c r="AB139" s="370" t="s">
        <v>235</v>
      </c>
      <c r="AC139" s="370" t="s">
        <v>331</v>
      </c>
      <c r="AD139" s="370" t="s">
        <v>231</v>
      </c>
      <c r="AE139" s="370" t="s">
        <v>232</v>
      </c>
      <c r="AF139" s="370" t="s">
        <v>231</v>
      </c>
      <c r="AG139" s="370" t="s">
        <v>232</v>
      </c>
      <c r="AH139" s="370"/>
      <c r="AI139" s="370"/>
      <c r="AJ139" s="370"/>
      <c r="AK139" s="370" t="s">
        <v>659</v>
      </c>
      <c r="AL139" s="371">
        <v>1</v>
      </c>
      <c r="AM139" s="371">
        <v>0</v>
      </c>
      <c r="AN139" s="372">
        <v>45904</v>
      </c>
      <c r="AO139" s="372">
        <v>45904</v>
      </c>
      <c r="AP139" s="373">
        <v>28.6</v>
      </c>
      <c r="AQ139" s="372">
        <v>45903</v>
      </c>
      <c r="AR139" s="368"/>
      <c r="AS139" s="368"/>
      <c r="AT139" s="368"/>
      <c r="AU139" s="368"/>
      <c r="AV139" s="368"/>
      <c r="AW139" s="368"/>
      <c r="AX139" s="368"/>
      <c r="AY139" s="368"/>
      <c r="AZ139" s="368"/>
      <c r="BA139" s="368"/>
      <c r="BB139" s="368"/>
      <c r="BC139" s="368"/>
      <c r="BD139" s="368"/>
      <c r="BE139" s="368"/>
      <c r="BF139" s="368"/>
      <c r="BG139" s="368"/>
      <c r="BH139" s="368"/>
      <c r="BI139" s="368"/>
      <c r="BJ139" s="368"/>
      <c r="BK139" s="368"/>
      <c r="BL139" s="368"/>
      <c r="BM139" s="368"/>
      <c r="BN139" s="368"/>
      <c r="BO139" s="368"/>
      <c r="BP139" s="368"/>
      <c r="BQ139" s="368"/>
      <c r="BR139" s="368"/>
      <c r="BS139" s="368"/>
      <c r="BT139" s="368"/>
      <c r="BU139" s="368"/>
      <c r="BV139" s="368"/>
      <c r="BW139" s="368"/>
      <c r="BX139" s="368"/>
      <c r="BY139" s="368"/>
      <c r="BZ139" s="368"/>
      <c r="CA139" s="368"/>
      <c r="CB139" s="368"/>
      <c r="CC139" s="368"/>
      <c r="CD139" s="368"/>
      <c r="CE139" s="368"/>
      <c r="CF139" s="368"/>
      <c r="CG139" s="368"/>
      <c r="CH139" s="368"/>
      <c r="CI139" s="368"/>
      <c r="CJ139" s="368"/>
      <c r="CK139" s="368"/>
      <c r="CL139" s="368"/>
      <c r="CM139" s="368"/>
      <c r="CN139" s="368"/>
      <c r="CO139" s="368"/>
      <c r="CP139" s="368"/>
      <c r="CQ139" s="368"/>
      <c r="CR139" s="368"/>
      <c r="CS139" s="368"/>
      <c r="CT139" s="368"/>
      <c r="CU139" s="368"/>
      <c r="CV139" s="368"/>
      <c r="CW139" s="368"/>
      <c r="CX139" s="368"/>
      <c r="CY139" s="368"/>
      <c r="CZ139" s="368"/>
      <c r="DA139" s="368"/>
      <c r="DB139" s="368"/>
      <c r="DC139" s="368"/>
      <c r="DD139" s="368"/>
      <c r="DE139" s="368"/>
      <c r="DF139" s="368"/>
      <c r="DG139" s="368"/>
      <c r="DH139" s="368"/>
      <c r="DI139" s="368"/>
      <c r="DJ139" s="368"/>
      <c r="DK139" s="368"/>
      <c r="DL139" s="368"/>
      <c r="DM139" s="368"/>
      <c r="DN139" s="368"/>
      <c r="DO139" s="368"/>
      <c r="DP139" s="368"/>
      <c r="DQ139" s="368"/>
      <c r="DR139" s="368"/>
      <c r="DS139" s="368"/>
      <c r="DT139" s="368"/>
      <c r="DU139" s="368"/>
      <c r="DV139" s="368"/>
      <c r="DW139" s="368"/>
      <c r="DX139" s="368"/>
      <c r="DY139" s="368"/>
      <c r="DZ139" s="368"/>
      <c r="EA139" s="368"/>
      <c r="EB139" s="368"/>
      <c r="EC139" s="368"/>
      <c r="ED139" s="368"/>
      <c r="EE139" s="368"/>
      <c r="EF139" s="368"/>
      <c r="EG139" s="368"/>
      <c r="EH139" s="368"/>
      <c r="EI139" s="368"/>
      <c r="EJ139" s="368"/>
      <c r="EK139" s="368"/>
      <c r="EL139" s="368"/>
      <c r="EM139" s="368"/>
      <c r="EN139" s="368"/>
      <c r="EO139" s="368"/>
      <c r="EP139" s="368"/>
      <c r="EQ139" s="368"/>
      <c r="ER139" s="368"/>
      <c r="ES139" s="368"/>
      <c r="ET139" s="368"/>
      <c r="EU139" s="368"/>
      <c r="EV139" s="368"/>
      <c r="EW139" s="368"/>
      <c r="EX139" s="368"/>
      <c r="EY139" s="368"/>
      <c r="EZ139" s="368"/>
      <c r="FA139" s="368"/>
      <c r="FB139" s="368"/>
      <c r="FC139" s="368"/>
      <c r="FD139" s="368"/>
      <c r="FE139" s="368"/>
      <c r="FF139" s="368"/>
      <c r="FG139" s="368"/>
      <c r="FH139" s="368"/>
      <c r="FI139" s="368"/>
      <c r="FJ139" s="368"/>
      <c r="FK139" s="368"/>
      <c r="FL139" s="368"/>
      <c r="FM139" s="368"/>
      <c r="FN139" s="368"/>
      <c r="FO139" s="368"/>
      <c r="FP139" s="368"/>
      <c r="FQ139" s="368"/>
      <c r="FR139" s="368"/>
      <c r="FS139" s="368"/>
      <c r="FT139" s="368"/>
      <c r="FU139" s="368"/>
      <c r="FV139" s="368"/>
      <c r="FW139" s="368"/>
      <c r="FX139" s="368"/>
      <c r="FY139" s="368"/>
      <c r="FZ139" s="368"/>
      <c r="GA139" s="368"/>
      <c r="GB139" s="368"/>
      <c r="GC139" s="368"/>
      <c r="GD139" s="368"/>
      <c r="GE139" s="368"/>
      <c r="GF139" s="368"/>
      <c r="GG139" s="368"/>
      <c r="GH139" s="368"/>
      <c r="GI139" s="368"/>
      <c r="GJ139" s="368"/>
      <c r="GK139" s="368"/>
      <c r="GL139" s="368"/>
      <c r="GM139" s="368"/>
      <c r="GN139" s="368"/>
      <c r="GO139" s="368"/>
      <c r="GP139" s="368"/>
      <c r="GQ139" s="368"/>
      <c r="GR139" s="368"/>
      <c r="GS139" s="368"/>
      <c r="GT139" s="368"/>
      <c r="GU139" s="368"/>
      <c r="GV139" s="368"/>
      <c r="GW139" s="368"/>
      <c r="GX139" s="368"/>
      <c r="GY139" s="368"/>
      <c r="GZ139" s="368"/>
      <c r="HA139" s="368"/>
      <c r="HB139" s="368"/>
      <c r="HC139" s="368"/>
      <c r="HD139" s="368"/>
      <c r="HE139" s="368"/>
      <c r="HF139" s="368"/>
      <c r="HG139" s="368"/>
      <c r="HH139" s="368"/>
      <c r="HI139" s="368"/>
      <c r="HJ139" s="368"/>
      <c r="HK139" s="368"/>
      <c r="HL139" s="368"/>
      <c r="HM139" s="368"/>
      <c r="HN139" s="368"/>
      <c r="HO139" s="368"/>
      <c r="HP139" s="368"/>
      <c r="HQ139" s="368"/>
      <c r="HR139" s="368"/>
      <c r="HS139" s="368"/>
      <c r="HT139" s="368"/>
      <c r="HU139" s="368"/>
      <c r="HV139" s="368"/>
      <c r="HW139" s="368"/>
      <c r="HX139" s="368"/>
      <c r="HY139" s="368"/>
      <c r="HZ139" s="368"/>
      <c r="IA139" s="368"/>
      <c r="IB139" s="368"/>
      <c r="IC139" s="368"/>
      <c r="ID139" s="368"/>
      <c r="IE139" s="368"/>
      <c r="IF139" s="368"/>
      <c r="IG139" s="368"/>
      <c r="IH139" s="368"/>
      <c r="II139" s="368"/>
      <c r="IJ139" s="368"/>
      <c r="IK139" s="368"/>
      <c r="IL139" s="368"/>
      <c r="IM139" s="368"/>
      <c r="IN139" s="368"/>
      <c r="IO139" s="368"/>
      <c r="IP139" s="368"/>
      <c r="IQ139" s="368"/>
      <c r="IR139" s="368"/>
      <c r="IS139" s="368"/>
      <c r="IT139" s="368"/>
      <c r="IU139" s="368"/>
      <c r="IV139" s="368"/>
      <c r="IW139" s="368"/>
      <c r="IX139" s="368"/>
      <c r="IY139" s="368"/>
      <c r="IZ139" s="368"/>
      <c r="JA139" s="368"/>
      <c r="JB139" s="368"/>
      <c r="JC139" s="368"/>
      <c r="JD139" s="368"/>
      <c r="JE139" s="368"/>
      <c r="JF139" s="368"/>
      <c r="JG139" s="368"/>
      <c r="JH139" s="368"/>
      <c r="JI139" s="368"/>
      <c r="JJ139" s="368"/>
      <c r="JK139" s="368"/>
      <c r="JL139" s="368"/>
      <c r="JM139" s="368"/>
      <c r="JN139" s="368"/>
      <c r="JO139" s="368"/>
      <c r="JP139" s="368"/>
      <c r="JQ139" s="368"/>
      <c r="JR139" s="368"/>
      <c r="JS139" s="368"/>
      <c r="JT139" s="368"/>
      <c r="JU139" s="368"/>
      <c r="JV139" s="368"/>
      <c r="JW139" s="368"/>
      <c r="JX139" s="368"/>
      <c r="JY139" s="368"/>
      <c r="JZ139" s="368"/>
      <c r="KA139" s="368"/>
      <c r="KB139" s="368"/>
      <c r="KC139" s="368"/>
      <c r="KD139" s="368"/>
      <c r="KE139" s="368"/>
      <c r="KF139" s="368"/>
      <c r="KG139" s="368"/>
      <c r="KH139" s="368"/>
      <c r="KI139" s="368"/>
      <c r="KJ139" s="368"/>
      <c r="KK139" s="368"/>
      <c r="KL139" s="368"/>
      <c r="KM139" s="368"/>
      <c r="KN139" s="368"/>
      <c r="KO139" s="368"/>
      <c r="KP139" s="368"/>
      <c r="KQ139" s="368"/>
      <c r="KR139" s="368"/>
      <c r="KS139" s="368"/>
      <c r="KT139" s="368"/>
      <c r="KU139" s="368"/>
      <c r="KV139" s="368"/>
      <c r="KW139" s="368"/>
      <c r="KX139" s="368"/>
      <c r="KY139" s="368"/>
      <c r="KZ139" s="368"/>
      <c r="LA139" s="368"/>
      <c r="LB139" s="368"/>
      <c r="LC139" s="368"/>
      <c r="LD139" s="368"/>
      <c r="LE139" s="368"/>
      <c r="LF139" s="368"/>
      <c r="LG139" s="368"/>
      <c r="LH139" s="368"/>
      <c r="LI139" s="368"/>
      <c r="LJ139" s="368"/>
      <c r="LK139" s="368"/>
      <c r="LL139" s="368"/>
      <c r="LM139" s="368"/>
      <c r="LN139" s="368"/>
      <c r="LO139" s="368"/>
      <c r="LP139" s="368"/>
      <c r="LQ139" s="368"/>
      <c r="LR139" s="368"/>
      <c r="LS139" s="368"/>
      <c r="LT139" s="368"/>
      <c r="LU139" s="368"/>
      <c r="LV139" s="368"/>
      <c r="LW139" s="368"/>
      <c r="LX139" s="368"/>
      <c r="LY139" s="368"/>
      <c r="LZ139" s="368"/>
      <c r="MA139" s="368"/>
      <c r="MB139" s="368"/>
      <c r="MC139" s="368"/>
      <c r="MD139" s="368"/>
      <c r="ME139" s="368"/>
      <c r="MF139" s="368"/>
      <c r="MG139" s="368"/>
      <c r="MH139" s="368"/>
      <c r="MI139" s="368"/>
      <c r="MJ139" s="368"/>
      <c r="MK139" s="368"/>
      <c r="ML139" s="368"/>
      <c r="MM139" s="368"/>
      <c r="MN139" s="368"/>
      <c r="MO139" s="368"/>
      <c r="MP139" s="368"/>
      <c r="MQ139" s="368"/>
      <c r="MR139" s="368"/>
      <c r="MS139" s="368"/>
      <c r="MT139" s="368"/>
      <c r="MU139" s="368"/>
      <c r="MV139" s="368"/>
      <c r="MW139" s="368"/>
      <c r="MX139" s="368"/>
      <c r="MY139" s="368"/>
      <c r="MZ139" s="368"/>
      <c r="NA139" s="368"/>
      <c r="NB139" s="368"/>
      <c r="NC139" s="368"/>
      <c r="ND139" s="368"/>
      <c r="NE139" s="368"/>
      <c r="NF139" s="368"/>
      <c r="NG139" s="368"/>
      <c r="NH139" s="368"/>
      <c r="NI139" s="368"/>
      <c r="NJ139" s="368"/>
      <c r="NK139" s="368"/>
      <c r="NL139" s="368"/>
      <c r="NM139" s="368"/>
      <c r="NN139" s="368"/>
      <c r="NO139" s="368"/>
      <c r="NP139" s="368"/>
      <c r="NQ139" s="368"/>
      <c r="NR139" s="368"/>
      <c r="NS139" s="368"/>
      <c r="NT139" s="368"/>
      <c r="NU139" s="368"/>
      <c r="NV139" s="368"/>
      <c r="NW139" s="368"/>
      <c r="NX139" s="368"/>
      <c r="NY139" s="368"/>
      <c r="NZ139" s="368"/>
      <c r="OA139" s="368"/>
      <c r="OB139" s="368"/>
      <c r="OC139" s="368"/>
      <c r="OD139" s="368"/>
      <c r="OE139" s="368"/>
      <c r="OF139" s="368"/>
      <c r="OG139" s="368"/>
      <c r="OH139" s="368"/>
      <c r="OI139" s="368"/>
      <c r="OJ139" s="368"/>
      <c r="OK139" s="368"/>
      <c r="OL139" s="368"/>
      <c r="OM139" s="368"/>
      <c r="ON139" s="368"/>
      <c r="OO139" s="368"/>
      <c r="OP139" s="368"/>
      <c r="OQ139" s="368"/>
      <c r="OR139" s="368"/>
      <c r="OS139" s="368"/>
      <c r="OT139" s="368"/>
      <c r="OU139" s="368"/>
      <c r="OV139" s="368"/>
      <c r="OW139" s="368"/>
      <c r="OX139" s="368"/>
      <c r="OY139" s="368"/>
      <c r="OZ139" s="368"/>
      <c r="PA139" s="368"/>
      <c r="PB139" s="368"/>
      <c r="PC139" s="368"/>
      <c r="PD139" s="368"/>
      <c r="PE139" s="368"/>
      <c r="PF139" s="368"/>
      <c r="PG139" s="368"/>
      <c r="PH139" s="368"/>
      <c r="PI139" s="368"/>
      <c r="PJ139" s="368"/>
      <c r="PK139" s="368"/>
      <c r="PL139" s="368"/>
      <c r="PM139" s="368"/>
      <c r="PN139" s="368"/>
      <c r="PO139" s="368"/>
      <c r="PP139" s="368"/>
      <c r="PQ139" s="368"/>
      <c r="PR139" s="368"/>
      <c r="PS139" s="368"/>
      <c r="PT139" s="368"/>
      <c r="PU139" s="368"/>
      <c r="PV139" s="368"/>
      <c r="PW139" s="368"/>
      <c r="PX139" s="368"/>
      <c r="PY139" s="368"/>
      <c r="PZ139" s="368"/>
      <c r="QA139" s="368"/>
      <c r="QB139" s="368"/>
      <c r="QC139" s="368"/>
      <c r="QD139" s="368"/>
      <c r="QE139" s="368"/>
      <c r="QF139" s="368"/>
      <c r="QG139" s="368"/>
      <c r="QH139" s="368"/>
      <c r="QI139" s="368"/>
      <c r="QJ139" s="368"/>
      <c r="QK139" s="368"/>
      <c r="QL139" s="368"/>
      <c r="QM139" s="368"/>
      <c r="QN139" s="368"/>
      <c r="QO139" s="368"/>
      <c r="QP139" s="368"/>
      <c r="QQ139" s="368"/>
      <c r="QR139" s="368"/>
      <c r="QS139" s="368"/>
      <c r="QT139" s="368"/>
      <c r="QU139" s="368"/>
      <c r="QV139" s="368"/>
      <c r="QW139" s="368"/>
      <c r="QX139" s="368"/>
      <c r="QY139" s="368"/>
      <c r="QZ139" s="368"/>
      <c r="RA139" s="368"/>
      <c r="RB139" s="368"/>
      <c r="RC139" s="368"/>
      <c r="RD139" s="368"/>
      <c r="RE139" s="368"/>
      <c r="RF139" s="368"/>
      <c r="RG139" s="368"/>
      <c r="RH139" s="368"/>
      <c r="RI139" s="368"/>
      <c r="RJ139" s="368"/>
      <c r="RK139" s="368"/>
      <c r="RL139" s="368"/>
      <c r="RM139" s="368"/>
      <c r="RN139" s="368"/>
      <c r="RO139" s="368"/>
      <c r="RP139" s="368"/>
      <c r="RQ139" s="368"/>
      <c r="RR139" s="368"/>
      <c r="RS139" s="368"/>
      <c r="RT139" s="368"/>
      <c r="RU139" s="368"/>
      <c r="RV139" s="368"/>
      <c r="RW139" s="368"/>
      <c r="RX139" s="368"/>
      <c r="RY139" s="368"/>
      <c r="RZ139" s="368"/>
      <c r="SA139" s="368"/>
      <c r="SB139" s="368"/>
      <c r="SC139" s="368"/>
      <c r="SD139" s="368"/>
      <c r="SE139" s="368"/>
      <c r="SF139" s="368"/>
      <c r="SG139" s="368"/>
      <c r="SH139" s="368"/>
      <c r="SI139" s="368"/>
      <c r="SJ139" s="368"/>
      <c r="SK139" s="368"/>
      <c r="SL139" s="368"/>
      <c r="SM139" s="368"/>
      <c r="SN139" s="368"/>
      <c r="SO139" s="368"/>
      <c r="SP139" s="368"/>
      <c r="SQ139" s="368"/>
      <c r="SR139" s="368"/>
      <c r="SS139" s="368"/>
      <c r="ST139" s="368"/>
      <c r="SU139" s="368"/>
      <c r="SV139" s="368"/>
      <c r="SW139" s="368"/>
      <c r="SX139" s="368"/>
      <c r="SY139" s="368"/>
      <c r="SZ139" s="368"/>
      <c r="TA139" s="368"/>
      <c r="TB139" s="368"/>
      <c r="TC139" s="368"/>
      <c r="TD139" s="368"/>
      <c r="TE139" s="368"/>
      <c r="TF139" s="368"/>
      <c r="TG139" s="368"/>
      <c r="TH139" s="368"/>
      <c r="TI139" s="368"/>
      <c r="TJ139" s="368"/>
      <c r="TK139" s="368"/>
      <c r="TL139" s="368"/>
      <c r="TM139" s="368"/>
      <c r="TN139" s="368"/>
      <c r="TO139" s="368"/>
      <c r="TP139" s="368"/>
      <c r="TQ139" s="368"/>
      <c r="TR139" s="368"/>
      <c r="TS139" s="368"/>
      <c r="TT139" s="368"/>
      <c r="TU139" s="368"/>
      <c r="TV139" s="368"/>
      <c r="TW139" s="368"/>
      <c r="TX139" s="368"/>
      <c r="TY139" s="368"/>
      <c r="TZ139" s="368"/>
      <c r="UA139" s="368"/>
      <c r="UB139" s="368"/>
      <c r="UC139" s="368"/>
      <c r="UD139" s="368"/>
      <c r="UE139" s="368"/>
      <c r="UF139" s="368"/>
      <c r="UG139" s="368"/>
      <c r="UH139" s="368"/>
      <c r="UI139" s="368"/>
      <c r="UJ139" s="368"/>
      <c r="UK139" s="368"/>
      <c r="UL139" s="368"/>
      <c r="UM139" s="368"/>
      <c r="UN139" s="368"/>
      <c r="UO139" s="368"/>
      <c r="UP139" s="368"/>
      <c r="UQ139" s="368"/>
      <c r="UR139" s="368"/>
      <c r="US139" s="368"/>
      <c r="UT139" s="368"/>
      <c r="UU139" s="368"/>
      <c r="UV139" s="368"/>
      <c r="UW139" s="368"/>
      <c r="UX139" s="368"/>
      <c r="UY139" s="368"/>
      <c r="UZ139" s="368"/>
      <c r="VA139" s="368"/>
      <c r="VB139" s="368"/>
      <c r="VC139" s="368"/>
      <c r="VD139" s="368"/>
      <c r="VE139" s="368"/>
      <c r="VF139" s="368"/>
      <c r="VG139" s="368"/>
      <c r="VH139" s="368"/>
      <c r="VI139" s="368"/>
      <c r="VJ139" s="368"/>
      <c r="VK139" s="368"/>
      <c r="VL139" s="368"/>
      <c r="VM139" s="368"/>
      <c r="VN139" s="368"/>
      <c r="VO139" s="368"/>
      <c r="VP139" s="368"/>
      <c r="VQ139" s="368"/>
      <c r="VR139" s="368"/>
      <c r="VS139" s="368"/>
      <c r="VT139" s="368"/>
      <c r="VU139" s="368"/>
      <c r="VV139" s="368"/>
      <c r="VW139" s="368"/>
      <c r="VX139" s="368"/>
      <c r="VY139" s="368"/>
      <c r="VZ139" s="368"/>
      <c r="WA139" s="368"/>
      <c r="WB139" s="368"/>
      <c r="WC139" s="368"/>
      <c r="WD139" s="368"/>
      <c r="WE139" s="368"/>
      <c r="WF139" s="368"/>
      <c r="WG139" s="368"/>
      <c r="WH139" s="368"/>
      <c r="WI139" s="368"/>
      <c r="WJ139" s="368"/>
      <c r="WK139" s="368"/>
      <c r="WL139" s="368"/>
      <c r="WM139" s="368"/>
      <c r="WN139" s="368"/>
      <c r="WO139" s="368"/>
      <c r="WP139" s="368"/>
      <c r="WQ139" s="368"/>
      <c r="WR139" s="368"/>
      <c r="WS139" s="368"/>
      <c r="WT139" s="368"/>
      <c r="WU139" s="368"/>
      <c r="WV139" s="368"/>
      <c r="WW139" s="368"/>
      <c r="WX139" s="368"/>
      <c r="WY139" s="368"/>
      <c r="WZ139" s="368"/>
      <c r="XA139" s="368"/>
      <c r="XB139" s="368"/>
      <c r="XC139" s="368"/>
      <c r="XD139" s="368"/>
      <c r="XE139" s="368"/>
      <c r="XF139" s="368"/>
      <c r="XG139" s="368"/>
      <c r="XH139" s="368"/>
      <c r="XI139" s="368"/>
      <c r="XJ139" s="368"/>
      <c r="XK139" s="368"/>
      <c r="XL139" s="368"/>
      <c r="XM139" s="368"/>
      <c r="XN139" s="368"/>
      <c r="XO139" s="368"/>
      <c r="XP139" s="368"/>
      <c r="XQ139" s="368"/>
      <c r="XR139" s="368"/>
      <c r="XS139" s="368"/>
      <c r="XT139" s="368"/>
      <c r="XU139" s="368"/>
      <c r="XV139" s="368"/>
      <c r="XW139" s="368"/>
      <c r="XX139" s="368"/>
      <c r="XY139" s="368"/>
      <c r="XZ139" s="368"/>
      <c r="YA139" s="368"/>
      <c r="YB139" s="368"/>
      <c r="YC139" s="368"/>
      <c r="YD139" s="368"/>
      <c r="YE139" s="368"/>
      <c r="YF139" s="368"/>
      <c r="YG139" s="368"/>
      <c r="YH139" s="368"/>
      <c r="YI139" s="368"/>
      <c r="YJ139" s="368"/>
      <c r="YK139" s="368"/>
      <c r="YL139" s="368"/>
      <c r="YM139" s="368"/>
      <c r="YN139" s="368"/>
      <c r="YO139" s="368"/>
      <c r="YP139" s="368"/>
      <c r="YQ139" s="368"/>
      <c r="YR139" s="368"/>
      <c r="YS139" s="368"/>
      <c r="YT139" s="368"/>
      <c r="YU139" s="368"/>
      <c r="YV139" s="368"/>
      <c r="YW139" s="368"/>
      <c r="YX139" s="368"/>
      <c r="YY139" s="368"/>
      <c r="YZ139" s="368"/>
      <c r="ZA139" s="368"/>
      <c r="ZB139" s="368"/>
      <c r="ZC139" s="368"/>
      <c r="ZD139" s="368"/>
      <c r="ZE139" s="368"/>
      <c r="ZF139" s="368"/>
      <c r="ZG139" s="368"/>
      <c r="ZH139" s="368"/>
      <c r="ZI139" s="368"/>
      <c r="ZJ139" s="368"/>
      <c r="ZK139" s="368"/>
      <c r="ZL139" s="368"/>
      <c r="ZM139" s="368"/>
      <c r="ZN139" s="368"/>
      <c r="ZO139" s="368"/>
      <c r="ZP139" s="368"/>
      <c r="ZQ139" s="368"/>
      <c r="ZR139" s="368"/>
      <c r="ZS139" s="368"/>
      <c r="ZT139" s="368"/>
      <c r="ZU139" s="368"/>
      <c r="ZV139" s="368"/>
      <c r="ZW139" s="368"/>
      <c r="ZX139" s="368"/>
      <c r="ZY139" s="368"/>
      <c r="ZZ139" s="368"/>
      <c r="AAA139" s="368"/>
      <c r="AAB139" s="368"/>
      <c r="AAC139" s="368"/>
      <c r="AAD139" s="368"/>
      <c r="AAE139" s="368"/>
      <c r="AAF139" s="368"/>
      <c r="AAG139" s="368"/>
      <c r="AAH139" s="368"/>
      <c r="AAI139" s="368"/>
      <c r="AAJ139" s="368"/>
      <c r="AAK139" s="368"/>
      <c r="AAL139" s="368"/>
      <c r="AAM139" s="368"/>
      <c r="AAN139" s="368"/>
      <c r="AAO139" s="368"/>
      <c r="AAP139" s="368"/>
      <c r="AAQ139" s="368"/>
      <c r="AAR139" s="368"/>
      <c r="AAS139" s="368"/>
      <c r="AAT139" s="368"/>
      <c r="AAU139" s="368"/>
      <c r="AAV139" s="368"/>
      <c r="AAW139" s="368"/>
      <c r="AAX139" s="368"/>
      <c r="AAY139" s="368"/>
      <c r="AAZ139" s="368"/>
      <c r="ABA139" s="368"/>
      <c r="ABB139" s="368"/>
      <c r="ABC139" s="368"/>
      <c r="ABD139" s="368"/>
      <c r="ABE139" s="368"/>
      <c r="ABF139" s="368"/>
      <c r="ABG139" s="368"/>
      <c r="ABH139" s="368"/>
      <c r="ABI139" s="368"/>
      <c r="ABJ139" s="368"/>
      <c r="ABK139" s="368"/>
      <c r="ABL139" s="368"/>
      <c r="ABM139" s="368"/>
      <c r="ABN139" s="368"/>
      <c r="ABO139" s="368"/>
      <c r="ABP139" s="368"/>
      <c r="ABQ139" s="368"/>
      <c r="ABR139" s="368"/>
      <c r="ABS139" s="368"/>
      <c r="ABT139" s="368"/>
      <c r="ABU139" s="368"/>
      <c r="ABV139" s="368"/>
      <c r="ABW139" s="368"/>
      <c r="ABX139" s="368"/>
      <c r="ABY139" s="368"/>
      <c r="ABZ139" s="368"/>
      <c r="ACA139" s="368"/>
      <c r="ACB139" s="368"/>
      <c r="ACC139" s="368"/>
      <c r="ACD139" s="368"/>
      <c r="ACE139" s="368"/>
      <c r="ACF139" s="368"/>
      <c r="ACG139" s="368"/>
      <c r="ACH139" s="368"/>
      <c r="ACI139" s="368"/>
      <c r="ACJ139" s="368"/>
      <c r="ACK139" s="368"/>
      <c r="ACL139" s="368"/>
      <c r="ACM139" s="368"/>
      <c r="ACN139" s="368"/>
      <c r="ACO139" s="368"/>
      <c r="ACP139" s="368"/>
      <c r="ACQ139" s="368"/>
      <c r="ACR139" s="368"/>
      <c r="ACS139" s="368"/>
      <c r="ACT139" s="368"/>
      <c r="ACU139" s="368"/>
      <c r="ACV139" s="368"/>
      <c r="ACW139" s="368"/>
      <c r="ACX139" s="368"/>
      <c r="ACY139" s="368"/>
      <c r="ACZ139" s="368"/>
      <c r="ADA139" s="368"/>
      <c r="ADB139" s="368"/>
      <c r="ADC139" s="368"/>
      <c r="ADD139" s="368"/>
      <c r="ADE139" s="368"/>
      <c r="ADF139" s="368"/>
      <c r="ADG139" s="368"/>
      <c r="ADH139" s="368"/>
      <c r="ADI139" s="368"/>
      <c r="ADJ139" s="368"/>
      <c r="ADK139" s="368"/>
      <c r="ADL139" s="368"/>
      <c r="ADM139" s="368"/>
      <c r="ADN139" s="368"/>
      <c r="ADO139" s="368"/>
      <c r="ADP139" s="368"/>
      <c r="ADQ139" s="368"/>
      <c r="ADR139" s="368"/>
      <c r="ADS139" s="368"/>
      <c r="ADT139" s="368"/>
      <c r="ADU139" s="368"/>
      <c r="ADV139" s="368"/>
      <c r="ADW139" s="368"/>
      <c r="ADX139" s="368"/>
      <c r="ADY139" s="368"/>
      <c r="ADZ139" s="368"/>
      <c r="AEA139" s="368"/>
      <c r="AEB139" s="368"/>
      <c r="AEC139" s="368"/>
      <c r="AED139" s="368"/>
      <c r="AEE139" s="368"/>
      <c r="AEF139" s="368"/>
      <c r="AEG139" s="368"/>
      <c r="AEH139" s="368"/>
      <c r="AEI139" s="368"/>
      <c r="AEJ139" s="368"/>
      <c r="AEK139" s="368"/>
      <c r="AEL139" s="368"/>
      <c r="AEM139" s="368"/>
      <c r="AEN139" s="368"/>
      <c r="AEO139" s="368"/>
      <c r="AEP139" s="368"/>
      <c r="AEQ139" s="368"/>
      <c r="AER139" s="368"/>
      <c r="AES139" s="368"/>
      <c r="AET139" s="368"/>
      <c r="AEU139" s="368"/>
      <c r="AEV139" s="368"/>
      <c r="AEW139" s="368"/>
      <c r="AEX139" s="368"/>
      <c r="AEY139" s="368"/>
      <c r="AEZ139" s="368"/>
      <c r="AFA139" s="368"/>
      <c r="AFB139" s="368"/>
      <c r="AFC139" s="368"/>
      <c r="AFD139" s="368"/>
      <c r="AFE139" s="368"/>
      <c r="AFF139" s="368"/>
      <c r="AFG139" s="368"/>
      <c r="AFH139" s="368"/>
      <c r="AFI139" s="368"/>
      <c r="AFJ139" s="368"/>
      <c r="AFK139" s="368"/>
      <c r="AFL139" s="368"/>
      <c r="AFM139" s="368"/>
      <c r="AFN139" s="368"/>
      <c r="AFO139" s="368"/>
      <c r="AFP139" s="368"/>
      <c r="AFQ139" s="368"/>
      <c r="AFR139" s="368"/>
      <c r="AFS139" s="368"/>
      <c r="AFT139" s="368"/>
      <c r="AFU139" s="368"/>
      <c r="AFV139" s="368"/>
      <c r="AFW139" s="368"/>
      <c r="AFX139" s="368"/>
      <c r="AFY139" s="368"/>
      <c r="AFZ139" s="368"/>
      <c r="AGA139" s="368"/>
      <c r="AGB139" s="368"/>
      <c r="AGC139" s="368"/>
      <c r="AGD139" s="368"/>
      <c r="AGE139" s="368"/>
      <c r="AGF139" s="368"/>
      <c r="AGG139" s="368"/>
      <c r="AGH139" s="368"/>
      <c r="AGI139" s="368"/>
      <c r="AGJ139" s="368"/>
      <c r="AGK139" s="368"/>
      <c r="AGL139" s="368"/>
      <c r="AGM139" s="368"/>
      <c r="AGN139" s="368"/>
      <c r="AGO139" s="368"/>
      <c r="AGP139" s="368"/>
      <c r="AGQ139" s="368"/>
      <c r="AGR139" s="368"/>
      <c r="AGS139" s="368"/>
      <c r="AGT139" s="368"/>
      <c r="AGU139" s="368"/>
      <c r="AGV139" s="368"/>
      <c r="AGW139" s="368"/>
      <c r="AGX139" s="368"/>
      <c r="AGY139" s="368"/>
      <c r="AGZ139" s="368"/>
      <c r="AHA139" s="368"/>
      <c r="AHB139" s="368"/>
      <c r="AHC139" s="368"/>
      <c r="AHD139" s="368"/>
      <c r="AHE139" s="368"/>
      <c r="AHF139" s="368"/>
      <c r="AHG139" s="368"/>
      <c r="AHH139" s="368"/>
      <c r="AHI139" s="368"/>
      <c r="AHJ139" s="368"/>
      <c r="AHK139" s="368"/>
      <c r="AHL139" s="368"/>
      <c r="AHM139" s="368"/>
      <c r="AHN139" s="368"/>
      <c r="AHO139" s="368"/>
      <c r="AHP139" s="368"/>
      <c r="AHQ139" s="368"/>
      <c r="AHR139" s="368"/>
      <c r="AHS139" s="368"/>
      <c r="AHT139" s="368"/>
      <c r="AHU139" s="368"/>
      <c r="AHV139" s="368"/>
      <c r="AHW139" s="368"/>
      <c r="AHX139" s="368"/>
      <c r="AHY139" s="368"/>
      <c r="AHZ139" s="368"/>
      <c r="AIA139" s="368"/>
      <c r="AIB139" s="368"/>
      <c r="AIC139" s="368"/>
      <c r="AID139" s="368"/>
      <c r="AIE139" s="368"/>
      <c r="AIF139" s="368"/>
      <c r="AIG139" s="368"/>
      <c r="AIH139" s="368"/>
      <c r="AII139" s="368"/>
      <c r="AIJ139" s="368"/>
      <c r="AIK139" s="368"/>
      <c r="AIL139" s="368"/>
      <c r="AIM139" s="368"/>
      <c r="AIN139" s="368"/>
      <c r="AIO139" s="368"/>
      <c r="AIP139" s="368"/>
      <c r="AIQ139" s="368"/>
      <c r="AIR139" s="368"/>
      <c r="AIS139" s="368"/>
      <c r="AIT139" s="368"/>
      <c r="AIU139" s="368"/>
      <c r="AIV139" s="368"/>
      <c r="AIW139" s="368"/>
      <c r="AIX139" s="368"/>
      <c r="AIY139" s="368"/>
      <c r="AIZ139" s="368"/>
      <c r="AJA139" s="368"/>
      <c r="AJB139" s="368"/>
      <c r="AJC139" s="368"/>
      <c r="AJD139" s="368"/>
      <c r="AJE139" s="368"/>
      <c r="AJF139" s="368"/>
      <c r="AJG139" s="368"/>
      <c r="AJH139" s="368"/>
      <c r="AJI139" s="368"/>
      <c r="AJJ139" s="368"/>
      <c r="AJK139" s="368"/>
      <c r="AJL139" s="368"/>
      <c r="AJM139" s="368"/>
      <c r="AJN139" s="368"/>
      <c r="AJO139" s="368"/>
      <c r="AJP139" s="368"/>
      <c r="AJQ139" s="368"/>
      <c r="AJR139" s="368"/>
      <c r="AJS139" s="368"/>
      <c r="AJT139" s="368"/>
      <c r="AJU139" s="368"/>
      <c r="AJV139" s="368"/>
      <c r="AJW139" s="368"/>
      <c r="AJX139" s="368"/>
      <c r="AJY139" s="368"/>
      <c r="AJZ139" s="368"/>
      <c r="AKA139" s="368"/>
      <c r="AKB139" s="368"/>
      <c r="AKC139" s="368"/>
      <c r="AKD139" s="368"/>
      <c r="AKE139" s="368"/>
      <c r="AKF139" s="368"/>
      <c r="AKG139" s="368"/>
      <c r="AKH139" s="368"/>
      <c r="AKI139" s="368"/>
      <c r="AKJ139" s="368"/>
      <c r="AKK139" s="368"/>
      <c r="AKL139" s="368"/>
      <c r="AKM139" s="368"/>
      <c r="AKN139" s="368"/>
    </row>
    <row r="140" spans="1:976" s="351" customFormat="1" ht="22.5" customHeight="1" x14ac:dyDescent="0.2">
      <c r="A140" s="418" t="s">
        <v>262</v>
      </c>
      <c r="B140" s="418"/>
      <c r="C140" s="418" t="s">
        <v>221</v>
      </c>
      <c r="D140" s="418" t="s">
        <v>222</v>
      </c>
      <c r="E140" s="419">
        <v>414744</v>
      </c>
      <c r="F140" s="419">
        <v>1867</v>
      </c>
      <c r="G140" s="419">
        <v>302</v>
      </c>
      <c r="H140" s="419">
        <v>0</v>
      </c>
      <c r="I140" s="420">
        <v>45902</v>
      </c>
      <c r="J140" s="418" t="s">
        <v>656</v>
      </c>
      <c r="K140" s="418" t="s">
        <v>660</v>
      </c>
      <c r="L140" s="421">
        <v>186.09</v>
      </c>
      <c r="M140" s="421">
        <v>14.04</v>
      </c>
      <c r="N140" s="443">
        <v>200.13</v>
      </c>
      <c r="O140" s="418"/>
      <c r="P140" s="422">
        <v>45904</v>
      </c>
      <c r="Q140" s="421">
        <v>200.13</v>
      </c>
      <c r="R140" s="418" t="s">
        <v>661</v>
      </c>
      <c r="S140" s="421">
        <v>0</v>
      </c>
      <c r="T140" s="421">
        <v>0</v>
      </c>
      <c r="U140" s="421">
        <v>0</v>
      </c>
      <c r="V140" s="421">
        <v>0</v>
      </c>
      <c r="W140" s="418"/>
      <c r="X140" s="418" t="s">
        <v>365</v>
      </c>
      <c r="Y140" s="418" t="s">
        <v>366</v>
      </c>
      <c r="Z140" s="418" t="s">
        <v>42</v>
      </c>
      <c r="AA140" s="418" t="s">
        <v>228</v>
      </c>
      <c r="AB140" s="418" t="s">
        <v>235</v>
      </c>
      <c r="AC140" s="418" t="s">
        <v>250</v>
      </c>
      <c r="AD140" s="418" t="s">
        <v>231</v>
      </c>
      <c r="AE140" s="418" t="s">
        <v>232</v>
      </c>
      <c r="AF140" s="418" t="s">
        <v>231</v>
      </c>
      <c r="AG140" s="418" t="s">
        <v>232</v>
      </c>
      <c r="AH140" s="418"/>
      <c r="AI140" s="418"/>
      <c r="AJ140" s="418"/>
      <c r="AK140" s="418" t="s">
        <v>662</v>
      </c>
      <c r="AL140" s="419">
        <v>1</v>
      </c>
      <c r="AM140" s="419">
        <v>0</v>
      </c>
      <c r="AN140" s="420">
        <v>45904</v>
      </c>
      <c r="AO140" s="420">
        <v>45904</v>
      </c>
      <c r="AP140" s="421">
        <v>200.13</v>
      </c>
      <c r="AQ140" s="420">
        <v>45903</v>
      </c>
      <c r="AR140" s="368"/>
      <c r="AS140" s="368"/>
      <c r="AT140" s="368"/>
      <c r="AU140" s="368"/>
      <c r="AV140" s="368"/>
      <c r="AW140" s="368"/>
      <c r="AX140" s="368"/>
      <c r="AY140" s="368"/>
      <c r="AZ140" s="368"/>
      <c r="BA140" s="368"/>
      <c r="BB140" s="368"/>
      <c r="BC140" s="368"/>
      <c r="BD140" s="368"/>
      <c r="BE140" s="368"/>
      <c r="BF140" s="368"/>
      <c r="BG140" s="368"/>
      <c r="BH140" s="368"/>
      <c r="BI140" s="368"/>
      <c r="BJ140" s="368"/>
      <c r="BK140" s="368"/>
      <c r="BL140" s="368"/>
      <c r="BM140" s="368"/>
      <c r="BN140" s="368"/>
      <c r="BO140" s="368"/>
      <c r="BP140" s="368"/>
      <c r="BQ140" s="368"/>
      <c r="BR140" s="368"/>
      <c r="BS140" s="368"/>
      <c r="BT140" s="368"/>
      <c r="BU140" s="368"/>
      <c r="BV140" s="368"/>
      <c r="BW140" s="368"/>
      <c r="BX140" s="368"/>
      <c r="BY140" s="368"/>
      <c r="BZ140" s="368"/>
      <c r="CA140" s="368"/>
      <c r="CB140" s="368"/>
      <c r="CC140" s="368"/>
      <c r="CD140" s="368"/>
      <c r="CE140" s="368"/>
      <c r="CF140" s="368"/>
      <c r="CG140" s="368"/>
      <c r="CH140" s="368"/>
      <c r="CI140" s="368"/>
      <c r="CJ140" s="368"/>
      <c r="CK140" s="368"/>
      <c r="CL140" s="368"/>
      <c r="CM140" s="368"/>
      <c r="CN140" s="368"/>
      <c r="CO140" s="368"/>
      <c r="CP140" s="368"/>
      <c r="CQ140" s="368"/>
      <c r="CR140" s="368"/>
      <c r="CS140" s="368"/>
      <c r="CT140" s="368"/>
      <c r="CU140" s="368"/>
      <c r="CV140" s="368"/>
      <c r="CW140" s="368"/>
      <c r="CX140" s="368"/>
      <c r="CY140" s="368"/>
      <c r="CZ140" s="368"/>
      <c r="DA140" s="368"/>
      <c r="DB140" s="368"/>
      <c r="DC140" s="368"/>
      <c r="DD140" s="368"/>
      <c r="DE140" s="368"/>
      <c r="DF140" s="368"/>
      <c r="DG140" s="368"/>
      <c r="DH140" s="368"/>
      <c r="DI140" s="368"/>
      <c r="DJ140" s="368"/>
      <c r="DK140" s="368"/>
      <c r="DL140" s="368"/>
      <c r="DM140" s="368"/>
      <c r="DN140" s="368"/>
      <c r="DO140" s="368"/>
      <c r="DP140" s="368"/>
      <c r="DQ140" s="368"/>
      <c r="DR140" s="368"/>
      <c r="DS140" s="368"/>
      <c r="DT140" s="368"/>
      <c r="DU140" s="368"/>
      <c r="DV140" s="368"/>
      <c r="DW140" s="368"/>
      <c r="DX140" s="368"/>
      <c r="DY140" s="368"/>
      <c r="DZ140" s="368"/>
      <c r="EA140" s="368"/>
      <c r="EB140" s="368"/>
      <c r="EC140" s="368"/>
      <c r="ED140" s="368"/>
      <c r="EE140" s="368"/>
      <c r="EF140" s="368"/>
      <c r="EG140" s="368"/>
      <c r="EH140" s="368"/>
      <c r="EI140" s="368"/>
      <c r="EJ140" s="368"/>
      <c r="EK140" s="368"/>
      <c r="EL140" s="368"/>
      <c r="EM140" s="368"/>
      <c r="EN140" s="368"/>
      <c r="EO140" s="368"/>
      <c r="EP140" s="368"/>
      <c r="EQ140" s="368"/>
      <c r="ER140" s="368"/>
      <c r="ES140" s="368"/>
      <c r="ET140" s="368"/>
      <c r="EU140" s="368"/>
      <c r="EV140" s="368"/>
      <c r="EW140" s="368"/>
      <c r="EX140" s="368"/>
      <c r="EY140" s="368"/>
      <c r="EZ140" s="368"/>
      <c r="FA140" s="368"/>
      <c r="FB140" s="368"/>
      <c r="FC140" s="368"/>
      <c r="FD140" s="368"/>
      <c r="FE140" s="368"/>
      <c r="FF140" s="368"/>
      <c r="FG140" s="368"/>
      <c r="FH140" s="368"/>
      <c r="FI140" s="368"/>
      <c r="FJ140" s="368"/>
      <c r="FK140" s="368"/>
      <c r="FL140" s="368"/>
      <c r="FM140" s="368"/>
      <c r="FN140" s="368"/>
      <c r="FO140" s="368"/>
      <c r="FP140" s="368"/>
      <c r="FQ140" s="368"/>
      <c r="FR140" s="368"/>
      <c r="FS140" s="368"/>
      <c r="FT140" s="368"/>
      <c r="FU140" s="368"/>
      <c r="FV140" s="368"/>
      <c r="FW140" s="368"/>
      <c r="FX140" s="368"/>
      <c r="FY140" s="368"/>
      <c r="FZ140" s="368"/>
      <c r="GA140" s="368"/>
      <c r="GB140" s="368"/>
      <c r="GC140" s="368"/>
      <c r="GD140" s="368"/>
      <c r="GE140" s="368"/>
      <c r="GF140" s="368"/>
      <c r="GG140" s="368"/>
      <c r="GH140" s="368"/>
      <c r="GI140" s="368"/>
      <c r="GJ140" s="368"/>
      <c r="GK140" s="368"/>
      <c r="GL140" s="368"/>
      <c r="GM140" s="368"/>
      <c r="GN140" s="368"/>
      <c r="GO140" s="368"/>
      <c r="GP140" s="368"/>
      <c r="GQ140" s="368"/>
      <c r="GR140" s="368"/>
      <c r="GS140" s="368"/>
      <c r="GT140" s="368"/>
      <c r="GU140" s="368"/>
      <c r="GV140" s="368"/>
      <c r="GW140" s="368"/>
      <c r="GX140" s="368"/>
      <c r="GY140" s="368"/>
      <c r="GZ140" s="368"/>
      <c r="HA140" s="368"/>
      <c r="HB140" s="368"/>
      <c r="HC140" s="368"/>
      <c r="HD140" s="368"/>
      <c r="HE140" s="368"/>
      <c r="HF140" s="368"/>
      <c r="HG140" s="368"/>
      <c r="HH140" s="368"/>
      <c r="HI140" s="368"/>
      <c r="HJ140" s="368"/>
      <c r="HK140" s="368"/>
      <c r="HL140" s="368"/>
      <c r="HM140" s="368"/>
      <c r="HN140" s="368"/>
      <c r="HO140" s="368"/>
      <c r="HP140" s="368"/>
      <c r="HQ140" s="368"/>
      <c r="HR140" s="368"/>
      <c r="HS140" s="368"/>
      <c r="HT140" s="368"/>
      <c r="HU140" s="368"/>
      <c r="HV140" s="368"/>
      <c r="HW140" s="368"/>
      <c r="HX140" s="368"/>
      <c r="HY140" s="368"/>
      <c r="HZ140" s="368"/>
      <c r="IA140" s="368"/>
      <c r="IB140" s="368"/>
      <c r="IC140" s="368"/>
      <c r="ID140" s="368"/>
      <c r="IE140" s="368"/>
      <c r="IF140" s="368"/>
      <c r="IG140" s="368"/>
      <c r="IH140" s="368"/>
      <c r="II140" s="368"/>
      <c r="IJ140" s="368"/>
      <c r="IK140" s="368"/>
      <c r="IL140" s="368"/>
      <c r="IM140" s="368"/>
      <c r="IN140" s="368"/>
      <c r="IO140" s="368"/>
      <c r="IP140" s="368"/>
      <c r="IQ140" s="368"/>
      <c r="IR140" s="368"/>
      <c r="IS140" s="368"/>
      <c r="IT140" s="368"/>
      <c r="IU140" s="368"/>
      <c r="IV140" s="368"/>
      <c r="IW140" s="368"/>
      <c r="IX140" s="368"/>
      <c r="IY140" s="368"/>
      <c r="IZ140" s="368"/>
      <c r="JA140" s="368"/>
      <c r="JB140" s="368"/>
      <c r="JC140" s="368"/>
      <c r="JD140" s="368"/>
      <c r="JE140" s="368"/>
      <c r="JF140" s="368"/>
      <c r="JG140" s="368"/>
      <c r="JH140" s="368"/>
      <c r="JI140" s="368"/>
      <c r="JJ140" s="368"/>
      <c r="JK140" s="368"/>
      <c r="JL140" s="368"/>
      <c r="JM140" s="368"/>
      <c r="JN140" s="368"/>
      <c r="JO140" s="368"/>
      <c r="JP140" s="368"/>
      <c r="JQ140" s="368"/>
      <c r="JR140" s="368"/>
      <c r="JS140" s="368"/>
      <c r="JT140" s="368"/>
      <c r="JU140" s="368"/>
      <c r="JV140" s="368"/>
      <c r="JW140" s="368"/>
      <c r="JX140" s="368"/>
      <c r="JY140" s="368"/>
      <c r="JZ140" s="368"/>
      <c r="KA140" s="368"/>
      <c r="KB140" s="368"/>
      <c r="KC140" s="368"/>
      <c r="KD140" s="368"/>
      <c r="KE140" s="368"/>
      <c r="KF140" s="368"/>
      <c r="KG140" s="368"/>
      <c r="KH140" s="368"/>
      <c r="KI140" s="368"/>
      <c r="KJ140" s="368"/>
      <c r="KK140" s="368"/>
      <c r="KL140" s="368"/>
      <c r="KM140" s="368"/>
      <c r="KN140" s="368"/>
      <c r="KO140" s="368"/>
      <c r="KP140" s="368"/>
      <c r="KQ140" s="368"/>
      <c r="KR140" s="368"/>
      <c r="KS140" s="368"/>
      <c r="KT140" s="368"/>
      <c r="KU140" s="368"/>
      <c r="KV140" s="368"/>
      <c r="KW140" s="368"/>
      <c r="KX140" s="368"/>
      <c r="KY140" s="368"/>
      <c r="KZ140" s="368"/>
      <c r="LA140" s="368"/>
      <c r="LB140" s="368"/>
      <c r="LC140" s="368"/>
      <c r="LD140" s="368"/>
      <c r="LE140" s="368"/>
      <c r="LF140" s="368"/>
      <c r="LG140" s="368"/>
      <c r="LH140" s="368"/>
      <c r="LI140" s="368"/>
      <c r="LJ140" s="368"/>
      <c r="LK140" s="368"/>
      <c r="LL140" s="368"/>
      <c r="LM140" s="368"/>
      <c r="LN140" s="368"/>
      <c r="LO140" s="368"/>
      <c r="LP140" s="368"/>
      <c r="LQ140" s="368"/>
      <c r="LR140" s="368"/>
      <c r="LS140" s="368"/>
      <c r="LT140" s="368"/>
      <c r="LU140" s="368"/>
      <c r="LV140" s="368"/>
      <c r="LW140" s="368"/>
      <c r="LX140" s="368"/>
      <c r="LY140" s="368"/>
      <c r="LZ140" s="368"/>
      <c r="MA140" s="368"/>
      <c r="MB140" s="368"/>
      <c r="MC140" s="368"/>
      <c r="MD140" s="368"/>
      <c r="ME140" s="368"/>
      <c r="MF140" s="368"/>
      <c r="MG140" s="368"/>
      <c r="MH140" s="368"/>
      <c r="MI140" s="368"/>
      <c r="MJ140" s="368"/>
      <c r="MK140" s="368"/>
      <c r="ML140" s="368"/>
      <c r="MM140" s="368"/>
      <c r="MN140" s="368"/>
      <c r="MO140" s="368"/>
      <c r="MP140" s="368"/>
      <c r="MQ140" s="368"/>
      <c r="MR140" s="368"/>
      <c r="MS140" s="368"/>
      <c r="MT140" s="368"/>
      <c r="MU140" s="368"/>
      <c r="MV140" s="368"/>
      <c r="MW140" s="368"/>
      <c r="MX140" s="368"/>
      <c r="MY140" s="368"/>
      <c r="MZ140" s="368"/>
      <c r="NA140" s="368"/>
      <c r="NB140" s="368"/>
      <c r="NC140" s="368"/>
      <c r="ND140" s="368"/>
      <c r="NE140" s="368"/>
      <c r="NF140" s="368"/>
      <c r="NG140" s="368"/>
      <c r="NH140" s="368"/>
      <c r="NI140" s="368"/>
      <c r="NJ140" s="368"/>
      <c r="NK140" s="368"/>
      <c r="NL140" s="368"/>
      <c r="NM140" s="368"/>
      <c r="NN140" s="368"/>
      <c r="NO140" s="368"/>
      <c r="NP140" s="368"/>
      <c r="NQ140" s="368"/>
      <c r="NR140" s="368"/>
      <c r="NS140" s="368"/>
      <c r="NT140" s="368"/>
      <c r="NU140" s="368"/>
      <c r="NV140" s="368"/>
      <c r="NW140" s="368"/>
      <c r="NX140" s="368"/>
      <c r="NY140" s="368"/>
      <c r="NZ140" s="368"/>
      <c r="OA140" s="368"/>
      <c r="OB140" s="368"/>
      <c r="OC140" s="368"/>
      <c r="OD140" s="368"/>
      <c r="OE140" s="368"/>
      <c r="OF140" s="368"/>
      <c r="OG140" s="368"/>
      <c r="OH140" s="368"/>
      <c r="OI140" s="368"/>
      <c r="OJ140" s="368"/>
      <c r="OK140" s="368"/>
      <c r="OL140" s="368"/>
      <c r="OM140" s="368"/>
      <c r="ON140" s="368"/>
      <c r="OO140" s="368"/>
      <c r="OP140" s="368"/>
      <c r="OQ140" s="368"/>
      <c r="OR140" s="368"/>
      <c r="OS140" s="368"/>
      <c r="OT140" s="368"/>
      <c r="OU140" s="368"/>
      <c r="OV140" s="368"/>
      <c r="OW140" s="368"/>
      <c r="OX140" s="368"/>
      <c r="OY140" s="368"/>
      <c r="OZ140" s="368"/>
      <c r="PA140" s="368"/>
      <c r="PB140" s="368"/>
      <c r="PC140" s="368"/>
      <c r="PD140" s="368"/>
      <c r="PE140" s="368"/>
      <c r="PF140" s="368"/>
      <c r="PG140" s="368"/>
      <c r="PH140" s="368"/>
      <c r="PI140" s="368"/>
      <c r="PJ140" s="368"/>
      <c r="PK140" s="368"/>
      <c r="PL140" s="368"/>
      <c r="PM140" s="368"/>
      <c r="PN140" s="368"/>
      <c r="PO140" s="368"/>
      <c r="PP140" s="368"/>
      <c r="PQ140" s="368"/>
      <c r="PR140" s="368"/>
      <c r="PS140" s="368"/>
      <c r="PT140" s="368"/>
      <c r="PU140" s="368"/>
      <c r="PV140" s="368"/>
      <c r="PW140" s="368"/>
      <c r="PX140" s="368"/>
      <c r="PY140" s="368"/>
      <c r="PZ140" s="368"/>
      <c r="QA140" s="368"/>
      <c r="QB140" s="368"/>
      <c r="QC140" s="368"/>
      <c r="QD140" s="368"/>
      <c r="QE140" s="368"/>
      <c r="QF140" s="368"/>
      <c r="QG140" s="368"/>
      <c r="QH140" s="368"/>
      <c r="QI140" s="368"/>
      <c r="QJ140" s="368"/>
      <c r="QK140" s="368"/>
      <c r="QL140" s="368"/>
      <c r="QM140" s="368"/>
      <c r="QN140" s="368"/>
      <c r="QO140" s="368"/>
      <c r="QP140" s="368"/>
      <c r="QQ140" s="368"/>
      <c r="QR140" s="368"/>
      <c r="QS140" s="368"/>
      <c r="QT140" s="368"/>
      <c r="QU140" s="368"/>
      <c r="QV140" s="368"/>
      <c r="QW140" s="368"/>
      <c r="QX140" s="368"/>
      <c r="QY140" s="368"/>
      <c r="QZ140" s="368"/>
      <c r="RA140" s="368"/>
      <c r="RB140" s="368"/>
      <c r="RC140" s="368"/>
      <c r="RD140" s="368"/>
      <c r="RE140" s="368"/>
      <c r="RF140" s="368"/>
      <c r="RG140" s="368"/>
      <c r="RH140" s="368"/>
      <c r="RI140" s="368"/>
      <c r="RJ140" s="368"/>
      <c r="RK140" s="368"/>
      <c r="RL140" s="368"/>
      <c r="RM140" s="368"/>
      <c r="RN140" s="368"/>
      <c r="RO140" s="368"/>
      <c r="RP140" s="368"/>
      <c r="RQ140" s="368"/>
      <c r="RR140" s="368"/>
      <c r="RS140" s="368"/>
      <c r="RT140" s="368"/>
      <c r="RU140" s="368"/>
      <c r="RV140" s="368"/>
      <c r="RW140" s="368"/>
      <c r="RX140" s="368"/>
      <c r="RY140" s="368"/>
      <c r="RZ140" s="368"/>
      <c r="SA140" s="368"/>
      <c r="SB140" s="368"/>
      <c r="SC140" s="368"/>
      <c r="SD140" s="368"/>
      <c r="SE140" s="368"/>
      <c r="SF140" s="368"/>
      <c r="SG140" s="368"/>
      <c r="SH140" s="368"/>
      <c r="SI140" s="368"/>
      <c r="SJ140" s="368"/>
      <c r="SK140" s="368"/>
      <c r="SL140" s="368"/>
      <c r="SM140" s="368"/>
      <c r="SN140" s="368"/>
      <c r="SO140" s="368"/>
      <c r="SP140" s="368"/>
      <c r="SQ140" s="368"/>
      <c r="SR140" s="368"/>
      <c r="SS140" s="368"/>
      <c r="ST140" s="368"/>
      <c r="SU140" s="368"/>
      <c r="SV140" s="368"/>
      <c r="SW140" s="368"/>
      <c r="SX140" s="368"/>
      <c r="SY140" s="368"/>
      <c r="SZ140" s="368"/>
      <c r="TA140" s="368"/>
      <c r="TB140" s="368"/>
      <c r="TC140" s="368"/>
      <c r="TD140" s="368"/>
      <c r="TE140" s="368"/>
      <c r="TF140" s="368"/>
      <c r="TG140" s="368"/>
      <c r="TH140" s="368"/>
      <c r="TI140" s="368"/>
      <c r="TJ140" s="368"/>
      <c r="TK140" s="368"/>
      <c r="TL140" s="368"/>
      <c r="TM140" s="368"/>
      <c r="TN140" s="368"/>
      <c r="TO140" s="368"/>
      <c r="TP140" s="368"/>
      <c r="TQ140" s="368"/>
      <c r="TR140" s="368"/>
      <c r="TS140" s="368"/>
      <c r="TT140" s="368"/>
      <c r="TU140" s="368"/>
      <c r="TV140" s="368"/>
      <c r="TW140" s="368"/>
      <c r="TX140" s="368"/>
      <c r="TY140" s="368"/>
      <c r="TZ140" s="368"/>
      <c r="UA140" s="368"/>
      <c r="UB140" s="368"/>
      <c r="UC140" s="368"/>
      <c r="UD140" s="368"/>
      <c r="UE140" s="368"/>
      <c r="UF140" s="368"/>
      <c r="UG140" s="368"/>
      <c r="UH140" s="368"/>
      <c r="UI140" s="368"/>
      <c r="UJ140" s="368"/>
      <c r="UK140" s="368"/>
      <c r="UL140" s="368"/>
      <c r="UM140" s="368"/>
      <c r="UN140" s="368"/>
      <c r="UO140" s="368"/>
      <c r="UP140" s="368"/>
      <c r="UQ140" s="368"/>
      <c r="UR140" s="368"/>
      <c r="US140" s="368"/>
      <c r="UT140" s="368"/>
      <c r="UU140" s="368"/>
      <c r="UV140" s="368"/>
      <c r="UW140" s="368"/>
      <c r="UX140" s="368"/>
      <c r="UY140" s="368"/>
      <c r="UZ140" s="368"/>
      <c r="VA140" s="368"/>
      <c r="VB140" s="368"/>
      <c r="VC140" s="368"/>
      <c r="VD140" s="368"/>
      <c r="VE140" s="368"/>
      <c r="VF140" s="368"/>
      <c r="VG140" s="368"/>
      <c r="VH140" s="368"/>
      <c r="VI140" s="368"/>
      <c r="VJ140" s="368"/>
      <c r="VK140" s="368"/>
      <c r="VL140" s="368"/>
      <c r="VM140" s="368"/>
      <c r="VN140" s="368"/>
      <c r="VO140" s="368"/>
      <c r="VP140" s="368"/>
      <c r="VQ140" s="368"/>
      <c r="VR140" s="368"/>
      <c r="VS140" s="368"/>
      <c r="VT140" s="368"/>
      <c r="VU140" s="368"/>
      <c r="VV140" s="368"/>
      <c r="VW140" s="368"/>
      <c r="VX140" s="368"/>
      <c r="VY140" s="368"/>
      <c r="VZ140" s="368"/>
      <c r="WA140" s="368"/>
      <c r="WB140" s="368"/>
      <c r="WC140" s="368"/>
      <c r="WD140" s="368"/>
      <c r="WE140" s="368"/>
      <c r="WF140" s="368"/>
      <c r="WG140" s="368"/>
      <c r="WH140" s="368"/>
      <c r="WI140" s="368"/>
      <c r="WJ140" s="368"/>
      <c r="WK140" s="368"/>
      <c r="WL140" s="368"/>
      <c r="WM140" s="368"/>
      <c r="WN140" s="368"/>
      <c r="WO140" s="368"/>
      <c r="WP140" s="368"/>
      <c r="WQ140" s="368"/>
      <c r="WR140" s="368"/>
      <c r="WS140" s="368"/>
      <c r="WT140" s="368"/>
      <c r="WU140" s="368"/>
      <c r="WV140" s="368"/>
      <c r="WW140" s="368"/>
      <c r="WX140" s="368"/>
      <c r="WY140" s="368"/>
      <c r="WZ140" s="368"/>
      <c r="XA140" s="368"/>
      <c r="XB140" s="368"/>
      <c r="XC140" s="368"/>
      <c r="XD140" s="368"/>
      <c r="XE140" s="368"/>
      <c r="XF140" s="368"/>
      <c r="XG140" s="368"/>
      <c r="XH140" s="368"/>
      <c r="XI140" s="368"/>
      <c r="XJ140" s="368"/>
      <c r="XK140" s="368"/>
      <c r="XL140" s="368"/>
      <c r="XM140" s="368"/>
      <c r="XN140" s="368"/>
      <c r="XO140" s="368"/>
      <c r="XP140" s="368"/>
      <c r="XQ140" s="368"/>
      <c r="XR140" s="368"/>
      <c r="XS140" s="368"/>
      <c r="XT140" s="368"/>
      <c r="XU140" s="368"/>
      <c r="XV140" s="368"/>
      <c r="XW140" s="368"/>
      <c r="XX140" s="368"/>
      <c r="XY140" s="368"/>
      <c r="XZ140" s="368"/>
      <c r="YA140" s="368"/>
      <c r="YB140" s="368"/>
      <c r="YC140" s="368"/>
      <c r="YD140" s="368"/>
      <c r="YE140" s="368"/>
      <c r="YF140" s="368"/>
      <c r="YG140" s="368"/>
      <c r="YH140" s="368"/>
      <c r="YI140" s="368"/>
      <c r="YJ140" s="368"/>
      <c r="YK140" s="368"/>
      <c r="YL140" s="368"/>
      <c r="YM140" s="368"/>
      <c r="YN140" s="368"/>
      <c r="YO140" s="368"/>
      <c r="YP140" s="368"/>
      <c r="YQ140" s="368"/>
      <c r="YR140" s="368"/>
      <c r="YS140" s="368"/>
      <c r="YT140" s="368"/>
      <c r="YU140" s="368"/>
      <c r="YV140" s="368"/>
      <c r="YW140" s="368"/>
      <c r="YX140" s="368"/>
      <c r="YY140" s="368"/>
      <c r="YZ140" s="368"/>
      <c r="ZA140" s="368"/>
      <c r="ZB140" s="368"/>
      <c r="ZC140" s="368"/>
      <c r="ZD140" s="368"/>
      <c r="ZE140" s="368"/>
      <c r="ZF140" s="368"/>
      <c r="ZG140" s="368"/>
      <c r="ZH140" s="368"/>
      <c r="ZI140" s="368"/>
      <c r="ZJ140" s="368"/>
      <c r="ZK140" s="368"/>
      <c r="ZL140" s="368"/>
      <c r="ZM140" s="368"/>
      <c r="ZN140" s="368"/>
      <c r="ZO140" s="368"/>
      <c r="ZP140" s="368"/>
      <c r="ZQ140" s="368"/>
      <c r="ZR140" s="368"/>
      <c r="ZS140" s="368"/>
      <c r="ZT140" s="368"/>
      <c r="ZU140" s="368"/>
      <c r="ZV140" s="368"/>
      <c r="ZW140" s="368"/>
      <c r="ZX140" s="368"/>
      <c r="ZY140" s="368"/>
      <c r="ZZ140" s="368"/>
      <c r="AAA140" s="368"/>
      <c r="AAB140" s="368"/>
      <c r="AAC140" s="368"/>
      <c r="AAD140" s="368"/>
      <c r="AAE140" s="368"/>
      <c r="AAF140" s="368"/>
      <c r="AAG140" s="368"/>
      <c r="AAH140" s="368"/>
      <c r="AAI140" s="368"/>
      <c r="AAJ140" s="368"/>
      <c r="AAK140" s="368"/>
      <c r="AAL140" s="368"/>
      <c r="AAM140" s="368"/>
      <c r="AAN140" s="368"/>
      <c r="AAO140" s="368"/>
      <c r="AAP140" s="368"/>
      <c r="AAQ140" s="368"/>
      <c r="AAR140" s="368"/>
      <c r="AAS140" s="368"/>
      <c r="AAT140" s="368"/>
      <c r="AAU140" s="368"/>
      <c r="AAV140" s="368"/>
      <c r="AAW140" s="368"/>
      <c r="AAX140" s="368"/>
      <c r="AAY140" s="368"/>
      <c r="AAZ140" s="368"/>
      <c r="ABA140" s="368"/>
      <c r="ABB140" s="368"/>
      <c r="ABC140" s="368"/>
      <c r="ABD140" s="368"/>
      <c r="ABE140" s="368"/>
      <c r="ABF140" s="368"/>
      <c r="ABG140" s="368"/>
      <c r="ABH140" s="368"/>
      <c r="ABI140" s="368"/>
      <c r="ABJ140" s="368"/>
      <c r="ABK140" s="368"/>
      <c r="ABL140" s="368"/>
      <c r="ABM140" s="368"/>
      <c r="ABN140" s="368"/>
      <c r="ABO140" s="368"/>
      <c r="ABP140" s="368"/>
      <c r="ABQ140" s="368"/>
      <c r="ABR140" s="368"/>
      <c r="ABS140" s="368"/>
      <c r="ABT140" s="368"/>
      <c r="ABU140" s="368"/>
      <c r="ABV140" s="368"/>
      <c r="ABW140" s="368"/>
      <c r="ABX140" s="368"/>
      <c r="ABY140" s="368"/>
      <c r="ABZ140" s="368"/>
      <c r="ACA140" s="368"/>
      <c r="ACB140" s="368"/>
      <c r="ACC140" s="368"/>
      <c r="ACD140" s="368"/>
      <c r="ACE140" s="368"/>
      <c r="ACF140" s="368"/>
      <c r="ACG140" s="368"/>
      <c r="ACH140" s="368"/>
      <c r="ACI140" s="368"/>
      <c r="ACJ140" s="368"/>
      <c r="ACK140" s="368"/>
      <c r="ACL140" s="368"/>
      <c r="ACM140" s="368"/>
      <c r="ACN140" s="368"/>
      <c r="ACO140" s="368"/>
      <c r="ACP140" s="368"/>
      <c r="ACQ140" s="368"/>
      <c r="ACR140" s="368"/>
      <c r="ACS140" s="368"/>
      <c r="ACT140" s="368"/>
      <c r="ACU140" s="368"/>
      <c r="ACV140" s="368"/>
      <c r="ACW140" s="368"/>
      <c r="ACX140" s="368"/>
      <c r="ACY140" s="368"/>
      <c r="ACZ140" s="368"/>
      <c r="ADA140" s="368"/>
      <c r="ADB140" s="368"/>
      <c r="ADC140" s="368"/>
      <c r="ADD140" s="368"/>
      <c r="ADE140" s="368"/>
      <c r="ADF140" s="368"/>
      <c r="ADG140" s="368"/>
      <c r="ADH140" s="368"/>
      <c r="ADI140" s="368"/>
      <c r="ADJ140" s="368"/>
      <c r="ADK140" s="368"/>
      <c r="ADL140" s="368"/>
      <c r="ADM140" s="368"/>
      <c r="ADN140" s="368"/>
      <c r="ADO140" s="368"/>
      <c r="ADP140" s="368"/>
      <c r="ADQ140" s="368"/>
      <c r="ADR140" s="368"/>
      <c r="ADS140" s="368"/>
      <c r="ADT140" s="368"/>
      <c r="ADU140" s="368"/>
      <c r="ADV140" s="368"/>
      <c r="ADW140" s="368"/>
      <c r="ADX140" s="368"/>
      <c r="ADY140" s="368"/>
      <c r="ADZ140" s="368"/>
      <c r="AEA140" s="368"/>
      <c r="AEB140" s="368"/>
      <c r="AEC140" s="368"/>
      <c r="AED140" s="368"/>
      <c r="AEE140" s="368"/>
      <c r="AEF140" s="368"/>
      <c r="AEG140" s="368"/>
      <c r="AEH140" s="368"/>
      <c r="AEI140" s="368"/>
      <c r="AEJ140" s="368"/>
      <c r="AEK140" s="368"/>
      <c r="AEL140" s="368"/>
      <c r="AEM140" s="368"/>
      <c r="AEN140" s="368"/>
      <c r="AEO140" s="368"/>
      <c r="AEP140" s="368"/>
      <c r="AEQ140" s="368"/>
      <c r="AER140" s="368"/>
      <c r="AES140" s="368"/>
      <c r="AET140" s="368"/>
      <c r="AEU140" s="368"/>
      <c r="AEV140" s="368"/>
      <c r="AEW140" s="368"/>
      <c r="AEX140" s="368"/>
      <c r="AEY140" s="368"/>
      <c r="AEZ140" s="368"/>
      <c r="AFA140" s="368"/>
      <c r="AFB140" s="368"/>
      <c r="AFC140" s="368"/>
      <c r="AFD140" s="368"/>
      <c r="AFE140" s="368"/>
      <c r="AFF140" s="368"/>
      <c r="AFG140" s="368"/>
      <c r="AFH140" s="368"/>
      <c r="AFI140" s="368"/>
      <c r="AFJ140" s="368"/>
      <c r="AFK140" s="368"/>
      <c r="AFL140" s="368"/>
      <c r="AFM140" s="368"/>
      <c r="AFN140" s="368"/>
      <c r="AFO140" s="368"/>
      <c r="AFP140" s="368"/>
      <c r="AFQ140" s="368"/>
      <c r="AFR140" s="368"/>
      <c r="AFS140" s="368"/>
      <c r="AFT140" s="368"/>
      <c r="AFU140" s="368"/>
      <c r="AFV140" s="368"/>
      <c r="AFW140" s="368"/>
      <c r="AFX140" s="368"/>
      <c r="AFY140" s="368"/>
      <c r="AFZ140" s="368"/>
      <c r="AGA140" s="368"/>
      <c r="AGB140" s="368"/>
      <c r="AGC140" s="368"/>
      <c r="AGD140" s="368"/>
      <c r="AGE140" s="368"/>
      <c r="AGF140" s="368"/>
      <c r="AGG140" s="368"/>
      <c r="AGH140" s="368"/>
      <c r="AGI140" s="368"/>
      <c r="AGJ140" s="368"/>
      <c r="AGK140" s="368"/>
      <c r="AGL140" s="368"/>
      <c r="AGM140" s="368"/>
      <c r="AGN140" s="368"/>
      <c r="AGO140" s="368"/>
      <c r="AGP140" s="368"/>
      <c r="AGQ140" s="368"/>
      <c r="AGR140" s="368"/>
      <c r="AGS140" s="368"/>
      <c r="AGT140" s="368"/>
      <c r="AGU140" s="368"/>
      <c r="AGV140" s="368"/>
      <c r="AGW140" s="368"/>
      <c r="AGX140" s="368"/>
      <c r="AGY140" s="368"/>
      <c r="AGZ140" s="368"/>
      <c r="AHA140" s="368"/>
      <c r="AHB140" s="368"/>
      <c r="AHC140" s="368"/>
      <c r="AHD140" s="368"/>
      <c r="AHE140" s="368"/>
      <c r="AHF140" s="368"/>
      <c r="AHG140" s="368"/>
      <c r="AHH140" s="368"/>
      <c r="AHI140" s="368"/>
      <c r="AHJ140" s="368"/>
      <c r="AHK140" s="368"/>
      <c r="AHL140" s="368"/>
      <c r="AHM140" s="368"/>
      <c r="AHN140" s="368"/>
      <c r="AHO140" s="368"/>
      <c r="AHP140" s="368"/>
      <c r="AHQ140" s="368"/>
      <c r="AHR140" s="368"/>
      <c r="AHS140" s="368"/>
      <c r="AHT140" s="368"/>
      <c r="AHU140" s="368"/>
      <c r="AHV140" s="368"/>
      <c r="AHW140" s="368"/>
      <c r="AHX140" s="368"/>
      <c r="AHY140" s="368"/>
      <c r="AHZ140" s="368"/>
      <c r="AIA140" s="368"/>
      <c r="AIB140" s="368"/>
      <c r="AIC140" s="368"/>
      <c r="AID140" s="368"/>
      <c r="AIE140" s="368"/>
      <c r="AIF140" s="368"/>
      <c r="AIG140" s="368"/>
      <c r="AIH140" s="368"/>
      <c r="AII140" s="368"/>
      <c r="AIJ140" s="368"/>
      <c r="AIK140" s="368"/>
      <c r="AIL140" s="368"/>
      <c r="AIM140" s="368"/>
      <c r="AIN140" s="368"/>
      <c r="AIO140" s="368"/>
      <c r="AIP140" s="368"/>
      <c r="AIQ140" s="368"/>
      <c r="AIR140" s="368"/>
      <c r="AIS140" s="368"/>
      <c r="AIT140" s="368"/>
      <c r="AIU140" s="368"/>
      <c r="AIV140" s="368"/>
      <c r="AIW140" s="368"/>
      <c r="AIX140" s="368"/>
      <c r="AIY140" s="368"/>
      <c r="AIZ140" s="368"/>
      <c r="AJA140" s="368"/>
      <c r="AJB140" s="368"/>
      <c r="AJC140" s="368"/>
      <c r="AJD140" s="368"/>
      <c r="AJE140" s="368"/>
      <c r="AJF140" s="368"/>
      <c r="AJG140" s="368"/>
      <c r="AJH140" s="368"/>
      <c r="AJI140" s="368"/>
      <c r="AJJ140" s="368"/>
      <c r="AJK140" s="368"/>
      <c r="AJL140" s="368"/>
      <c r="AJM140" s="368"/>
      <c r="AJN140" s="368"/>
      <c r="AJO140" s="368"/>
      <c r="AJP140" s="368"/>
      <c r="AJQ140" s="368"/>
      <c r="AJR140" s="368"/>
      <c r="AJS140" s="368"/>
      <c r="AJT140" s="368"/>
      <c r="AJU140" s="368"/>
      <c r="AJV140" s="368"/>
      <c r="AJW140" s="368"/>
      <c r="AJX140" s="368"/>
      <c r="AJY140" s="368"/>
      <c r="AJZ140" s="368"/>
      <c r="AKA140" s="368"/>
      <c r="AKB140" s="368"/>
      <c r="AKC140" s="368"/>
      <c r="AKD140" s="368"/>
      <c r="AKE140" s="368"/>
      <c r="AKF140" s="368"/>
      <c r="AKG140" s="368"/>
      <c r="AKH140" s="368"/>
      <c r="AKI140" s="368"/>
      <c r="AKJ140" s="368"/>
      <c r="AKK140" s="368"/>
      <c r="AKL140" s="368"/>
      <c r="AKM140" s="368"/>
      <c r="AKN140" s="368"/>
    </row>
    <row r="141" spans="1:976" s="346" customFormat="1" ht="22.5" customHeight="1" x14ac:dyDescent="0.2">
      <c r="A141" s="370" t="s">
        <v>262</v>
      </c>
      <c r="B141" s="370"/>
      <c r="C141" s="370" t="s">
        <v>221</v>
      </c>
      <c r="D141" s="370" t="s">
        <v>222</v>
      </c>
      <c r="E141" s="371">
        <v>414746</v>
      </c>
      <c r="F141" s="371">
        <v>1865</v>
      </c>
      <c r="G141" s="371">
        <v>302</v>
      </c>
      <c r="H141" s="371">
        <v>0</v>
      </c>
      <c r="I141" s="372">
        <v>45902</v>
      </c>
      <c r="J141" s="370" t="s">
        <v>656</v>
      </c>
      <c r="K141" s="370" t="s">
        <v>663</v>
      </c>
      <c r="L141" s="373">
        <v>26.47</v>
      </c>
      <c r="M141" s="373">
        <v>3.05</v>
      </c>
      <c r="N141" s="444">
        <v>29.52</v>
      </c>
      <c r="O141" s="370"/>
      <c r="P141" s="374">
        <v>45904</v>
      </c>
      <c r="Q141" s="373">
        <v>29.52</v>
      </c>
      <c r="R141" s="370" t="s">
        <v>664</v>
      </c>
      <c r="S141" s="373">
        <v>0</v>
      </c>
      <c r="T141" s="373">
        <v>0</v>
      </c>
      <c r="U141" s="373">
        <v>0</v>
      </c>
      <c r="V141" s="373">
        <v>0</v>
      </c>
      <c r="W141" s="370"/>
      <c r="X141" s="370" t="s">
        <v>293</v>
      </c>
      <c r="Y141" s="370" t="s">
        <v>294</v>
      </c>
      <c r="Z141" s="370" t="s">
        <v>42</v>
      </c>
      <c r="AA141" s="370" t="s">
        <v>228</v>
      </c>
      <c r="AB141" s="370" t="s">
        <v>235</v>
      </c>
      <c r="AC141" s="370" t="s">
        <v>331</v>
      </c>
      <c r="AD141" s="370" t="s">
        <v>231</v>
      </c>
      <c r="AE141" s="370" t="s">
        <v>232</v>
      </c>
      <c r="AF141" s="370" t="s">
        <v>231</v>
      </c>
      <c r="AG141" s="370" t="s">
        <v>232</v>
      </c>
      <c r="AH141" s="370"/>
      <c r="AI141" s="370"/>
      <c r="AJ141" s="370"/>
      <c r="AK141" s="370" t="s">
        <v>665</v>
      </c>
      <c r="AL141" s="371">
        <v>1</v>
      </c>
      <c r="AM141" s="371">
        <v>0</v>
      </c>
      <c r="AN141" s="372">
        <v>45904</v>
      </c>
      <c r="AO141" s="372">
        <v>45904</v>
      </c>
      <c r="AP141" s="373">
        <v>29.52</v>
      </c>
      <c r="AQ141" s="372">
        <v>45903</v>
      </c>
      <c r="AR141" s="368"/>
      <c r="AS141" s="368"/>
      <c r="AT141" s="368"/>
      <c r="AU141" s="368"/>
      <c r="AV141" s="368"/>
      <c r="AW141" s="368"/>
      <c r="AX141" s="368"/>
      <c r="AY141" s="368"/>
      <c r="AZ141" s="368"/>
      <c r="BA141" s="368"/>
      <c r="BB141" s="368"/>
      <c r="BC141" s="368"/>
      <c r="BD141" s="368"/>
      <c r="BE141" s="368"/>
      <c r="BF141" s="368"/>
      <c r="BG141" s="368"/>
      <c r="BH141" s="368"/>
      <c r="BI141" s="368"/>
      <c r="BJ141" s="368"/>
      <c r="BK141" s="368"/>
      <c r="BL141" s="368"/>
      <c r="BM141" s="368"/>
      <c r="BN141" s="368"/>
      <c r="BO141" s="368"/>
      <c r="BP141" s="368"/>
      <c r="BQ141" s="368"/>
      <c r="BR141" s="368"/>
      <c r="BS141" s="368"/>
      <c r="BT141" s="368"/>
      <c r="BU141" s="368"/>
      <c r="BV141" s="368"/>
      <c r="BW141" s="368"/>
      <c r="BX141" s="368"/>
      <c r="BY141" s="368"/>
      <c r="BZ141" s="368"/>
      <c r="CA141" s="368"/>
      <c r="CB141" s="368"/>
      <c r="CC141" s="368"/>
      <c r="CD141" s="368"/>
      <c r="CE141" s="368"/>
      <c r="CF141" s="368"/>
      <c r="CG141" s="368"/>
      <c r="CH141" s="368"/>
      <c r="CI141" s="368"/>
      <c r="CJ141" s="368"/>
      <c r="CK141" s="368"/>
      <c r="CL141" s="368"/>
      <c r="CM141" s="368"/>
      <c r="CN141" s="368"/>
      <c r="CO141" s="368"/>
      <c r="CP141" s="368"/>
      <c r="CQ141" s="368"/>
      <c r="CR141" s="368"/>
      <c r="CS141" s="368"/>
      <c r="CT141" s="368"/>
      <c r="CU141" s="368"/>
      <c r="CV141" s="368"/>
      <c r="CW141" s="368"/>
      <c r="CX141" s="368"/>
      <c r="CY141" s="368"/>
      <c r="CZ141" s="368"/>
      <c r="DA141" s="368"/>
      <c r="DB141" s="368"/>
      <c r="DC141" s="368"/>
      <c r="DD141" s="368"/>
      <c r="DE141" s="368"/>
      <c r="DF141" s="368"/>
      <c r="DG141" s="368"/>
      <c r="DH141" s="368"/>
      <c r="DI141" s="368"/>
      <c r="DJ141" s="368"/>
      <c r="DK141" s="368"/>
      <c r="DL141" s="368"/>
      <c r="DM141" s="368"/>
      <c r="DN141" s="368"/>
      <c r="DO141" s="368"/>
      <c r="DP141" s="368"/>
      <c r="DQ141" s="368"/>
      <c r="DR141" s="368"/>
      <c r="DS141" s="368"/>
      <c r="DT141" s="368"/>
      <c r="DU141" s="368"/>
      <c r="DV141" s="368"/>
      <c r="DW141" s="368"/>
      <c r="DX141" s="368"/>
      <c r="DY141" s="368"/>
      <c r="DZ141" s="368"/>
      <c r="EA141" s="368"/>
      <c r="EB141" s="368"/>
      <c r="EC141" s="368"/>
      <c r="ED141" s="368"/>
      <c r="EE141" s="368"/>
      <c r="EF141" s="368"/>
      <c r="EG141" s="368"/>
      <c r="EH141" s="368"/>
      <c r="EI141" s="368"/>
      <c r="EJ141" s="368"/>
      <c r="EK141" s="368"/>
      <c r="EL141" s="368"/>
      <c r="EM141" s="368"/>
      <c r="EN141" s="368"/>
      <c r="EO141" s="368"/>
      <c r="EP141" s="368"/>
      <c r="EQ141" s="368"/>
      <c r="ER141" s="368"/>
      <c r="ES141" s="368"/>
      <c r="ET141" s="368"/>
      <c r="EU141" s="368"/>
      <c r="EV141" s="368"/>
      <c r="EW141" s="368"/>
      <c r="EX141" s="368"/>
      <c r="EY141" s="368"/>
      <c r="EZ141" s="368"/>
      <c r="FA141" s="368"/>
      <c r="FB141" s="368"/>
      <c r="FC141" s="368"/>
      <c r="FD141" s="368"/>
      <c r="FE141" s="368"/>
      <c r="FF141" s="368"/>
      <c r="FG141" s="368"/>
      <c r="FH141" s="368"/>
      <c r="FI141" s="368"/>
      <c r="FJ141" s="368"/>
      <c r="FK141" s="368"/>
      <c r="FL141" s="368"/>
      <c r="FM141" s="368"/>
      <c r="FN141" s="368"/>
      <c r="FO141" s="368"/>
      <c r="FP141" s="368"/>
      <c r="FQ141" s="368"/>
      <c r="FR141" s="368"/>
      <c r="FS141" s="368"/>
      <c r="FT141" s="368"/>
      <c r="FU141" s="368"/>
      <c r="FV141" s="368"/>
      <c r="FW141" s="368"/>
      <c r="FX141" s="368"/>
      <c r="FY141" s="368"/>
      <c r="FZ141" s="368"/>
      <c r="GA141" s="368"/>
      <c r="GB141" s="368"/>
      <c r="GC141" s="368"/>
      <c r="GD141" s="368"/>
      <c r="GE141" s="368"/>
      <c r="GF141" s="368"/>
      <c r="GG141" s="368"/>
      <c r="GH141" s="368"/>
      <c r="GI141" s="368"/>
      <c r="GJ141" s="368"/>
      <c r="GK141" s="368"/>
      <c r="GL141" s="368"/>
      <c r="GM141" s="368"/>
      <c r="GN141" s="368"/>
      <c r="GO141" s="368"/>
      <c r="GP141" s="368"/>
      <c r="GQ141" s="368"/>
      <c r="GR141" s="368"/>
      <c r="GS141" s="368"/>
      <c r="GT141" s="368"/>
      <c r="GU141" s="368"/>
      <c r="GV141" s="368"/>
      <c r="GW141" s="368"/>
      <c r="GX141" s="368"/>
      <c r="GY141" s="368"/>
      <c r="GZ141" s="368"/>
      <c r="HA141" s="368"/>
      <c r="HB141" s="368"/>
      <c r="HC141" s="368"/>
      <c r="HD141" s="368"/>
      <c r="HE141" s="368"/>
      <c r="HF141" s="368"/>
      <c r="HG141" s="368"/>
      <c r="HH141" s="368"/>
      <c r="HI141" s="368"/>
      <c r="HJ141" s="368"/>
      <c r="HK141" s="368"/>
      <c r="HL141" s="368"/>
      <c r="HM141" s="368"/>
      <c r="HN141" s="368"/>
      <c r="HO141" s="368"/>
      <c r="HP141" s="368"/>
      <c r="HQ141" s="368"/>
      <c r="HR141" s="368"/>
      <c r="HS141" s="368"/>
      <c r="HT141" s="368"/>
      <c r="HU141" s="368"/>
      <c r="HV141" s="368"/>
      <c r="HW141" s="368"/>
      <c r="HX141" s="368"/>
      <c r="HY141" s="368"/>
      <c r="HZ141" s="368"/>
      <c r="IA141" s="368"/>
      <c r="IB141" s="368"/>
      <c r="IC141" s="368"/>
      <c r="ID141" s="368"/>
      <c r="IE141" s="368"/>
      <c r="IF141" s="368"/>
      <c r="IG141" s="368"/>
      <c r="IH141" s="368"/>
      <c r="II141" s="368"/>
      <c r="IJ141" s="368"/>
      <c r="IK141" s="368"/>
      <c r="IL141" s="368"/>
      <c r="IM141" s="368"/>
      <c r="IN141" s="368"/>
      <c r="IO141" s="368"/>
      <c r="IP141" s="368"/>
      <c r="IQ141" s="368"/>
      <c r="IR141" s="368"/>
      <c r="IS141" s="368"/>
      <c r="IT141" s="368"/>
      <c r="IU141" s="368"/>
      <c r="IV141" s="368"/>
      <c r="IW141" s="368"/>
      <c r="IX141" s="368"/>
      <c r="IY141" s="368"/>
      <c r="IZ141" s="368"/>
      <c r="JA141" s="368"/>
      <c r="JB141" s="368"/>
      <c r="JC141" s="368"/>
      <c r="JD141" s="368"/>
      <c r="JE141" s="368"/>
      <c r="JF141" s="368"/>
      <c r="JG141" s="368"/>
      <c r="JH141" s="368"/>
      <c r="JI141" s="368"/>
      <c r="JJ141" s="368"/>
      <c r="JK141" s="368"/>
      <c r="JL141" s="368"/>
      <c r="JM141" s="368"/>
      <c r="JN141" s="368"/>
      <c r="JO141" s="368"/>
      <c r="JP141" s="368"/>
      <c r="JQ141" s="368"/>
      <c r="JR141" s="368"/>
      <c r="JS141" s="368"/>
      <c r="JT141" s="368"/>
      <c r="JU141" s="368"/>
      <c r="JV141" s="368"/>
      <c r="JW141" s="368"/>
      <c r="JX141" s="368"/>
      <c r="JY141" s="368"/>
      <c r="JZ141" s="368"/>
      <c r="KA141" s="368"/>
      <c r="KB141" s="368"/>
      <c r="KC141" s="368"/>
      <c r="KD141" s="368"/>
      <c r="KE141" s="368"/>
      <c r="KF141" s="368"/>
      <c r="KG141" s="368"/>
      <c r="KH141" s="368"/>
      <c r="KI141" s="368"/>
      <c r="KJ141" s="368"/>
      <c r="KK141" s="368"/>
      <c r="KL141" s="368"/>
      <c r="KM141" s="368"/>
      <c r="KN141" s="368"/>
      <c r="KO141" s="368"/>
      <c r="KP141" s="368"/>
      <c r="KQ141" s="368"/>
      <c r="KR141" s="368"/>
      <c r="KS141" s="368"/>
      <c r="KT141" s="368"/>
      <c r="KU141" s="368"/>
      <c r="KV141" s="368"/>
      <c r="KW141" s="368"/>
      <c r="KX141" s="368"/>
      <c r="KY141" s="368"/>
      <c r="KZ141" s="368"/>
      <c r="LA141" s="368"/>
      <c r="LB141" s="368"/>
      <c r="LC141" s="368"/>
      <c r="LD141" s="368"/>
      <c r="LE141" s="368"/>
      <c r="LF141" s="368"/>
      <c r="LG141" s="368"/>
      <c r="LH141" s="368"/>
      <c r="LI141" s="368"/>
      <c r="LJ141" s="368"/>
      <c r="LK141" s="368"/>
      <c r="LL141" s="368"/>
      <c r="LM141" s="368"/>
      <c r="LN141" s="368"/>
      <c r="LO141" s="368"/>
      <c r="LP141" s="368"/>
      <c r="LQ141" s="368"/>
      <c r="LR141" s="368"/>
      <c r="LS141" s="368"/>
      <c r="LT141" s="368"/>
      <c r="LU141" s="368"/>
      <c r="LV141" s="368"/>
      <c r="LW141" s="368"/>
      <c r="LX141" s="368"/>
      <c r="LY141" s="368"/>
      <c r="LZ141" s="368"/>
      <c r="MA141" s="368"/>
      <c r="MB141" s="368"/>
      <c r="MC141" s="368"/>
      <c r="MD141" s="368"/>
      <c r="ME141" s="368"/>
      <c r="MF141" s="368"/>
      <c r="MG141" s="368"/>
      <c r="MH141" s="368"/>
      <c r="MI141" s="368"/>
      <c r="MJ141" s="368"/>
      <c r="MK141" s="368"/>
      <c r="ML141" s="368"/>
      <c r="MM141" s="368"/>
      <c r="MN141" s="368"/>
      <c r="MO141" s="368"/>
      <c r="MP141" s="368"/>
      <c r="MQ141" s="368"/>
      <c r="MR141" s="368"/>
      <c r="MS141" s="368"/>
      <c r="MT141" s="368"/>
      <c r="MU141" s="368"/>
      <c r="MV141" s="368"/>
      <c r="MW141" s="368"/>
      <c r="MX141" s="368"/>
      <c r="MY141" s="368"/>
      <c r="MZ141" s="368"/>
      <c r="NA141" s="368"/>
      <c r="NB141" s="368"/>
      <c r="NC141" s="368"/>
      <c r="ND141" s="368"/>
      <c r="NE141" s="368"/>
      <c r="NF141" s="368"/>
      <c r="NG141" s="368"/>
      <c r="NH141" s="368"/>
      <c r="NI141" s="368"/>
      <c r="NJ141" s="368"/>
      <c r="NK141" s="368"/>
      <c r="NL141" s="368"/>
      <c r="NM141" s="368"/>
      <c r="NN141" s="368"/>
      <c r="NO141" s="368"/>
      <c r="NP141" s="368"/>
      <c r="NQ141" s="368"/>
      <c r="NR141" s="368"/>
      <c r="NS141" s="368"/>
      <c r="NT141" s="368"/>
      <c r="NU141" s="368"/>
      <c r="NV141" s="368"/>
      <c r="NW141" s="368"/>
      <c r="NX141" s="368"/>
      <c r="NY141" s="368"/>
      <c r="NZ141" s="368"/>
      <c r="OA141" s="368"/>
      <c r="OB141" s="368"/>
      <c r="OC141" s="368"/>
      <c r="OD141" s="368"/>
      <c r="OE141" s="368"/>
      <c r="OF141" s="368"/>
      <c r="OG141" s="368"/>
      <c r="OH141" s="368"/>
      <c r="OI141" s="368"/>
      <c r="OJ141" s="368"/>
      <c r="OK141" s="368"/>
      <c r="OL141" s="368"/>
      <c r="OM141" s="368"/>
      <c r="ON141" s="368"/>
      <c r="OO141" s="368"/>
      <c r="OP141" s="368"/>
      <c r="OQ141" s="368"/>
      <c r="OR141" s="368"/>
      <c r="OS141" s="368"/>
      <c r="OT141" s="368"/>
      <c r="OU141" s="368"/>
      <c r="OV141" s="368"/>
      <c r="OW141" s="368"/>
      <c r="OX141" s="368"/>
      <c r="OY141" s="368"/>
      <c r="OZ141" s="368"/>
      <c r="PA141" s="368"/>
      <c r="PB141" s="368"/>
      <c r="PC141" s="368"/>
      <c r="PD141" s="368"/>
      <c r="PE141" s="368"/>
      <c r="PF141" s="368"/>
      <c r="PG141" s="368"/>
      <c r="PH141" s="368"/>
      <c r="PI141" s="368"/>
      <c r="PJ141" s="368"/>
      <c r="PK141" s="368"/>
      <c r="PL141" s="368"/>
      <c r="PM141" s="368"/>
      <c r="PN141" s="368"/>
      <c r="PO141" s="368"/>
      <c r="PP141" s="368"/>
      <c r="PQ141" s="368"/>
      <c r="PR141" s="368"/>
      <c r="PS141" s="368"/>
      <c r="PT141" s="368"/>
      <c r="PU141" s="368"/>
      <c r="PV141" s="368"/>
      <c r="PW141" s="368"/>
      <c r="PX141" s="368"/>
      <c r="PY141" s="368"/>
      <c r="PZ141" s="368"/>
      <c r="QA141" s="368"/>
      <c r="QB141" s="368"/>
      <c r="QC141" s="368"/>
      <c r="QD141" s="368"/>
      <c r="QE141" s="368"/>
      <c r="QF141" s="368"/>
      <c r="QG141" s="368"/>
      <c r="QH141" s="368"/>
      <c r="QI141" s="368"/>
      <c r="QJ141" s="368"/>
      <c r="QK141" s="368"/>
      <c r="QL141" s="368"/>
      <c r="QM141" s="368"/>
      <c r="QN141" s="368"/>
      <c r="QO141" s="368"/>
      <c r="QP141" s="368"/>
      <c r="QQ141" s="368"/>
      <c r="QR141" s="368"/>
      <c r="QS141" s="368"/>
      <c r="QT141" s="368"/>
      <c r="QU141" s="368"/>
      <c r="QV141" s="368"/>
      <c r="QW141" s="368"/>
      <c r="QX141" s="368"/>
      <c r="QY141" s="368"/>
      <c r="QZ141" s="368"/>
      <c r="RA141" s="368"/>
      <c r="RB141" s="368"/>
      <c r="RC141" s="368"/>
      <c r="RD141" s="368"/>
      <c r="RE141" s="368"/>
      <c r="RF141" s="368"/>
      <c r="RG141" s="368"/>
      <c r="RH141" s="368"/>
      <c r="RI141" s="368"/>
      <c r="RJ141" s="368"/>
      <c r="RK141" s="368"/>
      <c r="RL141" s="368"/>
      <c r="RM141" s="368"/>
      <c r="RN141" s="368"/>
      <c r="RO141" s="368"/>
      <c r="RP141" s="368"/>
      <c r="RQ141" s="368"/>
      <c r="RR141" s="368"/>
      <c r="RS141" s="368"/>
      <c r="RT141" s="368"/>
      <c r="RU141" s="368"/>
      <c r="RV141" s="368"/>
      <c r="RW141" s="368"/>
      <c r="RX141" s="368"/>
      <c r="RY141" s="368"/>
      <c r="RZ141" s="368"/>
      <c r="SA141" s="368"/>
      <c r="SB141" s="368"/>
      <c r="SC141" s="368"/>
      <c r="SD141" s="368"/>
      <c r="SE141" s="368"/>
      <c r="SF141" s="368"/>
      <c r="SG141" s="368"/>
      <c r="SH141" s="368"/>
      <c r="SI141" s="368"/>
      <c r="SJ141" s="368"/>
      <c r="SK141" s="368"/>
      <c r="SL141" s="368"/>
      <c r="SM141" s="368"/>
      <c r="SN141" s="368"/>
      <c r="SO141" s="368"/>
      <c r="SP141" s="368"/>
      <c r="SQ141" s="368"/>
      <c r="SR141" s="368"/>
      <c r="SS141" s="368"/>
      <c r="ST141" s="368"/>
      <c r="SU141" s="368"/>
      <c r="SV141" s="368"/>
      <c r="SW141" s="368"/>
      <c r="SX141" s="368"/>
      <c r="SY141" s="368"/>
      <c r="SZ141" s="368"/>
      <c r="TA141" s="368"/>
      <c r="TB141" s="368"/>
      <c r="TC141" s="368"/>
      <c r="TD141" s="368"/>
      <c r="TE141" s="368"/>
      <c r="TF141" s="368"/>
      <c r="TG141" s="368"/>
      <c r="TH141" s="368"/>
      <c r="TI141" s="368"/>
      <c r="TJ141" s="368"/>
      <c r="TK141" s="368"/>
      <c r="TL141" s="368"/>
      <c r="TM141" s="368"/>
      <c r="TN141" s="368"/>
      <c r="TO141" s="368"/>
      <c r="TP141" s="368"/>
      <c r="TQ141" s="368"/>
      <c r="TR141" s="368"/>
      <c r="TS141" s="368"/>
      <c r="TT141" s="368"/>
      <c r="TU141" s="368"/>
      <c r="TV141" s="368"/>
      <c r="TW141" s="368"/>
      <c r="TX141" s="368"/>
      <c r="TY141" s="368"/>
      <c r="TZ141" s="368"/>
      <c r="UA141" s="368"/>
      <c r="UB141" s="368"/>
      <c r="UC141" s="368"/>
      <c r="UD141" s="368"/>
      <c r="UE141" s="368"/>
      <c r="UF141" s="368"/>
      <c r="UG141" s="368"/>
      <c r="UH141" s="368"/>
      <c r="UI141" s="368"/>
      <c r="UJ141" s="368"/>
      <c r="UK141" s="368"/>
      <c r="UL141" s="368"/>
      <c r="UM141" s="368"/>
      <c r="UN141" s="368"/>
      <c r="UO141" s="368"/>
      <c r="UP141" s="368"/>
      <c r="UQ141" s="368"/>
      <c r="UR141" s="368"/>
      <c r="US141" s="368"/>
      <c r="UT141" s="368"/>
      <c r="UU141" s="368"/>
      <c r="UV141" s="368"/>
      <c r="UW141" s="368"/>
      <c r="UX141" s="368"/>
      <c r="UY141" s="368"/>
      <c r="UZ141" s="368"/>
      <c r="VA141" s="368"/>
      <c r="VB141" s="368"/>
      <c r="VC141" s="368"/>
      <c r="VD141" s="368"/>
      <c r="VE141" s="368"/>
      <c r="VF141" s="368"/>
      <c r="VG141" s="368"/>
      <c r="VH141" s="368"/>
      <c r="VI141" s="368"/>
      <c r="VJ141" s="368"/>
      <c r="VK141" s="368"/>
      <c r="VL141" s="368"/>
      <c r="VM141" s="368"/>
      <c r="VN141" s="368"/>
      <c r="VO141" s="368"/>
      <c r="VP141" s="368"/>
      <c r="VQ141" s="368"/>
      <c r="VR141" s="368"/>
      <c r="VS141" s="368"/>
      <c r="VT141" s="368"/>
      <c r="VU141" s="368"/>
      <c r="VV141" s="368"/>
      <c r="VW141" s="368"/>
      <c r="VX141" s="368"/>
      <c r="VY141" s="368"/>
      <c r="VZ141" s="368"/>
      <c r="WA141" s="368"/>
      <c r="WB141" s="368"/>
      <c r="WC141" s="368"/>
      <c r="WD141" s="368"/>
      <c r="WE141" s="368"/>
      <c r="WF141" s="368"/>
      <c r="WG141" s="368"/>
      <c r="WH141" s="368"/>
      <c r="WI141" s="368"/>
      <c r="WJ141" s="368"/>
      <c r="WK141" s="368"/>
      <c r="WL141" s="368"/>
      <c r="WM141" s="368"/>
      <c r="WN141" s="368"/>
      <c r="WO141" s="368"/>
      <c r="WP141" s="368"/>
      <c r="WQ141" s="368"/>
      <c r="WR141" s="368"/>
      <c r="WS141" s="368"/>
      <c r="WT141" s="368"/>
      <c r="WU141" s="368"/>
      <c r="WV141" s="368"/>
      <c r="WW141" s="368"/>
      <c r="WX141" s="368"/>
      <c r="WY141" s="368"/>
      <c r="WZ141" s="368"/>
      <c r="XA141" s="368"/>
      <c r="XB141" s="368"/>
      <c r="XC141" s="368"/>
      <c r="XD141" s="368"/>
      <c r="XE141" s="368"/>
      <c r="XF141" s="368"/>
      <c r="XG141" s="368"/>
      <c r="XH141" s="368"/>
      <c r="XI141" s="368"/>
      <c r="XJ141" s="368"/>
      <c r="XK141" s="368"/>
      <c r="XL141" s="368"/>
      <c r="XM141" s="368"/>
      <c r="XN141" s="368"/>
      <c r="XO141" s="368"/>
      <c r="XP141" s="368"/>
      <c r="XQ141" s="368"/>
      <c r="XR141" s="368"/>
      <c r="XS141" s="368"/>
      <c r="XT141" s="368"/>
      <c r="XU141" s="368"/>
      <c r="XV141" s="368"/>
      <c r="XW141" s="368"/>
      <c r="XX141" s="368"/>
      <c r="XY141" s="368"/>
      <c r="XZ141" s="368"/>
      <c r="YA141" s="368"/>
      <c r="YB141" s="368"/>
      <c r="YC141" s="368"/>
      <c r="YD141" s="368"/>
      <c r="YE141" s="368"/>
      <c r="YF141" s="368"/>
      <c r="YG141" s="368"/>
      <c r="YH141" s="368"/>
      <c r="YI141" s="368"/>
      <c r="YJ141" s="368"/>
      <c r="YK141" s="368"/>
      <c r="YL141" s="368"/>
      <c r="YM141" s="368"/>
      <c r="YN141" s="368"/>
      <c r="YO141" s="368"/>
      <c r="YP141" s="368"/>
      <c r="YQ141" s="368"/>
      <c r="YR141" s="368"/>
      <c r="YS141" s="368"/>
      <c r="YT141" s="368"/>
      <c r="YU141" s="368"/>
      <c r="YV141" s="368"/>
      <c r="YW141" s="368"/>
      <c r="YX141" s="368"/>
      <c r="YY141" s="368"/>
      <c r="YZ141" s="368"/>
      <c r="ZA141" s="368"/>
      <c r="ZB141" s="368"/>
      <c r="ZC141" s="368"/>
      <c r="ZD141" s="368"/>
      <c r="ZE141" s="368"/>
      <c r="ZF141" s="368"/>
      <c r="ZG141" s="368"/>
      <c r="ZH141" s="368"/>
      <c r="ZI141" s="368"/>
      <c r="ZJ141" s="368"/>
      <c r="ZK141" s="368"/>
      <c r="ZL141" s="368"/>
      <c r="ZM141" s="368"/>
      <c r="ZN141" s="368"/>
      <c r="ZO141" s="368"/>
      <c r="ZP141" s="368"/>
      <c r="ZQ141" s="368"/>
      <c r="ZR141" s="368"/>
      <c r="ZS141" s="368"/>
      <c r="ZT141" s="368"/>
      <c r="ZU141" s="368"/>
      <c r="ZV141" s="368"/>
      <c r="ZW141" s="368"/>
      <c r="ZX141" s="368"/>
      <c r="ZY141" s="368"/>
      <c r="ZZ141" s="368"/>
      <c r="AAA141" s="368"/>
      <c r="AAB141" s="368"/>
      <c r="AAC141" s="368"/>
      <c r="AAD141" s="368"/>
      <c r="AAE141" s="368"/>
      <c r="AAF141" s="368"/>
      <c r="AAG141" s="368"/>
      <c r="AAH141" s="368"/>
      <c r="AAI141" s="368"/>
      <c r="AAJ141" s="368"/>
      <c r="AAK141" s="368"/>
      <c r="AAL141" s="368"/>
      <c r="AAM141" s="368"/>
      <c r="AAN141" s="368"/>
      <c r="AAO141" s="368"/>
      <c r="AAP141" s="368"/>
      <c r="AAQ141" s="368"/>
      <c r="AAR141" s="368"/>
      <c r="AAS141" s="368"/>
      <c r="AAT141" s="368"/>
      <c r="AAU141" s="368"/>
      <c r="AAV141" s="368"/>
      <c r="AAW141" s="368"/>
      <c r="AAX141" s="368"/>
      <c r="AAY141" s="368"/>
      <c r="AAZ141" s="368"/>
      <c r="ABA141" s="368"/>
      <c r="ABB141" s="368"/>
      <c r="ABC141" s="368"/>
      <c r="ABD141" s="368"/>
      <c r="ABE141" s="368"/>
      <c r="ABF141" s="368"/>
      <c r="ABG141" s="368"/>
      <c r="ABH141" s="368"/>
      <c r="ABI141" s="368"/>
      <c r="ABJ141" s="368"/>
      <c r="ABK141" s="368"/>
      <c r="ABL141" s="368"/>
      <c r="ABM141" s="368"/>
      <c r="ABN141" s="368"/>
      <c r="ABO141" s="368"/>
      <c r="ABP141" s="368"/>
      <c r="ABQ141" s="368"/>
      <c r="ABR141" s="368"/>
      <c r="ABS141" s="368"/>
      <c r="ABT141" s="368"/>
      <c r="ABU141" s="368"/>
      <c r="ABV141" s="368"/>
      <c r="ABW141" s="368"/>
      <c r="ABX141" s="368"/>
      <c r="ABY141" s="368"/>
      <c r="ABZ141" s="368"/>
      <c r="ACA141" s="368"/>
      <c r="ACB141" s="368"/>
      <c r="ACC141" s="368"/>
      <c r="ACD141" s="368"/>
      <c r="ACE141" s="368"/>
      <c r="ACF141" s="368"/>
      <c r="ACG141" s="368"/>
      <c r="ACH141" s="368"/>
      <c r="ACI141" s="368"/>
      <c r="ACJ141" s="368"/>
      <c r="ACK141" s="368"/>
      <c r="ACL141" s="368"/>
      <c r="ACM141" s="368"/>
      <c r="ACN141" s="368"/>
      <c r="ACO141" s="368"/>
      <c r="ACP141" s="368"/>
      <c r="ACQ141" s="368"/>
      <c r="ACR141" s="368"/>
      <c r="ACS141" s="368"/>
      <c r="ACT141" s="368"/>
      <c r="ACU141" s="368"/>
      <c r="ACV141" s="368"/>
      <c r="ACW141" s="368"/>
      <c r="ACX141" s="368"/>
      <c r="ACY141" s="368"/>
      <c r="ACZ141" s="368"/>
      <c r="ADA141" s="368"/>
      <c r="ADB141" s="368"/>
      <c r="ADC141" s="368"/>
      <c r="ADD141" s="368"/>
      <c r="ADE141" s="368"/>
      <c r="ADF141" s="368"/>
      <c r="ADG141" s="368"/>
      <c r="ADH141" s="368"/>
      <c r="ADI141" s="368"/>
      <c r="ADJ141" s="368"/>
      <c r="ADK141" s="368"/>
      <c r="ADL141" s="368"/>
      <c r="ADM141" s="368"/>
      <c r="ADN141" s="368"/>
      <c r="ADO141" s="368"/>
      <c r="ADP141" s="368"/>
      <c r="ADQ141" s="368"/>
      <c r="ADR141" s="368"/>
      <c r="ADS141" s="368"/>
      <c r="ADT141" s="368"/>
      <c r="ADU141" s="368"/>
      <c r="ADV141" s="368"/>
      <c r="ADW141" s="368"/>
      <c r="ADX141" s="368"/>
      <c r="ADY141" s="368"/>
      <c r="ADZ141" s="368"/>
      <c r="AEA141" s="368"/>
      <c r="AEB141" s="368"/>
      <c r="AEC141" s="368"/>
      <c r="AED141" s="368"/>
      <c r="AEE141" s="368"/>
      <c r="AEF141" s="368"/>
      <c r="AEG141" s="368"/>
      <c r="AEH141" s="368"/>
      <c r="AEI141" s="368"/>
      <c r="AEJ141" s="368"/>
      <c r="AEK141" s="368"/>
      <c r="AEL141" s="368"/>
      <c r="AEM141" s="368"/>
      <c r="AEN141" s="368"/>
      <c r="AEO141" s="368"/>
      <c r="AEP141" s="368"/>
      <c r="AEQ141" s="368"/>
      <c r="AER141" s="368"/>
      <c r="AES141" s="368"/>
      <c r="AET141" s="368"/>
      <c r="AEU141" s="368"/>
      <c r="AEV141" s="368"/>
      <c r="AEW141" s="368"/>
      <c r="AEX141" s="368"/>
      <c r="AEY141" s="368"/>
      <c r="AEZ141" s="368"/>
      <c r="AFA141" s="368"/>
      <c r="AFB141" s="368"/>
      <c r="AFC141" s="368"/>
      <c r="AFD141" s="368"/>
      <c r="AFE141" s="368"/>
      <c r="AFF141" s="368"/>
      <c r="AFG141" s="368"/>
      <c r="AFH141" s="368"/>
      <c r="AFI141" s="368"/>
      <c r="AFJ141" s="368"/>
      <c r="AFK141" s="368"/>
      <c r="AFL141" s="368"/>
      <c r="AFM141" s="368"/>
      <c r="AFN141" s="368"/>
      <c r="AFO141" s="368"/>
      <c r="AFP141" s="368"/>
      <c r="AFQ141" s="368"/>
      <c r="AFR141" s="368"/>
      <c r="AFS141" s="368"/>
      <c r="AFT141" s="368"/>
      <c r="AFU141" s="368"/>
      <c r="AFV141" s="368"/>
      <c r="AFW141" s="368"/>
      <c r="AFX141" s="368"/>
      <c r="AFY141" s="368"/>
      <c r="AFZ141" s="368"/>
      <c r="AGA141" s="368"/>
      <c r="AGB141" s="368"/>
      <c r="AGC141" s="368"/>
      <c r="AGD141" s="368"/>
      <c r="AGE141" s="368"/>
      <c r="AGF141" s="368"/>
      <c r="AGG141" s="368"/>
      <c r="AGH141" s="368"/>
      <c r="AGI141" s="368"/>
      <c r="AGJ141" s="368"/>
      <c r="AGK141" s="368"/>
      <c r="AGL141" s="368"/>
      <c r="AGM141" s="368"/>
      <c r="AGN141" s="368"/>
      <c r="AGO141" s="368"/>
      <c r="AGP141" s="368"/>
      <c r="AGQ141" s="368"/>
      <c r="AGR141" s="368"/>
      <c r="AGS141" s="368"/>
      <c r="AGT141" s="368"/>
      <c r="AGU141" s="368"/>
      <c r="AGV141" s="368"/>
      <c r="AGW141" s="368"/>
      <c r="AGX141" s="368"/>
      <c r="AGY141" s="368"/>
      <c r="AGZ141" s="368"/>
      <c r="AHA141" s="368"/>
      <c r="AHB141" s="368"/>
      <c r="AHC141" s="368"/>
      <c r="AHD141" s="368"/>
      <c r="AHE141" s="368"/>
      <c r="AHF141" s="368"/>
      <c r="AHG141" s="368"/>
      <c r="AHH141" s="368"/>
      <c r="AHI141" s="368"/>
      <c r="AHJ141" s="368"/>
      <c r="AHK141" s="368"/>
      <c r="AHL141" s="368"/>
      <c r="AHM141" s="368"/>
      <c r="AHN141" s="368"/>
      <c r="AHO141" s="368"/>
      <c r="AHP141" s="368"/>
      <c r="AHQ141" s="368"/>
      <c r="AHR141" s="368"/>
      <c r="AHS141" s="368"/>
      <c r="AHT141" s="368"/>
      <c r="AHU141" s="368"/>
      <c r="AHV141" s="368"/>
      <c r="AHW141" s="368"/>
      <c r="AHX141" s="368"/>
      <c r="AHY141" s="368"/>
      <c r="AHZ141" s="368"/>
      <c r="AIA141" s="368"/>
      <c r="AIB141" s="368"/>
      <c r="AIC141" s="368"/>
      <c r="AID141" s="368"/>
      <c r="AIE141" s="368"/>
      <c r="AIF141" s="368"/>
      <c r="AIG141" s="368"/>
      <c r="AIH141" s="368"/>
      <c r="AII141" s="368"/>
      <c r="AIJ141" s="368"/>
      <c r="AIK141" s="368"/>
      <c r="AIL141" s="368"/>
      <c r="AIM141" s="368"/>
      <c r="AIN141" s="368"/>
      <c r="AIO141" s="368"/>
      <c r="AIP141" s="368"/>
      <c r="AIQ141" s="368"/>
      <c r="AIR141" s="368"/>
      <c r="AIS141" s="368"/>
      <c r="AIT141" s="368"/>
      <c r="AIU141" s="368"/>
      <c r="AIV141" s="368"/>
      <c r="AIW141" s="368"/>
      <c r="AIX141" s="368"/>
      <c r="AIY141" s="368"/>
      <c r="AIZ141" s="368"/>
      <c r="AJA141" s="368"/>
      <c r="AJB141" s="368"/>
      <c r="AJC141" s="368"/>
      <c r="AJD141" s="368"/>
      <c r="AJE141" s="368"/>
      <c r="AJF141" s="368"/>
      <c r="AJG141" s="368"/>
      <c r="AJH141" s="368"/>
      <c r="AJI141" s="368"/>
      <c r="AJJ141" s="368"/>
      <c r="AJK141" s="368"/>
      <c r="AJL141" s="368"/>
      <c r="AJM141" s="368"/>
      <c r="AJN141" s="368"/>
      <c r="AJO141" s="368"/>
      <c r="AJP141" s="368"/>
      <c r="AJQ141" s="368"/>
      <c r="AJR141" s="368"/>
      <c r="AJS141" s="368"/>
      <c r="AJT141" s="368"/>
      <c r="AJU141" s="368"/>
      <c r="AJV141" s="368"/>
      <c r="AJW141" s="368"/>
      <c r="AJX141" s="368"/>
      <c r="AJY141" s="368"/>
      <c r="AJZ141" s="368"/>
      <c r="AKA141" s="368"/>
      <c r="AKB141" s="368"/>
      <c r="AKC141" s="368"/>
      <c r="AKD141" s="368"/>
      <c r="AKE141" s="368"/>
      <c r="AKF141" s="368"/>
      <c r="AKG141" s="368"/>
      <c r="AKH141" s="368"/>
      <c r="AKI141" s="368"/>
      <c r="AKJ141" s="368"/>
      <c r="AKK141" s="368"/>
      <c r="AKL141" s="368"/>
      <c r="AKM141" s="368"/>
      <c r="AKN141" s="368"/>
    </row>
    <row r="142" spans="1:976" s="346" customFormat="1" ht="22.5" customHeight="1" x14ac:dyDescent="0.2">
      <c r="A142" s="370" t="s">
        <v>262</v>
      </c>
      <c r="B142" s="370"/>
      <c r="C142" s="370" t="s">
        <v>221</v>
      </c>
      <c r="D142" s="370" t="s">
        <v>222</v>
      </c>
      <c r="E142" s="371">
        <v>414747</v>
      </c>
      <c r="F142" s="371">
        <v>1862</v>
      </c>
      <c r="G142" s="371">
        <v>302</v>
      </c>
      <c r="H142" s="371">
        <v>0</v>
      </c>
      <c r="I142" s="372">
        <v>45902</v>
      </c>
      <c r="J142" s="370" t="s">
        <v>656</v>
      </c>
      <c r="K142" s="370" t="s">
        <v>666</v>
      </c>
      <c r="L142" s="373">
        <v>140.22999999999999</v>
      </c>
      <c r="M142" s="373">
        <v>9.02</v>
      </c>
      <c r="N142" s="444">
        <v>149.25</v>
      </c>
      <c r="O142" s="370"/>
      <c r="P142" s="374">
        <v>45904</v>
      </c>
      <c r="Q142" s="373">
        <v>149.25</v>
      </c>
      <c r="R142" s="370" t="s">
        <v>667</v>
      </c>
      <c r="S142" s="373">
        <v>0</v>
      </c>
      <c r="T142" s="373">
        <v>0</v>
      </c>
      <c r="U142" s="373">
        <v>0</v>
      </c>
      <c r="V142" s="373">
        <v>0</v>
      </c>
      <c r="W142" s="370"/>
      <c r="X142" s="370" t="s">
        <v>293</v>
      </c>
      <c r="Y142" s="370" t="s">
        <v>294</v>
      </c>
      <c r="Z142" s="370" t="s">
        <v>42</v>
      </c>
      <c r="AA142" s="370" t="s">
        <v>228</v>
      </c>
      <c r="AB142" s="370" t="s">
        <v>235</v>
      </c>
      <c r="AC142" s="370" t="s">
        <v>331</v>
      </c>
      <c r="AD142" s="370" t="s">
        <v>231</v>
      </c>
      <c r="AE142" s="370" t="s">
        <v>232</v>
      </c>
      <c r="AF142" s="370" t="s">
        <v>231</v>
      </c>
      <c r="AG142" s="370" t="s">
        <v>232</v>
      </c>
      <c r="AH142" s="370"/>
      <c r="AI142" s="370"/>
      <c r="AJ142" s="370"/>
      <c r="AK142" s="370" t="s">
        <v>668</v>
      </c>
      <c r="AL142" s="371">
        <v>1</v>
      </c>
      <c r="AM142" s="371">
        <v>0</v>
      </c>
      <c r="AN142" s="372">
        <v>45904</v>
      </c>
      <c r="AO142" s="372">
        <v>45904</v>
      </c>
      <c r="AP142" s="373">
        <v>149.25</v>
      </c>
      <c r="AQ142" s="372">
        <v>45903</v>
      </c>
      <c r="AR142" s="368"/>
      <c r="AS142" s="368"/>
      <c r="AT142" s="368"/>
      <c r="AU142" s="368"/>
      <c r="AV142" s="368"/>
      <c r="AW142" s="368"/>
      <c r="AX142" s="368"/>
      <c r="AY142" s="368"/>
      <c r="AZ142" s="368"/>
      <c r="BA142" s="368"/>
      <c r="BB142" s="368"/>
      <c r="BC142" s="368"/>
      <c r="BD142" s="368"/>
      <c r="BE142" s="368"/>
      <c r="BF142" s="368"/>
      <c r="BG142" s="368"/>
      <c r="BH142" s="368"/>
      <c r="BI142" s="368"/>
      <c r="BJ142" s="368"/>
      <c r="BK142" s="368"/>
      <c r="BL142" s="368"/>
      <c r="BM142" s="368"/>
      <c r="BN142" s="368"/>
      <c r="BO142" s="368"/>
      <c r="BP142" s="368"/>
      <c r="BQ142" s="368"/>
      <c r="BR142" s="368"/>
      <c r="BS142" s="368"/>
      <c r="BT142" s="368"/>
      <c r="BU142" s="368"/>
      <c r="BV142" s="368"/>
      <c r="BW142" s="368"/>
      <c r="BX142" s="368"/>
      <c r="BY142" s="368"/>
      <c r="BZ142" s="368"/>
      <c r="CA142" s="368"/>
      <c r="CB142" s="368"/>
      <c r="CC142" s="368"/>
      <c r="CD142" s="368"/>
      <c r="CE142" s="368"/>
      <c r="CF142" s="368"/>
      <c r="CG142" s="368"/>
      <c r="CH142" s="368"/>
      <c r="CI142" s="368"/>
      <c r="CJ142" s="368"/>
      <c r="CK142" s="368"/>
      <c r="CL142" s="368"/>
      <c r="CM142" s="368"/>
      <c r="CN142" s="368"/>
      <c r="CO142" s="368"/>
      <c r="CP142" s="368"/>
      <c r="CQ142" s="368"/>
      <c r="CR142" s="368"/>
      <c r="CS142" s="368"/>
      <c r="CT142" s="368"/>
      <c r="CU142" s="368"/>
      <c r="CV142" s="368"/>
      <c r="CW142" s="368"/>
      <c r="CX142" s="368"/>
      <c r="CY142" s="368"/>
      <c r="CZ142" s="368"/>
      <c r="DA142" s="368"/>
      <c r="DB142" s="368"/>
      <c r="DC142" s="368"/>
      <c r="DD142" s="368"/>
      <c r="DE142" s="368"/>
      <c r="DF142" s="368"/>
      <c r="DG142" s="368"/>
      <c r="DH142" s="368"/>
      <c r="DI142" s="368"/>
      <c r="DJ142" s="368"/>
      <c r="DK142" s="368"/>
      <c r="DL142" s="368"/>
      <c r="DM142" s="368"/>
      <c r="DN142" s="368"/>
      <c r="DO142" s="368"/>
      <c r="DP142" s="368"/>
      <c r="DQ142" s="368"/>
      <c r="DR142" s="368"/>
      <c r="DS142" s="368"/>
      <c r="DT142" s="368"/>
      <c r="DU142" s="368"/>
      <c r="DV142" s="368"/>
      <c r="DW142" s="368"/>
      <c r="DX142" s="368"/>
      <c r="DY142" s="368"/>
      <c r="DZ142" s="368"/>
      <c r="EA142" s="368"/>
      <c r="EB142" s="368"/>
      <c r="EC142" s="368"/>
      <c r="ED142" s="368"/>
      <c r="EE142" s="368"/>
      <c r="EF142" s="368"/>
      <c r="EG142" s="368"/>
      <c r="EH142" s="368"/>
      <c r="EI142" s="368"/>
      <c r="EJ142" s="368"/>
      <c r="EK142" s="368"/>
      <c r="EL142" s="368"/>
      <c r="EM142" s="368"/>
      <c r="EN142" s="368"/>
      <c r="EO142" s="368"/>
      <c r="EP142" s="368"/>
      <c r="EQ142" s="368"/>
      <c r="ER142" s="368"/>
      <c r="ES142" s="368"/>
      <c r="ET142" s="368"/>
      <c r="EU142" s="368"/>
      <c r="EV142" s="368"/>
      <c r="EW142" s="368"/>
      <c r="EX142" s="368"/>
      <c r="EY142" s="368"/>
      <c r="EZ142" s="368"/>
      <c r="FA142" s="368"/>
      <c r="FB142" s="368"/>
      <c r="FC142" s="368"/>
      <c r="FD142" s="368"/>
      <c r="FE142" s="368"/>
      <c r="FF142" s="368"/>
      <c r="FG142" s="368"/>
      <c r="FH142" s="368"/>
      <c r="FI142" s="368"/>
      <c r="FJ142" s="368"/>
      <c r="FK142" s="368"/>
      <c r="FL142" s="368"/>
      <c r="FM142" s="368"/>
      <c r="FN142" s="368"/>
      <c r="FO142" s="368"/>
      <c r="FP142" s="368"/>
      <c r="FQ142" s="368"/>
      <c r="FR142" s="368"/>
      <c r="FS142" s="368"/>
      <c r="FT142" s="368"/>
      <c r="FU142" s="368"/>
      <c r="FV142" s="368"/>
      <c r="FW142" s="368"/>
      <c r="FX142" s="368"/>
      <c r="FY142" s="368"/>
      <c r="FZ142" s="368"/>
      <c r="GA142" s="368"/>
      <c r="GB142" s="368"/>
      <c r="GC142" s="368"/>
      <c r="GD142" s="368"/>
      <c r="GE142" s="368"/>
      <c r="GF142" s="368"/>
      <c r="GG142" s="368"/>
      <c r="GH142" s="368"/>
      <c r="GI142" s="368"/>
      <c r="GJ142" s="368"/>
      <c r="GK142" s="368"/>
      <c r="GL142" s="368"/>
      <c r="GM142" s="368"/>
      <c r="GN142" s="368"/>
      <c r="GO142" s="368"/>
      <c r="GP142" s="368"/>
      <c r="GQ142" s="368"/>
      <c r="GR142" s="368"/>
      <c r="GS142" s="368"/>
      <c r="GT142" s="368"/>
      <c r="GU142" s="368"/>
      <c r="GV142" s="368"/>
      <c r="GW142" s="368"/>
      <c r="GX142" s="368"/>
      <c r="GY142" s="368"/>
      <c r="GZ142" s="368"/>
      <c r="HA142" s="368"/>
      <c r="HB142" s="368"/>
      <c r="HC142" s="368"/>
      <c r="HD142" s="368"/>
      <c r="HE142" s="368"/>
      <c r="HF142" s="368"/>
      <c r="HG142" s="368"/>
      <c r="HH142" s="368"/>
      <c r="HI142" s="368"/>
      <c r="HJ142" s="368"/>
      <c r="HK142" s="368"/>
      <c r="HL142" s="368"/>
      <c r="HM142" s="368"/>
      <c r="HN142" s="368"/>
      <c r="HO142" s="368"/>
      <c r="HP142" s="368"/>
      <c r="HQ142" s="368"/>
      <c r="HR142" s="368"/>
      <c r="HS142" s="368"/>
      <c r="HT142" s="368"/>
      <c r="HU142" s="368"/>
      <c r="HV142" s="368"/>
      <c r="HW142" s="368"/>
      <c r="HX142" s="368"/>
      <c r="HY142" s="368"/>
      <c r="HZ142" s="368"/>
      <c r="IA142" s="368"/>
      <c r="IB142" s="368"/>
      <c r="IC142" s="368"/>
      <c r="ID142" s="368"/>
      <c r="IE142" s="368"/>
      <c r="IF142" s="368"/>
      <c r="IG142" s="368"/>
      <c r="IH142" s="368"/>
      <c r="II142" s="368"/>
      <c r="IJ142" s="368"/>
      <c r="IK142" s="368"/>
      <c r="IL142" s="368"/>
      <c r="IM142" s="368"/>
      <c r="IN142" s="368"/>
      <c r="IO142" s="368"/>
      <c r="IP142" s="368"/>
      <c r="IQ142" s="368"/>
      <c r="IR142" s="368"/>
      <c r="IS142" s="368"/>
      <c r="IT142" s="368"/>
      <c r="IU142" s="368"/>
      <c r="IV142" s="368"/>
      <c r="IW142" s="368"/>
      <c r="IX142" s="368"/>
      <c r="IY142" s="368"/>
      <c r="IZ142" s="368"/>
      <c r="JA142" s="368"/>
      <c r="JB142" s="368"/>
      <c r="JC142" s="368"/>
      <c r="JD142" s="368"/>
      <c r="JE142" s="368"/>
      <c r="JF142" s="368"/>
      <c r="JG142" s="368"/>
      <c r="JH142" s="368"/>
      <c r="JI142" s="368"/>
      <c r="JJ142" s="368"/>
      <c r="JK142" s="368"/>
      <c r="JL142" s="368"/>
      <c r="JM142" s="368"/>
      <c r="JN142" s="368"/>
      <c r="JO142" s="368"/>
      <c r="JP142" s="368"/>
      <c r="JQ142" s="368"/>
      <c r="JR142" s="368"/>
      <c r="JS142" s="368"/>
      <c r="JT142" s="368"/>
      <c r="JU142" s="368"/>
      <c r="JV142" s="368"/>
      <c r="JW142" s="368"/>
      <c r="JX142" s="368"/>
      <c r="JY142" s="368"/>
      <c r="JZ142" s="368"/>
      <c r="KA142" s="368"/>
      <c r="KB142" s="368"/>
      <c r="KC142" s="368"/>
      <c r="KD142" s="368"/>
      <c r="KE142" s="368"/>
      <c r="KF142" s="368"/>
      <c r="KG142" s="368"/>
      <c r="KH142" s="368"/>
      <c r="KI142" s="368"/>
      <c r="KJ142" s="368"/>
      <c r="KK142" s="368"/>
      <c r="KL142" s="368"/>
      <c r="KM142" s="368"/>
      <c r="KN142" s="368"/>
      <c r="KO142" s="368"/>
      <c r="KP142" s="368"/>
      <c r="KQ142" s="368"/>
      <c r="KR142" s="368"/>
      <c r="KS142" s="368"/>
      <c r="KT142" s="368"/>
      <c r="KU142" s="368"/>
      <c r="KV142" s="368"/>
      <c r="KW142" s="368"/>
      <c r="KX142" s="368"/>
      <c r="KY142" s="368"/>
      <c r="KZ142" s="368"/>
      <c r="LA142" s="368"/>
      <c r="LB142" s="368"/>
      <c r="LC142" s="368"/>
      <c r="LD142" s="368"/>
      <c r="LE142" s="368"/>
      <c r="LF142" s="368"/>
      <c r="LG142" s="368"/>
      <c r="LH142" s="368"/>
      <c r="LI142" s="368"/>
      <c r="LJ142" s="368"/>
      <c r="LK142" s="368"/>
      <c r="LL142" s="368"/>
      <c r="LM142" s="368"/>
      <c r="LN142" s="368"/>
      <c r="LO142" s="368"/>
      <c r="LP142" s="368"/>
      <c r="LQ142" s="368"/>
      <c r="LR142" s="368"/>
      <c r="LS142" s="368"/>
      <c r="LT142" s="368"/>
      <c r="LU142" s="368"/>
      <c r="LV142" s="368"/>
      <c r="LW142" s="368"/>
      <c r="LX142" s="368"/>
      <c r="LY142" s="368"/>
      <c r="LZ142" s="368"/>
      <c r="MA142" s="368"/>
      <c r="MB142" s="368"/>
      <c r="MC142" s="368"/>
      <c r="MD142" s="368"/>
      <c r="ME142" s="368"/>
      <c r="MF142" s="368"/>
      <c r="MG142" s="368"/>
      <c r="MH142" s="368"/>
      <c r="MI142" s="368"/>
      <c r="MJ142" s="368"/>
      <c r="MK142" s="368"/>
      <c r="ML142" s="368"/>
      <c r="MM142" s="368"/>
      <c r="MN142" s="368"/>
      <c r="MO142" s="368"/>
      <c r="MP142" s="368"/>
      <c r="MQ142" s="368"/>
      <c r="MR142" s="368"/>
      <c r="MS142" s="368"/>
      <c r="MT142" s="368"/>
      <c r="MU142" s="368"/>
      <c r="MV142" s="368"/>
      <c r="MW142" s="368"/>
      <c r="MX142" s="368"/>
      <c r="MY142" s="368"/>
      <c r="MZ142" s="368"/>
      <c r="NA142" s="368"/>
      <c r="NB142" s="368"/>
      <c r="NC142" s="368"/>
      <c r="ND142" s="368"/>
      <c r="NE142" s="368"/>
      <c r="NF142" s="368"/>
      <c r="NG142" s="368"/>
      <c r="NH142" s="368"/>
      <c r="NI142" s="368"/>
      <c r="NJ142" s="368"/>
      <c r="NK142" s="368"/>
      <c r="NL142" s="368"/>
      <c r="NM142" s="368"/>
      <c r="NN142" s="368"/>
      <c r="NO142" s="368"/>
      <c r="NP142" s="368"/>
      <c r="NQ142" s="368"/>
      <c r="NR142" s="368"/>
      <c r="NS142" s="368"/>
      <c r="NT142" s="368"/>
      <c r="NU142" s="368"/>
      <c r="NV142" s="368"/>
      <c r="NW142" s="368"/>
      <c r="NX142" s="368"/>
      <c r="NY142" s="368"/>
      <c r="NZ142" s="368"/>
      <c r="OA142" s="368"/>
      <c r="OB142" s="368"/>
      <c r="OC142" s="368"/>
      <c r="OD142" s="368"/>
      <c r="OE142" s="368"/>
      <c r="OF142" s="368"/>
      <c r="OG142" s="368"/>
      <c r="OH142" s="368"/>
      <c r="OI142" s="368"/>
      <c r="OJ142" s="368"/>
      <c r="OK142" s="368"/>
      <c r="OL142" s="368"/>
      <c r="OM142" s="368"/>
      <c r="ON142" s="368"/>
      <c r="OO142" s="368"/>
      <c r="OP142" s="368"/>
      <c r="OQ142" s="368"/>
      <c r="OR142" s="368"/>
      <c r="OS142" s="368"/>
      <c r="OT142" s="368"/>
      <c r="OU142" s="368"/>
      <c r="OV142" s="368"/>
      <c r="OW142" s="368"/>
      <c r="OX142" s="368"/>
      <c r="OY142" s="368"/>
      <c r="OZ142" s="368"/>
      <c r="PA142" s="368"/>
      <c r="PB142" s="368"/>
      <c r="PC142" s="368"/>
      <c r="PD142" s="368"/>
      <c r="PE142" s="368"/>
      <c r="PF142" s="368"/>
      <c r="PG142" s="368"/>
      <c r="PH142" s="368"/>
      <c r="PI142" s="368"/>
      <c r="PJ142" s="368"/>
      <c r="PK142" s="368"/>
      <c r="PL142" s="368"/>
      <c r="PM142" s="368"/>
      <c r="PN142" s="368"/>
      <c r="PO142" s="368"/>
      <c r="PP142" s="368"/>
      <c r="PQ142" s="368"/>
      <c r="PR142" s="368"/>
      <c r="PS142" s="368"/>
      <c r="PT142" s="368"/>
      <c r="PU142" s="368"/>
      <c r="PV142" s="368"/>
      <c r="PW142" s="368"/>
      <c r="PX142" s="368"/>
      <c r="PY142" s="368"/>
      <c r="PZ142" s="368"/>
      <c r="QA142" s="368"/>
      <c r="QB142" s="368"/>
      <c r="QC142" s="368"/>
      <c r="QD142" s="368"/>
      <c r="QE142" s="368"/>
      <c r="QF142" s="368"/>
      <c r="QG142" s="368"/>
      <c r="QH142" s="368"/>
      <c r="QI142" s="368"/>
      <c r="QJ142" s="368"/>
      <c r="QK142" s="368"/>
      <c r="QL142" s="368"/>
      <c r="QM142" s="368"/>
      <c r="QN142" s="368"/>
      <c r="QO142" s="368"/>
      <c r="QP142" s="368"/>
      <c r="QQ142" s="368"/>
      <c r="QR142" s="368"/>
      <c r="QS142" s="368"/>
      <c r="QT142" s="368"/>
      <c r="QU142" s="368"/>
      <c r="QV142" s="368"/>
      <c r="QW142" s="368"/>
      <c r="QX142" s="368"/>
      <c r="QY142" s="368"/>
      <c r="QZ142" s="368"/>
      <c r="RA142" s="368"/>
      <c r="RB142" s="368"/>
      <c r="RC142" s="368"/>
      <c r="RD142" s="368"/>
      <c r="RE142" s="368"/>
      <c r="RF142" s="368"/>
      <c r="RG142" s="368"/>
      <c r="RH142" s="368"/>
      <c r="RI142" s="368"/>
      <c r="RJ142" s="368"/>
      <c r="RK142" s="368"/>
      <c r="RL142" s="368"/>
      <c r="RM142" s="368"/>
      <c r="RN142" s="368"/>
      <c r="RO142" s="368"/>
      <c r="RP142" s="368"/>
      <c r="RQ142" s="368"/>
      <c r="RR142" s="368"/>
      <c r="RS142" s="368"/>
      <c r="RT142" s="368"/>
      <c r="RU142" s="368"/>
      <c r="RV142" s="368"/>
      <c r="RW142" s="368"/>
      <c r="RX142" s="368"/>
      <c r="RY142" s="368"/>
      <c r="RZ142" s="368"/>
      <c r="SA142" s="368"/>
      <c r="SB142" s="368"/>
      <c r="SC142" s="368"/>
      <c r="SD142" s="368"/>
      <c r="SE142" s="368"/>
      <c r="SF142" s="368"/>
      <c r="SG142" s="368"/>
      <c r="SH142" s="368"/>
      <c r="SI142" s="368"/>
      <c r="SJ142" s="368"/>
      <c r="SK142" s="368"/>
      <c r="SL142" s="368"/>
      <c r="SM142" s="368"/>
      <c r="SN142" s="368"/>
      <c r="SO142" s="368"/>
      <c r="SP142" s="368"/>
      <c r="SQ142" s="368"/>
      <c r="SR142" s="368"/>
      <c r="SS142" s="368"/>
      <c r="ST142" s="368"/>
      <c r="SU142" s="368"/>
      <c r="SV142" s="368"/>
      <c r="SW142" s="368"/>
      <c r="SX142" s="368"/>
      <c r="SY142" s="368"/>
      <c r="SZ142" s="368"/>
      <c r="TA142" s="368"/>
      <c r="TB142" s="368"/>
      <c r="TC142" s="368"/>
      <c r="TD142" s="368"/>
      <c r="TE142" s="368"/>
      <c r="TF142" s="368"/>
      <c r="TG142" s="368"/>
      <c r="TH142" s="368"/>
      <c r="TI142" s="368"/>
      <c r="TJ142" s="368"/>
      <c r="TK142" s="368"/>
      <c r="TL142" s="368"/>
      <c r="TM142" s="368"/>
      <c r="TN142" s="368"/>
      <c r="TO142" s="368"/>
      <c r="TP142" s="368"/>
      <c r="TQ142" s="368"/>
      <c r="TR142" s="368"/>
      <c r="TS142" s="368"/>
      <c r="TT142" s="368"/>
      <c r="TU142" s="368"/>
      <c r="TV142" s="368"/>
      <c r="TW142" s="368"/>
      <c r="TX142" s="368"/>
      <c r="TY142" s="368"/>
      <c r="TZ142" s="368"/>
      <c r="UA142" s="368"/>
      <c r="UB142" s="368"/>
      <c r="UC142" s="368"/>
      <c r="UD142" s="368"/>
      <c r="UE142" s="368"/>
      <c r="UF142" s="368"/>
      <c r="UG142" s="368"/>
      <c r="UH142" s="368"/>
      <c r="UI142" s="368"/>
      <c r="UJ142" s="368"/>
      <c r="UK142" s="368"/>
      <c r="UL142" s="368"/>
      <c r="UM142" s="368"/>
      <c r="UN142" s="368"/>
      <c r="UO142" s="368"/>
      <c r="UP142" s="368"/>
      <c r="UQ142" s="368"/>
      <c r="UR142" s="368"/>
      <c r="US142" s="368"/>
      <c r="UT142" s="368"/>
      <c r="UU142" s="368"/>
      <c r="UV142" s="368"/>
      <c r="UW142" s="368"/>
      <c r="UX142" s="368"/>
      <c r="UY142" s="368"/>
      <c r="UZ142" s="368"/>
      <c r="VA142" s="368"/>
      <c r="VB142" s="368"/>
      <c r="VC142" s="368"/>
      <c r="VD142" s="368"/>
      <c r="VE142" s="368"/>
      <c r="VF142" s="368"/>
      <c r="VG142" s="368"/>
      <c r="VH142" s="368"/>
      <c r="VI142" s="368"/>
      <c r="VJ142" s="368"/>
      <c r="VK142" s="368"/>
      <c r="VL142" s="368"/>
      <c r="VM142" s="368"/>
      <c r="VN142" s="368"/>
      <c r="VO142" s="368"/>
      <c r="VP142" s="368"/>
      <c r="VQ142" s="368"/>
      <c r="VR142" s="368"/>
      <c r="VS142" s="368"/>
      <c r="VT142" s="368"/>
      <c r="VU142" s="368"/>
      <c r="VV142" s="368"/>
      <c r="VW142" s="368"/>
      <c r="VX142" s="368"/>
      <c r="VY142" s="368"/>
      <c r="VZ142" s="368"/>
      <c r="WA142" s="368"/>
      <c r="WB142" s="368"/>
      <c r="WC142" s="368"/>
      <c r="WD142" s="368"/>
      <c r="WE142" s="368"/>
      <c r="WF142" s="368"/>
      <c r="WG142" s="368"/>
      <c r="WH142" s="368"/>
      <c r="WI142" s="368"/>
      <c r="WJ142" s="368"/>
      <c r="WK142" s="368"/>
      <c r="WL142" s="368"/>
      <c r="WM142" s="368"/>
      <c r="WN142" s="368"/>
      <c r="WO142" s="368"/>
      <c r="WP142" s="368"/>
      <c r="WQ142" s="368"/>
      <c r="WR142" s="368"/>
      <c r="WS142" s="368"/>
      <c r="WT142" s="368"/>
      <c r="WU142" s="368"/>
      <c r="WV142" s="368"/>
      <c r="WW142" s="368"/>
      <c r="WX142" s="368"/>
      <c r="WY142" s="368"/>
      <c r="WZ142" s="368"/>
      <c r="XA142" s="368"/>
      <c r="XB142" s="368"/>
      <c r="XC142" s="368"/>
      <c r="XD142" s="368"/>
      <c r="XE142" s="368"/>
      <c r="XF142" s="368"/>
      <c r="XG142" s="368"/>
      <c r="XH142" s="368"/>
      <c r="XI142" s="368"/>
      <c r="XJ142" s="368"/>
      <c r="XK142" s="368"/>
      <c r="XL142" s="368"/>
      <c r="XM142" s="368"/>
      <c r="XN142" s="368"/>
      <c r="XO142" s="368"/>
      <c r="XP142" s="368"/>
      <c r="XQ142" s="368"/>
      <c r="XR142" s="368"/>
      <c r="XS142" s="368"/>
      <c r="XT142" s="368"/>
      <c r="XU142" s="368"/>
      <c r="XV142" s="368"/>
      <c r="XW142" s="368"/>
      <c r="XX142" s="368"/>
      <c r="XY142" s="368"/>
      <c r="XZ142" s="368"/>
      <c r="YA142" s="368"/>
      <c r="YB142" s="368"/>
      <c r="YC142" s="368"/>
      <c r="YD142" s="368"/>
      <c r="YE142" s="368"/>
      <c r="YF142" s="368"/>
      <c r="YG142" s="368"/>
      <c r="YH142" s="368"/>
      <c r="YI142" s="368"/>
      <c r="YJ142" s="368"/>
      <c r="YK142" s="368"/>
      <c r="YL142" s="368"/>
      <c r="YM142" s="368"/>
      <c r="YN142" s="368"/>
      <c r="YO142" s="368"/>
      <c r="YP142" s="368"/>
      <c r="YQ142" s="368"/>
      <c r="YR142" s="368"/>
      <c r="YS142" s="368"/>
      <c r="YT142" s="368"/>
      <c r="YU142" s="368"/>
      <c r="YV142" s="368"/>
      <c r="YW142" s="368"/>
      <c r="YX142" s="368"/>
      <c r="YY142" s="368"/>
      <c r="YZ142" s="368"/>
      <c r="ZA142" s="368"/>
      <c r="ZB142" s="368"/>
      <c r="ZC142" s="368"/>
      <c r="ZD142" s="368"/>
      <c r="ZE142" s="368"/>
      <c r="ZF142" s="368"/>
      <c r="ZG142" s="368"/>
      <c r="ZH142" s="368"/>
      <c r="ZI142" s="368"/>
      <c r="ZJ142" s="368"/>
      <c r="ZK142" s="368"/>
      <c r="ZL142" s="368"/>
      <c r="ZM142" s="368"/>
      <c r="ZN142" s="368"/>
      <c r="ZO142" s="368"/>
      <c r="ZP142" s="368"/>
      <c r="ZQ142" s="368"/>
      <c r="ZR142" s="368"/>
      <c r="ZS142" s="368"/>
      <c r="ZT142" s="368"/>
      <c r="ZU142" s="368"/>
      <c r="ZV142" s="368"/>
      <c r="ZW142" s="368"/>
      <c r="ZX142" s="368"/>
      <c r="ZY142" s="368"/>
      <c r="ZZ142" s="368"/>
      <c r="AAA142" s="368"/>
      <c r="AAB142" s="368"/>
      <c r="AAC142" s="368"/>
      <c r="AAD142" s="368"/>
      <c r="AAE142" s="368"/>
      <c r="AAF142" s="368"/>
      <c r="AAG142" s="368"/>
      <c r="AAH142" s="368"/>
      <c r="AAI142" s="368"/>
      <c r="AAJ142" s="368"/>
      <c r="AAK142" s="368"/>
      <c r="AAL142" s="368"/>
      <c r="AAM142" s="368"/>
      <c r="AAN142" s="368"/>
      <c r="AAO142" s="368"/>
      <c r="AAP142" s="368"/>
      <c r="AAQ142" s="368"/>
      <c r="AAR142" s="368"/>
      <c r="AAS142" s="368"/>
      <c r="AAT142" s="368"/>
      <c r="AAU142" s="368"/>
      <c r="AAV142" s="368"/>
      <c r="AAW142" s="368"/>
      <c r="AAX142" s="368"/>
      <c r="AAY142" s="368"/>
      <c r="AAZ142" s="368"/>
      <c r="ABA142" s="368"/>
      <c r="ABB142" s="368"/>
      <c r="ABC142" s="368"/>
      <c r="ABD142" s="368"/>
      <c r="ABE142" s="368"/>
      <c r="ABF142" s="368"/>
      <c r="ABG142" s="368"/>
      <c r="ABH142" s="368"/>
      <c r="ABI142" s="368"/>
      <c r="ABJ142" s="368"/>
      <c r="ABK142" s="368"/>
      <c r="ABL142" s="368"/>
      <c r="ABM142" s="368"/>
      <c r="ABN142" s="368"/>
      <c r="ABO142" s="368"/>
      <c r="ABP142" s="368"/>
      <c r="ABQ142" s="368"/>
      <c r="ABR142" s="368"/>
      <c r="ABS142" s="368"/>
      <c r="ABT142" s="368"/>
      <c r="ABU142" s="368"/>
      <c r="ABV142" s="368"/>
      <c r="ABW142" s="368"/>
      <c r="ABX142" s="368"/>
      <c r="ABY142" s="368"/>
      <c r="ABZ142" s="368"/>
      <c r="ACA142" s="368"/>
      <c r="ACB142" s="368"/>
      <c r="ACC142" s="368"/>
      <c r="ACD142" s="368"/>
      <c r="ACE142" s="368"/>
      <c r="ACF142" s="368"/>
      <c r="ACG142" s="368"/>
      <c r="ACH142" s="368"/>
      <c r="ACI142" s="368"/>
      <c r="ACJ142" s="368"/>
      <c r="ACK142" s="368"/>
      <c r="ACL142" s="368"/>
      <c r="ACM142" s="368"/>
      <c r="ACN142" s="368"/>
      <c r="ACO142" s="368"/>
      <c r="ACP142" s="368"/>
      <c r="ACQ142" s="368"/>
      <c r="ACR142" s="368"/>
      <c r="ACS142" s="368"/>
      <c r="ACT142" s="368"/>
      <c r="ACU142" s="368"/>
      <c r="ACV142" s="368"/>
      <c r="ACW142" s="368"/>
      <c r="ACX142" s="368"/>
      <c r="ACY142" s="368"/>
      <c r="ACZ142" s="368"/>
      <c r="ADA142" s="368"/>
      <c r="ADB142" s="368"/>
      <c r="ADC142" s="368"/>
      <c r="ADD142" s="368"/>
      <c r="ADE142" s="368"/>
      <c r="ADF142" s="368"/>
      <c r="ADG142" s="368"/>
      <c r="ADH142" s="368"/>
      <c r="ADI142" s="368"/>
      <c r="ADJ142" s="368"/>
      <c r="ADK142" s="368"/>
      <c r="ADL142" s="368"/>
      <c r="ADM142" s="368"/>
      <c r="ADN142" s="368"/>
      <c r="ADO142" s="368"/>
      <c r="ADP142" s="368"/>
      <c r="ADQ142" s="368"/>
      <c r="ADR142" s="368"/>
      <c r="ADS142" s="368"/>
      <c r="ADT142" s="368"/>
      <c r="ADU142" s="368"/>
      <c r="ADV142" s="368"/>
      <c r="ADW142" s="368"/>
      <c r="ADX142" s="368"/>
      <c r="ADY142" s="368"/>
      <c r="ADZ142" s="368"/>
      <c r="AEA142" s="368"/>
      <c r="AEB142" s="368"/>
      <c r="AEC142" s="368"/>
      <c r="AED142" s="368"/>
      <c r="AEE142" s="368"/>
      <c r="AEF142" s="368"/>
      <c r="AEG142" s="368"/>
      <c r="AEH142" s="368"/>
      <c r="AEI142" s="368"/>
      <c r="AEJ142" s="368"/>
      <c r="AEK142" s="368"/>
      <c r="AEL142" s="368"/>
      <c r="AEM142" s="368"/>
      <c r="AEN142" s="368"/>
      <c r="AEO142" s="368"/>
      <c r="AEP142" s="368"/>
      <c r="AEQ142" s="368"/>
      <c r="AER142" s="368"/>
      <c r="AES142" s="368"/>
      <c r="AET142" s="368"/>
      <c r="AEU142" s="368"/>
      <c r="AEV142" s="368"/>
      <c r="AEW142" s="368"/>
      <c r="AEX142" s="368"/>
      <c r="AEY142" s="368"/>
      <c r="AEZ142" s="368"/>
      <c r="AFA142" s="368"/>
      <c r="AFB142" s="368"/>
      <c r="AFC142" s="368"/>
      <c r="AFD142" s="368"/>
      <c r="AFE142" s="368"/>
      <c r="AFF142" s="368"/>
      <c r="AFG142" s="368"/>
      <c r="AFH142" s="368"/>
      <c r="AFI142" s="368"/>
      <c r="AFJ142" s="368"/>
      <c r="AFK142" s="368"/>
      <c r="AFL142" s="368"/>
      <c r="AFM142" s="368"/>
      <c r="AFN142" s="368"/>
      <c r="AFO142" s="368"/>
      <c r="AFP142" s="368"/>
      <c r="AFQ142" s="368"/>
      <c r="AFR142" s="368"/>
      <c r="AFS142" s="368"/>
      <c r="AFT142" s="368"/>
      <c r="AFU142" s="368"/>
      <c r="AFV142" s="368"/>
      <c r="AFW142" s="368"/>
      <c r="AFX142" s="368"/>
      <c r="AFY142" s="368"/>
      <c r="AFZ142" s="368"/>
      <c r="AGA142" s="368"/>
      <c r="AGB142" s="368"/>
      <c r="AGC142" s="368"/>
      <c r="AGD142" s="368"/>
      <c r="AGE142" s="368"/>
      <c r="AGF142" s="368"/>
      <c r="AGG142" s="368"/>
      <c r="AGH142" s="368"/>
      <c r="AGI142" s="368"/>
      <c r="AGJ142" s="368"/>
      <c r="AGK142" s="368"/>
      <c r="AGL142" s="368"/>
      <c r="AGM142" s="368"/>
      <c r="AGN142" s="368"/>
      <c r="AGO142" s="368"/>
      <c r="AGP142" s="368"/>
      <c r="AGQ142" s="368"/>
      <c r="AGR142" s="368"/>
      <c r="AGS142" s="368"/>
      <c r="AGT142" s="368"/>
      <c r="AGU142" s="368"/>
      <c r="AGV142" s="368"/>
      <c r="AGW142" s="368"/>
      <c r="AGX142" s="368"/>
      <c r="AGY142" s="368"/>
      <c r="AGZ142" s="368"/>
      <c r="AHA142" s="368"/>
      <c r="AHB142" s="368"/>
      <c r="AHC142" s="368"/>
      <c r="AHD142" s="368"/>
      <c r="AHE142" s="368"/>
      <c r="AHF142" s="368"/>
      <c r="AHG142" s="368"/>
      <c r="AHH142" s="368"/>
      <c r="AHI142" s="368"/>
      <c r="AHJ142" s="368"/>
      <c r="AHK142" s="368"/>
      <c r="AHL142" s="368"/>
      <c r="AHM142" s="368"/>
      <c r="AHN142" s="368"/>
      <c r="AHO142" s="368"/>
      <c r="AHP142" s="368"/>
      <c r="AHQ142" s="368"/>
      <c r="AHR142" s="368"/>
      <c r="AHS142" s="368"/>
      <c r="AHT142" s="368"/>
      <c r="AHU142" s="368"/>
      <c r="AHV142" s="368"/>
      <c r="AHW142" s="368"/>
      <c r="AHX142" s="368"/>
      <c r="AHY142" s="368"/>
      <c r="AHZ142" s="368"/>
      <c r="AIA142" s="368"/>
      <c r="AIB142" s="368"/>
      <c r="AIC142" s="368"/>
      <c r="AID142" s="368"/>
      <c r="AIE142" s="368"/>
      <c r="AIF142" s="368"/>
      <c r="AIG142" s="368"/>
      <c r="AIH142" s="368"/>
      <c r="AII142" s="368"/>
      <c r="AIJ142" s="368"/>
      <c r="AIK142" s="368"/>
      <c r="AIL142" s="368"/>
      <c r="AIM142" s="368"/>
      <c r="AIN142" s="368"/>
      <c r="AIO142" s="368"/>
      <c r="AIP142" s="368"/>
      <c r="AIQ142" s="368"/>
      <c r="AIR142" s="368"/>
      <c r="AIS142" s="368"/>
      <c r="AIT142" s="368"/>
      <c r="AIU142" s="368"/>
      <c r="AIV142" s="368"/>
      <c r="AIW142" s="368"/>
      <c r="AIX142" s="368"/>
      <c r="AIY142" s="368"/>
      <c r="AIZ142" s="368"/>
      <c r="AJA142" s="368"/>
      <c r="AJB142" s="368"/>
      <c r="AJC142" s="368"/>
      <c r="AJD142" s="368"/>
      <c r="AJE142" s="368"/>
      <c r="AJF142" s="368"/>
      <c r="AJG142" s="368"/>
      <c r="AJH142" s="368"/>
      <c r="AJI142" s="368"/>
      <c r="AJJ142" s="368"/>
      <c r="AJK142" s="368"/>
      <c r="AJL142" s="368"/>
      <c r="AJM142" s="368"/>
      <c r="AJN142" s="368"/>
      <c r="AJO142" s="368"/>
      <c r="AJP142" s="368"/>
      <c r="AJQ142" s="368"/>
      <c r="AJR142" s="368"/>
      <c r="AJS142" s="368"/>
      <c r="AJT142" s="368"/>
      <c r="AJU142" s="368"/>
      <c r="AJV142" s="368"/>
      <c r="AJW142" s="368"/>
      <c r="AJX142" s="368"/>
      <c r="AJY142" s="368"/>
      <c r="AJZ142" s="368"/>
      <c r="AKA142" s="368"/>
      <c r="AKB142" s="368"/>
      <c r="AKC142" s="368"/>
      <c r="AKD142" s="368"/>
      <c r="AKE142" s="368"/>
      <c r="AKF142" s="368"/>
      <c r="AKG142" s="368"/>
      <c r="AKH142" s="368"/>
      <c r="AKI142" s="368"/>
      <c r="AKJ142" s="368"/>
      <c r="AKK142" s="368"/>
      <c r="AKL142" s="368"/>
      <c r="AKM142" s="368"/>
      <c r="AKN142" s="368"/>
    </row>
    <row r="143" spans="1:976" s="346" customFormat="1" ht="22.5" customHeight="1" x14ac:dyDescent="0.2">
      <c r="A143" s="370" t="s">
        <v>262</v>
      </c>
      <c r="B143" s="370"/>
      <c r="C143" s="370" t="s">
        <v>221</v>
      </c>
      <c r="D143" s="370" t="s">
        <v>222</v>
      </c>
      <c r="E143" s="371">
        <v>414749</v>
      </c>
      <c r="F143" s="371">
        <v>1864</v>
      </c>
      <c r="G143" s="371">
        <v>302</v>
      </c>
      <c r="H143" s="371">
        <v>0</v>
      </c>
      <c r="I143" s="372">
        <v>45902</v>
      </c>
      <c r="J143" s="370" t="s">
        <v>656</v>
      </c>
      <c r="K143" s="370" t="s">
        <v>669</v>
      </c>
      <c r="L143" s="373">
        <v>26.59</v>
      </c>
      <c r="M143" s="373">
        <v>2.71</v>
      </c>
      <c r="N143" s="444">
        <v>29.3</v>
      </c>
      <c r="O143" s="370"/>
      <c r="P143" s="374">
        <v>45904</v>
      </c>
      <c r="Q143" s="373">
        <v>29.3</v>
      </c>
      <c r="R143" s="370" t="s">
        <v>670</v>
      </c>
      <c r="S143" s="373">
        <v>0</v>
      </c>
      <c r="T143" s="373">
        <v>0</v>
      </c>
      <c r="U143" s="373">
        <v>0</v>
      </c>
      <c r="V143" s="373">
        <v>0</v>
      </c>
      <c r="W143" s="370"/>
      <c r="X143" s="370" t="s">
        <v>293</v>
      </c>
      <c r="Y143" s="370" t="s">
        <v>294</v>
      </c>
      <c r="Z143" s="370" t="s">
        <v>42</v>
      </c>
      <c r="AA143" s="370" t="s">
        <v>228</v>
      </c>
      <c r="AB143" s="370" t="s">
        <v>235</v>
      </c>
      <c r="AC143" s="370" t="s">
        <v>331</v>
      </c>
      <c r="AD143" s="370" t="s">
        <v>231</v>
      </c>
      <c r="AE143" s="370" t="s">
        <v>232</v>
      </c>
      <c r="AF143" s="370" t="s">
        <v>231</v>
      </c>
      <c r="AG143" s="370" t="s">
        <v>232</v>
      </c>
      <c r="AH143" s="370"/>
      <c r="AI143" s="370"/>
      <c r="AJ143" s="370"/>
      <c r="AK143" s="370" t="s">
        <v>671</v>
      </c>
      <c r="AL143" s="371">
        <v>1</v>
      </c>
      <c r="AM143" s="371">
        <v>0</v>
      </c>
      <c r="AN143" s="372">
        <v>45904</v>
      </c>
      <c r="AO143" s="372">
        <v>45904</v>
      </c>
      <c r="AP143" s="373">
        <v>29.3</v>
      </c>
      <c r="AQ143" s="372">
        <v>45903</v>
      </c>
      <c r="AR143" s="368"/>
      <c r="AS143" s="368"/>
      <c r="AT143" s="368"/>
      <c r="AU143" s="368"/>
      <c r="AV143" s="368"/>
      <c r="AW143" s="368"/>
      <c r="AX143" s="368"/>
      <c r="AY143" s="368"/>
      <c r="AZ143" s="368"/>
      <c r="BA143" s="368"/>
      <c r="BB143" s="368"/>
      <c r="BC143" s="368"/>
      <c r="BD143" s="368"/>
      <c r="BE143" s="368"/>
      <c r="BF143" s="368"/>
      <c r="BG143" s="368"/>
      <c r="BH143" s="368"/>
      <c r="BI143" s="368"/>
      <c r="BJ143" s="368"/>
      <c r="BK143" s="368"/>
      <c r="BL143" s="368"/>
      <c r="BM143" s="368"/>
      <c r="BN143" s="368"/>
      <c r="BO143" s="368"/>
      <c r="BP143" s="368"/>
      <c r="BQ143" s="368"/>
      <c r="BR143" s="368"/>
      <c r="BS143" s="368"/>
      <c r="BT143" s="368"/>
      <c r="BU143" s="368"/>
      <c r="BV143" s="368"/>
      <c r="BW143" s="368"/>
      <c r="BX143" s="368"/>
      <c r="BY143" s="368"/>
      <c r="BZ143" s="368"/>
      <c r="CA143" s="368"/>
      <c r="CB143" s="368"/>
      <c r="CC143" s="368"/>
      <c r="CD143" s="368"/>
      <c r="CE143" s="368"/>
      <c r="CF143" s="368"/>
      <c r="CG143" s="368"/>
      <c r="CH143" s="368"/>
      <c r="CI143" s="368"/>
      <c r="CJ143" s="368"/>
      <c r="CK143" s="368"/>
      <c r="CL143" s="368"/>
      <c r="CM143" s="368"/>
      <c r="CN143" s="368"/>
      <c r="CO143" s="368"/>
      <c r="CP143" s="368"/>
      <c r="CQ143" s="368"/>
      <c r="CR143" s="368"/>
      <c r="CS143" s="368"/>
      <c r="CT143" s="368"/>
      <c r="CU143" s="368"/>
      <c r="CV143" s="368"/>
      <c r="CW143" s="368"/>
      <c r="CX143" s="368"/>
      <c r="CY143" s="368"/>
      <c r="CZ143" s="368"/>
      <c r="DA143" s="368"/>
      <c r="DB143" s="368"/>
      <c r="DC143" s="368"/>
      <c r="DD143" s="368"/>
      <c r="DE143" s="368"/>
      <c r="DF143" s="368"/>
      <c r="DG143" s="368"/>
      <c r="DH143" s="368"/>
      <c r="DI143" s="368"/>
      <c r="DJ143" s="368"/>
      <c r="DK143" s="368"/>
      <c r="DL143" s="368"/>
      <c r="DM143" s="368"/>
      <c r="DN143" s="368"/>
      <c r="DO143" s="368"/>
      <c r="DP143" s="368"/>
      <c r="DQ143" s="368"/>
      <c r="DR143" s="368"/>
      <c r="DS143" s="368"/>
      <c r="DT143" s="368"/>
      <c r="DU143" s="368"/>
      <c r="DV143" s="368"/>
      <c r="DW143" s="368"/>
      <c r="DX143" s="368"/>
      <c r="DY143" s="368"/>
      <c r="DZ143" s="368"/>
      <c r="EA143" s="368"/>
      <c r="EB143" s="368"/>
      <c r="EC143" s="368"/>
      <c r="ED143" s="368"/>
      <c r="EE143" s="368"/>
      <c r="EF143" s="368"/>
      <c r="EG143" s="368"/>
      <c r="EH143" s="368"/>
      <c r="EI143" s="368"/>
      <c r="EJ143" s="368"/>
      <c r="EK143" s="368"/>
      <c r="EL143" s="368"/>
      <c r="EM143" s="368"/>
      <c r="EN143" s="368"/>
      <c r="EO143" s="368"/>
      <c r="EP143" s="368"/>
      <c r="EQ143" s="368"/>
      <c r="ER143" s="368"/>
      <c r="ES143" s="368"/>
      <c r="ET143" s="368"/>
      <c r="EU143" s="368"/>
      <c r="EV143" s="368"/>
      <c r="EW143" s="368"/>
      <c r="EX143" s="368"/>
      <c r="EY143" s="368"/>
      <c r="EZ143" s="368"/>
      <c r="FA143" s="368"/>
      <c r="FB143" s="368"/>
      <c r="FC143" s="368"/>
      <c r="FD143" s="368"/>
      <c r="FE143" s="368"/>
      <c r="FF143" s="368"/>
      <c r="FG143" s="368"/>
      <c r="FH143" s="368"/>
      <c r="FI143" s="368"/>
      <c r="FJ143" s="368"/>
      <c r="FK143" s="368"/>
      <c r="FL143" s="368"/>
      <c r="FM143" s="368"/>
      <c r="FN143" s="368"/>
      <c r="FO143" s="368"/>
      <c r="FP143" s="368"/>
      <c r="FQ143" s="368"/>
      <c r="FR143" s="368"/>
      <c r="FS143" s="368"/>
      <c r="FT143" s="368"/>
      <c r="FU143" s="368"/>
      <c r="FV143" s="368"/>
      <c r="FW143" s="368"/>
      <c r="FX143" s="368"/>
      <c r="FY143" s="368"/>
      <c r="FZ143" s="368"/>
      <c r="GA143" s="368"/>
      <c r="GB143" s="368"/>
      <c r="GC143" s="368"/>
      <c r="GD143" s="368"/>
      <c r="GE143" s="368"/>
      <c r="GF143" s="368"/>
      <c r="GG143" s="368"/>
      <c r="GH143" s="368"/>
      <c r="GI143" s="368"/>
      <c r="GJ143" s="368"/>
      <c r="GK143" s="368"/>
      <c r="GL143" s="368"/>
      <c r="GM143" s="368"/>
      <c r="GN143" s="368"/>
      <c r="GO143" s="368"/>
      <c r="GP143" s="368"/>
      <c r="GQ143" s="368"/>
      <c r="GR143" s="368"/>
      <c r="GS143" s="368"/>
      <c r="GT143" s="368"/>
      <c r="GU143" s="368"/>
      <c r="GV143" s="368"/>
      <c r="GW143" s="368"/>
      <c r="GX143" s="368"/>
      <c r="GY143" s="368"/>
      <c r="GZ143" s="368"/>
      <c r="HA143" s="368"/>
      <c r="HB143" s="368"/>
      <c r="HC143" s="368"/>
      <c r="HD143" s="368"/>
      <c r="HE143" s="368"/>
      <c r="HF143" s="368"/>
      <c r="HG143" s="368"/>
      <c r="HH143" s="368"/>
      <c r="HI143" s="368"/>
      <c r="HJ143" s="368"/>
      <c r="HK143" s="368"/>
      <c r="HL143" s="368"/>
      <c r="HM143" s="368"/>
      <c r="HN143" s="368"/>
      <c r="HO143" s="368"/>
      <c r="HP143" s="368"/>
      <c r="HQ143" s="368"/>
      <c r="HR143" s="368"/>
      <c r="HS143" s="368"/>
      <c r="HT143" s="368"/>
      <c r="HU143" s="368"/>
      <c r="HV143" s="368"/>
      <c r="HW143" s="368"/>
      <c r="HX143" s="368"/>
      <c r="HY143" s="368"/>
      <c r="HZ143" s="368"/>
      <c r="IA143" s="368"/>
      <c r="IB143" s="368"/>
      <c r="IC143" s="368"/>
      <c r="ID143" s="368"/>
      <c r="IE143" s="368"/>
      <c r="IF143" s="368"/>
      <c r="IG143" s="368"/>
      <c r="IH143" s="368"/>
      <c r="II143" s="368"/>
      <c r="IJ143" s="368"/>
      <c r="IK143" s="368"/>
      <c r="IL143" s="368"/>
      <c r="IM143" s="368"/>
      <c r="IN143" s="368"/>
      <c r="IO143" s="368"/>
      <c r="IP143" s="368"/>
      <c r="IQ143" s="368"/>
      <c r="IR143" s="368"/>
      <c r="IS143" s="368"/>
      <c r="IT143" s="368"/>
      <c r="IU143" s="368"/>
      <c r="IV143" s="368"/>
      <c r="IW143" s="368"/>
      <c r="IX143" s="368"/>
      <c r="IY143" s="368"/>
      <c r="IZ143" s="368"/>
      <c r="JA143" s="368"/>
      <c r="JB143" s="368"/>
      <c r="JC143" s="368"/>
      <c r="JD143" s="368"/>
      <c r="JE143" s="368"/>
      <c r="JF143" s="368"/>
      <c r="JG143" s="368"/>
      <c r="JH143" s="368"/>
      <c r="JI143" s="368"/>
      <c r="JJ143" s="368"/>
      <c r="JK143" s="368"/>
      <c r="JL143" s="368"/>
      <c r="JM143" s="368"/>
      <c r="JN143" s="368"/>
      <c r="JO143" s="368"/>
      <c r="JP143" s="368"/>
      <c r="JQ143" s="368"/>
      <c r="JR143" s="368"/>
      <c r="JS143" s="368"/>
      <c r="JT143" s="368"/>
      <c r="JU143" s="368"/>
      <c r="JV143" s="368"/>
      <c r="JW143" s="368"/>
      <c r="JX143" s="368"/>
      <c r="JY143" s="368"/>
      <c r="JZ143" s="368"/>
      <c r="KA143" s="368"/>
      <c r="KB143" s="368"/>
      <c r="KC143" s="368"/>
      <c r="KD143" s="368"/>
      <c r="KE143" s="368"/>
      <c r="KF143" s="368"/>
      <c r="KG143" s="368"/>
      <c r="KH143" s="368"/>
      <c r="KI143" s="368"/>
      <c r="KJ143" s="368"/>
      <c r="KK143" s="368"/>
      <c r="KL143" s="368"/>
      <c r="KM143" s="368"/>
      <c r="KN143" s="368"/>
      <c r="KO143" s="368"/>
      <c r="KP143" s="368"/>
      <c r="KQ143" s="368"/>
      <c r="KR143" s="368"/>
      <c r="KS143" s="368"/>
      <c r="KT143" s="368"/>
      <c r="KU143" s="368"/>
      <c r="KV143" s="368"/>
      <c r="KW143" s="368"/>
      <c r="KX143" s="368"/>
      <c r="KY143" s="368"/>
      <c r="KZ143" s="368"/>
      <c r="LA143" s="368"/>
      <c r="LB143" s="368"/>
      <c r="LC143" s="368"/>
      <c r="LD143" s="368"/>
      <c r="LE143" s="368"/>
      <c r="LF143" s="368"/>
      <c r="LG143" s="368"/>
      <c r="LH143" s="368"/>
      <c r="LI143" s="368"/>
      <c r="LJ143" s="368"/>
      <c r="LK143" s="368"/>
      <c r="LL143" s="368"/>
      <c r="LM143" s="368"/>
      <c r="LN143" s="368"/>
      <c r="LO143" s="368"/>
      <c r="LP143" s="368"/>
      <c r="LQ143" s="368"/>
      <c r="LR143" s="368"/>
      <c r="LS143" s="368"/>
      <c r="LT143" s="368"/>
      <c r="LU143" s="368"/>
      <c r="LV143" s="368"/>
      <c r="LW143" s="368"/>
      <c r="LX143" s="368"/>
      <c r="LY143" s="368"/>
      <c r="LZ143" s="368"/>
      <c r="MA143" s="368"/>
      <c r="MB143" s="368"/>
      <c r="MC143" s="368"/>
      <c r="MD143" s="368"/>
      <c r="ME143" s="368"/>
      <c r="MF143" s="368"/>
      <c r="MG143" s="368"/>
      <c r="MH143" s="368"/>
      <c r="MI143" s="368"/>
      <c r="MJ143" s="368"/>
      <c r="MK143" s="368"/>
      <c r="ML143" s="368"/>
      <c r="MM143" s="368"/>
      <c r="MN143" s="368"/>
      <c r="MO143" s="368"/>
      <c r="MP143" s="368"/>
      <c r="MQ143" s="368"/>
      <c r="MR143" s="368"/>
      <c r="MS143" s="368"/>
      <c r="MT143" s="368"/>
      <c r="MU143" s="368"/>
      <c r="MV143" s="368"/>
      <c r="MW143" s="368"/>
      <c r="MX143" s="368"/>
      <c r="MY143" s="368"/>
      <c r="MZ143" s="368"/>
      <c r="NA143" s="368"/>
      <c r="NB143" s="368"/>
      <c r="NC143" s="368"/>
      <c r="ND143" s="368"/>
      <c r="NE143" s="368"/>
      <c r="NF143" s="368"/>
      <c r="NG143" s="368"/>
      <c r="NH143" s="368"/>
      <c r="NI143" s="368"/>
      <c r="NJ143" s="368"/>
      <c r="NK143" s="368"/>
      <c r="NL143" s="368"/>
      <c r="NM143" s="368"/>
      <c r="NN143" s="368"/>
      <c r="NO143" s="368"/>
      <c r="NP143" s="368"/>
      <c r="NQ143" s="368"/>
      <c r="NR143" s="368"/>
      <c r="NS143" s="368"/>
      <c r="NT143" s="368"/>
      <c r="NU143" s="368"/>
      <c r="NV143" s="368"/>
      <c r="NW143" s="368"/>
      <c r="NX143" s="368"/>
      <c r="NY143" s="368"/>
      <c r="NZ143" s="368"/>
      <c r="OA143" s="368"/>
      <c r="OB143" s="368"/>
      <c r="OC143" s="368"/>
      <c r="OD143" s="368"/>
      <c r="OE143" s="368"/>
      <c r="OF143" s="368"/>
      <c r="OG143" s="368"/>
      <c r="OH143" s="368"/>
      <c r="OI143" s="368"/>
      <c r="OJ143" s="368"/>
      <c r="OK143" s="368"/>
      <c r="OL143" s="368"/>
      <c r="OM143" s="368"/>
      <c r="ON143" s="368"/>
      <c r="OO143" s="368"/>
      <c r="OP143" s="368"/>
      <c r="OQ143" s="368"/>
      <c r="OR143" s="368"/>
      <c r="OS143" s="368"/>
      <c r="OT143" s="368"/>
      <c r="OU143" s="368"/>
      <c r="OV143" s="368"/>
      <c r="OW143" s="368"/>
      <c r="OX143" s="368"/>
      <c r="OY143" s="368"/>
      <c r="OZ143" s="368"/>
      <c r="PA143" s="368"/>
      <c r="PB143" s="368"/>
      <c r="PC143" s="368"/>
      <c r="PD143" s="368"/>
      <c r="PE143" s="368"/>
      <c r="PF143" s="368"/>
      <c r="PG143" s="368"/>
      <c r="PH143" s="368"/>
      <c r="PI143" s="368"/>
      <c r="PJ143" s="368"/>
      <c r="PK143" s="368"/>
      <c r="PL143" s="368"/>
      <c r="PM143" s="368"/>
      <c r="PN143" s="368"/>
      <c r="PO143" s="368"/>
      <c r="PP143" s="368"/>
      <c r="PQ143" s="368"/>
      <c r="PR143" s="368"/>
      <c r="PS143" s="368"/>
      <c r="PT143" s="368"/>
      <c r="PU143" s="368"/>
      <c r="PV143" s="368"/>
      <c r="PW143" s="368"/>
      <c r="PX143" s="368"/>
      <c r="PY143" s="368"/>
      <c r="PZ143" s="368"/>
      <c r="QA143" s="368"/>
      <c r="QB143" s="368"/>
      <c r="QC143" s="368"/>
      <c r="QD143" s="368"/>
      <c r="QE143" s="368"/>
      <c r="QF143" s="368"/>
      <c r="QG143" s="368"/>
      <c r="QH143" s="368"/>
      <c r="QI143" s="368"/>
      <c r="QJ143" s="368"/>
      <c r="QK143" s="368"/>
      <c r="QL143" s="368"/>
      <c r="QM143" s="368"/>
      <c r="QN143" s="368"/>
      <c r="QO143" s="368"/>
      <c r="QP143" s="368"/>
      <c r="QQ143" s="368"/>
      <c r="QR143" s="368"/>
      <c r="QS143" s="368"/>
      <c r="QT143" s="368"/>
      <c r="QU143" s="368"/>
      <c r="QV143" s="368"/>
      <c r="QW143" s="368"/>
      <c r="QX143" s="368"/>
      <c r="QY143" s="368"/>
      <c r="QZ143" s="368"/>
      <c r="RA143" s="368"/>
      <c r="RB143" s="368"/>
      <c r="RC143" s="368"/>
      <c r="RD143" s="368"/>
      <c r="RE143" s="368"/>
      <c r="RF143" s="368"/>
      <c r="RG143" s="368"/>
      <c r="RH143" s="368"/>
      <c r="RI143" s="368"/>
      <c r="RJ143" s="368"/>
      <c r="RK143" s="368"/>
      <c r="RL143" s="368"/>
      <c r="RM143" s="368"/>
      <c r="RN143" s="368"/>
      <c r="RO143" s="368"/>
      <c r="RP143" s="368"/>
      <c r="RQ143" s="368"/>
      <c r="RR143" s="368"/>
      <c r="RS143" s="368"/>
      <c r="RT143" s="368"/>
      <c r="RU143" s="368"/>
      <c r="RV143" s="368"/>
      <c r="RW143" s="368"/>
      <c r="RX143" s="368"/>
      <c r="RY143" s="368"/>
      <c r="RZ143" s="368"/>
      <c r="SA143" s="368"/>
      <c r="SB143" s="368"/>
      <c r="SC143" s="368"/>
      <c r="SD143" s="368"/>
      <c r="SE143" s="368"/>
      <c r="SF143" s="368"/>
      <c r="SG143" s="368"/>
      <c r="SH143" s="368"/>
      <c r="SI143" s="368"/>
      <c r="SJ143" s="368"/>
      <c r="SK143" s="368"/>
      <c r="SL143" s="368"/>
      <c r="SM143" s="368"/>
      <c r="SN143" s="368"/>
      <c r="SO143" s="368"/>
      <c r="SP143" s="368"/>
      <c r="SQ143" s="368"/>
      <c r="SR143" s="368"/>
      <c r="SS143" s="368"/>
      <c r="ST143" s="368"/>
      <c r="SU143" s="368"/>
      <c r="SV143" s="368"/>
      <c r="SW143" s="368"/>
      <c r="SX143" s="368"/>
      <c r="SY143" s="368"/>
      <c r="SZ143" s="368"/>
      <c r="TA143" s="368"/>
      <c r="TB143" s="368"/>
      <c r="TC143" s="368"/>
      <c r="TD143" s="368"/>
      <c r="TE143" s="368"/>
      <c r="TF143" s="368"/>
      <c r="TG143" s="368"/>
      <c r="TH143" s="368"/>
      <c r="TI143" s="368"/>
      <c r="TJ143" s="368"/>
      <c r="TK143" s="368"/>
      <c r="TL143" s="368"/>
      <c r="TM143" s="368"/>
      <c r="TN143" s="368"/>
      <c r="TO143" s="368"/>
      <c r="TP143" s="368"/>
      <c r="TQ143" s="368"/>
      <c r="TR143" s="368"/>
      <c r="TS143" s="368"/>
      <c r="TT143" s="368"/>
      <c r="TU143" s="368"/>
      <c r="TV143" s="368"/>
      <c r="TW143" s="368"/>
      <c r="TX143" s="368"/>
      <c r="TY143" s="368"/>
      <c r="TZ143" s="368"/>
      <c r="UA143" s="368"/>
      <c r="UB143" s="368"/>
      <c r="UC143" s="368"/>
      <c r="UD143" s="368"/>
      <c r="UE143" s="368"/>
      <c r="UF143" s="368"/>
      <c r="UG143" s="368"/>
      <c r="UH143" s="368"/>
      <c r="UI143" s="368"/>
      <c r="UJ143" s="368"/>
      <c r="UK143" s="368"/>
      <c r="UL143" s="368"/>
      <c r="UM143" s="368"/>
      <c r="UN143" s="368"/>
      <c r="UO143" s="368"/>
      <c r="UP143" s="368"/>
      <c r="UQ143" s="368"/>
      <c r="UR143" s="368"/>
      <c r="US143" s="368"/>
      <c r="UT143" s="368"/>
      <c r="UU143" s="368"/>
      <c r="UV143" s="368"/>
      <c r="UW143" s="368"/>
      <c r="UX143" s="368"/>
      <c r="UY143" s="368"/>
      <c r="UZ143" s="368"/>
      <c r="VA143" s="368"/>
      <c r="VB143" s="368"/>
      <c r="VC143" s="368"/>
      <c r="VD143" s="368"/>
      <c r="VE143" s="368"/>
      <c r="VF143" s="368"/>
      <c r="VG143" s="368"/>
      <c r="VH143" s="368"/>
      <c r="VI143" s="368"/>
      <c r="VJ143" s="368"/>
      <c r="VK143" s="368"/>
      <c r="VL143" s="368"/>
      <c r="VM143" s="368"/>
      <c r="VN143" s="368"/>
      <c r="VO143" s="368"/>
      <c r="VP143" s="368"/>
      <c r="VQ143" s="368"/>
      <c r="VR143" s="368"/>
      <c r="VS143" s="368"/>
      <c r="VT143" s="368"/>
      <c r="VU143" s="368"/>
      <c r="VV143" s="368"/>
      <c r="VW143" s="368"/>
      <c r="VX143" s="368"/>
      <c r="VY143" s="368"/>
      <c r="VZ143" s="368"/>
      <c r="WA143" s="368"/>
      <c r="WB143" s="368"/>
      <c r="WC143" s="368"/>
      <c r="WD143" s="368"/>
      <c r="WE143" s="368"/>
      <c r="WF143" s="368"/>
      <c r="WG143" s="368"/>
      <c r="WH143" s="368"/>
      <c r="WI143" s="368"/>
      <c r="WJ143" s="368"/>
      <c r="WK143" s="368"/>
      <c r="WL143" s="368"/>
      <c r="WM143" s="368"/>
      <c r="WN143" s="368"/>
      <c r="WO143" s="368"/>
      <c r="WP143" s="368"/>
      <c r="WQ143" s="368"/>
      <c r="WR143" s="368"/>
      <c r="WS143" s="368"/>
      <c r="WT143" s="368"/>
      <c r="WU143" s="368"/>
      <c r="WV143" s="368"/>
      <c r="WW143" s="368"/>
      <c r="WX143" s="368"/>
      <c r="WY143" s="368"/>
      <c r="WZ143" s="368"/>
      <c r="XA143" s="368"/>
      <c r="XB143" s="368"/>
      <c r="XC143" s="368"/>
      <c r="XD143" s="368"/>
      <c r="XE143" s="368"/>
      <c r="XF143" s="368"/>
      <c r="XG143" s="368"/>
      <c r="XH143" s="368"/>
      <c r="XI143" s="368"/>
      <c r="XJ143" s="368"/>
      <c r="XK143" s="368"/>
      <c r="XL143" s="368"/>
      <c r="XM143" s="368"/>
      <c r="XN143" s="368"/>
      <c r="XO143" s="368"/>
      <c r="XP143" s="368"/>
      <c r="XQ143" s="368"/>
      <c r="XR143" s="368"/>
      <c r="XS143" s="368"/>
      <c r="XT143" s="368"/>
      <c r="XU143" s="368"/>
      <c r="XV143" s="368"/>
      <c r="XW143" s="368"/>
      <c r="XX143" s="368"/>
      <c r="XY143" s="368"/>
      <c r="XZ143" s="368"/>
      <c r="YA143" s="368"/>
      <c r="YB143" s="368"/>
      <c r="YC143" s="368"/>
      <c r="YD143" s="368"/>
      <c r="YE143" s="368"/>
      <c r="YF143" s="368"/>
      <c r="YG143" s="368"/>
      <c r="YH143" s="368"/>
      <c r="YI143" s="368"/>
      <c r="YJ143" s="368"/>
      <c r="YK143" s="368"/>
      <c r="YL143" s="368"/>
      <c r="YM143" s="368"/>
      <c r="YN143" s="368"/>
      <c r="YO143" s="368"/>
      <c r="YP143" s="368"/>
      <c r="YQ143" s="368"/>
      <c r="YR143" s="368"/>
      <c r="YS143" s="368"/>
      <c r="YT143" s="368"/>
      <c r="YU143" s="368"/>
      <c r="YV143" s="368"/>
      <c r="YW143" s="368"/>
      <c r="YX143" s="368"/>
      <c r="YY143" s="368"/>
      <c r="YZ143" s="368"/>
      <c r="ZA143" s="368"/>
      <c r="ZB143" s="368"/>
      <c r="ZC143" s="368"/>
      <c r="ZD143" s="368"/>
      <c r="ZE143" s="368"/>
      <c r="ZF143" s="368"/>
      <c r="ZG143" s="368"/>
      <c r="ZH143" s="368"/>
      <c r="ZI143" s="368"/>
      <c r="ZJ143" s="368"/>
      <c r="ZK143" s="368"/>
      <c r="ZL143" s="368"/>
      <c r="ZM143" s="368"/>
      <c r="ZN143" s="368"/>
      <c r="ZO143" s="368"/>
      <c r="ZP143" s="368"/>
      <c r="ZQ143" s="368"/>
      <c r="ZR143" s="368"/>
      <c r="ZS143" s="368"/>
      <c r="ZT143" s="368"/>
      <c r="ZU143" s="368"/>
      <c r="ZV143" s="368"/>
      <c r="ZW143" s="368"/>
      <c r="ZX143" s="368"/>
      <c r="ZY143" s="368"/>
      <c r="ZZ143" s="368"/>
      <c r="AAA143" s="368"/>
      <c r="AAB143" s="368"/>
      <c r="AAC143" s="368"/>
      <c r="AAD143" s="368"/>
      <c r="AAE143" s="368"/>
      <c r="AAF143" s="368"/>
      <c r="AAG143" s="368"/>
      <c r="AAH143" s="368"/>
      <c r="AAI143" s="368"/>
      <c r="AAJ143" s="368"/>
      <c r="AAK143" s="368"/>
      <c r="AAL143" s="368"/>
      <c r="AAM143" s="368"/>
      <c r="AAN143" s="368"/>
      <c r="AAO143" s="368"/>
      <c r="AAP143" s="368"/>
      <c r="AAQ143" s="368"/>
      <c r="AAR143" s="368"/>
      <c r="AAS143" s="368"/>
      <c r="AAT143" s="368"/>
      <c r="AAU143" s="368"/>
      <c r="AAV143" s="368"/>
      <c r="AAW143" s="368"/>
      <c r="AAX143" s="368"/>
      <c r="AAY143" s="368"/>
      <c r="AAZ143" s="368"/>
      <c r="ABA143" s="368"/>
      <c r="ABB143" s="368"/>
      <c r="ABC143" s="368"/>
      <c r="ABD143" s="368"/>
      <c r="ABE143" s="368"/>
      <c r="ABF143" s="368"/>
      <c r="ABG143" s="368"/>
      <c r="ABH143" s="368"/>
      <c r="ABI143" s="368"/>
      <c r="ABJ143" s="368"/>
      <c r="ABK143" s="368"/>
      <c r="ABL143" s="368"/>
      <c r="ABM143" s="368"/>
      <c r="ABN143" s="368"/>
      <c r="ABO143" s="368"/>
      <c r="ABP143" s="368"/>
      <c r="ABQ143" s="368"/>
      <c r="ABR143" s="368"/>
      <c r="ABS143" s="368"/>
      <c r="ABT143" s="368"/>
      <c r="ABU143" s="368"/>
      <c r="ABV143" s="368"/>
      <c r="ABW143" s="368"/>
      <c r="ABX143" s="368"/>
      <c r="ABY143" s="368"/>
      <c r="ABZ143" s="368"/>
      <c r="ACA143" s="368"/>
      <c r="ACB143" s="368"/>
      <c r="ACC143" s="368"/>
      <c r="ACD143" s="368"/>
      <c r="ACE143" s="368"/>
      <c r="ACF143" s="368"/>
      <c r="ACG143" s="368"/>
      <c r="ACH143" s="368"/>
      <c r="ACI143" s="368"/>
      <c r="ACJ143" s="368"/>
      <c r="ACK143" s="368"/>
      <c r="ACL143" s="368"/>
      <c r="ACM143" s="368"/>
      <c r="ACN143" s="368"/>
      <c r="ACO143" s="368"/>
      <c r="ACP143" s="368"/>
      <c r="ACQ143" s="368"/>
      <c r="ACR143" s="368"/>
      <c r="ACS143" s="368"/>
      <c r="ACT143" s="368"/>
      <c r="ACU143" s="368"/>
      <c r="ACV143" s="368"/>
      <c r="ACW143" s="368"/>
      <c r="ACX143" s="368"/>
      <c r="ACY143" s="368"/>
      <c r="ACZ143" s="368"/>
      <c r="ADA143" s="368"/>
      <c r="ADB143" s="368"/>
      <c r="ADC143" s="368"/>
      <c r="ADD143" s="368"/>
      <c r="ADE143" s="368"/>
      <c r="ADF143" s="368"/>
      <c r="ADG143" s="368"/>
      <c r="ADH143" s="368"/>
      <c r="ADI143" s="368"/>
      <c r="ADJ143" s="368"/>
      <c r="ADK143" s="368"/>
      <c r="ADL143" s="368"/>
      <c r="ADM143" s="368"/>
      <c r="ADN143" s="368"/>
      <c r="ADO143" s="368"/>
      <c r="ADP143" s="368"/>
      <c r="ADQ143" s="368"/>
      <c r="ADR143" s="368"/>
      <c r="ADS143" s="368"/>
      <c r="ADT143" s="368"/>
      <c r="ADU143" s="368"/>
      <c r="ADV143" s="368"/>
      <c r="ADW143" s="368"/>
      <c r="ADX143" s="368"/>
      <c r="ADY143" s="368"/>
      <c r="ADZ143" s="368"/>
      <c r="AEA143" s="368"/>
      <c r="AEB143" s="368"/>
      <c r="AEC143" s="368"/>
      <c r="AED143" s="368"/>
      <c r="AEE143" s="368"/>
      <c r="AEF143" s="368"/>
      <c r="AEG143" s="368"/>
      <c r="AEH143" s="368"/>
      <c r="AEI143" s="368"/>
      <c r="AEJ143" s="368"/>
      <c r="AEK143" s="368"/>
      <c r="AEL143" s="368"/>
      <c r="AEM143" s="368"/>
      <c r="AEN143" s="368"/>
      <c r="AEO143" s="368"/>
      <c r="AEP143" s="368"/>
      <c r="AEQ143" s="368"/>
      <c r="AER143" s="368"/>
      <c r="AES143" s="368"/>
      <c r="AET143" s="368"/>
      <c r="AEU143" s="368"/>
      <c r="AEV143" s="368"/>
      <c r="AEW143" s="368"/>
      <c r="AEX143" s="368"/>
      <c r="AEY143" s="368"/>
      <c r="AEZ143" s="368"/>
      <c r="AFA143" s="368"/>
      <c r="AFB143" s="368"/>
      <c r="AFC143" s="368"/>
      <c r="AFD143" s="368"/>
      <c r="AFE143" s="368"/>
      <c r="AFF143" s="368"/>
      <c r="AFG143" s="368"/>
      <c r="AFH143" s="368"/>
      <c r="AFI143" s="368"/>
      <c r="AFJ143" s="368"/>
      <c r="AFK143" s="368"/>
      <c r="AFL143" s="368"/>
      <c r="AFM143" s="368"/>
      <c r="AFN143" s="368"/>
      <c r="AFO143" s="368"/>
      <c r="AFP143" s="368"/>
      <c r="AFQ143" s="368"/>
      <c r="AFR143" s="368"/>
      <c r="AFS143" s="368"/>
      <c r="AFT143" s="368"/>
      <c r="AFU143" s="368"/>
      <c r="AFV143" s="368"/>
      <c r="AFW143" s="368"/>
      <c r="AFX143" s="368"/>
      <c r="AFY143" s="368"/>
      <c r="AFZ143" s="368"/>
      <c r="AGA143" s="368"/>
      <c r="AGB143" s="368"/>
      <c r="AGC143" s="368"/>
      <c r="AGD143" s="368"/>
      <c r="AGE143" s="368"/>
      <c r="AGF143" s="368"/>
      <c r="AGG143" s="368"/>
      <c r="AGH143" s="368"/>
      <c r="AGI143" s="368"/>
      <c r="AGJ143" s="368"/>
      <c r="AGK143" s="368"/>
      <c r="AGL143" s="368"/>
      <c r="AGM143" s="368"/>
      <c r="AGN143" s="368"/>
      <c r="AGO143" s="368"/>
      <c r="AGP143" s="368"/>
      <c r="AGQ143" s="368"/>
      <c r="AGR143" s="368"/>
      <c r="AGS143" s="368"/>
      <c r="AGT143" s="368"/>
      <c r="AGU143" s="368"/>
      <c r="AGV143" s="368"/>
      <c r="AGW143" s="368"/>
      <c r="AGX143" s="368"/>
      <c r="AGY143" s="368"/>
      <c r="AGZ143" s="368"/>
      <c r="AHA143" s="368"/>
      <c r="AHB143" s="368"/>
      <c r="AHC143" s="368"/>
      <c r="AHD143" s="368"/>
      <c r="AHE143" s="368"/>
      <c r="AHF143" s="368"/>
      <c r="AHG143" s="368"/>
      <c r="AHH143" s="368"/>
      <c r="AHI143" s="368"/>
      <c r="AHJ143" s="368"/>
      <c r="AHK143" s="368"/>
      <c r="AHL143" s="368"/>
      <c r="AHM143" s="368"/>
      <c r="AHN143" s="368"/>
      <c r="AHO143" s="368"/>
      <c r="AHP143" s="368"/>
      <c r="AHQ143" s="368"/>
      <c r="AHR143" s="368"/>
      <c r="AHS143" s="368"/>
      <c r="AHT143" s="368"/>
      <c r="AHU143" s="368"/>
      <c r="AHV143" s="368"/>
      <c r="AHW143" s="368"/>
      <c r="AHX143" s="368"/>
      <c r="AHY143" s="368"/>
      <c r="AHZ143" s="368"/>
      <c r="AIA143" s="368"/>
      <c r="AIB143" s="368"/>
      <c r="AIC143" s="368"/>
      <c r="AID143" s="368"/>
      <c r="AIE143" s="368"/>
      <c r="AIF143" s="368"/>
      <c r="AIG143" s="368"/>
      <c r="AIH143" s="368"/>
      <c r="AII143" s="368"/>
      <c r="AIJ143" s="368"/>
      <c r="AIK143" s="368"/>
      <c r="AIL143" s="368"/>
      <c r="AIM143" s="368"/>
      <c r="AIN143" s="368"/>
      <c r="AIO143" s="368"/>
      <c r="AIP143" s="368"/>
      <c r="AIQ143" s="368"/>
      <c r="AIR143" s="368"/>
      <c r="AIS143" s="368"/>
      <c r="AIT143" s="368"/>
      <c r="AIU143" s="368"/>
      <c r="AIV143" s="368"/>
      <c r="AIW143" s="368"/>
      <c r="AIX143" s="368"/>
      <c r="AIY143" s="368"/>
      <c r="AIZ143" s="368"/>
      <c r="AJA143" s="368"/>
      <c r="AJB143" s="368"/>
      <c r="AJC143" s="368"/>
      <c r="AJD143" s="368"/>
      <c r="AJE143" s="368"/>
      <c r="AJF143" s="368"/>
      <c r="AJG143" s="368"/>
      <c r="AJH143" s="368"/>
      <c r="AJI143" s="368"/>
      <c r="AJJ143" s="368"/>
      <c r="AJK143" s="368"/>
      <c r="AJL143" s="368"/>
      <c r="AJM143" s="368"/>
      <c r="AJN143" s="368"/>
      <c r="AJO143" s="368"/>
      <c r="AJP143" s="368"/>
      <c r="AJQ143" s="368"/>
      <c r="AJR143" s="368"/>
      <c r="AJS143" s="368"/>
      <c r="AJT143" s="368"/>
      <c r="AJU143" s="368"/>
      <c r="AJV143" s="368"/>
      <c r="AJW143" s="368"/>
      <c r="AJX143" s="368"/>
      <c r="AJY143" s="368"/>
      <c r="AJZ143" s="368"/>
      <c r="AKA143" s="368"/>
      <c r="AKB143" s="368"/>
      <c r="AKC143" s="368"/>
      <c r="AKD143" s="368"/>
      <c r="AKE143" s="368"/>
      <c r="AKF143" s="368"/>
      <c r="AKG143" s="368"/>
      <c r="AKH143" s="368"/>
      <c r="AKI143" s="368"/>
      <c r="AKJ143" s="368"/>
      <c r="AKK143" s="368"/>
      <c r="AKL143" s="368"/>
      <c r="AKM143" s="368"/>
      <c r="AKN143" s="368"/>
    </row>
    <row r="144" spans="1:976" s="346" customFormat="1" ht="22.5" customHeight="1" x14ac:dyDescent="0.2">
      <c r="A144" s="370" t="s">
        <v>262</v>
      </c>
      <c r="B144" s="370"/>
      <c r="C144" s="370" t="s">
        <v>221</v>
      </c>
      <c r="D144" s="370" t="s">
        <v>222</v>
      </c>
      <c r="E144" s="371">
        <v>414751</v>
      </c>
      <c r="F144" s="371">
        <v>1866</v>
      </c>
      <c r="G144" s="371">
        <v>302</v>
      </c>
      <c r="H144" s="371">
        <v>0</v>
      </c>
      <c r="I144" s="372">
        <v>45902</v>
      </c>
      <c r="J144" s="370" t="s">
        <v>656</v>
      </c>
      <c r="K144" s="370" t="s">
        <v>672</v>
      </c>
      <c r="L144" s="373">
        <v>81.33</v>
      </c>
      <c r="M144" s="373">
        <v>8.27</v>
      </c>
      <c r="N144" s="444">
        <v>89.6</v>
      </c>
      <c r="O144" s="370"/>
      <c r="P144" s="374">
        <v>45904</v>
      </c>
      <c r="Q144" s="373">
        <v>89.6</v>
      </c>
      <c r="R144" s="370" t="s">
        <v>673</v>
      </c>
      <c r="S144" s="373">
        <v>0</v>
      </c>
      <c r="T144" s="373">
        <v>0</v>
      </c>
      <c r="U144" s="373">
        <v>0</v>
      </c>
      <c r="V144" s="373">
        <v>0</v>
      </c>
      <c r="W144" s="370"/>
      <c r="X144" s="370" t="s">
        <v>293</v>
      </c>
      <c r="Y144" s="370" t="s">
        <v>294</v>
      </c>
      <c r="Z144" s="370" t="s">
        <v>42</v>
      </c>
      <c r="AA144" s="370" t="s">
        <v>228</v>
      </c>
      <c r="AB144" s="370" t="s">
        <v>235</v>
      </c>
      <c r="AC144" s="370" t="s">
        <v>331</v>
      </c>
      <c r="AD144" s="370" t="s">
        <v>231</v>
      </c>
      <c r="AE144" s="370" t="s">
        <v>232</v>
      </c>
      <c r="AF144" s="370" t="s">
        <v>231</v>
      </c>
      <c r="AG144" s="370" t="s">
        <v>232</v>
      </c>
      <c r="AH144" s="370"/>
      <c r="AI144" s="370"/>
      <c r="AJ144" s="370"/>
      <c r="AK144" s="370" t="s">
        <v>674</v>
      </c>
      <c r="AL144" s="371">
        <v>1</v>
      </c>
      <c r="AM144" s="371">
        <v>0</v>
      </c>
      <c r="AN144" s="372">
        <v>45904</v>
      </c>
      <c r="AO144" s="372">
        <v>45904</v>
      </c>
      <c r="AP144" s="373">
        <v>89.6</v>
      </c>
      <c r="AQ144" s="372">
        <v>45903</v>
      </c>
      <c r="AR144" s="368"/>
      <c r="AS144" s="368"/>
      <c r="AT144" s="368"/>
      <c r="AU144" s="368"/>
      <c r="AV144" s="368"/>
      <c r="AW144" s="368"/>
      <c r="AX144" s="368"/>
      <c r="AY144" s="368"/>
      <c r="AZ144" s="368"/>
      <c r="BA144" s="368"/>
      <c r="BB144" s="368"/>
      <c r="BC144" s="368"/>
      <c r="BD144" s="368"/>
      <c r="BE144" s="368"/>
      <c r="BF144" s="368"/>
      <c r="BG144" s="368"/>
      <c r="BH144" s="368"/>
      <c r="BI144" s="368"/>
      <c r="BJ144" s="368"/>
      <c r="BK144" s="368"/>
      <c r="BL144" s="368"/>
      <c r="BM144" s="368"/>
      <c r="BN144" s="368"/>
      <c r="BO144" s="368"/>
      <c r="BP144" s="368"/>
      <c r="BQ144" s="368"/>
      <c r="BR144" s="368"/>
      <c r="BS144" s="368"/>
      <c r="BT144" s="368"/>
      <c r="BU144" s="368"/>
      <c r="BV144" s="368"/>
      <c r="BW144" s="368"/>
      <c r="BX144" s="368"/>
      <c r="BY144" s="368"/>
      <c r="BZ144" s="368"/>
      <c r="CA144" s="368"/>
      <c r="CB144" s="368"/>
      <c r="CC144" s="368"/>
      <c r="CD144" s="368"/>
      <c r="CE144" s="368"/>
      <c r="CF144" s="368"/>
      <c r="CG144" s="368"/>
      <c r="CH144" s="368"/>
      <c r="CI144" s="368"/>
      <c r="CJ144" s="368"/>
      <c r="CK144" s="368"/>
      <c r="CL144" s="368"/>
      <c r="CM144" s="368"/>
      <c r="CN144" s="368"/>
      <c r="CO144" s="368"/>
      <c r="CP144" s="368"/>
      <c r="CQ144" s="368"/>
      <c r="CR144" s="368"/>
      <c r="CS144" s="368"/>
      <c r="CT144" s="368"/>
      <c r="CU144" s="368"/>
      <c r="CV144" s="368"/>
      <c r="CW144" s="368"/>
      <c r="CX144" s="368"/>
      <c r="CY144" s="368"/>
      <c r="CZ144" s="368"/>
      <c r="DA144" s="368"/>
      <c r="DB144" s="368"/>
      <c r="DC144" s="368"/>
      <c r="DD144" s="368"/>
      <c r="DE144" s="368"/>
      <c r="DF144" s="368"/>
      <c r="DG144" s="368"/>
      <c r="DH144" s="368"/>
      <c r="DI144" s="368"/>
      <c r="DJ144" s="368"/>
      <c r="DK144" s="368"/>
      <c r="DL144" s="368"/>
      <c r="DM144" s="368"/>
      <c r="DN144" s="368"/>
      <c r="DO144" s="368"/>
      <c r="DP144" s="368"/>
      <c r="DQ144" s="368"/>
      <c r="DR144" s="368"/>
      <c r="DS144" s="368"/>
      <c r="DT144" s="368"/>
      <c r="DU144" s="368"/>
      <c r="DV144" s="368"/>
      <c r="DW144" s="368"/>
      <c r="DX144" s="368"/>
      <c r="DY144" s="368"/>
      <c r="DZ144" s="368"/>
      <c r="EA144" s="368"/>
      <c r="EB144" s="368"/>
      <c r="EC144" s="368"/>
      <c r="ED144" s="368"/>
      <c r="EE144" s="368"/>
      <c r="EF144" s="368"/>
      <c r="EG144" s="368"/>
      <c r="EH144" s="368"/>
      <c r="EI144" s="368"/>
      <c r="EJ144" s="368"/>
      <c r="EK144" s="368"/>
      <c r="EL144" s="368"/>
      <c r="EM144" s="368"/>
      <c r="EN144" s="368"/>
      <c r="EO144" s="368"/>
      <c r="EP144" s="368"/>
      <c r="EQ144" s="368"/>
      <c r="ER144" s="368"/>
      <c r="ES144" s="368"/>
      <c r="ET144" s="368"/>
      <c r="EU144" s="368"/>
      <c r="EV144" s="368"/>
      <c r="EW144" s="368"/>
      <c r="EX144" s="368"/>
      <c r="EY144" s="368"/>
      <c r="EZ144" s="368"/>
      <c r="FA144" s="368"/>
      <c r="FB144" s="368"/>
      <c r="FC144" s="368"/>
      <c r="FD144" s="368"/>
      <c r="FE144" s="368"/>
      <c r="FF144" s="368"/>
      <c r="FG144" s="368"/>
      <c r="FH144" s="368"/>
      <c r="FI144" s="368"/>
      <c r="FJ144" s="368"/>
      <c r="FK144" s="368"/>
      <c r="FL144" s="368"/>
      <c r="FM144" s="368"/>
      <c r="FN144" s="368"/>
      <c r="FO144" s="368"/>
      <c r="FP144" s="368"/>
      <c r="FQ144" s="368"/>
      <c r="FR144" s="368"/>
      <c r="FS144" s="368"/>
      <c r="FT144" s="368"/>
      <c r="FU144" s="368"/>
      <c r="FV144" s="368"/>
      <c r="FW144" s="368"/>
      <c r="FX144" s="368"/>
      <c r="FY144" s="368"/>
      <c r="FZ144" s="368"/>
      <c r="GA144" s="368"/>
      <c r="GB144" s="368"/>
      <c r="GC144" s="368"/>
      <c r="GD144" s="368"/>
      <c r="GE144" s="368"/>
      <c r="GF144" s="368"/>
      <c r="GG144" s="368"/>
      <c r="GH144" s="368"/>
      <c r="GI144" s="368"/>
      <c r="GJ144" s="368"/>
      <c r="GK144" s="368"/>
      <c r="GL144" s="368"/>
      <c r="GM144" s="368"/>
      <c r="GN144" s="368"/>
      <c r="GO144" s="368"/>
      <c r="GP144" s="368"/>
      <c r="GQ144" s="368"/>
      <c r="GR144" s="368"/>
      <c r="GS144" s="368"/>
      <c r="GT144" s="368"/>
      <c r="GU144" s="368"/>
      <c r="GV144" s="368"/>
      <c r="GW144" s="368"/>
      <c r="GX144" s="368"/>
      <c r="GY144" s="368"/>
      <c r="GZ144" s="368"/>
      <c r="HA144" s="368"/>
      <c r="HB144" s="368"/>
      <c r="HC144" s="368"/>
      <c r="HD144" s="368"/>
      <c r="HE144" s="368"/>
      <c r="HF144" s="368"/>
      <c r="HG144" s="368"/>
      <c r="HH144" s="368"/>
      <c r="HI144" s="368"/>
      <c r="HJ144" s="368"/>
      <c r="HK144" s="368"/>
      <c r="HL144" s="368"/>
      <c r="HM144" s="368"/>
      <c r="HN144" s="368"/>
      <c r="HO144" s="368"/>
      <c r="HP144" s="368"/>
      <c r="HQ144" s="368"/>
      <c r="HR144" s="368"/>
      <c r="HS144" s="368"/>
      <c r="HT144" s="368"/>
      <c r="HU144" s="368"/>
      <c r="HV144" s="368"/>
      <c r="HW144" s="368"/>
      <c r="HX144" s="368"/>
      <c r="HY144" s="368"/>
      <c r="HZ144" s="368"/>
      <c r="IA144" s="368"/>
      <c r="IB144" s="368"/>
      <c r="IC144" s="368"/>
      <c r="ID144" s="368"/>
      <c r="IE144" s="368"/>
      <c r="IF144" s="368"/>
      <c r="IG144" s="368"/>
      <c r="IH144" s="368"/>
      <c r="II144" s="368"/>
      <c r="IJ144" s="368"/>
      <c r="IK144" s="368"/>
      <c r="IL144" s="368"/>
      <c r="IM144" s="368"/>
      <c r="IN144" s="368"/>
      <c r="IO144" s="368"/>
      <c r="IP144" s="368"/>
      <c r="IQ144" s="368"/>
      <c r="IR144" s="368"/>
      <c r="IS144" s="368"/>
      <c r="IT144" s="368"/>
      <c r="IU144" s="368"/>
      <c r="IV144" s="368"/>
      <c r="IW144" s="368"/>
      <c r="IX144" s="368"/>
      <c r="IY144" s="368"/>
      <c r="IZ144" s="368"/>
      <c r="JA144" s="368"/>
      <c r="JB144" s="368"/>
      <c r="JC144" s="368"/>
      <c r="JD144" s="368"/>
      <c r="JE144" s="368"/>
      <c r="JF144" s="368"/>
      <c r="JG144" s="368"/>
      <c r="JH144" s="368"/>
      <c r="JI144" s="368"/>
      <c r="JJ144" s="368"/>
      <c r="JK144" s="368"/>
      <c r="JL144" s="368"/>
      <c r="JM144" s="368"/>
      <c r="JN144" s="368"/>
      <c r="JO144" s="368"/>
      <c r="JP144" s="368"/>
      <c r="JQ144" s="368"/>
      <c r="JR144" s="368"/>
      <c r="JS144" s="368"/>
      <c r="JT144" s="368"/>
      <c r="JU144" s="368"/>
      <c r="JV144" s="368"/>
      <c r="JW144" s="368"/>
      <c r="JX144" s="368"/>
      <c r="JY144" s="368"/>
      <c r="JZ144" s="368"/>
      <c r="KA144" s="368"/>
      <c r="KB144" s="368"/>
      <c r="KC144" s="368"/>
      <c r="KD144" s="368"/>
      <c r="KE144" s="368"/>
      <c r="KF144" s="368"/>
      <c r="KG144" s="368"/>
      <c r="KH144" s="368"/>
      <c r="KI144" s="368"/>
      <c r="KJ144" s="368"/>
      <c r="KK144" s="368"/>
      <c r="KL144" s="368"/>
      <c r="KM144" s="368"/>
      <c r="KN144" s="368"/>
      <c r="KO144" s="368"/>
      <c r="KP144" s="368"/>
      <c r="KQ144" s="368"/>
      <c r="KR144" s="368"/>
      <c r="KS144" s="368"/>
      <c r="KT144" s="368"/>
      <c r="KU144" s="368"/>
      <c r="KV144" s="368"/>
      <c r="KW144" s="368"/>
      <c r="KX144" s="368"/>
      <c r="KY144" s="368"/>
      <c r="KZ144" s="368"/>
      <c r="LA144" s="368"/>
      <c r="LB144" s="368"/>
      <c r="LC144" s="368"/>
      <c r="LD144" s="368"/>
      <c r="LE144" s="368"/>
      <c r="LF144" s="368"/>
      <c r="LG144" s="368"/>
      <c r="LH144" s="368"/>
      <c r="LI144" s="368"/>
      <c r="LJ144" s="368"/>
      <c r="LK144" s="368"/>
      <c r="LL144" s="368"/>
      <c r="LM144" s="368"/>
      <c r="LN144" s="368"/>
      <c r="LO144" s="368"/>
      <c r="LP144" s="368"/>
      <c r="LQ144" s="368"/>
      <c r="LR144" s="368"/>
      <c r="LS144" s="368"/>
      <c r="LT144" s="368"/>
      <c r="LU144" s="368"/>
      <c r="LV144" s="368"/>
      <c r="LW144" s="368"/>
      <c r="LX144" s="368"/>
      <c r="LY144" s="368"/>
      <c r="LZ144" s="368"/>
      <c r="MA144" s="368"/>
      <c r="MB144" s="368"/>
      <c r="MC144" s="368"/>
      <c r="MD144" s="368"/>
      <c r="ME144" s="368"/>
      <c r="MF144" s="368"/>
      <c r="MG144" s="368"/>
      <c r="MH144" s="368"/>
      <c r="MI144" s="368"/>
      <c r="MJ144" s="368"/>
      <c r="MK144" s="368"/>
      <c r="ML144" s="368"/>
      <c r="MM144" s="368"/>
      <c r="MN144" s="368"/>
      <c r="MO144" s="368"/>
      <c r="MP144" s="368"/>
      <c r="MQ144" s="368"/>
      <c r="MR144" s="368"/>
      <c r="MS144" s="368"/>
      <c r="MT144" s="368"/>
      <c r="MU144" s="368"/>
      <c r="MV144" s="368"/>
      <c r="MW144" s="368"/>
      <c r="MX144" s="368"/>
      <c r="MY144" s="368"/>
      <c r="MZ144" s="368"/>
      <c r="NA144" s="368"/>
      <c r="NB144" s="368"/>
      <c r="NC144" s="368"/>
      <c r="ND144" s="368"/>
      <c r="NE144" s="368"/>
      <c r="NF144" s="368"/>
      <c r="NG144" s="368"/>
      <c r="NH144" s="368"/>
      <c r="NI144" s="368"/>
      <c r="NJ144" s="368"/>
      <c r="NK144" s="368"/>
      <c r="NL144" s="368"/>
      <c r="NM144" s="368"/>
      <c r="NN144" s="368"/>
      <c r="NO144" s="368"/>
      <c r="NP144" s="368"/>
      <c r="NQ144" s="368"/>
      <c r="NR144" s="368"/>
      <c r="NS144" s="368"/>
      <c r="NT144" s="368"/>
      <c r="NU144" s="368"/>
      <c r="NV144" s="368"/>
      <c r="NW144" s="368"/>
      <c r="NX144" s="368"/>
      <c r="NY144" s="368"/>
      <c r="NZ144" s="368"/>
      <c r="OA144" s="368"/>
      <c r="OB144" s="368"/>
      <c r="OC144" s="368"/>
      <c r="OD144" s="368"/>
      <c r="OE144" s="368"/>
      <c r="OF144" s="368"/>
      <c r="OG144" s="368"/>
      <c r="OH144" s="368"/>
      <c r="OI144" s="368"/>
      <c r="OJ144" s="368"/>
      <c r="OK144" s="368"/>
      <c r="OL144" s="368"/>
      <c r="OM144" s="368"/>
      <c r="ON144" s="368"/>
      <c r="OO144" s="368"/>
      <c r="OP144" s="368"/>
      <c r="OQ144" s="368"/>
      <c r="OR144" s="368"/>
      <c r="OS144" s="368"/>
      <c r="OT144" s="368"/>
      <c r="OU144" s="368"/>
      <c r="OV144" s="368"/>
      <c r="OW144" s="368"/>
      <c r="OX144" s="368"/>
      <c r="OY144" s="368"/>
      <c r="OZ144" s="368"/>
      <c r="PA144" s="368"/>
      <c r="PB144" s="368"/>
      <c r="PC144" s="368"/>
      <c r="PD144" s="368"/>
      <c r="PE144" s="368"/>
      <c r="PF144" s="368"/>
      <c r="PG144" s="368"/>
      <c r="PH144" s="368"/>
      <c r="PI144" s="368"/>
      <c r="PJ144" s="368"/>
      <c r="PK144" s="368"/>
      <c r="PL144" s="368"/>
      <c r="PM144" s="368"/>
      <c r="PN144" s="368"/>
      <c r="PO144" s="368"/>
      <c r="PP144" s="368"/>
      <c r="PQ144" s="368"/>
      <c r="PR144" s="368"/>
      <c r="PS144" s="368"/>
      <c r="PT144" s="368"/>
      <c r="PU144" s="368"/>
      <c r="PV144" s="368"/>
      <c r="PW144" s="368"/>
      <c r="PX144" s="368"/>
      <c r="PY144" s="368"/>
      <c r="PZ144" s="368"/>
      <c r="QA144" s="368"/>
      <c r="QB144" s="368"/>
      <c r="QC144" s="368"/>
      <c r="QD144" s="368"/>
      <c r="QE144" s="368"/>
      <c r="QF144" s="368"/>
      <c r="QG144" s="368"/>
      <c r="QH144" s="368"/>
      <c r="QI144" s="368"/>
      <c r="QJ144" s="368"/>
      <c r="QK144" s="368"/>
      <c r="QL144" s="368"/>
      <c r="QM144" s="368"/>
      <c r="QN144" s="368"/>
      <c r="QO144" s="368"/>
      <c r="QP144" s="368"/>
      <c r="QQ144" s="368"/>
      <c r="QR144" s="368"/>
      <c r="QS144" s="368"/>
      <c r="QT144" s="368"/>
      <c r="QU144" s="368"/>
      <c r="QV144" s="368"/>
      <c r="QW144" s="368"/>
      <c r="QX144" s="368"/>
      <c r="QY144" s="368"/>
      <c r="QZ144" s="368"/>
      <c r="RA144" s="368"/>
      <c r="RB144" s="368"/>
      <c r="RC144" s="368"/>
      <c r="RD144" s="368"/>
      <c r="RE144" s="368"/>
      <c r="RF144" s="368"/>
      <c r="RG144" s="368"/>
      <c r="RH144" s="368"/>
      <c r="RI144" s="368"/>
      <c r="RJ144" s="368"/>
      <c r="RK144" s="368"/>
      <c r="RL144" s="368"/>
      <c r="RM144" s="368"/>
      <c r="RN144" s="368"/>
      <c r="RO144" s="368"/>
      <c r="RP144" s="368"/>
      <c r="RQ144" s="368"/>
      <c r="RR144" s="368"/>
      <c r="RS144" s="368"/>
      <c r="RT144" s="368"/>
      <c r="RU144" s="368"/>
      <c r="RV144" s="368"/>
      <c r="RW144" s="368"/>
      <c r="RX144" s="368"/>
      <c r="RY144" s="368"/>
      <c r="RZ144" s="368"/>
      <c r="SA144" s="368"/>
      <c r="SB144" s="368"/>
      <c r="SC144" s="368"/>
      <c r="SD144" s="368"/>
      <c r="SE144" s="368"/>
      <c r="SF144" s="368"/>
      <c r="SG144" s="368"/>
      <c r="SH144" s="368"/>
      <c r="SI144" s="368"/>
      <c r="SJ144" s="368"/>
      <c r="SK144" s="368"/>
      <c r="SL144" s="368"/>
      <c r="SM144" s="368"/>
      <c r="SN144" s="368"/>
      <c r="SO144" s="368"/>
      <c r="SP144" s="368"/>
      <c r="SQ144" s="368"/>
      <c r="SR144" s="368"/>
      <c r="SS144" s="368"/>
      <c r="ST144" s="368"/>
      <c r="SU144" s="368"/>
      <c r="SV144" s="368"/>
      <c r="SW144" s="368"/>
      <c r="SX144" s="368"/>
      <c r="SY144" s="368"/>
      <c r="SZ144" s="368"/>
      <c r="TA144" s="368"/>
      <c r="TB144" s="368"/>
      <c r="TC144" s="368"/>
      <c r="TD144" s="368"/>
      <c r="TE144" s="368"/>
      <c r="TF144" s="368"/>
      <c r="TG144" s="368"/>
      <c r="TH144" s="368"/>
      <c r="TI144" s="368"/>
      <c r="TJ144" s="368"/>
      <c r="TK144" s="368"/>
      <c r="TL144" s="368"/>
      <c r="TM144" s="368"/>
      <c r="TN144" s="368"/>
      <c r="TO144" s="368"/>
      <c r="TP144" s="368"/>
      <c r="TQ144" s="368"/>
      <c r="TR144" s="368"/>
      <c r="TS144" s="368"/>
      <c r="TT144" s="368"/>
      <c r="TU144" s="368"/>
      <c r="TV144" s="368"/>
      <c r="TW144" s="368"/>
      <c r="TX144" s="368"/>
      <c r="TY144" s="368"/>
      <c r="TZ144" s="368"/>
      <c r="UA144" s="368"/>
      <c r="UB144" s="368"/>
      <c r="UC144" s="368"/>
      <c r="UD144" s="368"/>
      <c r="UE144" s="368"/>
      <c r="UF144" s="368"/>
      <c r="UG144" s="368"/>
      <c r="UH144" s="368"/>
      <c r="UI144" s="368"/>
      <c r="UJ144" s="368"/>
      <c r="UK144" s="368"/>
      <c r="UL144" s="368"/>
      <c r="UM144" s="368"/>
      <c r="UN144" s="368"/>
      <c r="UO144" s="368"/>
      <c r="UP144" s="368"/>
      <c r="UQ144" s="368"/>
      <c r="UR144" s="368"/>
      <c r="US144" s="368"/>
      <c r="UT144" s="368"/>
      <c r="UU144" s="368"/>
      <c r="UV144" s="368"/>
      <c r="UW144" s="368"/>
      <c r="UX144" s="368"/>
      <c r="UY144" s="368"/>
      <c r="UZ144" s="368"/>
      <c r="VA144" s="368"/>
      <c r="VB144" s="368"/>
      <c r="VC144" s="368"/>
      <c r="VD144" s="368"/>
      <c r="VE144" s="368"/>
      <c r="VF144" s="368"/>
      <c r="VG144" s="368"/>
      <c r="VH144" s="368"/>
      <c r="VI144" s="368"/>
      <c r="VJ144" s="368"/>
      <c r="VK144" s="368"/>
      <c r="VL144" s="368"/>
      <c r="VM144" s="368"/>
      <c r="VN144" s="368"/>
      <c r="VO144" s="368"/>
      <c r="VP144" s="368"/>
      <c r="VQ144" s="368"/>
      <c r="VR144" s="368"/>
      <c r="VS144" s="368"/>
      <c r="VT144" s="368"/>
      <c r="VU144" s="368"/>
      <c r="VV144" s="368"/>
      <c r="VW144" s="368"/>
      <c r="VX144" s="368"/>
      <c r="VY144" s="368"/>
      <c r="VZ144" s="368"/>
      <c r="WA144" s="368"/>
      <c r="WB144" s="368"/>
      <c r="WC144" s="368"/>
      <c r="WD144" s="368"/>
      <c r="WE144" s="368"/>
      <c r="WF144" s="368"/>
      <c r="WG144" s="368"/>
      <c r="WH144" s="368"/>
      <c r="WI144" s="368"/>
      <c r="WJ144" s="368"/>
      <c r="WK144" s="368"/>
      <c r="WL144" s="368"/>
      <c r="WM144" s="368"/>
      <c r="WN144" s="368"/>
      <c r="WO144" s="368"/>
      <c r="WP144" s="368"/>
      <c r="WQ144" s="368"/>
      <c r="WR144" s="368"/>
      <c r="WS144" s="368"/>
      <c r="WT144" s="368"/>
      <c r="WU144" s="368"/>
      <c r="WV144" s="368"/>
      <c r="WW144" s="368"/>
      <c r="WX144" s="368"/>
      <c r="WY144" s="368"/>
      <c r="WZ144" s="368"/>
      <c r="XA144" s="368"/>
      <c r="XB144" s="368"/>
      <c r="XC144" s="368"/>
      <c r="XD144" s="368"/>
      <c r="XE144" s="368"/>
      <c r="XF144" s="368"/>
      <c r="XG144" s="368"/>
      <c r="XH144" s="368"/>
      <c r="XI144" s="368"/>
      <c r="XJ144" s="368"/>
      <c r="XK144" s="368"/>
      <c r="XL144" s="368"/>
      <c r="XM144" s="368"/>
      <c r="XN144" s="368"/>
      <c r="XO144" s="368"/>
      <c r="XP144" s="368"/>
      <c r="XQ144" s="368"/>
      <c r="XR144" s="368"/>
      <c r="XS144" s="368"/>
      <c r="XT144" s="368"/>
      <c r="XU144" s="368"/>
      <c r="XV144" s="368"/>
      <c r="XW144" s="368"/>
      <c r="XX144" s="368"/>
      <c r="XY144" s="368"/>
      <c r="XZ144" s="368"/>
      <c r="YA144" s="368"/>
      <c r="YB144" s="368"/>
      <c r="YC144" s="368"/>
      <c r="YD144" s="368"/>
      <c r="YE144" s="368"/>
      <c r="YF144" s="368"/>
      <c r="YG144" s="368"/>
      <c r="YH144" s="368"/>
      <c r="YI144" s="368"/>
      <c r="YJ144" s="368"/>
      <c r="YK144" s="368"/>
      <c r="YL144" s="368"/>
      <c r="YM144" s="368"/>
      <c r="YN144" s="368"/>
      <c r="YO144" s="368"/>
      <c r="YP144" s="368"/>
      <c r="YQ144" s="368"/>
      <c r="YR144" s="368"/>
      <c r="YS144" s="368"/>
      <c r="YT144" s="368"/>
      <c r="YU144" s="368"/>
      <c r="YV144" s="368"/>
      <c r="YW144" s="368"/>
      <c r="YX144" s="368"/>
      <c r="YY144" s="368"/>
      <c r="YZ144" s="368"/>
      <c r="ZA144" s="368"/>
      <c r="ZB144" s="368"/>
      <c r="ZC144" s="368"/>
      <c r="ZD144" s="368"/>
      <c r="ZE144" s="368"/>
      <c r="ZF144" s="368"/>
      <c r="ZG144" s="368"/>
      <c r="ZH144" s="368"/>
      <c r="ZI144" s="368"/>
      <c r="ZJ144" s="368"/>
      <c r="ZK144" s="368"/>
      <c r="ZL144" s="368"/>
      <c r="ZM144" s="368"/>
      <c r="ZN144" s="368"/>
      <c r="ZO144" s="368"/>
      <c r="ZP144" s="368"/>
      <c r="ZQ144" s="368"/>
      <c r="ZR144" s="368"/>
      <c r="ZS144" s="368"/>
      <c r="ZT144" s="368"/>
      <c r="ZU144" s="368"/>
      <c r="ZV144" s="368"/>
      <c r="ZW144" s="368"/>
      <c r="ZX144" s="368"/>
      <c r="ZY144" s="368"/>
      <c r="ZZ144" s="368"/>
      <c r="AAA144" s="368"/>
      <c r="AAB144" s="368"/>
      <c r="AAC144" s="368"/>
      <c r="AAD144" s="368"/>
      <c r="AAE144" s="368"/>
      <c r="AAF144" s="368"/>
      <c r="AAG144" s="368"/>
      <c r="AAH144" s="368"/>
      <c r="AAI144" s="368"/>
      <c r="AAJ144" s="368"/>
      <c r="AAK144" s="368"/>
      <c r="AAL144" s="368"/>
      <c r="AAM144" s="368"/>
      <c r="AAN144" s="368"/>
      <c r="AAO144" s="368"/>
      <c r="AAP144" s="368"/>
      <c r="AAQ144" s="368"/>
      <c r="AAR144" s="368"/>
      <c r="AAS144" s="368"/>
      <c r="AAT144" s="368"/>
      <c r="AAU144" s="368"/>
      <c r="AAV144" s="368"/>
      <c r="AAW144" s="368"/>
      <c r="AAX144" s="368"/>
      <c r="AAY144" s="368"/>
      <c r="AAZ144" s="368"/>
      <c r="ABA144" s="368"/>
      <c r="ABB144" s="368"/>
      <c r="ABC144" s="368"/>
      <c r="ABD144" s="368"/>
      <c r="ABE144" s="368"/>
      <c r="ABF144" s="368"/>
      <c r="ABG144" s="368"/>
      <c r="ABH144" s="368"/>
      <c r="ABI144" s="368"/>
      <c r="ABJ144" s="368"/>
      <c r="ABK144" s="368"/>
      <c r="ABL144" s="368"/>
      <c r="ABM144" s="368"/>
      <c r="ABN144" s="368"/>
      <c r="ABO144" s="368"/>
      <c r="ABP144" s="368"/>
      <c r="ABQ144" s="368"/>
      <c r="ABR144" s="368"/>
      <c r="ABS144" s="368"/>
      <c r="ABT144" s="368"/>
      <c r="ABU144" s="368"/>
      <c r="ABV144" s="368"/>
      <c r="ABW144" s="368"/>
      <c r="ABX144" s="368"/>
      <c r="ABY144" s="368"/>
      <c r="ABZ144" s="368"/>
      <c r="ACA144" s="368"/>
      <c r="ACB144" s="368"/>
      <c r="ACC144" s="368"/>
      <c r="ACD144" s="368"/>
      <c r="ACE144" s="368"/>
      <c r="ACF144" s="368"/>
      <c r="ACG144" s="368"/>
      <c r="ACH144" s="368"/>
      <c r="ACI144" s="368"/>
      <c r="ACJ144" s="368"/>
      <c r="ACK144" s="368"/>
      <c r="ACL144" s="368"/>
      <c r="ACM144" s="368"/>
      <c r="ACN144" s="368"/>
      <c r="ACO144" s="368"/>
      <c r="ACP144" s="368"/>
      <c r="ACQ144" s="368"/>
      <c r="ACR144" s="368"/>
      <c r="ACS144" s="368"/>
      <c r="ACT144" s="368"/>
      <c r="ACU144" s="368"/>
      <c r="ACV144" s="368"/>
      <c r="ACW144" s="368"/>
      <c r="ACX144" s="368"/>
      <c r="ACY144" s="368"/>
      <c r="ACZ144" s="368"/>
      <c r="ADA144" s="368"/>
      <c r="ADB144" s="368"/>
      <c r="ADC144" s="368"/>
      <c r="ADD144" s="368"/>
      <c r="ADE144" s="368"/>
      <c r="ADF144" s="368"/>
      <c r="ADG144" s="368"/>
      <c r="ADH144" s="368"/>
      <c r="ADI144" s="368"/>
      <c r="ADJ144" s="368"/>
      <c r="ADK144" s="368"/>
      <c r="ADL144" s="368"/>
      <c r="ADM144" s="368"/>
      <c r="ADN144" s="368"/>
      <c r="ADO144" s="368"/>
      <c r="ADP144" s="368"/>
      <c r="ADQ144" s="368"/>
      <c r="ADR144" s="368"/>
      <c r="ADS144" s="368"/>
      <c r="ADT144" s="368"/>
      <c r="ADU144" s="368"/>
      <c r="ADV144" s="368"/>
      <c r="ADW144" s="368"/>
      <c r="ADX144" s="368"/>
      <c r="ADY144" s="368"/>
      <c r="ADZ144" s="368"/>
      <c r="AEA144" s="368"/>
      <c r="AEB144" s="368"/>
      <c r="AEC144" s="368"/>
      <c r="AED144" s="368"/>
      <c r="AEE144" s="368"/>
      <c r="AEF144" s="368"/>
      <c r="AEG144" s="368"/>
      <c r="AEH144" s="368"/>
      <c r="AEI144" s="368"/>
      <c r="AEJ144" s="368"/>
      <c r="AEK144" s="368"/>
      <c r="AEL144" s="368"/>
      <c r="AEM144" s="368"/>
      <c r="AEN144" s="368"/>
      <c r="AEO144" s="368"/>
      <c r="AEP144" s="368"/>
      <c r="AEQ144" s="368"/>
      <c r="AER144" s="368"/>
      <c r="AES144" s="368"/>
      <c r="AET144" s="368"/>
      <c r="AEU144" s="368"/>
      <c r="AEV144" s="368"/>
      <c r="AEW144" s="368"/>
      <c r="AEX144" s="368"/>
      <c r="AEY144" s="368"/>
      <c r="AEZ144" s="368"/>
      <c r="AFA144" s="368"/>
      <c r="AFB144" s="368"/>
      <c r="AFC144" s="368"/>
      <c r="AFD144" s="368"/>
      <c r="AFE144" s="368"/>
      <c r="AFF144" s="368"/>
      <c r="AFG144" s="368"/>
      <c r="AFH144" s="368"/>
      <c r="AFI144" s="368"/>
      <c r="AFJ144" s="368"/>
      <c r="AFK144" s="368"/>
      <c r="AFL144" s="368"/>
      <c r="AFM144" s="368"/>
      <c r="AFN144" s="368"/>
      <c r="AFO144" s="368"/>
      <c r="AFP144" s="368"/>
      <c r="AFQ144" s="368"/>
      <c r="AFR144" s="368"/>
      <c r="AFS144" s="368"/>
      <c r="AFT144" s="368"/>
      <c r="AFU144" s="368"/>
      <c r="AFV144" s="368"/>
      <c r="AFW144" s="368"/>
      <c r="AFX144" s="368"/>
      <c r="AFY144" s="368"/>
      <c r="AFZ144" s="368"/>
      <c r="AGA144" s="368"/>
      <c r="AGB144" s="368"/>
      <c r="AGC144" s="368"/>
      <c r="AGD144" s="368"/>
      <c r="AGE144" s="368"/>
      <c r="AGF144" s="368"/>
      <c r="AGG144" s="368"/>
      <c r="AGH144" s="368"/>
      <c r="AGI144" s="368"/>
      <c r="AGJ144" s="368"/>
      <c r="AGK144" s="368"/>
      <c r="AGL144" s="368"/>
      <c r="AGM144" s="368"/>
      <c r="AGN144" s="368"/>
      <c r="AGO144" s="368"/>
      <c r="AGP144" s="368"/>
      <c r="AGQ144" s="368"/>
      <c r="AGR144" s="368"/>
      <c r="AGS144" s="368"/>
      <c r="AGT144" s="368"/>
      <c r="AGU144" s="368"/>
      <c r="AGV144" s="368"/>
      <c r="AGW144" s="368"/>
      <c r="AGX144" s="368"/>
      <c r="AGY144" s="368"/>
      <c r="AGZ144" s="368"/>
      <c r="AHA144" s="368"/>
      <c r="AHB144" s="368"/>
      <c r="AHC144" s="368"/>
      <c r="AHD144" s="368"/>
      <c r="AHE144" s="368"/>
      <c r="AHF144" s="368"/>
      <c r="AHG144" s="368"/>
      <c r="AHH144" s="368"/>
      <c r="AHI144" s="368"/>
      <c r="AHJ144" s="368"/>
      <c r="AHK144" s="368"/>
      <c r="AHL144" s="368"/>
      <c r="AHM144" s="368"/>
      <c r="AHN144" s="368"/>
      <c r="AHO144" s="368"/>
      <c r="AHP144" s="368"/>
      <c r="AHQ144" s="368"/>
      <c r="AHR144" s="368"/>
      <c r="AHS144" s="368"/>
      <c r="AHT144" s="368"/>
      <c r="AHU144" s="368"/>
      <c r="AHV144" s="368"/>
      <c r="AHW144" s="368"/>
      <c r="AHX144" s="368"/>
      <c r="AHY144" s="368"/>
      <c r="AHZ144" s="368"/>
      <c r="AIA144" s="368"/>
      <c r="AIB144" s="368"/>
      <c r="AIC144" s="368"/>
      <c r="AID144" s="368"/>
      <c r="AIE144" s="368"/>
      <c r="AIF144" s="368"/>
      <c r="AIG144" s="368"/>
      <c r="AIH144" s="368"/>
      <c r="AII144" s="368"/>
      <c r="AIJ144" s="368"/>
      <c r="AIK144" s="368"/>
      <c r="AIL144" s="368"/>
      <c r="AIM144" s="368"/>
      <c r="AIN144" s="368"/>
      <c r="AIO144" s="368"/>
      <c r="AIP144" s="368"/>
      <c r="AIQ144" s="368"/>
      <c r="AIR144" s="368"/>
      <c r="AIS144" s="368"/>
      <c r="AIT144" s="368"/>
      <c r="AIU144" s="368"/>
      <c r="AIV144" s="368"/>
      <c r="AIW144" s="368"/>
      <c r="AIX144" s="368"/>
      <c r="AIY144" s="368"/>
      <c r="AIZ144" s="368"/>
      <c r="AJA144" s="368"/>
      <c r="AJB144" s="368"/>
      <c r="AJC144" s="368"/>
      <c r="AJD144" s="368"/>
      <c r="AJE144" s="368"/>
      <c r="AJF144" s="368"/>
      <c r="AJG144" s="368"/>
      <c r="AJH144" s="368"/>
      <c r="AJI144" s="368"/>
      <c r="AJJ144" s="368"/>
      <c r="AJK144" s="368"/>
      <c r="AJL144" s="368"/>
      <c r="AJM144" s="368"/>
      <c r="AJN144" s="368"/>
      <c r="AJO144" s="368"/>
      <c r="AJP144" s="368"/>
      <c r="AJQ144" s="368"/>
      <c r="AJR144" s="368"/>
      <c r="AJS144" s="368"/>
      <c r="AJT144" s="368"/>
      <c r="AJU144" s="368"/>
      <c r="AJV144" s="368"/>
      <c r="AJW144" s="368"/>
      <c r="AJX144" s="368"/>
      <c r="AJY144" s="368"/>
      <c r="AJZ144" s="368"/>
      <c r="AKA144" s="368"/>
      <c r="AKB144" s="368"/>
      <c r="AKC144" s="368"/>
      <c r="AKD144" s="368"/>
      <c r="AKE144" s="368"/>
      <c r="AKF144" s="368"/>
      <c r="AKG144" s="368"/>
      <c r="AKH144" s="368"/>
      <c r="AKI144" s="368"/>
      <c r="AKJ144" s="368"/>
      <c r="AKK144" s="368"/>
      <c r="AKL144" s="368"/>
      <c r="AKM144" s="368"/>
      <c r="AKN144" s="368"/>
    </row>
    <row r="145" spans="1:976" s="346" customFormat="1" ht="22.5" customHeight="1" x14ac:dyDescent="0.2">
      <c r="A145" s="370" t="s">
        <v>262</v>
      </c>
      <c r="B145" s="370"/>
      <c r="C145" s="370" t="s">
        <v>221</v>
      </c>
      <c r="D145" s="370" t="s">
        <v>222</v>
      </c>
      <c r="E145" s="371">
        <v>414755</v>
      </c>
      <c r="F145" s="371">
        <v>1884</v>
      </c>
      <c r="G145" s="371">
        <v>303</v>
      </c>
      <c r="H145" s="371">
        <v>0</v>
      </c>
      <c r="I145" s="372">
        <v>45902</v>
      </c>
      <c r="J145" s="370" t="s">
        <v>263</v>
      </c>
      <c r="K145" s="370" t="s">
        <v>675</v>
      </c>
      <c r="L145" s="373">
        <v>92.28</v>
      </c>
      <c r="M145" s="373">
        <v>5.45</v>
      </c>
      <c r="N145" s="444">
        <v>97.73</v>
      </c>
      <c r="O145" s="370"/>
      <c r="P145" s="374">
        <v>45904</v>
      </c>
      <c r="Q145" s="373">
        <v>97.73</v>
      </c>
      <c r="R145" s="370" t="s">
        <v>676</v>
      </c>
      <c r="S145" s="373">
        <v>0</v>
      </c>
      <c r="T145" s="373">
        <v>0</v>
      </c>
      <c r="U145" s="373">
        <v>0</v>
      </c>
      <c r="V145" s="373">
        <v>0</v>
      </c>
      <c r="W145" s="370"/>
      <c r="X145" s="370" t="s">
        <v>293</v>
      </c>
      <c r="Y145" s="370" t="s">
        <v>294</v>
      </c>
      <c r="Z145" s="370" t="s">
        <v>42</v>
      </c>
      <c r="AA145" s="370" t="s">
        <v>228</v>
      </c>
      <c r="AB145" s="370" t="s">
        <v>235</v>
      </c>
      <c r="AC145" s="370" t="s">
        <v>331</v>
      </c>
      <c r="AD145" s="370" t="s">
        <v>231</v>
      </c>
      <c r="AE145" s="370" t="s">
        <v>232</v>
      </c>
      <c r="AF145" s="370" t="s">
        <v>231</v>
      </c>
      <c r="AG145" s="370" t="s">
        <v>232</v>
      </c>
      <c r="AH145" s="370"/>
      <c r="AI145" s="370"/>
      <c r="AJ145" s="370"/>
      <c r="AK145" s="370" t="s">
        <v>677</v>
      </c>
      <c r="AL145" s="371">
        <v>1</v>
      </c>
      <c r="AM145" s="371">
        <v>0</v>
      </c>
      <c r="AN145" s="372">
        <v>45904</v>
      </c>
      <c r="AO145" s="372">
        <v>45904</v>
      </c>
      <c r="AP145" s="373">
        <v>97.73</v>
      </c>
      <c r="AQ145" s="372">
        <v>45903</v>
      </c>
      <c r="AR145" s="368"/>
      <c r="AS145" s="368"/>
      <c r="AT145" s="368"/>
      <c r="AU145" s="368"/>
      <c r="AV145" s="368"/>
      <c r="AW145" s="368"/>
      <c r="AX145" s="368"/>
      <c r="AY145" s="368"/>
      <c r="AZ145" s="368"/>
      <c r="BA145" s="368"/>
      <c r="BB145" s="368"/>
      <c r="BC145" s="368"/>
      <c r="BD145" s="368"/>
      <c r="BE145" s="368"/>
      <c r="BF145" s="368"/>
      <c r="BG145" s="368"/>
      <c r="BH145" s="368"/>
      <c r="BI145" s="368"/>
      <c r="BJ145" s="368"/>
      <c r="BK145" s="368"/>
      <c r="BL145" s="368"/>
      <c r="BM145" s="368"/>
      <c r="BN145" s="368"/>
      <c r="BO145" s="368"/>
      <c r="BP145" s="368"/>
      <c r="BQ145" s="368"/>
      <c r="BR145" s="368"/>
      <c r="BS145" s="368"/>
      <c r="BT145" s="368"/>
      <c r="BU145" s="368"/>
      <c r="BV145" s="368"/>
      <c r="BW145" s="368"/>
      <c r="BX145" s="368"/>
      <c r="BY145" s="368"/>
      <c r="BZ145" s="368"/>
      <c r="CA145" s="368"/>
      <c r="CB145" s="368"/>
      <c r="CC145" s="368"/>
      <c r="CD145" s="368"/>
      <c r="CE145" s="368"/>
      <c r="CF145" s="368"/>
      <c r="CG145" s="368"/>
      <c r="CH145" s="368"/>
      <c r="CI145" s="368"/>
      <c r="CJ145" s="368"/>
      <c r="CK145" s="368"/>
      <c r="CL145" s="368"/>
      <c r="CM145" s="368"/>
      <c r="CN145" s="368"/>
      <c r="CO145" s="368"/>
      <c r="CP145" s="368"/>
      <c r="CQ145" s="368"/>
      <c r="CR145" s="368"/>
      <c r="CS145" s="368"/>
      <c r="CT145" s="368"/>
      <c r="CU145" s="368"/>
      <c r="CV145" s="368"/>
      <c r="CW145" s="368"/>
      <c r="CX145" s="368"/>
      <c r="CY145" s="368"/>
      <c r="CZ145" s="368"/>
      <c r="DA145" s="368"/>
      <c r="DB145" s="368"/>
      <c r="DC145" s="368"/>
      <c r="DD145" s="368"/>
      <c r="DE145" s="368"/>
      <c r="DF145" s="368"/>
      <c r="DG145" s="368"/>
      <c r="DH145" s="368"/>
      <c r="DI145" s="368"/>
      <c r="DJ145" s="368"/>
      <c r="DK145" s="368"/>
      <c r="DL145" s="368"/>
      <c r="DM145" s="368"/>
      <c r="DN145" s="368"/>
      <c r="DO145" s="368"/>
      <c r="DP145" s="368"/>
      <c r="DQ145" s="368"/>
      <c r="DR145" s="368"/>
      <c r="DS145" s="368"/>
      <c r="DT145" s="368"/>
      <c r="DU145" s="368"/>
      <c r="DV145" s="368"/>
      <c r="DW145" s="368"/>
      <c r="DX145" s="368"/>
      <c r="DY145" s="368"/>
      <c r="DZ145" s="368"/>
      <c r="EA145" s="368"/>
      <c r="EB145" s="368"/>
      <c r="EC145" s="368"/>
      <c r="ED145" s="368"/>
      <c r="EE145" s="368"/>
      <c r="EF145" s="368"/>
      <c r="EG145" s="368"/>
      <c r="EH145" s="368"/>
      <c r="EI145" s="368"/>
      <c r="EJ145" s="368"/>
      <c r="EK145" s="368"/>
      <c r="EL145" s="368"/>
      <c r="EM145" s="368"/>
      <c r="EN145" s="368"/>
      <c r="EO145" s="368"/>
      <c r="EP145" s="368"/>
      <c r="EQ145" s="368"/>
      <c r="ER145" s="368"/>
      <c r="ES145" s="368"/>
      <c r="ET145" s="368"/>
      <c r="EU145" s="368"/>
      <c r="EV145" s="368"/>
      <c r="EW145" s="368"/>
      <c r="EX145" s="368"/>
      <c r="EY145" s="368"/>
      <c r="EZ145" s="368"/>
      <c r="FA145" s="368"/>
      <c r="FB145" s="368"/>
      <c r="FC145" s="368"/>
      <c r="FD145" s="368"/>
      <c r="FE145" s="368"/>
      <c r="FF145" s="368"/>
      <c r="FG145" s="368"/>
      <c r="FH145" s="368"/>
      <c r="FI145" s="368"/>
      <c r="FJ145" s="368"/>
      <c r="FK145" s="368"/>
      <c r="FL145" s="368"/>
      <c r="FM145" s="368"/>
      <c r="FN145" s="368"/>
      <c r="FO145" s="368"/>
      <c r="FP145" s="368"/>
      <c r="FQ145" s="368"/>
      <c r="FR145" s="368"/>
      <c r="FS145" s="368"/>
      <c r="FT145" s="368"/>
      <c r="FU145" s="368"/>
      <c r="FV145" s="368"/>
      <c r="FW145" s="368"/>
      <c r="FX145" s="368"/>
      <c r="FY145" s="368"/>
      <c r="FZ145" s="368"/>
      <c r="GA145" s="368"/>
      <c r="GB145" s="368"/>
      <c r="GC145" s="368"/>
      <c r="GD145" s="368"/>
      <c r="GE145" s="368"/>
      <c r="GF145" s="368"/>
      <c r="GG145" s="368"/>
      <c r="GH145" s="368"/>
      <c r="GI145" s="368"/>
      <c r="GJ145" s="368"/>
      <c r="GK145" s="368"/>
      <c r="GL145" s="368"/>
      <c r="GM145" s="368"/>
      <c r="GN145" s="368"/>
      <c r="GO145" s="368"/>
      <c r="GP145" s="368"/>
      <c r="GQ145" s="368"/>
      <c r="GR145" s="368"/>
      <c r="GS145" s="368"/>
      <c r="GT145" s="368"/>
      <c r="GU145" s="368"/>
      <c r="GV145" s="368"/>
      <c r="GW145" s="368"/>
      <c r="GX145" s="368"/>
      <c r="GY145" s="368"/>
      <c r="GZ145" s="368"/>
      <c r="HA145" s="368"/>
      <c r="HB145" s="368"/>
      <c r="HC145" s="368"/>
      <c r="HD145" s="368"/>
      <c r="HE145" s="368"/>
      <c r="HF145" s="368"/>
      <c r="HG145" s="368"/>
      <c r="HH145" s="368"/>
      <c r="HI145" s="368"/>
      <c r="HJ145" s="368"/>
      <c r="HK145" s="368"/>
      <c r="HL145" s="368"/>
      <c r="HM145" s="368"/>
      <c r="HN145" s="368"/>
      <c r="HO145" s="368"/>
      <c r="HP145" s="368"/>
      <c r="HQ145" s="368"/>
      <c r="HR145" s="368"/>
      <c r="HS145" s="368"/>
      <c r="HT145" s="368"/>
      <c r="HU145" s="368"/>
      <c r="HV145" s="368"/>
      <c r="HW145" s="368"/>
      <c r="HX145" s="368"/>
      <c r="HY145" s="368"/>
      <c r="HZ145" s="368"/>
      <c r="IA145" s="368"/>
      <c r="IB145" s="368"/>
      <c r="IC145" s="368"/>
      <c r="ID145" s="368"/>
      <c r="IE145" s="368"/>
      <c r="IF145" s="368"/>
      <c r="IG145" s="368"/>
      <c r="IH145" s="368"/>
      <c r="II145" s="368"/>
      <c r="IJ145" s="368"/>
      <c r="IK145" s="368"/>
      <c r="IL145" s="368"/>
      <c r="IM145" s="368"/>
      <c r="IN145" s="368"/>
      <c r="IO145" s="368"/>
      <c r="IP145" s="368"/>
      <c r="IQ145" s="368"/>
      <c r="IR145" s="368"/>
      <c r="IS145" s="368"/>
      <c r="IT145" s="368"/>
      <c r="IU145" s="368"/>
      <c r="IV145" s="368"/>
      <c r="IW145" s="368"/>
      <c r="IX145" s="368"/>
      <c r="IY145" s="368"/>
      <c r="IZ145" s="368"/>
      <c r="JA145" s="368"/>
      <c r="JB145" s="368"/>
      <c r="JC145" s="368"/>
      <c r="JD145" s="368"/>
      <c r="JE145" s="368"/>
      <c r="JF145" s="368"/>
      <c r="JG145" s="368"/>
      <c r="JH145" s="368"/>
      <c r="JI145" s="368"/>
      <c r="JJ145" s="368"/>
      <c r="JK145" s="368"/>
      <c r="JL145" s="368"/>
      <c r="JM145" s="368"/>
      <c r="JN145" s="368"/>
      <c r="JO145" s="368"/>
      <c r="JP145" s="368"/>
      <c r="JQ145" s="368"/>
      <c r="JR145" s="368"/>
      <c r="JS145" s="368"/>
      <c r="JT145" s="368"/>
      <c r="JU145" s="368"/>
      <c r="JV145" s="368"/>
      <c r="JW145" s="368"/>
      <c r="JX145" s="368"/>
      <c r="JY145" s="368"/>
      <c r="JZ145" s="368"/>
      <c r="KA145" s="368"/>
      <c r="KB145" s="368"/>
      <c r="KC145" s="368"/>
      <c r="KD145" s="368"/>
      <c r="KE145" s="368"/>
      <c r="KF145" s="368"/>
      <c r="KG145" s="368"/>
      <c r="KH145" s="368"/>
      <c r="KI145" s="368"/>
      <c r="KJ145" s="368"/>
      <c r="KK145" s="368"/>
      <c r="KL145" s="368"/>
      <c r="KM145" s="368"/>
      <c r="KN145" s="368"/>
      <c r="KO145" s="368"/>
      <c r="KP145" s="368"/>
      <c r="KQ145" s="368"/>
      <c r="KR145" s="368"/>
      <c r="KS145" s="368"/>
      <c r="KT145" s="368"/>
      <c r="KU145" s="368"/>
      <c r="KV145" s="368"/>
      <c r="KW145" s="368"/>
      <c r="KX145" s="368"/>
      <c r="KY145" s="368"/>
      <c r="KZ145" s="368"/>
      <c r="LA145" s="368"/>
      <c r="LB145" s="368"/>
      <c r="LC145" s="368"/>
      <c r="LD145" s="368"/>
      <c r="LE145" s="368"/>
      <c r="LF145" s="368"/>
      <c r="LG145" s="368"/>
      <c r="LH145" s="368"/>
      <c r="LI145" s="368"/>
      <c r="LJ145" s="368"/>
      <c r="LK145" s="368"/>
      <c r="LL145" s="368"/>
      <c r="LM145" s="368"/>
      <c r="LN145" s="368"/>
      <c r="LO145" s="368"/>
      <c r="LP145" s="368"/>
      <c r="LQ145" s="368"/>
      <c r="LR145" s="368"/>
      <c r="LS145" s="368"/>
      <c r="LT145" s="368"/>
      <c r="LU145" s="368"/>
      <c r="LV145" s="368"/>
      <c r="LW145" s="368"/>
      <c r="LX145" s="368"/>
      <c r="LY145" s="368"/>
      <c r="LZ145" s="368"/>
      <c r="MA145" s="368"/>
      <c r="MB145" s="368"/>
      <c r="MC145" s="368"/>
      <c r="MD145" s="368"/>
      <c r="ME145" s="368"/>
      <c r="MF145" s="368"/>
      <c r="MG145" s="368"/>
      <c r="MH145" s="368"/>
      <c r="MI145" s="368"/>
      <c r="MJ145" s="368"/>
      <c r="MK145" s="368"/>
      <c r="ML145" s="368"/>
      <c r="MM145" s="368"/>
      <c r="MN145" s="368"/>
      <c r="MO145" s="368"/>
      <c r="MP145" s="368"/>
      <c r="MQ145" s="368"/>
      <c r="MR145" s="368"/>
      <c r="MS145" s="368"/>
      <c r="MT145" s="368"/>
      <c r="MU145" s="368"/>
      <c r="MV145" s="368"/>
      <c r="MW145" s="368"/>
      <c r="MX145" s="368"/>
      <c r="MY145" s="368"/>
      <c r="MZ145" s="368"/>
      <c r="NA145" s="368"/>
      <c r="NB145" s="368"/>
      <c r="NC145" s="368"/>
      <c r="ND145" s="368"/>
      <c r="NE145" s="368"/>
      <c r="NF145" s="368"/>
      <c r="NG145" s="368"/>
      <c r="NH145" s="368"/>
      <c r="NI145" s="368"/>
      <c r="NJ145" s="368"/>
      <c r="NK145" s="368"/>
      <c r="NL145" s="368"/>
      <c r="NM145" s="368"/>
      <c r="NN145" s="368"/>
      <c r="NO145" s="368"/>
      <c r="NP145" s="368"/>
      <c r="NQ145" s="368"/>
      <c r="NR145" s="368"/>
      <c r="NS145" s="368"/>
      <c r="NT145" s="368"/>
      <c r="NU145" s="368"/>
      <c r="NV145" s="368"/>
      <c r="NW145" s="368"/>
      <c r="NX145" s="368"/>
      <c r="NY145" s="368"/>
      <c r="NZ145" s="368"/>
      <c r="OA145" s="368"/>
      <c r="OB145" s="368"/>
      <c r="OC145" s="368"/>
      <c r="OD145" s="368"/>
      <c r="OE145" s="368"/>
      <c r="OF145" s="368"/>
      <c r="OG145" s="368"/>
      <c r="OH145" s="368"/>
      <c r="OI145" s="368"/>
      <c r="OJ145" s="368"/>
      <c r="OK145" s="368"/>
      <c r="OL145" s="368"/>
      <c r="OM145" s="368"/>
      <c r="ON145" s="368"/>
      <c r="OO145" s="368"/>
      <c r="OP145" s="368"/>
      <c r="OQ145" s="368"/>
      <c r="OR145" s="368"/>
      <c r="OS145" s="368"/>
      <c r="OT145" s="368"/>
      <c r="OU145" s="368"/>
      <c r="OV145" s="368"/>
      <c r="OW145" s="368"/>
      <c r="OX145" s="368"/>
      <c r="OY145" s="368"/>
      <c r="OZ145" s="368"/>
      <c r="PA145" s="368"/>
      <c r="PB145" s="368"/>
      <c r="PC145" s="368"/>
      <c r="PD145" s="368"/>
      <c r="PE145" s="368"/>
      <c r="PF145" s="368"/>
      <c r="PG145" s="368"/>
      <c r="PH145" s="368"/>
      <c r="PI145" s="368"/>
      <c r="PJ145" s="368"/>
      <c r="PK145" s="368"/>
      <c r="PL145" s="368"/>
      <c r="PM145" s="368"/>
      <c r="PN145" s="368"/>
      <c r="PO145" s="368"/>
      <c r="PP145" s="368"/>
      <c r="PQ145" s="368"/>
      <c r="PR145" s="368"/>
      <c r="PS145" s="368"/>
      <c r="PT145" s="368"/>
      <c r="PU145" s="368"/>
      <c r="PV145" s="368"/>
      <c r="PW145" s="368"/>
      <c r="PX145" s="368"/>
      <c r="PY145" s="368"/>
      <c r="PZ145" s="368"/>
      <c r="QA145" s="368"/>
      <c r="QB145" s="368"/>
      <c r="QC145" s="368"/>
      <c r="QD145" s="368"/>
      <c r="QE145" s="368"/>
      <c r="QF145" s="368"/>
      <c r="QG145" s="368"/>
      <c r="QH145" s="368"/>
      <c r="QI145" s="368"/>
      <c r="QJ145" s="368"/>
      <c r="QK145" s="368"/>
      <c r="QL145" s="368"/>
      <c r="QM145" s="368"/>
      <c r="QN145" s="368"/>
      <c r="QO145" s="368"/>
      <c r="QP145" s="368"/>
      <c r="QQ145" s="368"/>
      <c r="QR145" s="368"/>
      <c r="QS145" s="368"/>
      <c r="QT145" s="368"/>
      <c r="QU145" s="368"/>
      <c r="QV145" s="368"/>
      <c r="QW145" s="368"/>
      <c r="QX145" s="368"/>
      <c r="QY145" s="368"/>
      <c r="QZ145" s="368"/>
      <c r="RA145" s="368"/>
      <c r="RB145" s="368"/>
      <c r="RC145" s="368"/>
      <c r="RD145" s="368"/>
      <c r="RE145" s="368"/>
      <c r="RF145" s="368"/>
      <c r="RG145" s="368"/>
      <c r="RH145" s="368"/>
      <c r="RI145" s="368"/>
      <c r="RJ145" s="368"/>
      <c r="RK145" s="368"/>
      <c r="RL145" s="368"/>
      <c r="RM145" s="368"/>
      <c r="RN145" s="368"/>
      <c r="RO145" s="368"/>
      <c r="RP145" s="368"/>
      <c r="RQ145" s="368"/>
      <c r="RR145" s="368"/>
      <c r="RS145" s="368"/>
      <c r="RT145" s="368"/>
      <c r="RU145" s="368"/>
      <c r="RV145" s="368"/>
      <c r="RW145" s="368"/>
      <c r="RX145" s="368"/>
      <c r="RY145" s="368"/>
      <c r="RZ145" s="368"/>
      <c r="SA145" s="368"/>
      <c r="SB145" s="368"/>
      <c r="SC145" s="368"/>
      <c r="SD145" s="368"/>
      <c r="SE145" s="368"/>
      <c r="SF145" s="368"/>
      <c r="SG145" s="368"/>
      <c r="SH145" s="368"/>
      <c r="SI145" s="368"/>
      <c r="SJ145" s="368"/>
      <c r="SK145" s="368"/>
      <c r="SL145" s="368"/>
      <c r="SM145" s="368"/>
      <c r="SN145" s="368"/>
      <c r="SO145" s="368"/>
      <c r="SP145" s="368"/>
      <c r="SQ145" s="368"/>
      <c r="SR145" s="368"/>
      <c r="SS145" s="368"/>
      <c r="ST145" s="368"/>
      <c r="SU145" s="368"/>
      <c r="SV145" s="368"/>
      <c r="SW145" s="368"/>
      <c r="SX145" s="368"/>
      <c r="SY145" s="368"/>
      <c r="SZ145" s="368"/>
      <c r="TA145" s="368"/>
      <c r="TB145" s="368"/>
      <c r="TC145" s="368"/>
      <c r="TD145" s="368"/>
      <c r="TE145" s="368"/>
      <c r="TF145" s="368"/>
      <c r="TG145" s="368"/>
      <c r="TH145" s="368"/>
      <c r="TI145" s="368"/>
      <c r="TJ145" s="368"/>
      <c r="TK145" s="368"/>
      <c r="TL145" s="368"/>
      <c r="TM145" s="368"/>
      <c r="TN145" s="368"/>
      <c r="TO145" s="368"/>
      <c r="TP145" s="368"/>
      <c r="TQ145" s="368"/>
      <c r="TR145" s="368"/>
      <c r="TS145" s="368"/>
      <c r="TT145" s="368"/>
      <c r="TU145" s="368"/>
      <c r="TV145" s="368"/>
      <c r="TW145" s="368"/>
      <c r="TX145" s="368"/>
      <c r="TY145" s="368"/>
      <c r="TZ145" s="368"/>
      <c r="UA145" s="368"/>
      <c r="UB145" s="368"/>
      <c r="UC145" s="368"/>
      <c r="UD145" s="368"/>
      <c r="UE145" s="368"/>
      <c r="UF145" s="368"/>
      <c r="UG145" s="368"/>
      <c r="UH145" s="368"/>
      <c r="UI145" s="368"/>
      <c r="UJ145" s="368"/>
      <c r="UK145" s="368"/>
      <c r="UL145" s="368"/>
      <c r="UM145" s="368"/>
      <c r="UN145" s="368"/>
      <c r="UO145" s="368"/>
      <c r="UP145" s="368"/>
      <c r="UQ145" s="368"/>
      <c r="UR145" s="368"/>
      <c r="US145" s="368"/>
      <c r="UT145" s="368"/>
      <c r="UU145" s="368"/>
      <c r="UV145" s="368"/>
      <c r="UW145" s="368"/>
      <c r="UX145" s="368"/>
      <c r="UY145" s="368"/>
      <c r="UZ145" s="368"/>
      <c r="VA145" s="368"/>
      <c r="VB145" s="368"/>
      <c r="VC145" s="368"/>
      <c r="VD145" s="368"/>
      <c r="VE145" s="368"/>
      <c r="VF145" s="368"/>
      <c r="VG145" s="368"/>
      <c r="VH145" s="368"/>
      <c r="VI145" s="368"/>
      <c r="VJ145" s="368"/>
      <c r="VK145" s="368"/>
      <c r="VL145" s="368"/>
      <c r="VM145" s="368"/>
      <c r="VN145" s="368"/>
      <c r="VO145" s="368"/>
      <c r="VP145" s="368"/>
      <c r="VQ145" s="368"/>
      <c r="VR145" s="368"/>
      <c r="VS145" s="368"/>
      <c r="VT145" s="368"/>
      <c r="VU145" s="368"/>
      <c r="VV145" s="368"/>
      <c r="VW145" s="368"/>
      <c r="VX145" s="368"/>
      <c r="VY145" s="368"/>
      <c r="VZ145" s="368"/>
      <c r="WA145" s="368"/>
      <c r="WB145" s="368"/>
      <c r="WC145" s="368"/>
      <c r="WD145" s="368"/>
      <c r="WE145" s="368"/>
      <c r="WF145" s="368"/>
      <c r="WG145" s="368"/>
      <c r="WH145" s="368"/>
      <c r="WI145" s="368"/>
      <c r="WJ145" s="368"/>
      <c r="WK145" s="368"/>
      <c r="WL145" s="368"/>
      <c r="WM145" s="368"/>
      <c r="WN145" s="368"/>
      <c r="WO145" s="368"/>
      <c r="WP145" s="368"/>
      <c r="WQ145" s="368"/>
      <c r="WR145" s="368"/>
      <c r="WS145" s="368"/>
      <c r="WT145" s="368"/>
      <c r="WU145" s="368"/>
      <c r="WV145" s="368"/>
      <c r="WW145" s="368"/>
      <c r="WX145" s="368"/>
      <c r="WY145" s="368"/>
      <c r="WZ145" s="368"/>
      <c r="XA145" s="368"/>
      <c r="XB145" s="368"/>
      <c r="XC145" s="368"/>
      <c r="XD145" s="368"/>
      <c r="XE145" s="368"/>
      <c r="XF145" s="368"/>
      <c r="XG145" s="368"/>
      <c r="XH145" s="368"/>
      <c r="XI145" s="368"/>
      <c r="XJ145" s="368"/>
      <c r="XK145" s="368"/>
      <c r="XL145" s="368"/>
      <c r="XM145" s="368"/>
      <c r="XN145" s="368"/>
      <c r="XO145" s="368"/>
      <c r="XP145" s="368"/>
      <c r="XQ145" s="368"/>
      <c r="XR145" s="368"/>
      <c r="XS145" s="368"/>
      <c r="XT145" s="368"/>
      <c r="XU145" s="368"/>
      <c r="XV145" s="368"/>
      <c r="XW145" s="368"/>
      <c r="XX145" s="368"/>
      <c r="XY145" s="368"/>
      <c r="XZ145" s="368"/>
      <c r="YA145" s="368"/>
      <c r="YB145" s="368"/>
      <c r="YC145" s="368"/>
      <c r="YD145" s="368"/>
      <c r="YE145" s="368"/>
      <c r="YF145" s="368"/>
      <c r="YG145" s="368"/>
      <c r="YH145" s="368"/>
      <c r="YI145" s="368"/>
      <c r="YJ145" s="368"/>
      <c r="YK145" s="368"/>
      <c r="YL145" s="368"/>
      <c r="YM145" s="368"/>
      <c r="YN145" s="368"/>
      <c r="YO145" s="368"/>
      <c r="YP145" s="368"/>
      <c r="YQ145" s="368"/>
      <c r="YR145" s="368"/>
      <c r="YS145" s="368"/>
      <c r="YT145" s="368"/>
      <c r="YU145" s="368"/>
      <c r="YV145" s="368"/>
      <c r="YW145" s="368"/>
      <c r="YX145" s="368"/>
      <c r="YY145" s="368"/>
      <c r="YZ145" s="368"/>
      <c r="ZA145" s="368"/>
      <c r="ZB145" s="368"/>
      <c r="ZC145" s="368"/>
      <c r="ZD145" s="368"/>
      <c r="ZE145" s="368"/>
      <c r="ZF145" s="368"/>
      <c r="ZG145" s="368"/>
      <c r="ZH145" s="368"/>
      <c r="ZI145" s="368"/>
      <c r="ZJ145" s="368"/>
      <c r="ZK145" s="368"/>
      <c r="ZL145" s="368"/>
      <c r="ZM145" s="368"/>
      <c r="ZN145" s="368"/>
      <c r="ZO145" s="368"/>
      <c r="ZP145" s="368"/>
      <c r="ZQ145" s="368"/>
      <c r="ZR145" s="368"/>
      <c r="ZS145" s="368"/>
      <c r="ZT145" s="368"/>
      <c r="ZU145" s="368"/>
      <c r="ZV145" s="368"/>
      <c r="ZW145" s="368"/>
      <c r="ZX145" s="368"/>
      <c r="ZY145" s="368"/>
      <c r="ZZ145" s="368"/>
      <c r="AAA145" s="368"/>
      <c r="AAB145" s="368"/>
      <c r="AAC145" s="368"/>
      <c r="AAD145" s="368"/>
      <c r="AAE145" s="368"/>
      <c r="AAF145" s="368"/>
      <c r="AAG145" s="368"/>
      <c r="AAH145" s="368"/>
      <c r="AAI145" s="368"/>
      <c r="AAJ145" s="368"/>
      <c r="AAK145" s="368"/>
      <c r="AAL145" s="368"/>
      <c r="AAM145" s="368"/>
      <c r="AAN145" s="368"/>
      <c r="AAO145" s="368"/>
      <c r="AAP145" s="368"/>
      <c r="AAQ145" s="368"/>
      <c r="AAR145" s="368"/>
      <c r="AAS145" s="368"/>
      <c r="AAT145" s="368"/>
      <c r="AAU145" s="368"/>
      <c r="AAV145" s="368"/>
      <c r="AAW145" s="368"/>
      <c r="AAX145" s="368"/>
      <c r="AAY145" s="368"/>
      <c r="AAZ145" s="368"/>
      <c r="ABA145" s="368"/>
      <c r="ABB145" s="368"/>
      <c r="ABC145" s="368"/>
      <c r="ABD145" s="368"/>
      <c r="ABE145" s="368"/>
      <c r="ABF145" s="368"/>
      <c r="ABG145" s="368"/>
      <c r="ABH145" s="368"/>
      <c r="ABI145" s="368"/>
      <c r="ABJ145" s="368"/>
      <c r="ABK145" s="368"/>
      <c r="ABL145" s="368"/>
      <c r="ABM145" s="368"/>
      <c r="ABN145" s="368"/>
      <c r="ABO145" s="368"/>
      <c r="ABP145" s="368"/>
      <c r="ABQ145" s="368"/>
      <c r="ABR145" s="368"/>
      <c r="ABS145" s="368"/>
      <c r="ABT145" s="368"/>
      <c r="ABU145" s="368"/>
      <c r="ABV145" s="368"/>
      <c r="ABW145" s="368"/>
      <c r="ABX145" s="368"/>
      <c r="ABY145" s="368"/>
      <c r="ABZ145" s="368"/>
      <c r="ACA145" s="368"/>
      <c r="ACB145" s="368"/>
      <c r="ACC145" s="368"/>
      <c r="ACD145" s="368"/>
      <c r="ACE145" s="368"/>
      <c r="ACF145" s="368"/>
      <c r="ACG145" s="368"/>
      <c r="ACH145" s="368"/>
      <c r="ACI145" s="368"/>
      <c r="ACJ145" s="368"/>
      <c r="ACK145" s="368"/>
      <c r="ACL145" s="368"/>
      <c r="ACM145" s="368"/>
      <c r="ACN145" s="368"/>
      <c r="ACO145" s="368"/>
      <c r="ACP145" s="368"/>
      <c r="ACQ145" s="368"/>
      <c r="ACR145" s="368"/>
      <c r="ACS145" s="368"/>
      <c r="ACT145" s="368"/>
      <c r="ACU145" s="368"/>
      <c r="ACV145" s="368"/>
      <c r="ACW145" s="368"/>
      <c r="ACX145" s="368"/>
      <c r="ACY145" s="368"/>
      <c r="ACZ145" s="368"/>
      <c r="ADA145" s="368"/>
      <c r="ADB145" s="368"/>
      <c r="ADC145" s="368"/>
      <c r="ADD145" s="368"/>
      <c r="ADE145" s="368"/>
      <c r="ADF145" s="368"/>
      <c r="ADG145" s="368"/>
      <c r="ADH145" s="368"/>
      <c r="ADI145" s="368"/>
      <c r="ADJ145" s="368"/>
      <c r="ADK145" s="368"/>
      <c r="ADL145" s="368"/>
      <c r="ADM145" s="368"/>
      <c r="ADN145" s="368"/>
      <c r="ADO145" s="368"/>
      <c r="ADP145" s="368"/>
      <c r="ADQ145" s="368"/>
      <c r="ADR145" s="368"/>
      <c r="ADS145" s="368"/>
      <c r="ADT145" s="368"/>
      <c r="ADU145" s="368"/>
      <c r="ADV145" s="368"/>
      <c r="ADW145" s="368"/>
      <c r="ADX145" s="368"/>
      <c r="ADY145" s="368"/>
      <c r="ADZ145" s="368"/>
      <c r="AEA145" s="368"/>
      <c r="AEB145" s="368"/>
      <c r="AEC145" s="368"/>
      <c r="AED145" s="368"/>
      <c r="AEE145" s="368"/>
      <c r="AEF145" s="368"/>
      <c r="AEG145" s="368"/>
      <c r="AEH145" s="368"/>
      <c r="AEI145" s="368"/>
      <c r="AEJ145" s="368"/>
      <c r="AEK145" s="368"/>
      <c r="AEL145" s="368"/>
      <c r="AEM145" s="368"/>
      <c r="AEN145" s="368"/>
      <c r="AEO145" s="368"/>
      <c r="AEP145" s="368"/>
      <c r="AEQ145" s="368"/>
      <c r="AER145" s="368"/>
      <c r="AES145" s="368"/>
      <c r="AET145" s="368"/>
      <c r="AEU145" s="368"/>
      <c r="AEV145" s="368"/>
      <c r="AEW145" s="368"/>
      <c r="AEX145" s="368"/>
      <c r="AEY145" s="368"/>
      <c r="AEZ145" s="368"/>
      <c r="AFA145" s="368"/>
      <c r="AFB145" s="368"/>
      <c r="AFC145" s="368"/>
      <c r="AFD145" s="368"/>
      <c r="AFE145" s="368"/>
      <c r="AFF145" s="368"/>
      <c r="AFG145" s="368"/>
      <c r="AFH145" s="368"/>
      <c r="AFI145" s="368"/>
      <c r="AFJ145" s="368"/>
      <c r="AFK145" s="368"/>
      <c r="AFL145" s="368"/>
      <c r="AFM145" s="368"/>
      <c r="AFN145" s="368"/>
      <c r="AFO145" s="368"/>
      <c r="AFP145" s="368"/>
      <c r="AFQ145" s="368"/>
      <c r="AFR145" s="368"/>
      <c r="AFS145" s="368"/>
      <c r="AFT145" s="368"/>
      <c r="AFU145" s="368"/>
      <c r="AFV145" s="368"/>
      <c r="AFW145" s="368"/>
      <c r="AFX145" s="368"/>
      <c r="AFY145" s="368"/>
      <c r="AFZ145" s="368"/>
      <c r="AGA145" s="368"/>
      <c r="AGB145" s="368"/>
      <c r="AGC145" s="368"/>
      <c r="AGD145" s="368"/>
      <c r="AGE145" s="368"/>
      <c r="AGF145" s="368"/>
      <c r="AGG145" s="368"/>
      <c r="AGH145" s="368"/>
      <c r="AGI145" s="368"/>
      <c r="AGJ145" s="368"/>
      <c r="AGK145" s="368"/>
      <c r="AGL145" s="368"/>
      <c r="AGM145" s="368"/>
      <c r="AGN145" s="368"/>
      <c r="AGO145" s="368"/>
      <c r="AGP145" s="368"/>
      <c r="AGQ145" s="368"/>
      <c r="AGR145" s="368"/>
      <c r="AGS145" s="368"/>
      <c r="AGT145" s="368"/>
      <c r="AGU145" s="368"/>
      <c r="AGV145" s="368"/>
      <c r="AGW145" s="368"/>
      <c r="AGX145" s="368"/>
      <c r="AGY145" s="368"/>
      <c r="AGZ145" s="368"/>
      <c r="AHA145" s="368"/>
      <c r="AHB145" s="368"/>
      <c r="AHC145" s="368"/>
      <c r="AHD145" s="368"/>
      <c r="AHE145" s="368"/>
      <c r="AHF145" s="368"/>
      <c r="AHG145" s="368"/>
      <c r="AHH145" s="368"/>
      <c r="AHI145" s="368"/>
      <c r="AHJ145" s="368"/>
      <c r="AHK145" s="368"/>
      <c r="AHL145" s="368"/>
      <c r="AHM145" s="368"/>
      <c r="AHN145" s="368"/>
      <c r="AHO145" s="368"/>
      <c r="AHP145" s="368"/>
      <c r="AHQ145" s="368"/>
      <c r="AHR145" s="368"/>
      <c r="AHS145" s="368"/>
      <c r="AHT145" s="368"/>
      <c r="AHU145" s="368"/>
      <c r="AHV145" s="368"/>
      <c r="AHW145" s="368"/>
      <c r="AHX145" s="368"/>
      <c r="AHY145" s="368"/>
      <c r="AHZ145" s="368"/>
      <c r="AIA145" s="368"/>
      <c r="AIB145" s="368"/>
      <c r="AIC145" s="368"/>
      <c r="AID145" s="368"/>
      <c r="AIE145" s="368"/>
      <c r="AIF145" s="368"/>
      <c r="AIG145" s="368"/>
      <c r="AIH145" s="368"/>
      <c r="AII145" s="368"/>
      <c r="AIJ145" s="368"/>
      <c r="AIK145" s="368"/>
      <c r="AIL145" s="368"/>
      <c r="AIM145" s="368"/>
      <c r="AIN145" s="368"/>
      <c r="AIO145" s="368"/>
      <c r="AIP145" s="368"/>
      <c r="AIQ145" s="368"/>
      <c r="AIR145" s="368"/>
      <c r="AIS145" s="368"/>
      <c r="AIT145" s="368"/>
      <c r="AIU145" s="368"/>
      <c r="AIV145" s="368"/>
      <c r="AIW145" s="368"/>
      <c r="AIX145" s="368"/>
      <c r="AIY145" s="368"/>
      <c r="AIZ145" s="368"/>
      <c r="AJA145" s="368"/>
      <c r="AJB145" s="368"/>
      <c r="AJC145" s="368"/>
      <c r="AJD145" s="368"/>
      <c r="AJE145" s="368"/>
      <c r="AJF145" s="368"/>
      <c r="AJG145" s="368"/>
      <c r="AJH145" s="368"/>
      <c r="AJI145" s="368"/>
      <c r="AJJ145" s="368"/>
      <c r="AJK145" s="368"/>
      <c r="AJL145" s="368"/>
      <c r="AJM145" s="368"/>
      <c r="AJN145" s="368"/>
      <c r="AJO145" s="368"/>
      <c r="AJP145" s="368"/>
      <c r="AJQ145" s="368"/>
      <c r="AJR145" s="368"/>
      <c r="AJS145" s="368"/>
      <c r="AJT145" s="368"/>
      <c r="AJU145" s="368"/>
      <c r="AJV145" s="368"/>
      <c r="AJW145" s="368"/>
      <c r="AJX145" s="368"/>
      <c r="AJY145" s="368"/>
      <c r="AJZ145" s="368"/>
      <c r="AKA145" s="368"/>
      <c r="AKB145" s="368"/>
      <c r="AKC145" s="368"/>
      <c r="AKD145" s="368"/>
      <c r="AKE145" s="368"/>
      <c r="AKF145" s="368"/>
      <c r="AKG145" s="368"/>
      <c r="AKH145" s="368"/>
      <c r="AKI145" s="368"/>
      <c r="AKJ145" s="368"/>
      <c r="AKK145" s="368"/>
      <c r="AKL145" s="368"/>
      <c r="AKM145" s="368"/>
      <c r="AKN145" s="368"/>
    </row>
    <row r="146" spans="1:976" s="346" customFormat="1" ht="22.5" customHeight="1" x14ac:dyDescent="0.2">
      <c r="A146" s="370" t="s">
        <v>262</v>
      </c>
      <c r="B146" s="370"/>
      <c r="C146" s="370" t="s">
        <v>221</v>
      </c>
      <c r="D146" s="370" t="s">
        <v>222</v>
      </c>
      <c r="E146" s="371">
        <v>414756</v>
      </c>
      <c r="F146" s="371">
        <v>1885</v>
      </c>
      <c r="G146" s="371">
        <v>303</v>
      </c>
      <c r="H146" s="371">
        <v>0</v>
      </c>
      <c r="I146" s="372">
        <v>45902</v>
      </c>
      <c r="J146" s="370" t="s">
        <v>263</v>
      </c>
      <c r="K146" s="370" t="s">
        <v>678</v>
      </c>
      <c r="L146" s="373">
        <v>25.98</v>
      </c>
      <c r="M146" s="373">
        <v>3.64</v>
      </c>
      <c r="N146" s="444">
        <v>29.62</v>
      </c>
      <c r="O146" s="370"/>
      <c r="P146" s="374">
        <v>45904</v>
      </c>
      <c r="Q146" s="373">
        <v>29.62</v>
      </c>
      <c r="R146" s="370" t="s">
        <v>679</v>
      </c>
      <c r="S146" s="373">
        <v>0</v>
      </c>
      <c r="T146" s="373">
        <v>0</v>
      </c>
      <c r="U146" s="373">
        <v>0</v>
      </c>
      <c r="V146" s="373">
        <v>0</v>
      </c>
      <c r="W146" s="370"/>
      <c r="X146" s="370" t="s">
        <v>293</v>
      </c>
      <c r="Y146" s="370" t="s">
        <v>294</v>
      </c>
      <c r="Z146" s="370" t="s">
        <v>42</v>
      </c>
      <c r="AA146" s="370" t="s">
        <v>228</v>
      </c>
      <c r="AB146" s="370" t="s">
        <v>235</v>
      </c>
      <c r="AC146" s="370" t="s">
        <v>331</v>
      </c>
      <c r="AD146" s="370" t="s">
        <v>231</v>
      </c>
      <c r="AE146" s="370" t="s">
        <v>232</v>
      </c>
      <c r="AF146" s="370" t="s">
        <v>231</v>
      </c>
      <c r="AG146" s="370" t="s">
        <v>232</v>
      </c>
      <c r="AH146" s="370"/>
      <c r="AI146" s="370"/>
      <c r="AJ146" s="370"/>
      <c r="AK146" s="370" t="s">
        <v>680</v>
      </c>
      <c r="AL146" s="371">
        <v>1</v>
      </c>
      <c r="AM146" s="371">
        <v>0</v>
      </c>
      <c r="AN146" s="372">
        <v>45904</v>
      </c>
      <c r="AO146" s="372">
        <v>45904</v>
      </c>
      <c r="AP146" s="373">
        <v>29.62</v>
      </c>
      <c r="AQ146" s="372">
        <v>45903</v>
      </c>
      <c r="AR146" s="368"/>
      <c r="AS146" s="368"/>
      <c r="AT146" s="368"/>
      <c r="AU146" s="368"/>
      <c r="AV146" s="368"/>
      <c r="AW146" s="368"/>
      <c r="AX146" s="368"/>
      <c r="AY146" s="368"/>
      <c r="AZ146" s="368"/>
      <c r="BA146" s="368"/>
      <c r="BB146" s="368"/>
      <c r="BC146" s="368"/>
      <c r="BD146" s="368"/>
      <c r="BE146" s="368"/>
      <c r="BF146" s="368"/>
      <c r="BG146" s="368"/>
      <c r="BH146" s="368"/>
      <c r="BI146" s="368"/>
      <c r="BJ146" s="368"/>
      <c r="BK146" s="368"/>
      <c r="BL146" s="368"/>
      <c r="BM146" s="368"/>
      <c r="BN146" s="368"/>
      <c r="BO146" s="368"/>
      <c r="BP146" s="368"/>
      <c r="BQ146" s="368"/>
      <c r="BR146" s="368"/>
      <c r="BS146" s="368"/>
      <c r="BT146" s="368"/>
      <c r="BU146" s="368"/>
      <c r="BV146" s="368"/>
      <c r="BW146" s="368"/>
      <c r="BX146" s="368"/>
      <c r="BY146" s="368"/>
      <c r="BZ146" s="368"/>
      <c r="CA146" s="368"/>
      <c r="CB146" s="368"/>
      <c r="CC146" s="368"/>
      <c r="CD146" s="368"/>
      <c r="CE146" s="368"/>
      <c r="CF146" s="368"/>
      <c r="CG146" s="368"/>
      <c r="CH146" s="368"/>
      <c r="CI146" s="368"/>
      <c r="CJ146" s="368"/>
      <c r="CK146" s="368"/>
      <c r="CL146" s="368"/>
      <c r="CM146" s="368"/>
      <c r="CN146" s="368"/>
      <c r="CO146" s="368"/>
      <c r="CP146" s="368"/>
      <c r="CQ146" s="368"/>
      <c r="CR146" s="368"/>
      <c r="CS146" s="368"/>
      <c r="CT146" s="368"/>
      <c r="CU146" s="368"/>
      <c r="CV146" s="368"/>
      <c r="CW146" s="368"/>
      <c r="CX146" s="368"/>
      <c r="CY146" s="368"/>
      <c r="CZ146" s="368"/>
      <c r="DA146" s="368"/>
      <c r="DB146" s="368"/>
      <c r="DC146" s="368"/>
      <c r="DD146" s="368"/>
      <c r="DE146" s="368"/>
      <c r="DF146" s="368"/>
      <c r="DG146" s="368"/>
      <c r="DH146" s="368"/>
      <c r="DI146" s="368"/>
      <c r="DJ146" s="368"/>
      <c r="DK146" s="368"/>
      <c r="DL146" s="368"/>
      <c r="DM146" s="368"/>
      <c r="DN146" s="368"/>
      <c r="DO146" s="368"/>
      <c r="DP146" s="368"/>
      <c r="DQ146" s="368"/>
      <c r="DR146" s="368"/>
      <c r="DS146" s="368"/>
      <c r="DT146" s="368"/>
      <c r="DU146" s="368"/>
      <c r="DV146" s="368"/>
      <c r="DW146" s="368"/>
      <c r="DX146" s="368"/>
      <c r="DY146" s="368"/>
      <c r="DZ146" s="368"/>
      <c r="EA146" s="368"/>
      <c r="EB146" s="368"/>
      <c r="EC146" s="368"/>
      <c r="ED146" s="368"/>
      <c r="EE146" s="368"/>
      <c r="EF146" s="368"/>
      <c r="EG146" s="368"/>
      <c r="EH146" s="368"/>
      <c r="EI146" s="368"/>
      <c r="EJ146" s="368"/>
      <c r="EK146" s="368"/>
      <c r="EL146" s="368"/>
      <c r="EM146" s="368"/>
      <c r="EN146" s="368"/>
      <c r="EO146" s="368"/>
      <c r="EP146" s="368"/>
      <c r="EQ146" s="368"/>
      <c r="ER146" s="368"/>
      <c r="ES146" s="368"/>
      <c r="ET146" s="368"/>
      <c r="EU146" s="368"/>
      <c r="EV146" s="368"/>
      <c r="EW146" s="368"/>
      <c r="EX146" s="368"/>
      <c r="EY146" s="368"/>
      <c r="EZ146" s="368"/>
      <c r="FA146" s="368"/>
      <c r="FB146" s="368"/>
      <c r="FC146" s="368"/>
      <c r="FD146" s="368"/>
      <c r="FE146" s="368"/>
      <c r="FF146" s="368"/>
      <c r="FG146" s="368"/>
      <c r="FH146" s="368"/>
      <c r="FI146" s="368"/>
      <c r="FJ146" s="368"/>
      <c r="FK146" s="368"/>
      <c r="FL146" s="368"/>
      <c r="FM146" s="368"/>
      <c r="FN146" s="368"/>
      <c r="FO146" s="368"/>
      <c r="FP146" s="368"/>
      <c r="FQ146" s="368"/>
      <c r="FR146" s="368"/>
      <c r="FS146" s="368"/>
      <c r="FT146" s="368"/>
      <c r="FU146" s="368"/>
      <c r="FV146" s="368"/>
      <c r="FW146" s="368"/>
      <c r="FX146" s="368"/>
      <c r="FY146" s="368"/>
      <c r="FZ146" s="368"/>
      <c r="GA146" s="368"/>
      <c r="GB146" s="368"/>
      <c r="GC146" s="368"/>
      <c r="GD146" s="368"/>
      <c r="GE146" s="368"/>
      <c r="GF146" s="368"/>
      <c r="GG146" s="368"/>
      <c r="GH146" s="368"/>
      <c r="GI146" s="368"/>
      <c r="GJ146" s="368"/>
      <c r="GK146" s="368"/>
      <c r="GL146" s="368"/>
      <c r="GM146" s="368"/>
      <c r="GN146" s="368"/>
      <c r="GO146" s="368"/>
      <c r="GP146" s="368"/>
      <c r="GQ146" s="368"/>
      <c r="GR146" s="368"/>
      <c r="GS146" s="368"/>
      <c r="GT146" s="368"/>
      <c r="GU146" s="368"/>
      <c r="GV146" s="368"/>
      <c r="GW146" s="368"/>
      <c r="GX146" s="368"/>
      <c r="GY146" s="368"/>
      <c r="GZ146" s="368"/>
      <c r="HA146" s="368"/>
      <c r="HB146" s="368"/>
      <c r="HC146" s="368"/>
      <c r="HD146" s="368"/>
      <c r="HE146" s="368"/>
      <c r="HF146" s="368"/>
      <c r="HG146" s="368"/>
      <c r="HH146" s="368"/>
      <c r="HI146" s="368"/>
      <c r="HJ146" s="368"/>
      <c r="HK146" s="368"/>
      <c r="HL146" s="368"/>
      <c r="HM146" s="368"/>
      <c r="HN146" s="368"/>
      <c r="HO146" s="368"/>
      <c r="HP146" s="368"/>
      <c r="HQ146" s="368"/>
      <c r="HR146" s="368"/>
      <c r="HS146" s="368"/>
      <c r="HT146" s="368"/>
      <c r="HU146" s="368"/>
      <c r="HV146" s="368"/>
      <c r="HW146" s="368"/>
      <c r="HX146" s="368"/>
      <c r="HY146" s="368"/>
      <c r="HZ146" s="368"/>
      <c r="IA146" s="368"/>
      <c r="IB146" s="368"/>
      <c r="IC146" s="368"/>
      <c r="ID146" s="368"/>
      <c r="IE146" s="368"/>
      <c r="IF146" s="368"/>
      <c r="IG146" s="368"/>
      <c r="IH146" s="368"/>
      <c r="II146" s="368"/>
      <c r="IJ146" s="368"/>
      <c r="IK146" s="368"/>
      <c r="IL146" s="368"/>
      <c r="IM146" s="368"/>
      <c r="IN146" s="368"/>
      <c r="IO146" s="368"/>
      <c r="IP146" s="368"/>
      <c r="IQ146" s="368"/>
      <c r="IR146" s="368"/>
      <c r="IS146" s="368"/>
      <c r="IT146" s="368"/>
      <c r="IU146" s="368"/>
      <c r="IV146" s="368"/>
      <c r="IW146" s="368"/>
      <c r="IX146" s="368"/>
      <c r="IY146" s="368"/>
      <c r="IZ146" s="368"/>
      <c r="JA146" s="368"/>
      <c r="JB146" s="368"/>
      <c r="JC146" s="368"/>
      <c r="JD146" s="368"/>
      <c r="JE146" s="368"/>
      <c r="JF146" s="368"/>
      <c r="JG146" s="368"/>
      <c r="JH146" s="368"/>
      <c r="JI146" s="368"/>
      <c r="JJ146" s="368"/>
      <c r="JK146" s="368"/>
      <c r="JL146" s="368"/>
      <c r="JM146" s="368"/>
      <c r="JN146" s="368"/>
      <c r="JO146" s="368"/>
      <c r="JP146" s="368"/>
      <c r="JQ146" s="368"/>
      <c r="JR146" s="368"/>
      <c r="JS146" s="368"/>
      <c r="JT146" s="368"/>
      <c r="JU146" s="368"/>
      <c r="JV146" s="368"/>
      <c r="JW146" s="368"/>
      <c r="JX146" s="368"/>
      <c r="JY146" s="368"/>
      <c r="JZ146" s="368"/>
      <c r="KA146" s="368"/>
      <c r="KB146" s="368"/>
      <c r="KC146" s="368"/>
      <c r="KD146" s="368"/>
      <c r="KE146" s="368"/>
      <c r="KF146" s="368"/>
      <c r="KG146" s="368"/>
      <c r="KH146" s="368"/>
      <c r="KI146" s="368"/>
      <c r="KJ146" s="368"/>
      <c r="KK146" s="368"/>
      <c r="KL146" s="368"/>
      <c r="KM146" s="368"/>
      <c r="KN146" s="368"/>
      <c r="KO146" s="368"/>
      <c r="KP146" s="368"/>
      <c r="KQ146" s="368"/>
      <c r="KR146" s="368"/>
      <c r="KS146" s="368"/>
      <c r="KT146" s="368"/>
      <c r="KU146" s="368"/>
      <c r="KV146" s="368"/>
      <c r="KW146" s="368"/>
      <c r="KX146" s="368"/>
      <c r="KY146" s="368"/>
      <c r="KZ146" s="368"/>
      <c r="LA146" s="368"/>
      <c r="LB146" s="368"/>
      <c r="LC146" s="368"/>
      <c r="LD146" s="368"/>
      <c r="LE146" s="368"/>
      <c r="LF146" s="368"/>
      <c r="LG146" s="368"/>
      <c r="LH146" s="368"/>
      <c r="LI146" s="368"/>
      <c r="LJ146" s="368"/>
      <c r="LK146" s="368"/>
      <c r="LL146" s="368"/>
      <c r="LM146" s="368"/>
      <c r="LN146" s="368"/>
      <c r="LO146" s="368"/>
      <c r="LP146" s="368"/>
      <c r="LQ146" s="368"/>
      <c r="LR146" s="368"/>
      <c r="LS146" s="368"/>
      <c r="LT146" s="368"/>
      <c r="LU146" s="368"/>
      <c r="LV146" s="368"/>
      <c r="LW146" s="368"/>
      <c r="LX146" s="368"/>
      <c r="LY146" s="368"/>
      <c r="LZ146" s="368"/>
      <c r="MA146" s="368"/>
      <c r="MB146" s="368"/>
      <c r="MC146" s="368"/>
      <c r="MD146" s="368"/>
      <c r="ME146" s="368"/>
      <c r="MF146" s="368"/>
      <c r="MG146" s="368"/>
      <c r="MH146" s="368"/>
      <c r="MI146" s="368"/>
      <c r="MJ146" s="368"/>
      <c r="MK146" s="368"/>
      <c r="ML146" s="368"/>
      <c r="MM146" s="368"/>
      <c r="MN146" s="368"/>
      <c r="MO146" s="368"/>
      <c r="MP146" s="368"/>
      <c r="MQ146" s="368"/>
      <c r="MR146" s="368"/>
      <c r="MS146" s="368"/>
      <c r="MT146" s="368"/>
      <c r="MU146" s="368"/>
      <c r="MV146" s="368"/>
      <c r="MW146" s="368"/>
      <c r="MX146" s="368"/>
      <c r="MY146" s="368"/>
      <c r="MZ146" s="368"/>
      <c r="NA146" s="368"/>
      <c r="NB146" s="368"/>
      <c r="NC146" s="368"/>
      <c r="ND146" s="368"/>
      <c r="NE146" s="368"/>
      <c r="NF146" s="368"/>
      <c r="NG146" s="368"/>
      <c r="NH146" s="368"/>
      <c r="NI146" s="368"/>
      <c r="NJ146" s="368"/>
      <c r="NK146" s="368"/>
      <c r="NL146" s="368"/>
      <c r="NM146" s="368"/>
      <c r="NN146" s="368"/>
      <c r="NO146" s="368"/>
      <c r="NP146" s="368"/>
      <c r="NQ146" s="368"/>
      <c r="NR146" s="368"/>
      <c r="NS146" s="368"/>
      <c r="NT146" s="368"/>
      <c r="NU146" s="368"/>
      <c r="NV146" s="368"/>
      <c r="NW146" s="368"/>
      <c r="NX146" s="368"/>
      <c r="NY146" s="368"/>
      <c r="NZ146" s="368"/>
      <c r="OA146" s="368"/>
      <c r="OB146" s="368"/>
      <c r="OC146" s="368"/>
      <c r="OD146" s="368"/>
      <c r="OE146" s="368"/>
      <c r="OF146" s="368"/>
      <c r="OG146" s="368"/>
      <c r="OH146" s="368"/>
      <c r="OI146" s="368"/>
      <c r="OJ146" s="368"/>
      <c r="OK146" s="368"/>
      <c r="OL146" s="368"/>
      <c r="OM146" s="368"/>
      <c r="ON146" s="368"/>
      <c r="OO146" s="368"/>
      <c r="OP146" s="368"/>
      <c r="OQ146" s="368"/>
      <c r="OR146" s="368"/>
      <c r="OS146" s="368"/>
      <c r="OT146" s="368"/>
      <c r="OU146" s="368"/>
      <c r="OV146" s="368"/>
      <c r="OW146" s="368"/>
      <c r="OX146" s="368"/>
      <c r="OY146" s="368"/>
      <c r="OZ146" s="368"/>
      <c r="PA146" s="368"/>
      <c r="PB146" s="368"/>
      <c r="PC146" s="368"/>
      <c r="PD146" s="368"/>
      <c r="PE146" s="368"/>
      <c r="PF146" s="368"/>
      <c r="PG146" s="368"/>
      <c r="PH146" s="368"/>
      <c r="PI146" s="368"/>
      <c r="PJ146" s="368"/>
      <c r="PK146" s="368"/>
      <c r="PL146" s="368"/>
      <c r="PM146" s="368"/>
      <c r="PN146" s="368"/>
      <c r="PO146" s="368"/>
      <c r="PP146" s="368"/>
      <c r="PQ146" s="368"/>
      <c r="PR146" s="368"/>
      <c r="PS146" s="368"/>
      <c r="PT146" s="368"/>
      <c r="PU146" s="368"/>
      <c r="PV146" s="368"/>
      <c r="PW146" s="368"/>
      <c r="PX146" s="368"/>
      <c r="PY146" s="368"/>
      <c r="PZ146" s="368"/>
      <c r="QA146" s="368"/>
      <c r="QB146" s="368"/>
      <c r="QC146" s="368"/>
      <c r="QD146" s="368"/>
      <c r="QE146" s="368"/>
      <c r="QF146" s="368"/>
      <c r="QG146" s="368"/>
      <c r="QH146" s="368"/>
      <c r="QI146" s="368"/>
      <c r="QJ146" s="368"/>
      <c r="QK146" s="368"/>
      <c r="QL146" s="368"/>
      <c r="QM146" s="368"/>
      <c r="QN146" s="368"/>
      <c r="QO146" s="368"/>
      <c r="QP146" s="368"/>
      <c r="QQ146" s="368"/>
      <c r="QR146" s="368"/>
      <c r="QS146" s="368"/>
      <c r="QT146" s="368"/>
      <c r="QU146" s="368"/>
      <c r="QV146" s="368"/>
      <c r="QW146" s="368"/>
      <c r="QX146" s="368"/>
      <c r="QY146" s="368"/>
      <c r="QZ146" s="368"/>
      <c r="RA146" s="368"/>
      <c r="RB146" s="368"/>
      <c r="RC146" s="368"/>
      <c r="RD146" s="368"/>
      <c r="RE146" s="368"/>
      <c r="RF146" s="368"/>
      <c r="RG146" s="368"/>
      <c r="RH146" s="368"/>
      <c r="RI146" s="368"/>
      <c r="RJ146" s="368"/>
      <c r="RK146" s="368"/>
      <c r="RL146" s="368"/>
      <c r="RM146" s="368"/>
      <c r="RN146" s="368"/>
      <c r="RO146" s="368"/>
      <c r="RP146" s="368"/>
      <c r="RQ146" s="368"/>
      <c r="RR146" s="368"/>
      <c r="RS146" s="368"/>
      <c r="RT146" s="368"/>
      <c r="RU146" s="368"/>
      <c r="RV146" s="368"/>
      <c r="RW146" s="368"/>
      <c r="RX146" s="368"/>
      <c r="RY146" s="368"/>
      <c r="RZ146" s="368"/>
      <c r="SA146" s="368"/>
      <c r="SB146" s="368"/>
      <c r="SC146" s="368"/>
      <c r="SD146" s="368"/>
      <c r="SE146" s="368"/>
      <c r="SF146" s="368"/>
      <c r="SG146" s="368"/>
      <c r="SH146" s="368"/>
      <c r="SI146" s="368"/>
      <c r="SJ146" s="368"/>
      <c r="SK146" s="368"/>
      <c r="SL146" s="368"/>
      <c r="SM146" s="368"/>
      <c r="SN146" s="368"/>
      <c r="SO146" s="368"/>
      <c r="SP146" s="368"/>
      <c r="SQ146" s="368"/>
      <c r="SR146" s="368"/>
      <c r="SS146" s="368"/>
      <c r="ST146" s="368"/>
      <c r="SU146" s="368"/>
      <c r="SV146" s="368"/>
      <c r="SW146" s="368"/>
      <c r="SX146" s="368"/>
      <c r="SY146" s="368"/>
      <c r="SZ146" s="368"/>
      <c r="TA146" s="368"/>
      <c r="TB146" s="368"/>
      <c r="TC146" s="368"/>
      <c r="TD146" s="368"/>
      <c r="TE146" s="368"/>
      <c r="TF146" s="368"/>
      <c r="TG146" s="368"/>
      <c r="TH146" s="368"/>
      <c r="TI146" s="368"/>
      <c r="TJ146" s="368"/>
      <c r="TK146" s="368"/>
      <c r="TL146" s="368"/>
      <c r="TM146" s="368"/>
      <c r="TN146" s="368"/>
      <c r="TO146" s="368"/>
      <c r="TP146" s="368"/>
      <c r="TQ146" s="368"/>
      <c r="TR146" s="368"/>
      <c r="TS146" s="368"/>
      <c r="TT146" s="368"/>
      <c r="TU146" s="368"/>
      <c r="TV146" s="368"/>
      <c r="TW146" s="368"/>
      <c r="TX146" s="368"/>
      <c r="TY146" s="368"/>
      <c r="TZ146" s="368"/>
      <c r="UA146" s="368"/>
      <c r="UB146" s="368"/>
      <c r="UC146" s="368"/>
      <c r="UD146" s="368"/>
      <c r="UE146" s="368"/>
      <c r="UF146" s="368"/>
      <c r="UG146" s="368"/>
      <c r="UH146" s="368"/>
      <c r="UI146" s="368"/>
      <c r="UJ146" s="368"/>
      <c r="UK146" s="368"/>
      <c r="UL146" s="368"/>
      <c r="UM146" s="368"/>
      <c r="UN146" s="368"/>
      <c r="UO146" s="368"/>
      <c r="UP146" s="368"/>
      <c r="UQ146" s="368"/>
      <c r="UR146" s="368"/>
      <c r="US146" s="368"/>
      <c r="UT146" s="368"/>
      <c r="UU146" s="368"/>
      <c r="UV146" s="368"/>
      <c r="UW146" s="368"/>
      <c r="UX146" s="368"/>
      <c r="UY146" s="368"/>
      <c r="UZ146" s="368"/>
      <c r="VA146" s="368"/>
      <c r="VB146" s="368"/>
      <c r="VC146" s="368"/>
      <c r="VD146" s="368"/>
      <c r="VE146" s="368"/>
      <c r="VF146" s="368"/>
      <c r="VG146" s="368"/>
      <c r="VH146" s="368"/>
      <c r="VI146" s="368"/>
      <c r="VJ146" s="368"/>
      <c r="VK146" s="368"/>
      <c r="VL146" s="368"/>
      <c r="VM146" s="368"/>
      <c r="VN146" s="368"/>
      <c r="VO146" s="368"/>
      <c r="VP146" s="368"/>
      <c r="VQ146" s="368"/>
      <c r="VR146" s="368"/>
      <c r="VS146" s="368"/>
      <c r="VT146" s="368"/>
      <c r="VU146" s="368"/>
      <c r="VV146" s="368"/>
      <c r="VW146" s="368"/>
      <c r="VX146" s="368"/>
      <c r="VY146" s="368"/>
      <c r="VZ146" s="368"/>
      <c r="WA146" s="368"/>
      <c r="WB146" s="368"/>
      <c r="WC146" s="368"/>
      <c r="WD146" s="368"/>
      <c r="WE146" s="368"/>
      <c r="WF146" s="368"/>
      <c r="WG146" s="368"/>
      <c r="WH146" s="368"/>
      <c r="WI146" s="368"/>
      <c r="WJ146" s="368"/>
      <c r="WK146" s="368"/>
      <c r="WL146" s="368"/>
      <c r="WM146" s="368"/>
      <c r="WN146" s="368"/>
      <c r="WO146" s="368"/>
      <c r="WP146" s="368"/>
      <c r="WQ146" s="368"/>
      <c r="WR146" s="368"/>
      <c r="WS146" s="368"/>
      <c r="WT146" s="368"/>
      <c r="WU146" s="368"/>
      <c r="WV146" s="368"/>
      <c r="WW146" s="368"/>
      <c r="WX146" s="368"/>
      <c r="WY146" s="368"/>
      <c r="WZ146" s="368"/>
      <c r="XA146" s="368"/>
      <c r="XB146" s="368"/>
      <c r="XC146" s="368"/>
      <c r="XD146" s="368"/>
      <c r="XE146" s="368"/>
      <c r="XF146" s="368"/>
      <c r="XG146" s="368"/>
      <c r="XH146" s="368"/>
      <c r="XI146" s="368"/>
      <c r="XJ146" s="368"/>
      <c r="XK146" s="368"/>
      <c r="XL146" s="368"/>
      <c r="XM146" s="368"/>
      <c r="XN146" s="368"/>
      <c r="XO146" s="368"/>
      <c r="XP146" s="368"/>
      <c r="XQ146" s="368"/>
      <c r="XR146" s="368"/>
      <c r="XS146" s="368"/>
      <c r="XT146" s="368"/>
      <c r="XU146" s="368"/>
      <c r="XV146" s="368"/>
      <c r="XW146" s="368"/>
      <c r="XX146" s="368"/>
      <c r="XY146" s="368"/>
      <c r="XZ146" s="368"/>
      <c r="YA146" s="368"/>
      <c r="YB146" s="368"/>
      <c r="YC146" s="368"/>
      <c r="YD146" s="368"/>
      <c r="YE146" s="368"/>
      <c r="YF146" s="368"/>
      <c r="YG146" s="368"/>
      <c r="YH146" s="368"/>
      <c r="YI146" s="368"/>
      <c r="YJ146" s="368"/>
      <c r="YK146" s="368"/>
      <c r="YL146" s="368"/>
      <c r="YM146" s="368"/>
      <c r="YN146" s="368"/>
      <c r="YO146" s="368"/>
      <c r="YP146" s="368"/>
      <c r="YQ146" s="368"/>
      <c r="YR146" s="368"/>
      <c r="YS146" s="368"/>
      <c r="YT146" s="368"/>
      <c r="YU146" s="368"/>
      <c r="YV146" s="368"/>
      <c r="YW146" s="368"/>
      <c r="YX146" s="368"/>
      <c r="YY146" s="368"/>
      <c r="YZ146" s="368"/>
      <c r="ZA146" s="368"/>
      <c r="ZB146" s="368"/>
      <c r="ZC146" s="368"/>
      <c r="ZD146" s="368"/>
      <c r="ZE146" s="368"/>
      <c r="ZF146" s="368"/>
      <c r="ZG146" s="368"/>
      <c r="ZH146" s="368"/>
      <c r="ZI146" s="368"/>
      <c r="ZJ146" s="368"/>
      <c r="ZK146" s="368"/>
      <c r="ZL146" s="368"/>
      <c r="ZM146" s="368"/>
      <c r="ZN146" s="368"/>
      <c r="ZO146" s="368"/>
      <c r="ZP146" s="368"/>
      <c r="ZQ146" s="368"/>
      <c r="ZR146" s="368"/>
      <c r="ZS146" s="368"/>
      <c r="ZT146" s="368"/>
      <c r="ZU146" s="368"/>
      <c r="ZV146" s="368"/>
      <c r="ZW146" s="368"/>
      <c r="ZX146" s="368"/>
      <c r="ZY146" s="368"/>
      <c r="ZZ146" s="368"/>
      <c r="AAA146" s="368"/>
      <c r="AAB146" s="368"/>
      <c r="AAC146" s="368"/>
      <c r="AAD146" s="368"/>
      <c r="AAE146" s="368"/>
      <c r="AAF146" s="368"/>
      <c r="AAG146" s="368"/>
      <c r="AAH146" s="368"/>
      <c r="AAI146" s="368"/>
      <c r="AAJ146" s="368"/>
      <c r="AAK146" s="368"/>
      <c r="AAL146" s="368"/>
      <c r="AAM146" s="368"/>
      <c r="AAN146" s="368"/>
      <c r="AAO146" s="368"/>
      <c r="AAP146" s="368"/>
      <c r="AAQ146" s="368"/>
      <c r="AAR146" s="368"/>
      <c r="AAS146" s="368"/>
      <c r="AAT146" s="368"/>
      <c r="AAU146" s="368"/>
      <c r="AAV146" s="368"/>
      <c r="AAW146" s="368"/>
      <c r="AAX146" s="368"/>
      <c r="AAY146" s="368"/>
      <c r="AAZ146" s="368"/>
      <c r="ABA146" s="368"/>
      <c r="ABB146" s="368"/>
      <c r="ABC146" s="368"/>
      <c r="ABD146" s="368"/>
      <c r="ABE146" s="368"/>
      <c r="ABF146" s="368"/>
      <c r="ABG146" s="368"/>
      <c r="ABH146" s="368"/>
      <c r="ABI146" s="368"/>
      <c r="ABJ146" s="368"/>
      <c r="ABK146" s="368"/>
      <c r="ABL146" s="368"/>
      <c r="ABM146" s="368"/>
      <c r="ABN146" s="368"/>
      <c r="ABO146" s="368"/>
      <c r="ABP146" s="368"/>
      <c r="ABQ146" s="368"/>
      <c r="ABR146" s="368"/>
      <c r="ABS146" s="368"/>
      <c r="ABT146" s="368"/>
      <c r="ABU146" s="368"/>
      <c r="ABV146" s="368"/>
      <c r="ABW146" s="368"/>
      <c r="ABX146" s="368"/>
      <c r="ABY146" s="368"/>
      <c r="ABZ146" s="368"/>
      <c r="ACA146" s="368"/>
      <c r="ACB146" s="368"/>
      <c r="ACC146" s="368"/>
      <c r="ACD146" s="368"/>
      <c r="ACE146" s="368"/>
      <c r="ACF146" s="368"/>
      <c r="ACG146" s="368"/>
      <c r="ACH146" s="368"/>
      <c r="ACI146" s="368"/>
      <c r="ACJ146" s="368"/>
      <c r="ACK146" s="368"/>
      <c r="ACL146" s="368"/>
      <c r="ACM146" s="368"/>
      <c r="ACN146" s="368"/>
      <c r="ACO146" s="368"/>
      <c r="ACP146" s="368"/>
      <c r="ACQ146" s="368"/>
      <c r="ACR146" s="368"/>
      <c r="ACS146" s="368"/>
      <c r="ACT146" s="368"/>
      <c r="ACU146" s="368"/>
      <c r="ACV146" s="368"/>
      <c r="ACW146" s="368"/>
      <c r="ACX146" s="368"/>
      <c r="ACY146" s="368"/>
      <c r="ACZ146" s="368"/>
      <c r="ADA146" s="368"/>
      <c r="ADB146" s="368"/>
      <c r="ADC146" s="368"/>
      <c r="ADD146" s="368"/>
      <c r="ADE146" s="368"/>
      <c r="ADF146" s="368"/>
      <c r="ADG146" s="368"/>
      <c r="ADH146" s="368"/>
      <c r="ADI146" s="368"/>
      <c r="ADJ146" s="368"/>
      <c r="ADK146" s="368"/>
      <c r="ADL146" s="368"/>
      <c r="ADM146" s="368"/>
      <c r="ADN146" s="368"/>
      <c r="ADO146" s="368"/>
      <c r="ADP146" s="368"/>
      <c r="ADQ146" s="368"/>
      <c r="ADR146" s="368"/>
      <c r="ADS146" s="368"/>
      <c r="ADT146" s="368"/>
      <c r="ADU146" s="368"/>
      <c r="ADV146" s="368"/>
      <c r="ADW146" s="368"/>
      <c r="ADX146" s="368"/>
      <c r="ADY146" s="368"/>
      <c r="ADZ146" s="368"/>
      <c r="AEA146" s="368"/>
      <c r="AEB146" s="368"/>
      <c r="AEC146" s="368"/>
      <c r="AED146" s="368"/>
      <c r="AEE146" s="368"/>
      <c r="AEF146" s="368"/>
      <c r="AEG146" s="368"/>
      <c r="AEH146" s="368"/>
      <c r="AEI146" s="368"/>
      <c r="AEJ146" s="368"/>
      <c r="AEK146" s="368"/>
      <c r="AEL146" s="368"/>
      <c r="AEM146" s="368"/>
      <c r="AEN146" s="368"/>
      <c r="AEO146" s="368"/>
      <c r="AEP146" s="368"/>
      <c r="AEQ146" s="368"/>
      <c r="AER146" s="368"/>
      <c r="AES146" s="368"/>
      <c r="AET146" s="368"/>
      <c r="AEU146" s="368"/>
      <c r="AEV146" s="368"/>
      <c r="AEW146" s="368"/>
      <c r="AEX146" s="368"/>
      <c r="AEY146" s="368"/>
      <c r="AEZ146" s="368"/>
      <c r="AFA146" s="368"/>
      <c r="AFB146" s="368"/>
      <c r="AFC146" s="368"/>
      <c r="AFD146" s="368"/>
      <c r="AFE146" s="368"/>
      <c r="AFF146" s="368"/>
      <c r="AFG146" s="368"/>
      <c r="AFH146" s="368"/>
      <c r="AFI146" s="368"/>
      <c r="AFJ146" s="368"/>
      <c r="AFK146" s="368"/>
      <c r="AFL146" s="368"/>
      <c r="AFM146" s="368"/>
      <c r="AFN146" s="368"/>
      <c r="AFO146" s="368"/>
      <c r="AFP146" s="368"/>
      <c r="AFQ146" s="368"/>
      <c r="AFR146" s="368"/>
      <c r="AFS146" s="368"/>
      <c r="AFT146" s="368"/>
      <c r="AFU146" s="368"/>
      <c r="AFV146" s="368"/>
      <c r="AFW146" s="368"/>
      <c r="AFX146" s="368"/>
      <c r="AFY146" s="368"/>
      <c r="AFZ146" s="368"/>
      <c r="AGA146" s="368"/>
      <c r="AGB146" s="368"/>
      <c r="AGC146" s="368"/>
      <c r="AGD146" s="368"/>
      <c r="AGE146" s="368"/>
      <c r="AGF146" s="368"/>
      <c r="AGG146" s="368"/>
      <c r="AGH146" s="368"/>
      <c r="AGI146" s="368"/>
      <c r="AGJ146" s="368"/>
      <c r="AGK146" s="368"/>
      <c r="AGL146" s="368"/>
      <c r="AGM146" s="368"/>
      <c r="AGN146" s="368"/>
      <c r="AGO146" s="368"/>
      <c r="AGP146" s="368"/>
      <c r="AGQ146" s="368"/>
      <c r="AGR146" s="368"/>
      <c r="AGS146" s="368"/>
      <c r="AGT146" s="368"/>
      <c r="AGU146" s="368"/>
      <c r="AGV146" s="368"/>
      <c r="AGW146" s="368"/>
      <c r="AGX146" s="368"/>
      <c r="AGY146" s="368"/>
      <c r="AGZ146" s="368"/>
      <c r="AHA146" s="368"/>
      <c r="AHB146" s="368"/>
      <c r="AHC146" s="368"/>
      <c r="AHD146" s="368"/>
      <c r="AHE146" s="368"/>
      <c r="AHF146" s="368"/>
      <c r="AHG146" s="368"/>
      <c r="AHH146" s="368"/>
      <c r="AHI146" s="368"/>
      <c r="AHJ146" s="368"/>
      <c r="AHK146" s="368"/>
      <c r="AHL146" s="368"/>
      <c r="AHM146" s="368"/>
      <c r="AHN146" s="368"/>
      <c r="AHO146" s="368"/>
      <c r="AHP146" s="368"/>
      <c r="AHQ146" s="368"/>
      <c r="AHR146" s="368"/>
      <c r="AHS146" s="368"/>
      <c r="AHT146" s="368"/>
      <c r="AHU146" s="368"/>
      <c r="AHV146" s="368"/>
      <c r="AHW146" s="368"/>
      <c r="AHX146" s="368"/>
      <c r="AHY146" s="368"/>
      <c r="AHZ146" s="368"/>
      <c r="AIA146" s="368"/>
      <c r="AIB146" s="368"/>
      <c r="AIC146" s="368"/>
      <c r="AID146" s="368"/>
      <c r="AIE146" s="368"/>
      <c r="AIF146" s="368"/>
      <c r="AIG146" s="368"/>
      <c r="AIH146" s="368"/>
      <c r="AII146" s="368"/>
      <c r="AIJ146" s="368"/>
      <c r="AIK146" s="368"/>
      <c r="AIL146" s="368"/>
      <c r="AIM146" s="368"/>
      <c r="AIN146" s="368"/>
      <c r="AIO146" s="368"/>
      <c r="AIP146" s="368"/>
      <c r="AIQ146" s="368"/>
      <c r="AIR146" s="368"/>
      <c r="AIS146" s="368"/>
      <c r="AIT146" s="368"/>
      <c r="AIU146" s="368"/>
      <c r="AIV146" s="368"/>
      <c r="AIW146" s="368"/>
      <c r="AIX146" s="368"/>
      <c r="AIY146" s="368"/>
      <c r="AIZ146" s="368"/>
      <c r="AJA146" s="368"/>
      <c r="AJB146" s="368"/>
      <c r="AJC146" s="368"/>
      <c r="AJD146" s="368"/>
      <c r="AJE146" s="368"/>
      <c r="AJF146" s="368"/>
      <c r="AJG146" s="368"/>
      <c r="AJH146" s="368"/>
      <c r="AJI146" s="368"/>
      <c r="AJJ146" s="368"/>
      <c r="AJK146" s="368"/>
      <c r="AJL146" s="368"/>
      <c r="AJM146" s="368"/>
      <c r="AJN146" s="368"/>
      <c r="AJO146" s="368"/>
      <c r="AJP146" s="368"/>
      <c r="AJQ146" s="368"/>
      <c r="AJR146" s="368"/>
      <c r="AJS146" s="368"/>
      <c r="AJT146" s="368"/>
      <c r="AJU146" s="368"/>
      <c r="AJV146" s="368"/>
      <c r="AJW146" s="368"/>
      <c r="AJX146" s="368"/>
      <c r="AJY146" s="368"/>
      <c r="AJZ146" s="368"/>
      <c r="AKA146" s="368"/>
      <c r="AKB146" s="368"/>
      <c r="AKC146" s="368"/>
      <c r="AKD146" s="368"/>
      <c r="AKE146" s="368"/>
      <c r="AKF146" s="368"/>
      <c r="AKG146" s="368"/>
      <c r="AKH146" s="368"/>
      <c r="AKI146" s="368"/>
      <c r="AKJ146" s="368"/>
      <c r="AKK146" s="368"/>
      <c r="AKL146" s="368"/>
      <c r="AKM146" s="368"/>
      <c r="AKN146" s="368"/>
    </row>
    <row r="147" spans="1:976" s="346" customFormat="1" ht="22.5" customHeight="1" x14ac:dyDescent="0.2">
      <c r="A147" s="370" t="s">
        <v>262</v>
      </c>
      <c r="B147" s="370"/>
      <c r="C147" s="370" t="s">
        <v>221</v>
      </c>
      <c r="D147" s="370" t="s">
        <v>222</v>
      </c>
      <c r="E147" s="371">
        <v>414757</v>
      </c>
      <c r="F147" s="371">
        <v>1886</v>
      </c>
      <c r="G147" s="371">
        <v>303</v>
      </c>
      <c r="H147" s="371">
        <v>0</v>
      </c>
      <c r="I147" s="372">
        <v>45902</v>
      </c>
      <c r="J147" s="370" t="s">
        <v>263</v>
      </c>
      <c r="K147" s="370" t="s">
        <v>681</v>
      </c>
      <c r="L147" s="373">
        <v>19.62</v>
      </c>
      <c r="M147" s="373">
        <v>1.97</v>
      </c>
      <c r="N147" s="444">
        <v>21.59</v>
      </c>
      <c r="O147" s="370"/>
      <c r="P147" s="374">
        <v>45904</v>
      </c>
      <c r="Q147" s="373">
        <v>21.59</v>
      </c>
      <c r="R147" s="370" t="s">
        <v>682</v>
      </c>
      <c r="S147" s="373">
        <v>0</v>
      </c>
      <c r="T147" s="373">
        <v>0</v>
      </c>
      <c r="U147" s="373">
        <v>0</v>
      </c>
      <c r="V147" s="373">
        <v>0</v>
      </c>
      <c r="W147" s="370"/>
      <c r="X147" s="370" t="s">
        <v>293</v>
      </c>
      <c r="Y147" s="370" t="s">
        <v>294</v>
      </c>
      <c r="Z147" s="370" t="s">
        <v>42</v>
      </c>
      <c r="AA147" s="370" t="s">
        <v>228</v>
      </c>
      <c r="AB147" s="370" t="s">
        <v>235</v>
      </c>
      <c r="AC147" s="370" t="s">
        <v>331</v>
      </c>
      <c r="AD147" s="370" t="s">
        <v>231</v>
      </c>
      <c r="AE147" s="370" t="s">
        <v>232</v>
      </c>
      <c r="AF147" s="370" t="s">
        <v>231</v>
      </c>
      <c r="AG147" s="370" t="s">
        <v>232</v>
      </c>
      <c r="AH147" s="370"/>
      <c r="AI147" s="370"/>
      <c r="AJ147" s="370"/>
      <c r="AK147" s="370" t="s">
        <v>683</v>
      </c>
      <c r="AL147" s="371">
        <v>1</v>
      </c>
      <c r="AM147" s="371">
        <v>0</v>
      </c>
      <c r="AN147" s="372">
        <v>45904</v>
      </c>
      <c r="AO147" s="372">
        <v>45904</v>
      </c>
      <c r="AP147" s="373">
        <v>21.59</v>
      </c>
      <c r="AQ147" s="372">
        <v>45903</v>
      </c>
      <c r="AR147" s="368"/>
      <c r="AS147" s="368"/>
      <c r="AT147" s="368"/>
      <c r="AU147" s="368"/>
      <c r="AV147" s="368"/>
      <c r="AW147" s="368"/>
      <c r="AX147" s="368"/>
      <c r="AY147" s="368"/>
      <c r="AZ147" s="368"/>
      <c r="BA147" s="368"/>
      <c r="BB147" s="368"/>
      <c r="BC147" s="368"/>
      <c r="BD147" s="368"/>
      <c r="BE147" s="368"/>
      <c r="BF147" s="368"/>
      <c r="BG147" s="368"/>
      <c r="BH147" s="368"/>
      <c r="BI147" s="368"/>
      <c r="BJ147" s="368"/>
      <c r="BK147" s="368"/>
      <c r="BL147" s="368"/>
      <c r="BM147" s="368"/>
      <c r="BN147" s="368"/>
      <c r="BO147" s="368"/>
      <c r="BP147" s="368"/>
      <c r="BQ147" s="368"/>
      <c r="BR147" s="368"/>
      <c r="BS147" s="368"/>
      <c r="BT147" s="368"/>
      <c r="BU147" s="368"/>
      <c r="BV147" s="368"/>
      <c r="BW147" s="368"/>
      <c r="BX147" s="368"/>
      <c r="BY147" s="368"/>
      <c r="BZ147" s="368"/>
      <c r="CA147" s="368"/>
      <c r="CB147" s="368"/>
      <c r="CC147" s="368"/>
      <c r="CD147" s="368"/>
      <c r="CE147" s="368"/>
      <c r="CF147" s="368"/>
      <c r="CG147" s="368"/>
      <c r="CH147" s="368"/>
      <c r="CI147" s="368"/>
      <c r="CJ147" s="368"/>
      <c r="CK147" s="368"/>
      <c r="CL147" s="368"/>
      <c r="CM147" s="368"/>
      <c r="CN147" s="368"/>
      <c r="CO147" s="368"/>
      <c r="CP147" s="368"/>
      <c r="CQ147" s="368"/>
      <c r="CR147" s="368"/>
      <c r="CS147" s="368"/>
      <c r="CT147" s="368"/>
      <c r="CU147" s="368"/>
      <c r="CV147" s="368"/>
      <c r="CW147" s="368"/>
      <c r="CX147" s="368"/>
      <c r="CY147" s="368"/>
      <c r="CZ147" s="368"/>
      <c r="DA147" s="368"/>
      <c r="DB147" s="368"/>
      <c r="DC147" s="368"/>
      <c r="DD147" s="368"/>
      <c r="DE147" s="368"/>
      <c r="DF147" s="368"/>
      <c r="DG147" s="368"/>
      <c r="DH147" s="368"/>
      <c r="DI147" s="368"/>
      <c r="DJ147" s="368"/>
      <c r="DK147" s="368"/>
      <c r="DL147" s="368"/>
      <c r="DM147" s="368"/>
      <c r="DN147" s="368"/>
      <c r="DO147" s="368"/>
      <c r="DP147" s="368"/>
      <c r="DQ147" s="368"/>
      <c r="DR147" s="368"/>
      <c r="DS147" s="368"/>
      <c r="DT147" s="368"/>
      <c r="DU147" s="368"/>
      <c r="DV147" s="368"/>
      <c r="DW147" s="368"/>
      <c r="DX147" s="368"/>
      <c r="DY147" s="368"/>
      <c r="DZ147" s="368"/>
      <c r="EA147" s="368"/>
      <c r="EB147" s="368"/>
      <c r="EC147" s="368"/>
      <c r="ED147" s="368"/>
      <c r="EE147" s="368"/>
      <c r="EF147" s="368"/>
      <c r="EG147" s="368"/>
      <c r="EH147" s="368"/>
      <c r="EI147" s="368"/>
      <c r="EJ147" s="368"/>
      <c r="EK147" s="368"/>
      <c r="EL147" s="368"/>
      <c r="EM147" s="368"/>
      <c r="EN147" s="368"/>
      <c r="EO147" s="368"/>
      <c r="EP147" s="368"/>
      <c r="EQ147" s="368"/>
      <c r="ER147" s="368"/>
      <c r="ES147" s="368"/>
      <c r="ET147" s="368"/>
      <c r="EU147" s="368"/>
      <c r="EV147" s="368"/>
      <c r="EW147" s="368"/>
      <c r="EX147" s="368"/>
      <c r="EY147" s="368"/>
      <c r="EZ147" s="368"/>
      <c r="FA147" s="368"/>
      <c r="FB147" s="368"/>
      <c r="FC147" s="368"/>
      <c r="FD147" s="368"/>
      <c r="FE147" s="368"/>
      <c r="FF147" s="368"/>
      <c r="FG147" s="368"/>
      <c r="FH147" s="368"/>
      <c r="FI147" s="368"/>
      <c r="FJ147" s="368"/>
      <c r="FK147" s="368"/>
      <c r="FL147" s="368"/>
      <c r="FM147" s="368"/>
      <c r="FN147" s="368"/>
      <c r="FO147" s="368"/>
      <c r="FP147" s="368"/>
      <c r="FQ147" s="368"/>
      <c r="FR147" s="368"/>
      <c r="FS147" s="368"/>
      <c r="FT147" s="368"/>
      <c r="FU147" s="368"/>
      <c r="FV147" s="368"/>
      <c r="FW147" s="368"/>
      <c r="FX147" s="368"/>
      <c r="FY147" s="368"/>
      <c r="FZ147" s="368"/>
      <c r="GA147" s="368"/>
      <c r="GB147" s="368"/>
      <c r="GC147" s="368"/>
      <c r="GD147" s="368"/>
      <c r="GE147" s="368"/>
      <c r="GF147" s="368"/>
      <c r="GG147" s="368"/>
      <c r="GH147" s="368"/>
      <c r="GI147" s="368"/>
      <c r="GJ147" s="368"/>
      <c r="GK147" s="368"/>
      <c r="GL147" s="368"/>
      <c r="GM147" s="368"/>
      <c r="GN147" s="368"/>
      <c r="GO147" s="368"/>
      <c r="GP147" s="368"/>
      <c r="GQ147" s="368"/>
      <c r="GR147" s="368"/>
      <c r="GS147" s="368"/>
      <c r="GT147" s="368"/>
      <c r="GU147" s="368"/>
      <c r="GV147" s="368"/>
      <c r="GW147" s="368"/>
      <c r="GX147" s="368"/>
      <c r="GY147" s="368"/>
      <c r="GZ147" s="368"/>
      <c r="HA147" s="368"/>
      <c r="HB147" s="368"/>
      <c r="HC147" s="368"/>
      <c r="HD147" s="368"/>
      <c r="HE147" s="368"/>
      <c r="HF147" s="368"/>
      <c r="HG147" s="368"/>
      <c r="HH147" s="368"/>
      <c r="HI147" s="368"/>
      <c r="HJ147" s="368"/>
      <c r="HK147" s="368"/>
      <c r="HL147" s="368"/>
      <c r="HM147" s="368"/>
      <c r="HN147" s="368"/>
      <c r="HO147" s="368"/>
      <c r="HP147" s="368"/>
      <c r="HQ147" s="368"/>
      <c r="HR147" s="368"/>
      <c r="HS147" s="368"/>
      <c r="HT147" s="368"/>
      <c r="HU147" s="368"/>
      <c r="HV147" s="368"/>
      <c r="HW147" s="368"/>
      <c r="HX147" s="368"/>
      <c r="HY147" s="368"/>
      <c r="HZ147" s="368"/>
      <c r="IA147" s="368"/>
      <c r="IB147" s="368"/>
      <c r="IC147" s="368"/>
      <c r="ID147" s="368"/>
      <c r="IE147" s="368"/>
      <c r="IF147" s="368"/>
      <c r="IG147" s="368"/>
      <c r="IH147" s="368"/>
      <c r="II147" s="368"/>
      <c r="IJ147" s="368"/>
      <c r="IK147" s="368"/>
      <c r="IL147" s="368"/>
      <c r="IM147" s="368"/>
      <c r="IN147" s="368"/>
      <c r="IO147" s="368"/>
      <c r="IP147" s="368"/>
      <c r="IQ147" s="368"/>
      <c r="IR147" s="368"/>
      <c r="IS147" s="368"/>
      <c r="IT147" s="368"/>
      <c r="IU147" s="368"/>
      <c r="IV147" s="368"/>
      <c r="IW147" s="368"/>
      <c r="IX147" s="368"/>
      <c r="IY147" s="368"/>
      <c r="IZ147" s="368"/>
      <c r="JA147" s="368"/>
      <c r="JB147" s="368"/>
      <c r="JC147" s="368"/>
      <c r="JD147" s="368"/>
      <c r="JE147" s="368"/>
      <c r="JF147" s="368"/>
      <c r="JG147" s="368"/>
      <c r="JH147" s="368"/>
      <c r="JI147" s="368"/>
      <c r="JJ147" s="368"/>
      <c r="JK147" s="368"/>
      <c r="JL147" s="368"/>
      <c r="JM147" s="368"/>
      <c r="JN147" s="368"/>
      <c r="JO147" s="368"/>
      <c r="JP147" s="368"/>
      <c r="JQ147" s="368"/>
      <c r="JR147" s="368"/>
      <c r="JS147" s="368"/>
      <c r="JT147" s="368"/>
      <c r="JU147" s="368"/>
      <c r="JV147" s="368"/>
      <c r="JW147" s="368"/>
      <c r="JX147" s="368"/>
      <c r="JY147" s="368"/>
      <c r="JZ147" s="368"/>
      <c r="KA147" s="368"/>
      <c r="KB147" s="368"/>
      <c r="KC147" s="368"/>
      <c r="KD147" s="368"/>
      <c r="KE147" s="368"/>
      <c r="KF147" s="368"/>
      <c r="KG147" s="368"/>
      <c r="KH147" s="368"/>
      <c r="KI147" s="368"/>
      <c r="KJ147" s="368"/>
      <c r="KK147" s="368"/>
      <c r="KL147" s="368"/>
      <c r="KM147" s="368"/>
      <c r="KN147" s="368"/>
      <c r="KO147" s="368"/>
      <c r="KP147" s="368"/>
      <c r="KQ147" s="368"/>
      <c r="KR147" s="368"/>
      <c r="KS147" s="368"/>
      <c r="KT147" s="368"/>
      <c r="KU147" s="368"/>
      <c r="KV147" s="368"/>
      <c r="KW147" s="368"/>
      <c r="KX147" s="368"/>
      <c r="KY147" s="368"/>
      <c r="KZ147" s="368"/>
      <c r="LA147" s="368"/>
      <c r="LB147" s="368"/>
      <c r="LC147" s="368"/>
      <c r="LD147" s="368"/>
      <c r="LE147" s="368"/>
      <c r="LF147" s="368"/>
      <c r="LG147" s="368"/>
      <c r="LH147" s="368"/>
      <c r="LI147" s="368"/>
      <c r="LJ147" s="368"/>
      <c r="LK147" s="368"/>
      <c r="LL147" s="368"/>
      <c r="LM147" s="368"/>
      <c r="LN147" s="368"/>
      <c r="LO147" s="368"/>
      <c r="LP147" s="368"/>
      <c r="LQ147" s="368"/>
      <c r="LR147" s="368"/>
      <c r="LS147" s="368"/>
      <c r="LT147" s="368"/>
      <c r="LU147" s="368"/>
      <c r="LV147" s="368"/>
      <c r="LW147" s="368"/>
      <c r="LX147" s="368"/>
      <c r="LY147" s="368"/>
      <c r="LZ147" s="368"/>
      <c r="MA147" s="368"/>
      <c r="MB147" s="368"/>
      <c r="MC147" s="368"/>
      <c r="MD147" s="368"/>
      <c r="ME147" s="368"/>
      <c r="MF147" s="368"/>
      <c r="MG147" s="368"/>
      <c r="MH147" s="368"/>
      <c r="MI147" s="368"/>
      <c r="MJ147" s="368"/>
      <c r="MK147" s="368"/>
      <c r="ML147" s="368"/>
      <c r="MM147" s="368"/>
      <c r="MN147" s="368"/>
      <c r="MO147" s="368"/>
      <c r="MP147" s="368"/>
      <c r="MQ147" s="368"/>
      <c r="MR147" s="368"/>
      <c r="MS147" s="368"/>
      <c r="MT147" s="368"/>
      <c r="MU147" s="368"/>
      <c r="MV147" s="368"/>
      <c r="MW147" s="368"/>
      <c r="MX147" s="368"/>
      <c r="MY147" s="368"/>
      <c r="MZ147" s="368"/>
      <c r="NA147" s="368"/>
      <c r="NB147" s="368"/>
      <c r="NC147" s="368"/>
      <c r="ND147" s="368"/>
      <c r="NE147" s="368"/>
      <c r="NF147" s="368"/>
      <c r="NG147" s="368"/>
      <c r="NH147" s="368"/>
      <c r="NI147" s="368"/>
      <c r="NJ147" s="368"/>
      <c r="NK147" s="368"/>
      <c r="NL147" s="368"/>
      <c r="NM147" s="368"/>
      <c r="NN147" s="368"/>
      <c r="NO147" s="368"/>
      <c r="NP147" s="368"/>
      <c r="NQ147" s="368"/>
      <c r="NR147" s="368"/>
      <c r="NS147" s="368"/>
      <c r="NT147" s="368"/>
      <c r="NU147" s="368"/>
      <c r="NV147" s="368"/>
      <c r="NW147" s="368"/>
      <c r="NX147" s="368"/>
      <c r="NY147" s="368"/>
      <c r="NZ147" s="368"/>
      <c r="OA147" s="368"/>
      <c r="OB147" s="368"/>
      <c r="OC147" s="368"/>
      <c r="OD147" s="368"/>
      <c r="OE147" s="368"/>
      <c r="OF147" s="368"/>
      <c r="OG147" s="368"/>
      <c r="OH147" s="368"/>
      <c r="OI147" s="368"/>
      <c r="OJ147" s="368"/>
      <c r="OK147" s="368"/>
      <c r="OL147" s="368"/>
      <c r="OM147" s="368"/>
      <c r="ON147" s="368"/>
      <c r="OO147" s="368"/>
      <c r="OP147" s="368"/>
      <c r="OQ147" s="368"/>
      <c r="OR147" s="368"/>
      <c r="OS147" s="368"/>
      <c r="OT147" s="368"/>
      <c r="OU147" s="368"/>
      <c r="OV147" s="368"/>
      <c r="OW147" s="368"/>
      <c r="OX147" s="368"/>
      <c r="OY147" s="368"/>
      <c r="OZ147" s="368"/>
      <c r="PA147" s="368"/>
      <c r="PB147" s="368"/>
      <c r="PC147" s="368"/>
      <c r="PD147" s="368"/>
      <c r="PE147" s="368"/>
      <c r="PF147" s="368"/>
      <c r="PG147" s="368"/>
      <c r="PH147" s="368"/>
      <c r="PI147" s="368"/>
      <c r="PJ147" s="368"/>
      <c r="PK147" s="368"/>
      <c r="PL147" s="368"/>
      <c r="PM147" s="368"/>
      <c r="PN147" s="368"/>
      <c r="PO147" s="368"/>
      <c r="PP147" s="368"/>
      <c r="PQ147" s="368"/>
      <c r="PR147" s="368"/>
      <c r="PS147" s="368"/>
      <c r="PT147" s="368"/>
      <c r="PU147" s="368"/>
      <c r="PV147" s="368"/>
      <c r="PW147" s="368"/>
      <c r="PX147" s="368"/>
      <c r="PY147" s="368"/>
      <c r="PZ147" s="368"/>
      <c r="QA147" s="368"/>
      <c r="QB147" s="368"/>
      <c r="QC147" s="368"/>
      <c r="QD147" s="368"/>
      <c r="QE147" s="368"/>
      <c r="QF147" s="368"/>
      <c r="QG147" s="368"/>
      <c r="QH147" s="368"/>
      <c r="QI147" s="368"/>
      <c r="QJ147" s="368"/>
      <c r="QK147" s="368"/>
      <c r="QL147" s="368"/>
      <c r="QM147" s="368"/>
      <c r="QN147" s="368"/>
      <c r="QO147" s="368"/>
      <c r="QP147" s="368"/>
      <c r="QQ147" s="368"/>
      <c r="QR147" s="368"/>
      <c r="QS147" s="368"/>
      <c r="QT147" s="368"/>
      <c r="QU147" s="368"/>
      <c r="QV147" s="368"/>
      <c r="QW147" s="368"/>
      <c r="QX147" s="368"/>
      <c r="QY147" s="368"/>
      <c r="QZ147" s="368"/>
      <c r="RA147" s="368"/>
      <c r="RB147" s="368"/>
      <c r="RC147" s="368"/>
      <c r="RD147" s="368"/>
      <c r="RE147" s="368"/>
      <c r="RF147" s="368"/>
      <c r="RG147" s="368"/>
      <c r="RH147" s="368"/>
      <c r="RI147" s="368"/>
      <c r="RJ147" s="368"/>
      <c r="RK147" s="368"/>
      <c r="RL147" s="368"/>
      <c r="RM147" s="368"/>
      <c r="RN147" s="368"/>
      <c r="RO147" s="368"/>
      <c r="RP147" s="368"/>
      <c r="RQ147" s="368"/>
      <c r="RR147" s="368"/>
      <c r="RS147" s="368"/>
      <c r="RT147" s="368"/>
      <c r="RU147" s="368"/>
      <c r="RV147" s="368"/>
      <c r="RW147" s="368"/>
      <c r="RX147" s="368"/>
      <c r="RY147" s="368"/>
      <c r="RZ147" s="368"/>
      <c r="SA147" s="368"/>
      <c r="SB147" s="368"/>
      <c r="SC147" s="368"/>
      <c r="SD147" s="368"/>
      <c r="SE147" s="368"/>
      <c r="SF147" s="368"/>
      <c r="SG147" s="368"/>
      <c r="SH147" s="368"/>
      <c r="SI147" s="368"/>
      <c r="SJ147" s="368"/>
      <c r="SK147" s="368"/>
      <c r="SL147" s="368"/>
      <c r="SM147" s="368"/>
      <c r="SN147" s="368"/>
      <c r="SO147" s="368"/>
      <c r="SP147" s="368"/>
      <c r="SQ147" s="368"/>
      <c r="SR147" s="368"/>
      <c r="SS147" s="368"/>
      <c r="ST147" s="368"/>
      <c r="SU147" s="368"/>
      <c r="SV147" s="368"/>
      <c r="SW147" s="368"/>
      <c r="SX147" s="368"/>
      <c r="SY147" s="368"/>
      <c r="SZ147" s="368"/>
      <c r="TA147" s="368"/>
      <c r="TB147" s="368"/>
      <c r="TC147" s="368"/>
      <c r="TD147" s="368"/>
      <c r="TE147" s="368"/>
      <c r="TF147" s="368"/>
      <c r="TG147" s="368"/>
      <c r="TH147" s="368"/>
      <c r="TI147" s="368"/>
      <c r="TJ147" s="368"/>
      <c r="TK147" s="368"/>
      <c r="TL147" s="368"/>
      <c r="TM147" s="368"/>
      <c r="TN147" s="368"/>
      <c r="TO147" s="368"/>
      <c r="TP147" s="368"/>
      <c r="TQ147" s="368"/>
      <c r="TR147" s="368"/>
      <c r="TS147" s="368"/>
      <c r="TT147" s="368"/>
      <c r="TU147" s="368"/>
      <c r="TV147" s="368"/>
      <c r="TW147" s="368"/>
      <c r="TX147" s="368"/>
      <c r="TY147" s="368"/>
      <c r="TZ147" s="368"/>
      <c r="UA147" s="368"/>
      <c r="UB147" s="368"/>
      <c r="UC147" s="368"/>
      <c r="UD147" s="368"/>
      <c r="UE147" s="368"/>
      <c r="UF147" s="368"/>
      <c r="UG147" s="368"/>
      <c r="UH147" s="368"/>
      <c r="UI147" s="368"/>
      <c r="UJ147" s="368"/>
      <c r="UK147" s="368"/>
      <c r="UL147" s="368"/>
      <c r="UM147" s="368"/>
      <c r="UN147" s="368"/>
      <c r="UO147" s="368"/>
      <c r="UP147" s="368"/>
      <c r="UQ147" s="368"/>
      <c r="UR147" s="368"/>
      <c r="US147" s="368"/>
      <c r="UT147" s="368"/>
      <c r="UU147" s="368"/>
      <c r="UV147" s="368"/>
      <c r="UW147" s="368"/>
      <c r="UX147" s="368"/>
      <c r="UY147" s="368"/>
      <c r="UZ147" s="368"/>
      <c r="VA147" s="368"/>
      <c r="VB147" s="368"/>
      <c r="VC147" s="368"/>
      <c r="VD147" s="368"/>
      <c r="VE147" s="368"/>
      <c r="VF147" s="368"/>
      <c r="VG147" s="368"/>
      <c r="VH147" s="368"/>
      <c r="VI147" s="368"/>
      <c r="VJ147" s="368"/>
      <c r="VK147" s="368"/>
      <c r="VL147" s="368"/>
      <c r="VM147" s="368"/>
      <c r="VN147" s="368"/>
      <c r="VO147" s="368"/>
      <c r="VP147" s="368"/>
      <c r="VQ147" s="368"/>
      <c r="VR147" s="368"/>
      <c r="VS147" s="368"/>
      <c r="VT147" s="368"/>
      <c r="VU147" s="368"/>
      <c r="VV147" s="368"/>
      <c r="VW147" s="368"/>
      <c r="VX147" s="368"/>
      <c r="VY147" s="368"/>
      <c r="VZ147" s="368"/>
      <c r="WA147" s="368"/>
      <c r="WB147" s="368"/>
      <c r="WC147" s="368"/>
      <c r="WD147" s="368"/>
      <c r="WE147" s="368"/>
      <c r="WF147" s="368"/>
      <c r="WG147" s="368"/>
      <c r="WH147" s="368"/>
      <c r="WI147" s="368"/>
      <c r="WJ147" s="368"/>
      <c r="WK147" s="368"/>
      <c r="WL147" s="368"/>
      <c r="WM147" s="368"/>
      <c r="WN147" s="368"/>
      <c r="WO147" s="368"/>
      <c r="WP147" s="368"/>
      <c r="WQ147" s="368"/>
      <c r="WR147" s="368"/>
      <c r="WS147" s="368"/>
      <c r="WT147" s="368"/>
      <c r="WU147" s="368"/>
      <c r="WV147" s="368"/>
      <c r="WW147" s="368"/>
      <c r="WX147" s="368"/>
      <c r="WY147" s="368"/>
      <c r="WZ147" s="368"/>
      <c r="XA147" s="368"/>
      <c r="XB147" s="368"/>
      <c r="XC147" s="368"/>
      <c r="XD147" s="368"/>
      <c r="XE147" s="368"/>
      <c r="XF147" s="368"/>
      <c r="XG147" s="368"/>
      <c r="XH147" s="368"/>
      <c r="XI147" s="368"/>
      <c r="XJ147" s="368"/>
      <c r="XK147" s="368"/>
      <c r="XL147" s="368"/>
      <c r="XM147" s="368"/>
      <c r="XN147" s="368"/>
      <c r="XO147" s="368"/>
      <c r="XP147" s="368"/>
      <c r="XQ147" s="368"/>
      <c r="XR147" s="368"/>
      <c r="XS147" s="368"/>
      <c r="XT147" s="368"/>
      <c r="XU147" s="368"/>
      <c r="XV147" s="368"/>
      <c r="XW147" s="368"/>
      <c r="XX147" s="368"/>
      <c r="XY147" s="368"/>
      <c r="XZ147" s="368"/>
      <c r="YA147" s="368"/>
      <c r="YB147" s="368"/>
      <c r="YC147" s="368"/>
      <c r="YD147" s="368"/>
      <c r="YE147" s="368"/>
      <c r="YF147" s="368"/>
      <c r="YG147" s="368"/>
      <c r="YH147" s="368"/>
      <c r="YI147" s="368"/>
      <c r="YJ147" s="368"/>
      <c r="YK147" s="368"/>
      <c r="YL147" s="368"/>
      <c r="YM147" s="368"/>
      <c r="YN147" s="368"/>
      <c r="YO147" s="368"/>
      <c r="YP147" s="368"/>
      <c r="YQ147" s="368"/>
      <c r="YR147" s="368"/>
      <c r="YS147" s="368"/>
      <c r="YT147" s="368"/>
      <c r="YU147" s="368"/>
      <c r="YV147" s="368"/>
      <c r="YW147" s="368"/>
      <c r="YX147" s="368"/>
      <c r="YY147" s="368"/>
      <c r="YZ147" s="368"/>
      <c r="ZA147" s="368"/>
      <c r="ZB147" s="368"/>
      <c r="ZC147" s="368"/>
      <c r="ZD147" s="368"/>
      <c r="ZE147" s="368"/>
      <c r="ZF147" s="368"/>
      <c r="ZG147" s="368"/>
      <c r="ZH147" s="368"/>
      <c r="ZI147" s="368"/>
      <c r="ZJ147" s="368"/>
      <c r="ZK147" s="368"/>
      <c r="ZL147" s="368"/>
      <c r="ZM147" s="368"/>
      <c r="ZN147" s="368"/>
      <c r="ZO147" s="368"/>
      <c r="ZP147" s="368"/>
      <c r="ZQ147" s="368"/>
      <c r="ZR147" s="368"/>
      <c r="ZS147" s="368"/>
      <c r="ZT147" s="368"/>
      <c r="ZU147" s="368"/>
      <c r="ZV147" s="368"/>
      <c r="ZW147" s="368"/>
      <c r="ZX147" s="368"/>
      <c r="ZY147" s="368"/>
      <c r="ZZ147" s="368"/>
      <c r="AAA147" s="368"/>
      <c r="AAB147" s="368"/>
      <c r="AAC147" s="368"/>
      <c r="AAD147" s="368"/>
      <c r="AAE147" s="368"/>
      <c r="AAF147" s="368"/>
      <c r="AAG147" s="368"/>
      <c r="AAH147" s="368"/>
      <c r="AAI147" s="368"/>
      <c r="AAJ147" s="368"/>
      <c r="AAK147" s="368"/>
      <c r="AAL147" s="368"/>
      <c r="AAM147" s="368"/>
      <c r="AAN147" s="368"/>
      <c r="AAO147" s="368"/>
      <c r="AAP147" s="368"/>
      <c r="AAQ147" s="368"/>
      <c r="AAR147" s="368"/>
      <c r="AAS147" s="368"/>
      <c r="AAT147" s="368"/>
      <c r="AAU147" s="368"/>
      <c r="AAV147" s="368"/>
      <c r="AAW147" s="368"/>
      <c r="AAX147" s="368"/>
      <c r="AAY147" s="368"/>
      <c r="AAZ147" s="368"/>
      <c r="ABA147" s="368"/>
      <c r="ABB147" s="368"/>
      <c r="ABC147" s="368"/>
      <c r="ABD147" s="368"/>
      <c r="ABE147" s="368"/>
      <c r="ABF147" s="368"/>
      <c r="ABG147" s="368"/>
      <c r="ABH147" s="368"/>
      <c r="ABI147" s="368"/>
      <c r="ABJ147" s="368"/>
      <c r="ABK147" s="368"/>
      <c r="ABL147" s="368"/>
      <c r="ABM147" s="368"/>
      <c r="ABN147" s="368"/>
      <c r="ABO147" s="368"/>
      <c r="ABP147" s="368"/>
      <c r="ABQ147" s="368"/>
      <c r="ABR147" s="368"/>
      <c r="ABS147" s="368"/>
      <c r="ABT147" s="368"/>
      <c r="ABU147" s="368"/>
      <c r="ABV147" s="368"/>
      <c r="ABW147" s="368"/>
      <c r="ABX147" s="368"/>
      <c r="ABY147" s="368"/>
      <c r="ABZ147" s="368"/>
      <c r="ACA147" s="368"/>
      <c r="ACB147" s="368"/>
      <c r="ACC147" s="368"/>
      <c r="ACD147" s="368"/>
      <c r="ACE147" s="368"/>
      <c r="ACF147" s="368"/>
      <c r="ACG147" s="368"/>
      <c r="ACH147" s="368"/>
      <c r="ACI147" s="368"/>
      <c r="ACJ147" s="368"/>
      <c r="ACK147" s="368"/>
      <c r="ACL147" s="368"/>
      <c r="ACM147" s="368"/>
      <c r="ACN147" s="368"/>
      <c r="ACO147" s="368"/>
      <c r="ACP147" s="368"/>
      <c r="ACQ147" s="368"/>
      <c r="ACR147" s="368"/>
      <c r="ACS147" s="368"/>
      <c r="ACT147" s="368"/>
      <c r="ACU147" s="368"/>
      <c r="ACV147" s="368"/>
      <c r="ACW147" s="368"/>
      <c r="ACX147" s="368"/>
      <c r="ACY147" s="368"/>
      <c r="ACZ147" s="368"/>
      <c r="ADA147" s="368"/>
      <c r="ADB147" s="368"/>
      <c r="ADC147" s="368"/>
      <c r="ADD147" s="368"/>
      <c r="ADE147" s="368"/>
      <c r="ADF147" s="368"/>
      <c r="ADG147" s="368"/>
      <c r="ADH147" s="368"/>
      <c r="ADI147" s="368"/>
      <c r="ADJ147" s="368"/>
      <c r="ADK147" s="368"/>
      <c r="ADL147" s="368"/>
      <c r="ADM147" s="368"/>
      <c r="ADN147" s="368"/>
      <c r="ADO147" s="368"/>
      <c r="ADP147" s="368"/>
      <c r="ADQ147" s="368"/>
      <c r="ADR147" s="368"/>
      <c r="ADS147" s="368"/>
      <c r="ADT147" s="368"/>
      <c r="ADU147" s="368"/>
      <c r="ADV147" s="368"/>
      <c r="ADW147" s="368"/>
      <c r="ADX147" s="368"/>
      <c r="ADY147" s="368"/>
      <c r="ADZ147" s="368"/>
      <c r="AEA147" s="368"/>
      <c r="AEB147" s="368"/>
      <c r="AEC147" s="368"/>
      <c r="AED147" s="368"/>
      <c r="AEE147" s="368"/>
      <c r="AEF147" s="368"/>
      <c r="AEG147" s="368"/>
      <c r="AEH147" s="368"/>
      <c r="AEI147" s="368"/>
      <c r="AEJ147" s="368"/>
      <c r="AEK147" s="368"/>
      <c r="AEL147" s="368"/>
      <c r="AEM147" s="368"/>
      <c r="AEN147" s="368"/>
      <c r="AEO147" s="368"/>
      <c r="AEP147" s="368"/>
      <c r="AEQ147" s="368"/>
      <c r="AER147" s="368"/>
      <c r="AES147" s="368"/>
      <c r="AET147" s="368"/>
      <c r="AEU147" s="368"/>
      <c r="AEV147" s="368"/>
      <c r="AEW147" s="368"/>
      <c r="AEX147" s="368"/>
      <c r="AEY147" s="368"/>
      <c r="AEZ147" s="368"/>
      <c r="AFA147" s="368"/>
      <c r="AFB147" s="368"/>
      <c r="AFC147" s="368"/>
      <c r="AFD147" s="368"/>
      <c r="AFE147" s="368"/>
      <c r="AFF147" s="368"/>
      <c r="AFG147" s="368"/>
      <c r="AFH147" s="368"/>
      <c r="AFI147" s="368"/>
      <c r="AFJ147" s="368"/>
      <c r="AFK147" s="368"/>
      <c r="AFL147" s="368"/>
      <c r="AFM147" s="368"/>
      <c r="AFN147" s="368"/>
      <c r="AFO147" s="368"/>
      <c r="AFP147" s="368"/>
      <c r="AFQ147" s="368"/>
      <c r="AFR147" s="368"/>
      <c r="AFS147" s="368"/>
      <c r="AFT147" s="368"/>
      <c r="AFU147" s="368"/>
      <c r="AFV147" s="368"/>
      <c r="AFW147" s="368"/>
      <c r="AFX147" s="368"/>
      <c r="AFY147" s="368"/>
      <c r="AFZ147" s="368"/>
      <c r="AGA147" s="368"/>
      <c r="AGB147" s="368"/>
      <c r="AGC147" s="368"/>
      <c r="AGD147" s="368"/>
      <c r="AGE147" s="368"/>
      <c r="AGF147" s="368"/>
      <c r="AGG147" s="368"/>
      <c r="AGH147" s="368"/>
      <c r="AGI147" s="368"/>
      <c r="AGJ147" s="368"/>
      <c r="AGK147" s="368"/>
      <c r="AGL147" s="368"/>
      <c r="AGM147" s="368"/>
      <c r="AGN147" s="368"/>
      <c r="AGO147" s="368"/>
      <c r="AGP147" s="368"/>
      <c r="AGQ147" s="368"/>
      <c r="AGR147" s="368"/>
      <c r="AGS147" s="368"/>
      <c r="AGT147" s="368"/>
      <c r="AGU147" s="368"/>
      <c r="AGV147" s="368"/>
      <c r="AGW147" s="368"/>
      <c r="AGX147" s="368"/>
      <c r="AGY147" s="368"/>
      <c r="AGZ147" s="368"/>
      <c r="AHA147" s="368"/>
      <c r="AHB147" s="368"/>
      <c r="AHC147" s="368"/>
      <c r="AHD147" s="368"/>
      <c r="AHE147" s="368"/>
      <c r="AHF147" s="368"/>
      <c r="AHG147" s="368"/>
      <c r="AHH147" s="368"/>
      <c r="AHI147" s="368"/>
      <c r="AHJ147" s="368"/>
      <c r="AHK147" s="368"/>
      <c r="AHL147" s="368"/>
      <c r="AHM147" s="368"/>
      <c r="AHN147" s="368"/>
      <c r="AHO147" s="368"/>
      <c r="AHP147" s="368"/>
      <c r="AHQ147" s="368"/>
      <c r="AHR147" s="368"/>
      <c r="AHS147" s="368"/>
      <c r="AHT147" s="368"/>
      <c r="AHU147" s="368"/>
      <c r="AHV147" s="368"/>
      <c r="AHW147" s="368"/>
      <c r="AHX147" s="368"/>
      <c r="AHY147" s="368"/>
      <c r="AHZ147" s="368"/>
      <c r="AIA147" s="368"/>
      <c r="AIB147" s="368"/>
      <c r="AIC147" s="368"/>
      <c r="AID147" s="368"/>
      <c r="AIE147" s="368"/>
      <c r="AIF147" s="368"/>
      <c r="AIG147" s="368"/>
      <c r="AIH147" s="368"/>
      <c r="AII147" s="368"/>
      <c r="AIJ147" s="368"/>
      <c r="AIK147" s="368"/>
      <c r="AIL147" s="368"/>
      <c r="AIM147" s="368"/>
      <c r="AIN147" s="368"/>
      <c r="AIO147" s="368"/>
      <c r="AIP147" s="368"/>
      <c r="AIQ147" s="368"/>
      <c r="AIR147" s="368"/>
      <c r="AIS147" s="368"/>
      <c r="AIT147" s="368"/>
      <c r="AIU147" s="368"/>
      <c r="AIV147" s="368"/>
      <c r="AIW147" s="368"/>
      <c r="AIX147" s="368"/>
      <c r="AIY147" s="368"/>
      <c r="AIZ147" s="368"/>
      <c r="AJA147" s="368"/>
      <c r="AJB147" s="368"/>
      <c r="AJC147" s="368"/>
      <c r="AJD147" s="368"/>
      <c r="AJE147" s="368"/>
      <c r="AJF147" s="368"/>
      <c r="AJG147" s="368"/>
      <c r="AJH147" s="368"/>
      <c r="AJI147" s="368"/>
      <c r="AJJ147" s="368"/>
      <c r="AJK147" s="368"/>
      <c r="AJL147" s="368"/>
      <c r="AJM147" s="368"/>
      <c r="AJN147" s="368"/>
      <c r="AJO147" s="368"/>
      <c r="AJP147" s="368"/>
      <c r="AJQ147" s="368"/>
      <c r="AJR147" s="368"/>
      <c r="AJS147" s="368"/>
      <c r="AJT147" s="368"/>
      <c r="AJU147" s="368"/>
      <c r="AJV147" s="368"/>
      <c r="AJW147" s="368"/>
      <c r="AJX147" s="368"/>
      <c r="AJY147" s="368"/>
      <c r="AJZ147" s="368"/>
      <c r="AKA147" s="368"/>
      <c r="AKB147" s="368"/>
      <c r="AKC147" s="368"/>
      <c r="AKD147" s="368"/>
      <c r="AKE147" s="368"/>
      <c r="AKF147" s="368"/>
      <c r="AKG147" s="368"/>
      <c r="AKH147" s="368"/>
      <c r="AKI147" s="368"/>
      <c r="AKJ147" s="368"/>
      <c r="AKK147" s="368"/>
      <c r="AKL147" s="368"/>
      <c r="AKM147" s="368"/>
      <c r="AKN147" s="368"/>
    </row>
    <row r="148" spans="1:976" s="346" customFormat="1" ht="22.5" customHeight="1" x14ac:dyDescent="0.2">
      <c r="A148" s="370" t="s">
        <v>262</v>
      </c>
      <c r="B148" s="370"/>
      <c r="C148" s="370" t="s">
        <v>221</v>
      </c>
      <c r="D148" s="370" t="s">
        <v>222</v>
      </c>
      <c r="E148" s="371">
        <v>414758</v>
      </c>
      <c r="F148" s="371">
        <v>1887</v>
      </c>
      <c r="G148" s="371">
        <v>303</v>
      </c>
      <c r="H148" s="371">
        <v>0</v>
      </c>
      <c r="I148" s="372">
        <v>45902</v>
      </c>
      <c r="J148" s="370" t="s">
        <v>263</v>
      </c>
      <c r="K148" s="370" t="s">
        <v>684</v>
      </c>
      <c r="L148" s="373">
        <v>26.65</v>
      </c>
      <c r="M148" s="373">
        <v>3.67</v>
      </c>
      <c r="N148" s="444">
        <v>30.32</v>
      </c>
      <c r="O148" s="370"/>
      <c r="P148" s="374">
        <v>45904</v>
      </c>
      <c r="Q148" s="373">
        <v>30.32</v>
      </c>
      <c r="R148" s="370" t="s">
        <v>685</v>
      </c>
      <c r="S148" s="373">
        <v>0</v>
      </c>
      <c r="T148" s="373">
        <v>0</v>
      </c>
      <c r="U148" s="373">
        <v>0</v>
      </c>
      <c r="V148" s="373">
        <v>0</v>
      </c>
      <c r="W148" s="370"/>
      <c r="X148" s="370" t="s">
        <v>293</v>
      </c>
      <c r="Y148" s="370" t="s">
        <v>294</v>
      </c>
      <c r="Z148" s="370" t="s">
        <v>42</v>
      </c>
      <c r="AA148" s="370" t="s">
        <v>228</v>
      </c>
      <c r="AB148" s="370" t="s">
        <v>235</v>
      </c>
      <c r="AC148" s="370" t="s">
        <v>331</v>
      </c>
      <c r="AD148" s="370" t="s">
        <v>231</v>
      </c>
      <c r="AE148" s="370" t="s">
        <v>232</v>
      </c>
      <c r="AF148" s="370" t="s">
        <v>231</v>
      </c>
      <c r="AG148" s="370" t="s">
        <v>232</v>
      </c>
      <c r="AH148" s="370"/>
      <c r="AI148" s="370"/>
      <c r="AJ148" s="370"/>
      <c r="AK148" s="370" t="s">
        <v>686</v>
      </c>
      <c r="AL148" s="371">
        <v>1</v>
      </c>
      <c r="AM148" s="371">
        <v>0</v>
      </c>
      <c r="AN148" s="372">
        <v>45904</v>
      </c>
      <c r="AO148" s="372">
        <v>45904</v>
      </c>
      <c r="AP148" s="373">
        <v>30.32</v>
      </c>
      <c r="AQ148" s="372">
        <v>45903</v>
      </c>
      <c r="AR148" s="368"/>
      <c r="AS148" s="368"/>
      <c r="AT148" s="368"/>
      <c r="AU148" s="368"/>
      <c r="AV148" s="368"/>
      <c r="AW148" s="368"/>
      <c r="AX148" s="368"/>
      <c r="AY148" s="368"/>
      <c r="AZ148" s="368"/>
      <c r="BA148" s="368"/>
      <c r="BB148" s="368"/>
      <c r="BC148" s="368"/>
      <c r="BD148" s="368"/>
      <c r="BE148" s="368"/>
      <c r="BF148" s="368"/>
      <c r="BG148" s="368"/>
      <c r="BH148" s="368"/>
      <c r="BI148" s="368"/>
      <c r="BJ148" s="368"/>
      <c r="BK148" s="368"/>
      <c r="BL148" s="368"/>
      <c r="BM148" s="368"/>
      <c r="BN148" s="368"/>
      <c r="BO148" s="368"/>
      <c r="BP148" s="368"/>
      <c r="BQ148" s="368"/>
      <c r="BR148" s="368"/>
      <c r="BS148" s="368"/>
      <c r="BT148" s="368"/>
      <c r="BU148" s="368"/>
      <c r="BV148" s="368"/>
      <c r="BW148" s="368"/>
      <c r="BX148" s="368"/>
      <c r="BY148" s="368"/>
      <c r="BZ148" s="368"/>
      <c r="CA148" s="368"/>
      <c r="CB148" s="368"/>
      <c r="CC148" s="368"/>
      <c r="CD148" s="368"/>
      <c r="CE148" s="368"/>
      <c r="CF148" s="368"/>
      <c r="CG148" s="368"/>
      <c r="CH148" s="368"/>
      <c r="CI148" s="368"/>
      <c r="CJ148" s="368"/>
      <c r="CK148" s="368"/>
      <c r="CL148" s="368"/>
      <c r="CM148" s="368"/>
      <c r="CN148" s="368"/>
      <c r="CO148" s="368"/>
      <c r="CP148" s="368"/>
      <c r="CQ148" s="368"/>
      <c r="CR148" s="368"/>
      <c r="CS148" s="368"/>
      <c r="CT148" s="368"/>
      <c r="CU148" s="368"/>
      <c r="CV148" s="368"/>
      <c r="CW148" s="368"/>
      <c r="CX148" s="368"/>
      <c r="CY148" s="368"/>
      <c r="CZ148" s="368"/>
      <c r="DA148" s="368"/>
      <c r="DB148" s="368"/>
      <c r="DC148" s="368"/>
      <c r="DD148" s="368"/>
      <c r="DE148" s="368"/>
      <c r="DF148" s="368"/>
      <c r="DG148" s="368"/>
      <c r="DH148" s="368"/>
      <c r="DI148" s="368"/>
      <c r="DJ148" s="368"/>
      <c r="DK148" s="368"/>
      <c r="DL148" s="368"/>
      <c r="DM148" s="368"/>
      <c r="DN148" s="368"/>
      <c r="DO148" s="368"/>
      <c r="DP148" s="368"/>
      <c r="DQ148" s="368"/>
      <c r="DR148" s="368"/>
      <c r="DS148" s="368"/>
      <c r="DT148" s="368"/>
      <c r="DU148" s="368"/>
      <c r="DV148" s="368"/>
      <c r="DW148" s="368"/>
      <c r="DX148" s="368"/>
      <c r="DY148" s="368"/>
      <c r="DZ148" s="368"/>
      <c r="EA148" s="368"/>
      <c r="EB148" s="368"/>
      <c r="EC148" s="368"/>
      <c r="ED148" s="368"/>
      <c r="EE148" s="368"/>
      <c r="EF148" s="368"/>
      <c r="EG148" s="368"/>
      <c r="EH148" s="368"/>
      <c r="EI148" s="368"/>
      <c r="EJ148" s="368"/>
      <c r="EK148" s="368"/>
      <c r="EL148" s="368"/>
      <c r="EM148" s="368"/>
      <c r="EN148" s="368"/>
      <c r="EO148" s="368"/>
      <c r="EP148" s="368"/>
      <c r="EQ148" s="368"/>
      <c r="ER148" s="368"/>
      <c r="ES148" s="368"/>
      <c r="ET148" s="368"/>
      <c r="EU148" s="368"/>
      <c r="EV148" s="368"/>
      <c r="EW148" s="368"/>
      <c r="EX148" s="368"/>
      <c r="EY148" s="368"/>
      <c r="EZ148" s="368"/>
      <c r="FA148" s="368"/>
      <c r="FB148" s="368"/>
      <c r="FC148" s="368"/>
      <c r="FD148" s="368"/>
      <c r="FE148" s="368"/>
      <c r="FF148" s="368"/>
      <c r="FG148" s="368"/>
      <c r="FH148" s="368"/>
      <c r="FI148" s="368"/>
      <c r="FJ148" s="368"/>
      <c r="FK148" s="368"/>
      <c r="FL148" s="368"/>
      <c r="FM148" s="368"/>
      <c r="FN148" s="368"/>
      <c r="FO148" s="368"/>
      <c r="FP148" s="368"/>
      <c r="FQ148" s="368"/>
      <c r="FR148" s="368"/>
      <c r="FS148" s="368"/>
      <c r="FT148" s="368"/>
      <c r="FU148" s="368"/>
      <c r="FV148" s="368"/>
      <c r="FW148" s="368"/>
      <c r="FX148" s="368"/>
      <c r="FY148" s="368"/>
      <c r="FZ148" s="368"/>
      <c r="GA148" s="368"/>
      <c r="GB148" s="368"/>
      <c r="GC148" s="368"/>
      <c r="GD148" s="368"/>
      <c r="GE148" s="368"/>
      <c r="GF148" s="368"/>
      <c r="GG148" s="368"/>
      <c r="GH148" s="368"/>
      <c r="GI148" s="368"/>
      <c r="GJ148" s="368"/>
      <c r="GK148" s="368"/>
      <c r="GL148" s="368"/>
      <c r="GM148" s="368"/>
      <c r="GN148" s="368"/>
      <c r="GO148" s="368"/>
      <c r="GP148" s="368"/>
      <c r="GQ148" s="368"/>
      <c r="GR148" s="368"/>
      <c r="GS148" s="368"/>
      <c r="GT148" s="368"/>
      <c r="GU148" s="368"/>
      <c r="GV148" s="368"/>
      <c r="GW148" s="368"/>
      <c r="GX148" s="368"/>
      <c r="GY148" s="368"/>
      <c r="GZ148" s="368"/>
      <c r="HA148" s="368"/>
      <c r="HB148" s="368"/>
      <c r="HC148" s="368"/>
      <c r="HD148" s="368"/>
      <c r="HE148" s="368"/>
      <c r="HF148" s="368"/>
      <c r="HG148" s="368"/>
      <c r="HH148" s="368"/>
      <c r="HI148" s="368"/>
      <c r="HJ148" s="368"/>
      <c r="HK148" s="368"/>
      <c r="HL148" s="368"/>
      <c r="HM148" s="368"/>
      <c r="HN148" s="368"/>
      <c r="HO148" s="368"/>
      <c r="HP148" s="368"/>
      <c r="HQ148" s="368"/>
      <c r="HR148" s="368"/>
      <c r="HS148" s="368"/>
      <c r="HT148" s="368"/>
      <c r="HU148" s="368"/>
      <c r="HV148" s="368"/>
      <c r="HW148" s="368"/>
      <c r="HX148" s="368"/>
      <c r="HY148" s="368"/>
      <c r="HZ148" s="368"/>
      <c r="IA148" s="368"/>
      <c r="IB148" s="368"/>
      <c r="IC148" s="368"/>
      <c r="ID148" s="368"/>
      <c r="IE148" s="368"/>
      <c r="IF148" s="368"/>
      <c r="IG148" s="368"/>
      <c r="IH148" s="368"/>
      <c r="II148" s="368"/>
      <c r="IJ148" s="368"/>
      <c r="IK148" s="368"/>
      <c r="IL148" s="368"/>
      <c r="IM148" s="368"/>
      <c r="IN148" s="368"/>
      <c r="IO148" s="368"/>
      <c r="IP148" s="368"/>
      <c r="IQ148" s="368"/>
      <c r="IR148" s="368"/>
      <c r="IS148" s="368"/>
      <c r="IT148" s="368"/>
      <c r="IU148" s="368"/>
      <c r="IV148" s="368"/>
      <c r="IW148" s="368"/>
      <c r="IX148" s="368"/>
      <c r="IY148" s="368"/>
      <c r="IZ148" s="368"/>
      <c r="JA148" s="368"/>
      <c r="JB148" s="368"/>
      <c r="JC148" s="368"/>
      <c r="JD148" s="368"/>
      <c r="JE148" s="368"/>
      <c r="JF148" s="368"/>
      <c r="JG148" s="368"/>
      <c r="JH148" s="368"/>
      <c r="JI148" s="368"/>
      <c r="JJ148" s="368"/>
      <c r="JK148" s="368"/>
      <c r="JL148" s="368"/>
      <c r="JM148" s="368"/>
      <c r="JN148" s="368"/>
      <c r="JO148" s="368"/>
      <c r="JP148" s="368"/>
      <c r="JQ148" s="368"/>
      <c r="JR148" s="368"/>
      <c r="JS148" s="368"/>
      <c r="JT148" s="368"/>
      <c r="JU148" s="368"/>
      <c r="JV148" s="368"/>
      <c r="JW148" s="368"/>
      <c r="JX148" s="368"/>
      <c r="JY148" s="368"/>
      <c r="JZ148" s="368"/>
      <c r="KA148" s="368"/>
      <c r="KB148" s="368"/>
      <c r="KC148" s="368"/>
      <c r="KD148" s="368"/>
      <c r="KE148" s="368"/>
      <c r="KF148" s="368"/>
      <c r="KG148" s="368"/>
      <c r="KH148" s="368"/>
      <c r="KI148" s="368"/>
      <c r="KJ148" s="368"/>
      <c r="KK148" s="368"/>
      <c r="KL148" s="368"/>
      <c r="KM148" s="368"/>
      <c r="KN148" s="368"/>
      <c r="KO148" s="368"/>
      <c r="KP148" s="368"/>
      <c r="KQ148" s="368"/>
      <c r="KR148" s="368"/>
      <c r="KS148" s="368"/>
      <c r="KT148" s="368"/>
      <c r="KU148" s="368"/>
      <c r="KV148" s="368"/>
      <c r="KW148" s="368"/>
      <c r="KX148" s="368"/>
      <c r="KY148" s="368"/>
      <c r="KZ148" s="368"/>
      <c r="LA148" s="368"/>
      <c r="LB148" s="368"/>
      <c r="LC148" s="368"/>
      <c r="LD148" s="368"/>
      <c r="LE148" s="368"/>
      <c r="LF148" s="368"/>
      <c r="LG148" s="368"/>
      <c r="LH148" s="368"/>
      <c r="LI148" s="368"/>
      <c r="LJ148" s="368"/>
      <c r="LK148" s="368"/>
      <c r="LL148" s="368"/>
      <c r="LM148" s="368"/>
      <c r="LN148" s="368"/>
      <c r="LO148" s="368"/>
      <c r="LP148" s="368"/>
      <c r="LQ148" s="368"/>
      <c r="LR148" s="368"/>
      <c r="LS148" s="368"/>
      <c r="LT148" s="368"/>
      <c r="LU148" s="368"/>
      <c r="LV148" s="368"/>
      <c r="LW148" s="368"/>
      <c r="LX148" s="368"/>
      <c r="LY148" s="368"/>
      <c r="LZ148" s="368"/>
      <c r="MA148" s="368"/>
      <c r="MB148" s="368"/>
      <c r="MC148" s="368"/>
      <c r="MD148" s="368"/>
      <c r="ME148" s="368"/>
      <c r="MF148" s="368"/>
      <c r="MG148" s="368"/>
      <c r="MH148" s="368"/>
      <c r="MI148" s="368"/>
      <c r="MJ148" s="368"/>
      <c r="MK148" s="368"/>
      <c r="ML148" s="368"/>
      <c r="MM148" s="368"/>
      <c r="MN148" s="368"/>
      <c r="MO148" s="368"/>
      <c r="MP148" s="368"/>
      <c r="MQ148" s="368"/>
      <c r="MR148" s="368"/>
      <c r="MS148" s="368"/>
      <c r="MT148" s="368"/>
      <c r="MU148" s="368"/>
      <c r="MV148" s="368"/>
      <c r="MW148" s="368"/>
      <c r="MX148" s="368"/>
      <c r="MY148" s="368"/>
      <c r="MZ148" s="368"/>
      <c r="NA148" s="368"/>
      <c r="NB148" s="368"/>
      <c r="NC148" s="368"/>
      <c r="ND148" s="368"/>
      <c r="NE148" s="368"/>
      <c r="NF148" s="368"/>
      <c r="NG148" s="368"/>
      <c r="NH148" s="368"/>
      <c r="NI148" s="368"/>
      <c r="NJ148" s="368"/>
      <c r="NK148" s="368"/>
      <c r="NL148" s="368"/>
      <c r="NM148" s="368"/>
      <c r="NN148" s="368"/>
      <c r="NO148" s="368"/>
      <c r="NP148" s="368"/>
      <c r="NQ148" s="368"/>
      <c r="NR148" s="368"/>
      <c r="NS148" s="368"/>
      <c r="NT148" s="368"/>
      <c r="NU148" s="368"/>
      <c r="NV148" s="368"/>
      <c r="NW148" s="368"/>
      <c r="NX148" s="368"/>
      <c r="NY148" s="368"/>
      <c r="NZ148" s="368"/>
      <c r="OA148" s="368"/>
      <c r="OB148" s="368"/>
      <c r="OC148" s="368"/>
      <c r="OD148" s="368"/>
      <c r="OE148" s="368"/>
      <c r="OF148" s="368"/>
      <c r="OG148" s="368"/>
      <c r="OH148" s="368"/>
      <c r="OI148" s="368"/>
      <c r="OJ148" s="368"/>
      <c r="OK148" s="368"/>
      <c r="OL148" s="368"/>
      <c r="OM148" s="368"/>
      <c r="ON148" s="368"/>
      <c r="OO148" s="368"/>
      <c r="OP148" s="368"/>
      <c r="OQ148" s="368"/>
      <c r="OR148" s="368"/>
      <c r="OS148" s="368"/>
      <c r="OT148" s="368"/>
      <c r="OU148" s="368"/>
      <c r="OV148" s="368"/>
      <c r="OW148" s="368"/>
      <c r="OX148" s="368"/>
      <c r="OY148" s="368"/>
      <c r="OZ148" s="368"/>
      <c r="PA148" s="368"/>
      <c r="PB148" s="368"/>
      <c r="PC148" s="368"/>
      <c r="PD148" s="368"/>
      <c r="PE148" s="368"/>
      <c r="PF148" s="368"/>
      <c r="PG148" s="368"/>
      <c r="PH148" s="368"/>
      <c r="PI148" s="368"/>
      <c r="PJ148" s="368"/>
      <c r="PK148" s="368"/>
      <c r="PL148" s="368"/>
      <c r="PM148" s="368"/>
      <c r="PN148" s="368"/>
      <c r="PO148" s="368"/>
      <c r="PP148" s="368"/>
      <c r="PQ148" s="368"/>
      <c r="PR148" s="368"/>
      <c r="PS148" s="368"/>
      <c r="PT148" s="368"/>
      <c r="PU148" s="368"/>
      <c r="PV148" s="368"/>
      <c r="PW148" s="368"/>
      <c r="PX148" s="368"/>
      <c r="PY148" s="368"/>
      <c r="PZ148" s="368"/>
      <c r="QA148" s="368"/>
      <c r="QB148" s="368"/>
      <c r="QC148" s="368"/>
      <c r="QD148" s="368"/>
      <c r="QE148" s="368"/>
      <c r="QF148" s="368"/>
      <c r="QG148" s="368"/>
      <c r="QH148" s="368"/>
      <c r="QI148" s="368"/>
      <c r="QJ148" s="368"/>
      <c r="QK148" s="368"/>
      <c r="QL148" s="368"/>
      <c r="QM148" s="368"/>
      <c r="QN148" s="368"/>
      <c r="QO148" s="368"/>
      <c r="QP148" s="368"/>
      <c r="QQ148" s="368"/>
      <c r="QR148" s="368"/>
      <c r="QS148" s="368"/>
      <c r="QT148" s="368"/>
      <c r="QU148" s="368"/>
      <c r="QV148" s="368"/>
      <c r="QW148" s="368"/>
      <c r="QX148" s="368"/>
      <c r="QY148" s="368"/>
      <c r="QZ148" s="368"/>
      <c r="RA148" s="368"/>
      <c r="RB148" s="368"/>
      <c r="RC148" s="368"/>
      <c r="RD148" s="368"/>
      <c r="RE148" s="368"/>
      <c r="RF148" s="368"/>
      <c r="RG148" s="368"/>
      <c r="RH148" s="368"/>
      <c r="RI148" s="368"/>
      <c r="RJ148" s="368"/>
      <c r="RK148" s="368"/>
      <c r="RL148" s="368"/>
      <c r="RM148" s="368"/>
      <c r="RN148" s="368"/>
      <c r="RO148" s="368"/>
      <c r="RP148" s="368"/>
      <c r="RQ148" s="368"/>
      <c r="RR148" s="368"/>
      <c r="RS148" s="368"/>
      <c r="RT148" s="368"/>
      <c r="RU148" s="368"/>
      <c r="RV148" s="368"/>
      <c r="RW148" s="368"/>
      <c r="RX148" s="368"/>
      <c r="RY148" s="368"/>
      <c r="RZ148" s="368"/>
      <c r="SA148" s="368"/>
      <c r="SB148" s="368"/>
      <c r="SC148" s="368"/>
      <c r="SD148" s="368"/>
      <c r="SE148" s="368"/>
      <c r="SF148" s="368"/>
      <c r="SG148" s="368"/>
      <c r="SH148" s="368"/>
      <c r="SI148" s="368"/>
      <c r="SJ148" s="368"/>
      <c r="SK148" s="368"/>
      <c r="SL148" s="368"/>
      <c r="SM148" s="368"/>
      <c r="SN148" s="368"/>
      <c r="SO148" s="368"/>
      <c r="SP148" s="368"/>
      <c r="SQ148" s="368"/>
      <c r="SR148" s="368"/>
      <c r="SS148" s="368"/>
      <c r="ST148" s="368"/>
      <c r="SU148" s="368"/>
      <c r="SV148" s="368"/>
      <c r="SW148" s="368"/>
      <c r="SX148" s="368"/>
      <c r="SY148" s="368"/>
      <c r="SZ148" s="368"/>
      <c r="TA148" s="368"/>
      <c r="TB148" s="368"/>
      <c r="TC148" s="368"/>
      <c r="TD148" s="368"/>
      <c r="TE148" s="368"/>
      <c r="TF148" s="368"/>
      <c r="TG148" s="368"/>
      <c r="TH148" s="368"/>
      <c r="TI148" s="368"/>
      <c r="TJ148" s="368"/>
      <c r="TK148" s="368"/>
      <c r="TL148" s="368"/>
      <c r="TM148" s="368"/>
      <c r="TN148" s="368"/>
      <c r="TO148" s="368"/>
      <c r="TP148" s="368"/>
      <c r="TQ148" s="368"/>
      <c r="TR148" s="368"/>
      <c r="TS148" s="368"/>
      <c r="TT148" s="368"/>
      <c r="TU148" s="368"/>
      <c r="TV148" s="368"/>
      <c r="TW148" s="368"/>
      <c r="TX148" s="368"/>
      <c r="TY148" s="368"/>
      <c r="TZ148" s="368"/>
      <c r="UA148" s="368"/>
      <c r="UB148" s="368"/>
      <c r="UC148" s="368"/>
      <c r="UD148" s="368"/>
      <c r="UE148" s="368"/>
      <c r="UF148" s="368"/>
      <c r="UG148" s="368"/>
      <c r="UH148" s="368"/>
      <c r="UI148" s="368"/>
      <c r="UJ148" s="368"/>
      <c r="UK148" s="368"/>
      <c r="UL148" s="368"/>
      <c r="UM148" s="368"/>
      <c r="UN148" s="368"/>
      <c r="UO148" s="368"/>
      <c r="UP148" s="368"/>
      <c r="UQ148" s="368"/>
      <c r="UR148" s="368"/>
      <c r="US148" s="368"/>
      <c r="UT148" s="368"/>
      <c r="UU148" s="368"/>
      <c r="UV148" s="368"/>
      <c r="UW148" s="368"/>
      <c r="UX148" s="368"/>
      <c r="UY148" s="368"/>
      <c r="UZ148" s="368"/>
      <c r="VA148" s="368"/>
      <c r="VB148" s="368"/>
      <c r="VC148" s="368"/>
      <c r="VD148" s="368"/>
      <c r="VE148" s="368"/>
      <c r="VF148" s="368"/>
      <c r="VG148" s="368"/>
      <c r="VH148" s="368"/>
      <c r="VI148" s="368"/>
      <c r="VJ148" s="368"/>
      <c r="VK148" s="368"/>
      <c r="VL148" s="368"/>
      <c r="VM148" s="368"/>
      <c r="VN148" s="368"/>
      <c r="VO148" s="368"/>
      <c r="VP148" s="368"/>
      <c r="VQ148" s="368"/>
      <c r="VR148" s="368"/>
      <c r="VS148" s="368"/>
      <c r="VT148" s="368"/>
      <c r="VU148" s="368"/>
      <c r="VV148" s="368"/>
      <c r="VW148" s="368"/>
      <c r="VX148" s="368"/>
      <c r="VY148" s="368"/>
      <c r="VZ148" s="368"/>
      <c r="WA148" s="368"/>
      <c r="WB148" s="368"/>
      <c r="WC148" s="368"/>
      <c r="WD148" s="368"/>
      <c r="WE148" s="368"/>
      <c r="WF148" s="368"/>
      <c r="WG148" s="368"/>
      <c r="WH148" s="368"/>
      <c r="WI148" s="368"/>
      <c r="WJ148" s="368"/>
      <c r="WK148" s="368"/>
      <c r="WL148" s="368"/>
      <c r="WM148" s="368"/>
      <c r="WN148" s="368"/>
      <c r="WO148" s="368"/>
      <c r="WP148" s="368"/>
      <c r="WQ148" s="368"/>
      <c r="WR148" s="368"/>
      <c r="WS148" s="368"/>
      <c r="WT148" s="368"/>
      <c r="WU148" s="368"/>
      <c r="WV148" s="368"/>
      <c r="WW148" s="368"/>
      <c r="WX148" s="368"/>
      <c r="WY148" s="368"/>
      <c r="WZ148" s="368"/>
      <c r="XA148" s="368"/>
      <c r="XB148" s="368"/>
      <c r="XC148" s="368"/>
      <c r="XD148" s="368"/>
      <c r="XE148" s="368"/>
      <c r="XF148" s="368"/>
      <c r="XG148" s="368"/>
      <c r="XH148" s="368"/>
      <c r="XI148" s="368"/>
      <c r="XJ148" s="368"/>
      <c r="XK148" s="368"/>
      <c r="XL148" s="368"/>
      <c r="XM148" s="368"/>
      <c r="XN148" s="368"/>
      <c r="XO148" s="368"/>
      <c r="XP148" s="368"/>
      <c r="XQ148" s="368"/>
      <c r="XR148" s="368"/>
      <c r="XS148" s="368"/>
      <c r="XT148" s="368"/>
      <c r="XU148" s="368"/>
      <c r="XV148" s="368"/>
      <c r="XW148" s="368"/>
      <c r="XX148" s="368"/>
      <c r="XY148" s="368"/>
      <c r="XZ148" s="368"/>
      <c r="YA148" s="368"/>
      <c r="YB148" s="368"/>
      <c r="YC148" s="368"/>
      <c r="YD148" s="368"/>
      <c r="YE148" s="368"/>
      <c r="YF148" s="368"/>
      <c r="YG148" s="368"/>
      <c r="YH148" s="368"/>
      <c r="YI148" s="368"/>
      <c r="YJ148" s="368"/>
      <c r="YK148" s="368"/>
      <c r="YL148" s="368"/>
      <c r="YM148" s="368"/>
      <c r="YN148" s="368"/>
      <c r="YO148" s="368"/>
      <c r="YP148" s="368"/>
      <c r="YQ148" s="368"/>
      <c r="YR148" s="368"/>
      <c r="YS148" s="368"/>
      <c r="YT148" s="368"/>
      <c r="YU148" s="368"/>
      <c r="YV148" s="368"/>
      <c r="YW148" s="368"/>
      <c r="YX148" s="368"/>
      <c r="YY148" s="368"/>
      <c r="YZ148" s="368"/>
      <c r="ZA148" s="368"/>
      <c r="ZB148" s="368"/>
      <c r="ZC148" s="368"/>
      <c r="ZD148" s="368"/>
      <c r="ZE148" s="368"/>
      <c r="ZF148" s="368"/>
      <c r="ZG148" s="368"/>
      <c r="ZH148" s="368"/>
      <c r="ZI148" s="368"/>
      <c r="ZJ148" s="368"/>
      <c r="ZK148" s="368"/>
      <c r="ZL148" s="368"/>
      <c r="ZM148" s="368"/>
      <c r="ZN148" s="368"/>
      <c r="ZO148" s="368"/>
      <c r="ZP148" s="368"/>
      <c r="ZQ148" s="368"/>
      <c r="ZR148" s="368"/>
      <c r="ZS148" s="368"/>
      <c r="ZT148" s="368"/>
      <c r="ZU148" s="368"/>
      <c r="ZV148" s="368"/>
      <c r="ZW148" s="368"/>
      <c r="ZX148" s="368"/>
      <c r="ZY148" s="368"/>
      <c r="ZZ148" s="368"/>
      <c r="AAA148" s="368"/>
      <c r="AAB148" s="368"/>
      <c r="AAC148" s="368"/>
      <c r="AAD148" s="368"/>
      <c r="AAE148" s="368"/>
      <c r="AAF148" s="368"/>
      <c r="AAG148" s="368"/>
      <c r="AAH148" s="368"/>
      <c r="AAI148" s="368"/>
      <c r="AAJ148" s="368"/>
      <c r="AAK148" s="368"/>
      <c r="AAL148" s="368"/>
      <c r="AAM148" s="368"/>
      <c r="AAN148" s="368"/>
      <c r="AAO148" s="368"/>
      <c r="AAP148" s="368"/>
      <c r="AAQ148" s="368"/>
      <c r="AAR148" s="368"/>
      <c r="AAS148" s="368"/>
      <c r="AAT148" s="368"/>
      <c r="AAU148" s="368"/>
      <c r="AAV148" s="368"/>
      <c r="AAW148" s="368"/>
      <c r="AAX148" s="368"/>
      <c r="AAY148" s="368"/>
      <c r="AAZ148" s="368"/>
      <c r="ABA148" s="368"/>
      <c r="ABB148" s="368"/>
      <c r="ABC148" s="368"/>
      <c r="ABD148" s="368"/>
      <c r="ABE148" s="368"/>
      <c r="ABF148" s="368"/>
      <c r="ABG148" s="368"/>
      <c r="ABH148" s="368"/>
      <c r="ABI148" s="368"/>
      <c r="ABJ148" s="368"/>
      <c r="ABK148" s="368"/>
      <c r="ABL148" s="368"/>
      <c r="ABM148" s="368"/>
      <c r="ABN148" s="368"/>
      <c r="ABO148" s="368"/>
      <c r="ABP148" s="368"/>
      <c r="ABQ148" s="368"/>
      <c r="ABR148" s="368"/>
      <c r="ABS148" s="368"/>
      <c r="ABT148" s="368"/>
      <c r="ABU148" s="368"/>
      <c r="ABV148" s="368"/>
      <c r="ABW148" s="368"/>
      <c r="ABX148" s="368"/>
      <c r="ABY148" s="368"/>
      <c r="ABZ148" s="368"/>
      <c r="ACA148" s="368"/>
      <c r="ACB148" s="368"/>
      <c r="ACC148" s="368"/>
      <c r="ACD148" s="368"/>
      <c r="ACE148" s="368"/>
      <c r="ACF148" s="368"/>
      <c r="ACG148" s="368"/>
      <c r="ACH148" s="368"/>
      <c r="ACI148" s="368"/>
      <c r="ACJ148" s="368"/>
      <c r="ACK148" s="368"/>
      <c r="ACL148" s="368"/>
      <c r="ACM148" s="368"/>
      <c r="ACN148" s="368"/>
      <c r="ACO148" s="368"/>
      <c r="ACP148" s="368"/>
      <c r="ACQ148" s="368"/>
      <c r="ACR148" s="368"/>
      <c r="ACS148" s="368"/>
      <c r="ACT148" s="368"/>
      <c r="ACU148" s="368"/>
      <c r="ACV148" s="368"/>
      <c r="ACW148" s="368"/>
      <c r="ACX148" s="368"/>
      <c r="ACY148" s="368"/>
      <c r="ACZ148" s="368"/>
      <c r="ADA148" s="368"/>
      <c r="ADB148" s="368"/>
      <c r="ADC148" s="368"/>
      <c r="ADD148" s="368"/>
      <c r="ADE148" s="368"/>
      <c r="ADF148" s="368"/>
      <c r="ADG148" s="368"/>
      <c r="ADH148" s="368"/>
      <c r="ADI148" s="368"/>
      <c r="ADJ148" s="368"/>
      <c r="ADK148" s="368"/>
      <c r="ADL148" s="368"/>
      <c r="ADM148" s="368"/>
      <c r="ADN148" s="368"/>
      <c r="ADO148" s="368"/>
      <c r="ADP148" s="368"/>
      <c r="ADQ148" s="368"/>
      <c r="ADR148" s="368"/>
      <c r="ADS148" s="368"/>
      <c r="ADT148" s="368"/>
      <c r="ADU148" s="368"/>
      <c r="ADV148" s="368"/>
      <c r="ADW148" s="368"/>
      <c r="ADX148" s="368"/>
      <c r="ADY148" s="368"/>
      <c r="ADZ148" s="368"/>
      <c r="AEA148" s="368"/>
      <c r="AEB148" s="368"/>
      <c r="AEC148" s="368"/>
      <c r="AED148" s="368"/>
      <c r="AEE148" s="368"/>
      <c r="AEF148" s="368"/>
      <c r="AEG148" s="368"/>
      <c r="AEH148" s="368"/>
      <c r="AEI148" s="368"/>
      <c r="AEJ148" s="368"/>
      <c r="AEK148" s="368"/>
      <c r="AEL148" s="368"/>
      <c r="AEM148" s="368"/>
      <c r="AEN148" s="368"/>
      <c r="AEO148" s="368"/>
      <c r="AEP148" s="368"/>
      <c r="AEQ148" s="368"/>
      <c r="AER148" s="368"/>
      <c r="AES148" s="368"/>
      <c r="AET148" s="368"/>
      <c r="AEU148" s="368"/>
      <c r="AEV148" s="368"/>
      <c r="AEW148" s="368"/>
      <c r="AEX148" s="368"/>
      <c r="AEY148" s="368"/>
      <c r="AEZ148" s="368"/>
      <c r="AFA148" s="368"/>
      <c r="AFB148" s="368"/>
      <c r="AFC148" s="368"/>
      <c r="AFD148" s="368"/>
      <c r="AFE148" s="368"/>
      <c r="AFF148" s="368"/>
      <c r="AFG148" s="368"/>
      <c r="AFH148" s="368"/>
      <c r="AFI148" s="368"/>
      <c r="AFJ148" s="368"/>
      <c r="AFK148" s="368"/>
      <c r="AFL148" s="368"/>
      <c r="AFM148" s="368"/>
      <c r="AFN148" s="368"/>
      <c r="AFO148" s="368"/>
      <c r="AFP148" s="368"/>
      <c r="AFQ148" s="368"/>
      <c r="AFR148" s="368"/>
      <c r="AFS148" s="368"/>
      <c r="AFT148" s="368"/>
      <c r="AFU148" s="368"/>
      <c r="AFV148" s="368"/>
      <c r="AFW148" s="368"/>
      <c r="AFX148" s="368"/>
      <c r="AFY148" s="368"/>
      <c r="AFZ148" s="368"/>
      <c r="AGA148" s="368"/>
      <c r="AGB148" s="368"/>
      <c r="AGC148" s="368"/>
      <c r="AGD148" s="368"/>
      <c r="AGE148" s="368"/>
      <c r="AGF148" s="368"/>
      <c r="AGG148" s="368"/>
      <c r="AGH148" s="368"/>
      <c r="AGI148" s="368"/>
      <c r="AGJ148" s="368"/>
      <c r="AGK148" s="368"/>
      <c r="AGL148" s="368"/>
      <c r="AGM148" s="368"/>
      <c r="AGN148" s="368"/>
      <c r="AGO148" s="368"/>
      <c r="AGP148" s="368"/>
      <c r="AGQ148" s="368"/>
      <c r="AGR148" s="368"/>
      <c r="AGS148" s="368"/>
      <c r="AGT148" s="368"/>
      <c r="AGU148" s="368"/>
      <c r="AGV148" s="368"/>
      <c r="AGW148" s="368"/>
      <c r="AGX148" s="368"/>
      <c r="AGY148" s="368"/>
      <c r="AGZ148" s="368"/>
      <c r="AHA148" s="368"/>
      <c r="AHB148" s="368"/>
      <c r="AHC148" s="368"/>
      <c r="AHD148" s="368"/>
      <c r="AHE148" s="368"/>
      <c r="AHF148" s="368"/>
      <c r="AHG148" s="368"/>
      <c r="AHH148" s="368"/>
      <c r="AHI148" s="368"/>
      <c r="AHJ148" s="368"/>
      <c r="AHK148" s="368"/>
      <c r="AHL148" s="368"/>
      <c r="AHM148" s="368"/>
      <c r="AHN148" s="368"/>
      <c r="AHO148" s="368"/>
      <c r="AHP148" s="368"/>
      <c r="AHQ148" s="368"/>
      <c r="AHR148" s="368"/>
      <c r="AHS148" s="368"/>
      <c r="AHT148" s="368"/>
      <c r="AHU148" s="368"/>
      <c r="AHV148" s="368"/>
      <c r="AHW148" s="368"/>
      <c r="AHX148" s="368"/>
      <c r="AHY148" s="368"/>
      <c r="AHZ148" s="368"/>
      <c r="AIA148" s="368"/>
      <c r="AIB148" s="368"/>
      <c r="AIC148" s="368"/>
      <c r="AID148" s="368"/>
      <c r="AIE148" s="368"/>
      <c r="AIF148" s="368"/>
      <c r="AIG148" s="368"/>
      <c r="AIH148" s="368"/>
      <c r="AII148" s="368"/>
      <c r="AIJ148" s="368"/>
      <c r="AIK148" s="368"/>
      <c r="AIL148" s="368"/>
      <c r="AIM148" s="368"/>
      <c r="AIN148" s="368"/>
      <c r="AIO148" s="368"/>
      <c r="AIP148" s="368"/>
      <c r="AIQ148" s="368"/>
      <c r="AIR148" s="368"/>
      <c r="AIS148" s="368"/>
      <c r="AIT148" s="368"/>
      <c r="AIU148" s="368"/>
      <c r="AIV148" s="368"/>
      <c r="AIW148" s="368"/>
      <c r="AIX148" s="368"/>
      <c r="AIY148" s="368"/>
      <c r="AIZ148" s="368"/>
      <c r="AJA148" s="368"/>
      <c r="AJB148" s="368"/>
      <c r="AJC148" s="368"/>
      <c r="AJD148" s="368"/>
      <c r="AJE148" s="368"/>
      <c r="AJF148" s="368"/>
      <c r="AJG148" s="368"/>
      <c r="AJH148" s="368"/>
      <c r="AJI148" s="368"/>
      <c r="AJJ148" s="368"/>
      <c r="AJK148" s="368"/>
      <c r="AJL148" s="368"/>
      <c r="AJM148" s="368"/>
      <c r="AJN148" s="368"/>
      <c r="AJO148" s="368"/>
      <c r="AJP148" s="368"/>
      <c r="AJQ148" s="368"/>
      <c r="AJR148" s="368"/>
      <c r="AJS148" s="368"/>
      <c r="AJT148" s="368"/>
      <c r="AJU148" s="368"/>
      <c r="AJV148" s="368"/>
      <c r="AJW148" s="368"/>
      <c r="AJX148" s="368"/>
      <c r="AJY148" s="368"/>
      <c r="AJZ148" s="368"/>
      <c r="AKA148" s="368"/>
      <c r="AKB148" s="368"/>
      <c r="AKC148" s="368"/>
      <c r="AKD148" s="368"/>
      <c r="AKE148" s="368"/>
      <c r="AKF148" s="368"/>
      <c r="AKG148" s="368"/>
      <c r="AKH148" s="368"/>
      <c r="AKI148" s="368"/>
      <c r="AKJ148" s="368"/>
      <c r="AKK148" s="368"/>
      <c r="AKL148" s="368"/>
      <c r="AKM148" s="368"/>
      <c r="AKN148" s="368"/>
    </row>
    <row r="149" spans="1:976" s="346" customFormat="1" ht="22.5" customHeight="1" x14ac:dyDescent="0.2">
      <c r="A149" s="370" t="s">
        <v>262</v>
      </c>
      <c r="B149" s="370"/>
      <c r="C149" s="370" t="s">
        <v>221</v>
      </c>
      <c r="D149" s="370" t="s">
        <v>222</v>
      </c>
      <c r="E149" s="371">
        <v>414759</v>
      </c>
      <c r="F149" s="371">
        <v>1888</v>
      </c>
      <c r="G149" s="371">
        <v>303</v>
      </c>
      <c r="H149" s="371">
        <v>0</v>
      </c>
      <c r="I149" s="372">
        <v>45902</v>
      </c>
      <c r="J149" s="370" t="s">
        <v>263</v>
      </c>
      <c r="K149" s="370" t="s">
        <v>687</v>
      </c>
      <c r="L149" s="373">
        <v>25.92</v>
      </c>
      <c r="M149" s="373">
        <v>2.27</v>
      </c>
      <c r="N149" s="444">
        <v>28.19</v>
      </c>
      <c r="O149" s="370"/>
      <c r="P149" s="374">
        <v>45904</v>
      </c>
      <c r="Q149" s="373">
        <v>28.19</v>
      </c>
      <c r="R149" s="370" t="s">
        <v>688</v>
      </c>
      <c r="S149" s="373">
        <v>0</v>
      </c>
      <c r="T149" s="373">
        <v>0</v>
      </c>
      <c r="U149" s="373">
        <v>0</v>
      </c>
      <c r="V149" s="373">
        <v>0</v>
      </c>
      <c r="W149" s="370"/>
      <c r="X149" s="370" t="s">
        <v>293</v>
      </c>
      <c r="Y149" s="370" t="s">
        <v>294</v>
      </c>
      <c r="Z149" s="370" t="s">
        <v>42</v>
      </c>
      <c r="AA149" s="370" t="s">
        <v>228</v>
      </c>
      <c r="AB149" s="370" t="s">
        <v>235</v>
      </c>
      <c r="AC149" s="370" t="s">
        <v>331</v>
      </c>
      <c r="AD149" s="370" t="s">
        <v>231</v>
      </c>
      <c r="AE149" s="370" t="s">
        <v>232</v>
      </c>
      <c r="AF149" s="370" t="s">
        <v>231</v>
      </c>
      <c r="AG149" s="370" t="s">
        <v>232</v>
      </c>
      <c r="AH149" s="370"/>
      <c r="AI149" s="370"/>
      <c r="AJ149" s="370"/>
      <c r="AK149" s="370" t="s">
        <v>689</v>
      </c>
      <c r="AL149" s="371">
        <v>1</v>
      </c>
      <c r="AM149" s="371">
        <v>0</v>
      </c>
      <c r="AN149" s="372">
        <v>45904</v>
      </c>
      <c r="AO149" s="372">
        <v>45904</v>
      </c>
      <c r="AP149" s="373">
        <v>28.19</v>
      </c>
      <c r="AQ149" s="372">
        <v>45903</v>
      </c>
      <c r="AR149" s="368"/>
      <c r="AS149" s="368"/>
      <c r="AT149" s="368"/>
      <c r="AU149" s="368"/>
      <c r="AV149" s="368"/>
      <c r="AW149" s="368"/>
      <c r="AX149" s="368"/>
      <c r="AY149" s="368"/>
      <c r="AZ149" s="368"/>
      <c r="BA149" s="368"/>
      <c r="BB149" s="368"/>
      <c r="BC149" s="368"/>
      <c r="BD149" s="368"/>
      <c r="BE149" s="368"/>
      <c r="BF149" s="368"/>
      <c r="BG149" s="368"/>
      <c r="BH149" s="368"/>
      <c r="BI149" s="368"/>
      <c r="BJ149" s="368"/>
      <c r="BK149" s="368"/>
      <c r="BL149" s="368"/>
      <c r="BM149" s="368"/>
      <c r="BN149" s="368"/>
      <c r="BO149" s="368"/>
      <c r="BP149" s="368"/>
      <c r="BQ149" s="368"/>
      <c r="BR149" s="368"/>
      <c r="BS149" s="368"/>
      <c r="BT149" s="368"/>
      <c r="BU149" s="368"/>
      <c r="BV149" s="368"/>
      <c r="BW149" s="368"/>
      <c r="BX149" s="368"/>
      <c r="BY149" s="368"/>
      <c r="BZ149" s="368"/>
      <c r="CA149" s="368"/>
      <c r="CB149" s="368"/>
      <c r="CC149" s="368"/>
      <c r="CD149" s="368"/>
      <c r="CE149" s="368"/>
      <c r="CF149" s="368"/>
      <c r="CG149" s="368"/>
      <c r="CH149" s="368"/>
      <c r="CI149" s="368"/>
      <c r="CJ149" s="368"/>
      <c r="CK149" s="368"/>
      <c r="CL149" s="368"/>
      <c r="CM149" s="368"/>
      <c r="CN149" s="368"/>
      <c r="CO149" s="368"/>
      <c r="CP149" s="368"/>
      <c r="CQ149" s="368"/>
      <c r="CR149" s="368"/>
      <c r="CS149" s="368"/>
      <c r="CT149" s="368"/>
      <c r="CU149" s="368"/>
      <c r="CV149" s="368"/>
      <c r="CW149" s="368"/>
      <c r="CX149" s="368"/>
      <c r="CY149" s="368"/>
      <c r="CZ149" s="368"/>
      <c r="DA149" s="368"/>
      <c r="DB149" s="368"/>
      <c r="DC149" s="368"/>
      <c r="DD149" s="368"/>
      <c r="DE149" s="368"/>
      <c r="DF149" s="368"/>
      <c r="DG149" s="368"/>
      <c r="DH149" s="368"/>
      <c r="DI149" s="368"/>
      <c r="DJ149" s="368"/>
      <c r="DK149" s="368"/>
      <c r="DL149" s="368"/>
      <c r="DM149" s="368"/>
      <c r="DN149" s="368"/>
      <c r="DO149" s="368"/>
      <c r="DP149" s="368"/>
      <c r="DQ149" s="368"/>
      <c r="DR149" s="368"/>
      <c r="DS149" s="368"/>
      <c r="DT149" s="368"/>
      <c r="DU149" s="368"/>
      <c r="DV149" s="368"/>
      <c r="DW149" s="368"/>
      <c r="DX149" s="368"/>
      <c r="DY149" s="368"/>
      <c r="DZ149" s="368"/>
      <c r="EA149" s="368"/>
      <c r="EB149" s="368"/>
      <c r="EC149" s="368"/>
      <c r="ED149" s="368"/>
      <c r="EE149" s="368"/>
      <c r="EF149" s="368"/>
      <c r="EG149" s="368"/>
      <c r="EH149" s="368"/>
      <c r="EI149" s="368"/>
      <c r="EJ149" s="368"/>
      <c r="EK149" s="368"/>
      <c r="EL149" s="368"/>
      <c r="EM149" s="368"/>
      <c r="EN149" s="368"/>
      <c r="EO149" s="368"/>
      <c r="EP149" s="368"/>
      <c r="EQ149" s="368"/>
      <c r="ER149" s="368"/>
      <c r="ES149" s="368"/>
      <c r="ET149" s="368"/>
      <c r="EU149" s="368"/>
      <c r="EV149" s="368"/>
      <c r="EW149" s="368"/>
      <c r="EX149" s="368"/>
      <c r="EY149" s="368"/>
      <c r="EZ149" s="368"/>
      <c r="FA149" s="368"/>
      <c r="FB149" s="368"/>
      <c r="FC149" s="368"/>
      <c r="FD149" s="368"/>
      <c r="FE149" s="368"/>
      <c r="FF149" s="368"/>
      <c r="FG149" s="368"/>
      <c r="FH149" s="368"/>
      <c r="FI149" s="368"/>
      <c r="FJ149" s="368"/>
      <c r="FK149" s="368"/>
      <c r="FL149" s="368"/>
      <c r="FM149" s="368"/>
      <c r="FN149" s="368"/>
      <c r="FO149" s="368"/>
      <c r="FP149" s="368"/>
      <c r="FQ149" s="368"/>
      <c r="FR149" s="368"/>
      <c r="FS149" s="368"/>
      <c r="FT149" s="368"/>
      <c r="FU149" s="368"/>
      <c r="FV149" s="368"/>
      <c r="FW149" s="368"/>
      <c r="FX149" s="368"/>
      <c r="FY149" s="368"/>
      <c r="FZ149" s="368"/>
      <c r="GA149" s="368"/>
      <c r="GB149" s="368"/>
      <c r="GC149" s="368"/>
      <c r="GD149" s="368"/>
      <c r="GE149" s="368"/>
      <c r="GF149" s="368"/>
      <c r="GG149" s="368"/>
      <c r="GH149" s="368"/>
      <c r="GI149" s="368"/>
      <c r="GJ149" s="368"/>
      <c r="GK149" s="368"/>
      <c r="GL149" s="368"/>
      <c r="GM149" s="368"/>
      <c r="GN149" s="368"/>
      <c r="GO149" s="368"/>
      <c r="GP149" s="368"/>
      <c r="GQ149" s="368"/>
      <c r="GR149" s="368"/>
      <c r="GS149" s="368"/>
      <c r="GT149" s="368"/>
      <c r="GU149" s="368"/>
      <c r="GV149" s="368"/>
      <c r="GW149" s="368"/>
      <c r="GX149" s="368"/>
      <c r="GY149" s="368"/>
      <c r="GZ149" s="368"/>
      <c r="HA149" s="368"/>
      <c r="HB149" s="368"/>
      <c r="HC149" s="368"/>
      <c r="HD149" s="368"/>
      <c r="HE149" s="368"/>
      <c r="HF149" s="368"/>
      <c r="HG149" s="368"/>
      <c r="HH149" s="368"/>
      <c r="HI149" s="368"/>
      <c r="HJ149" s="368"/>
      <c r="HK149" s="368"/>
      <c r="HL149" s="368"/>
      <c r="HM149" s="368"/>
      <c r="HN149" s="368"/>
      <c r="HO149" s="368"/>
      <c r="HP149" s="368"/>
      <c r="HQ149" s="368"/>
      <c r="HR149" s="368"/>
      <c r="HS149" s="368"/>
      <c r="HT149" s="368"/>
      <c r="HU149" s="368"/>
      <c r="HV149" s="368"/>
      <c r="HW149" s="368"/>
      <c r="HX149" s="368"/>
      <c r="HY149" s="368"/>
      <c r="HZ149" s="368"/>
      <c r="IA149" s="368"/>
      <c r="IB149" s="368"/>
      <c r="IC149" s="368"/>
      <c r="ID149" s="368"/>
      <c r="IE149" s="368"/>
      <c r="IF149" s="368"/>
      <c r="IG149" s="368"/>
      <c r="IH149" s="368"/>
      <c r="II149" s="368"/>
      <c r="IJ149" s="368"/>
      <c r="IK149" s="368"/>
      <c r="IL149" s="368"/>
      <c r="IM149" s="368"/>
      <c r="IN149" s="368"/>
      <c r="IO149" s="368"/>
      <c r="IP149" s="368"/>
      <c r="IQ149" s="368"/>
      <c r="IR149" s="368"/>
      <c r="IS149" s="368"/>
      <c r="IT149" s="368"/>
      <c r="IU149" s="368"/>
      <c r="IV149" s="368"/>
      <c r="IW149" s="368"/>
      <c r="IX149" s="368"/>
      <c r="IY149" s="368"/>
      <c r="IZ149" s="368"/>
      <c r="JA149" s="368"/>
      <c r="JB149" s="368"/>
      <c r="JC149" s="368"/>
      <c r="JD149" s="368"/>
      <c r="JE149" s="368"/>
      <c r="JF149" s="368"/>
      <c r="JG149" s="368"/>
      <c r="JH149" s="368"/>
      <c r="JI149" s="368"/>
      <c r="JJ149" s="368"/>
      <c r="JK149" s="368"/>
      <c r="JL149" s="368"/>
      <c r="JM149" s="368"/>
      <c r="JN149" s="368"/>
      <c r="JO149" s="368"/>
      <c r="JP149" s="368"/>
      <c r="JQ149" s="368"/>
      <c r="JR149" s="368"/>
      <c r="JS149" s="368"/>
      <c r="JT149" s="368"/>
      <c r="JU149" s="368"/>
      <c r="JV149" s="368"/>
      <c r="JW149" s="368"/>
      <c r="JX149" s="368"/>
      <c r="JY149" s="368"/>
      <c r="JZ149" s="368"/>
      <c r="KA149" s="368"/>
      <c r="KB149" s="368"/>
      <c r="KC149" s="368"/>
      <c r="KD149" s="368"/>
      <c r="KE149" s="368"/>
      <c r="KF149" s="368"/>
      <c r="KG149" s="368"/>
      <c r="KH149" s="368"/>
      <c r="KI149" s="368"/>
      <c r="KJ149" s="368"/>
      <c r="KK149" s="368"/>
      <c r="KL149" s="368"/>
      <c r="KM149" s="368"/>
      <c r="KN149" s="368"/>
      <c r="KO149" s="368"/>
      <c r="KP149" s="368"/>
      <c r="KQ149" s="368"/>
      <c r="KR149" s="368"/>
      <c r="KS149" s="368"/>
      <c r="KT149" s="368"/>
      <c r="KU149" s="368"/>
      <c r="KV149" s="368"/>
      <c r="KW149" s="368"/>
      <c r="KX149" s="368"/>
      <c r="KY149" s="368"/>
      <c r="KZ149" s="368"/>
      <c r="LA149" s="368"/>
      <c r="LB149" s="368"/>
      <c r="LC149" s="368"/>
      <c r="LD149" s="368"/>
      <c r="LE149" s="368"/>
      <c r="LF149" s="368"/>
      <c r="LG149" s="368"/>
      <c r="LH149" s="368"/>
      <c r="LI149" s="368"/>
      <c r="LJ149" s="368"/>
      <c r="LK149" s="368"/>
      <c r="LL149" s="368"/>
      <c r="LM149" s="368"/>
      <c r="LN149" s="368"/>
      <c r="LO149" s="368"/>
      <c r="LP149" s="368"/>
      <c r="LQ149" s="368"/>
      <c r="LR149" s="368"/>
      <c r="LS149" s="368"/>
      <c r="LT149" s="368"/>
      <c r="LU149" s="368"/>
      <c r="LV149" s="368"/>
      <c r="LW149" s="368"/>
      <c r="LX149" s="368"/>
      <c r="LY149" s="368"/>
      <c r="LZ149" s="368"/>
      <c r="MA149" s="368"/>
      <c r="MB149" s="368"/>
      <c r="MC149" s="368"/>
      <c r="MD149" s="368"/>
      <c r="ME149" s="368"/>
      <c r="MF149" s="368"/>
      <c r="MG149" s="368"/>
      <c r="MH149" s="368"/>
      <c r="MI149" s="368"/>
      <c r="MJ149" s="368"/>
      <c r="MK149" s="368"/>
      <c r="ML149" s="368"/>
      <c r="MM149" s="368"/>
      <c r="MN149" s="368"/>
      <c r="MO149" s="368"/>
      <c r="MP149" s="368"/>
      <c r="MQ149" s="368"/>
      <c r="MR149" s="368"/>
      <c r="MS149" s="368"/>
      <c r="MT149" s="368"/>
      <c r="MU149" s="368"/>
      <c r="MV149" s="368"/>
      <c r="MW149" s="368"/>
      <c r="MX149" s="368"/>
      <c r="MY149" s="368"/>
      <c r="MZ149" s="368"/>
      <c r="NA149" s="368"/>
      <c r="NB149" s="368"/>
      <c r="NC149" s="368"/>
      <c r="ND149" s="368"/>
      <c r="NE149" s="368"/>
      <c r="NF149" s="368"/>
      <c r="NG149" s="368"/>
      <c r="NH149" s="368"/>
      <c r="NI149" s="368"/>
      <c r="NJ149" s="368"/>
      <c r="NK149" s="368"/>
      <c r="NL149" s="368"/>
      <c r="NM149" s="368"/>
      <c r="NN149" s="368"/>
      <c r="NO149" s="368"/>
      <c r="NP149" s="368"/>
      <c r="NQ149" s="368"/>
      <c r="NR149" s="368"/>
      <c r="NS149" s="368"/>
      <c r="NT149" s="368"/>
      <c r="NU149" s="368"/>
      <c r="NV149" s="368"/>
      <c r="NW149" s="368"/>
      <c r="NX149" s="368"/>
      <c r="NY149" s="368"/>
      <c r="NZ149" s="368"/>
      <c r="OA149" s="368"/>
      <c r="OB149" s="368"/>
      <c r="OC149" s="368"/>
      <c r="OD149" s="368"/>
      <c r="OE149" s="368"/>
      <c r="OF149" s="368"/>
      <c r="OG149" s="368"/>
      <c r="OH149" s="368"/>
      <c r="OI149" s="368"/>
      <c r="OJ149" s="368"/>
      <c r="OK149" s="368"/>
      <c r="OL149" s="368"/>
      <c r="OM149" s="368"/>
      <c r="ON149" s="368"/>
      <c r="OO149" s="368"/>
      <c r="OP149" s="368"/>
      <c r="OQ149" s="368"/>
      <c r="OR149" s="368"/>
      <c r="OS149" s="368"/>
      <c r="OT149" s="368"/>
      <c r="OU149" s="368"/>
      <c r="OV149" s="368"/>
      <c r="OW149" s="368"/>
      <c r="OX149" s="368"/>
      <c r="OY149" s="368"/>
      <c r="OZ149" s="368"/>
      <c r="PA149" s="368"/>
      <c r="PB149" s="368"/>
      <c r="PC149" s="368"/>
      <c r="PD149" s="368"/>
      <c r="PE149" s="368"/>
      <c r="PF149" s="368"/>
      <c r="PG149" s="368"/>
      <c r="PH149" s="368"/>
      <c r="PI149" s="368"/>
      <c r="PJ149" s="368"/>
      <c r="PK149" s="368"/>
      <c r="PL149" s="368"/>
      <c r="PM149" s="368"/>
      <c r="PN149" s="368"/>
      <c r="PO149" s="368"/>
      <c r="PP149" s="368"/>
      <c r="PQ149" s="368"/>
      <c r="PR149" s="368"/>
      <c r="PS149" s="368"/>
      <c r="PT149" s="368"/>
      <c r="PU149" s="368"/>
      <c r="PV149" s="368"/>
      <c r="PW149" s="368"/>
      <c r="PX149" s="368"/>
      <c r="PY149" s="368"/>
      <c r="PZ149" s="368"/>
      <c r="QA149" s="368"/>
      <c r="QB149" s="368"/>
      <c r="QC149" s="368"/>
      <c r="QD149" s="368"/>
      <c r="QE149" s="368"/>
      <c r="QF149" s="368"/>
      <c r="QG149" s="368"/>
      <c r="QH149" s="368"/>
      <c r="QI149" s="368"/>
      <c r="QJ149" s="368"/>
      <c r="QK149" s="368"/>
      <c r="QL149" s="368"/>
      <c r="QM149" s="368"/>
      <c r="QN149" s="368"/>
      <c r="QO149" s="368"/>
      <c r="QP149" s="368"/>
      <c r="QQ149" s="368"/>
      <c r="QR149" s="368"/>
      <c r="QS149" s="368"/>
      <c r="QT149" s="368"/>
      <c r="QU149" s="368"/>
      <c r="QV149" s="368"/>
      <c r="QW149" s="368"/>
      <c r="QX149" s="368"/>
      <c r="QY149" s="368"/>
      <c r="QZ149" s="368"/>
      <c r="RA149" s="368"/>
      <c r="RB149" s="368"/>
      <c r="RC149" s="368"/>
      <c r="RD149" s="368"/>
      <c r="RE149" s="368"/>
      <c r="RF149" s="368"/>
      <c r="RG149" s="368"/>
      <c r="RH149" s="368"/>
      <c r="RI149" s="368"/>
      <c r="RJ149" s="368"/>
      <c r="RK149" s="368"/>
      <c r="RL149" s="368"/>
      <c r="RM149" s="368"/>
      <c r="RN149" s="368"/>
      <c r="RO149" s="368"/>
      <c r="RP149" s="368"/>
      <c r="RQ149" s="368"/>
      <c r="RR149" s="368"/>
      <c r="RS149" s="368"/>
      <c r="RT149" s="368"/>
      <c r="RU149" s="368"/>
      <c r="RV149" s="368"/>
      <c r="RW149" s="368"/>
      <c r="RX149" s="368"/>
      <c r="RY149" s="368"/>
      <c r="RZ149" s="368"/>
      <c r="SA149" s="368"/>
      <c r="SB149" s="368"/>
      <c r="SC149" s="368"/>
      <c r="SD149" s="368"/>
      <c r="SE149" s="368"/>
      <c r="SF149" s="368"/>
      <c r="SG149" s="368"/>
      <c r="SH149" s="368"/>
      <c r="SI149" s="368"/>
      <c r="SJ149" s="368"/>
      <c r="SK149" s="368"/>
      <c r="SL149" s="368"/>
      <c r="SM149" s="368"/>
      <c r="SN149" s="368"/>
      <c r="SO149" s="368"/>
      <c r="SP149" s="368"/>
      <c r="SQ149" s="368"/>
      <c r="SR149" s="368"/>
      <c r="SS149" s="368"/>
      <c r="ST149" s="368"/>
      <c r="SU149" s="368"/>
      <c r="SV149" s="368"/>
      <c r="SW149" s="368"/>
      <c r="SX149" s="368"/>
      <c r="SY149" s="368"/>
      <c r="SZ149" s="368"/>
      <c r="TA149" s="368"/>
      <c r="TB149" s="368"/>
      <c r="TC149" s="368"/>
      <c r="TD149" s="368"/>
      <c r="TE149" s="368"/>
      <c r="TF149" s="368"/>
      <c r="TG149" s="368"/>
      <c r="TH149" s="368"/>
      <c r="TI149" s="368"/>
      <c r="TJ149" s="368"/>
      <c r="TK149" s="368"/>
      <c r="TL149" s="368"/>
      <c r="TM149" s="368"/>
      <c r="TN149" s="368"/>
      <c r="TO149" s="368"/>
      <c r="TP149" s="368"/>
      <c r="TQ149" s="368"/>
      <c r="TR149" s="368"/>
      <c r="TS149" s="368"/>
      <c r="TT149" s="368"/>
      <c r="TU149" s="368"/>
      <c r="TV149" s="368"/>
      <c r="TW149" s="368"/>
      <c r="TX149" s="368"/>
      <c r="TY149" s="368"/>
      <c r="TZ149" s="368"/>
      <c r="UA149" s="368"/>
      <c r="UB149" s="368"/>
      <c r="UC149" s="368"/>
      <c r="UD149" s="368"/>
      <c r="UE149" s="368"/>
      <c r="UF149" s="368"/>
      <c r="UG149" s="368"/>
      <c r="UH149" s="368"/>
      <c r="UI149" s="368"/>
      <c r="UJ149" s="368"/>
      <c r="UK149" s="368"/>
      <c r="UL149" s="368"/>
      <c r="UM149" s="368"/>
      <c r="UN149" s="368"/>
      <c r="UO149" s="368"/>
      <c r="UP149" s="368"/>
      <c r="UQ149" s="368"/>
      <c r="UR149" s="368"/>
      <c r="US149" s="368"/>
      <c r="UT149" s="368"/>
      <c r="UU149" s="368"/>
      <c r="UV149" s="368"/>
      <c r="UW149" s="368"/>
      <c r="UX149" s="368"/>
      <c r="UY149" s="368"/>
      <c r="UZ149" s="368"/>
      <c r="VA149" s="368"/>
      <c r="VB149" s="368"/>
      <c r="VC149" s="368"/>
      <c r="VD149" s="368"/>
      <c r="VE149" s="368"/>
      <c r="VF149" s="368"/>
      <c r="VG149" s="368"/>
      <c r="VH149" s="368"/>
      <c r="VI149" s="368"/>
      <c r="VJ149" s="368"/>
      <c r="VK149" s="368"/>
      <c r="VL149" s="368"/>
      <c r="VM149" s="368"/>
      <c r="VN149" s="368"/>
      <c r="VO149" s="368"/>
      <c r="VP149" s="368"/>
      <c r="VQ149" s="368"/>
      <c r="VR149" s="368"/>
      <c r="VS149" s="368"/>
      <c r="VT149" s="368"/>
      <c r="VU149" s="368"/>
      <c r="VV149" s="368"/>
      <c r="VW149" s="368"/>
      <c r="VX149" s="368"/>
      <c r="VY149" s="368"/>
      <c r="VZ149" s="368"/>
      <c r="WA149" s="368"/>
      <c r="WB149" s="368"/>
      <c r="WC149" s="368"/>
      <c r="WD149" s="368"/>
      <c r="WE149" s="368"/>
      <c r="WF149" s="368"/>
      <c r="WG149" s="368"/>
      <c r="WH149" s="368"/>
      <c r="WI149" s="368"/>
      <c r="WJ149" s="368"/>
      <c r="WK149" s="368"/>
      <c r="WL149" s="368"/>
      <c r="WM149" s="368"/>
      <c r="WN149" s="368"/>
      <c r="WO149" s="368"/>
      <c r="WP149" s="368"/>
      <c r="WQ149" s="368"/>
      <c r="WR149" s="368"/>
      <c r="WS149" s="368"/>
      <c r="WT149" s="368"/>
      <c r="WU149" s="368"/>
      <c r="WV149" s="368"/>
      <c r="WW149" s="368"/>
      <c r="WX149" s="368"/>
      <c r="WY149" s="368"/>
      <c r="WZ149" s="368"/>
      <c r="XA149" s="368"/>
      <c r="XB149" s="368"/>
      <c r="XC149" s="368"/>
      <c r="XD149" s="368"/>
      <c r="XE149" s="368"/>
      <c r="XF149" s="368"/>
      <c r="XG149" s="368"/>
      <c r="XH149" s="368"/>
      <c r="XI149" s="368"/>
      <c r="XJ149" s="368"/>
      <c r="XK149" s="368"/>
      <c r="XL149" s="368"/>
      <c r="XM149" s="368"/>
      <c r="XN149" s="368"/>
      <c r="XO149" s="368"/>
      <c r="XP149" s="368"/>
      <c r="XQ149" s="368"/>
      <c r="XR149" s="368"/>
      <c r="XS149" s="368"/>
      <c r="XT149" s="368"/>
      <c r="XU149" s="368"/>
      <c r="XV149" s="368"/>
      <c r="XW149" s="368"/>
      <c r="XX149" s="368"/>
      <c r="XY149" s="368"/>
      <c r="XZ149" s="368"/>
      <c r="YA149" s="368"/>
      <c r="YB149" s="368"/>
      <c r="YC149" s="368"/>
      <c r="YD149" s="368"/>
      <c r="YE149" s="368"/>
      <c r="YF149" s="368"/>
      <c r="YG149" s="368"/>
      <c r="YH149" s="368"/>
      <c r="YI149" s="368"/>
      <c r="YJ149" s="368"/>
      <c r="YK149" s="368"/>
      <c r="YL149" s="368"/>
      <c r="YM149" s="368"/>
      <c r="YN149" s="368"/>
      <c r="YO149" s="368"/>
      <c r="YP149" s="368"/>
      <c r="YQ149" s="368"/>
      <c r="YR149" s="368"/>
      <c r="YS149" s="368"/>
      <c r="YT149" s="368"/>
      <c r="YU149" s="368"/>
      <c r="YV149" s="368"/>
      <c r="YW149" s="368"/>
      <c r="YX149" s="368"/>
      <c r="YY149" s="368"/>
      <c r="YZ149" s="368"/>
      <c r="ZA149" s="368"/>
      <c r="ZB149" s="368"/>
      <c r="ZC149" s="368"/>
      <c r="ZD149" s="368"/>
      <c r="ZE149" s="368"/>
      <c r="ZF149" s="368"/>
      <c r="ZG149" s="368"/>
      <c r="ZH149" s="368"/>
      <c r="ZI149" s="368"/>
      <c r="ZJ149" s="368"/>
      <c r="ZK149" s="368"/>
      <c r="ZL149" s="368"/>
      <c r="ZM149" s="368"/>
      <c r="ZN149" s="368"/>
      <c r="ZO149" s="368"/>
      <c r="ZP149" s="368"/>
      <c r="ZQ149" s="368"/>
      <c r="ZR149" s="368"/>
      <c r="ZS149" s="368"/>
      <c r="ZT149" s="368"/>
      <c r="ZU149" s="368"/>
      <c r="ZV149" s="368"/>
      <c r="ZW149" s="368"/>
      <c r="ZX149" s="368"/>
      <c r="ZY149" s="368"/>
      <c r="ZZ149" s="368"/>
      <c r="AAA149" s="368"/>
      <c r="AAB149" s="368"/>
      <c r="AAC149" s="368"/>
      <c r="AAD149" s="368"/>
      <c r="AAE149" s="368"/>
      <c r="AAF149" s="368"/>
      <c r="AAG149" s="368"/>
      <c r="AAH149" s="368"/>
      <c r="AAI149" s="368"/>
      <c r="AAJ149" s="368"/>
      <c r="AAK149" s="368"/>
      <c r="AAL149" s="368"/>
      <c r="AAM149" s="368"/>
      <c r="AAN149" s="368"/>
      <c r="AAO149" s="368"/>
      <c r="AAP149" s="368"/>
      <c r="AAQ149" s="368"/>
      <c r="AAR149" s="368"/>
      <c r="AAS149" s="368"/>
      <c r="AAT149" s="368"/>
      <c r="AAU149" s="368"/>
      <c r="AAV149" s="368"/>
      <c r="AAW149" s="368"/>
      <c r="AAX149" s="368"/>
      <c r="AAY149" s="368"/>
      <c r="AAZ149" s="368"/>
      <c r="ABA149" s="368"/>
      <c r="ABB149" s="368"/>
      <c r="ABC149" s="368"/>
      <c r="ABD149" s="368"/>
      <c r="ABE149" s="368"/>
      <c r="ABF149" s="368"/>
      <c r="ABG149" s="368"/>
      <c r="ABH149" s="368"/>
      <c r="ABI149" s="368"/>
      <c r="ABJ149" s="368"/>
      <c r="ABK149" s="368"/>
      <c r="ABL149" s="368"/>
      <c r="ABM149" s="368"/>
      <c r="ABN149" s="368"/>
      <c r="ABO149" s="368"/>
      <c r="ABP149" s="368"/>
      <c r="ABQ149" s="368"/>
      <c r="ABR149" s="368"/>
      <c r="ABS149" s="368"/>
      <c r="ABT149" s="368"/>
      <c r="ABU149" s="368"/>
      <c r="ABV149" s="368"/>
      <c r="ABW149" s="368"/>
      <c r="ABX149" s="368"/>
      <c r="ABY149" s="368"/>
      <c r="ABZ149" s="368"/>
      <c r="ACA149" s="368"/>
      <c r="ACB149" s="368"/>
      <c r="ACC149" s="368"/>
      <c r="ACD149" s="368"/>
      <c r="ACE149" s="368"/>
      <c r="ACF149" s="368"/>
      <c r="ACG149" s="368"/>
      <c r="ACH149" s="368"/>
      <c r="ACI149" s="368"/>
      <c r="ACJ149" s="368"/>
      <c r="ACK149" s="368"/>
      <c r="ACL149" s="368"/>
      <c r="ACM149" s="368"/>
      <c r="ACN149" s="368"/>
      <c r="ACO149" s="368"/>
      <c r="ACP149" s="368"/>
      <c r="ACQ149" s="368"/>
      <c r="ACR149" s="368"/>
      <c r="ACS149" s="368"/>
      <c r="ACT149" s="368"/>
      <c r="ACU149" s="368"/>
      <c r="ACV149" s="368"/>
      <c r="ACW149" s="368"/>
      <c r="ACX149" s="368"/>
      <c r="ACY149" s="368"/>
      <c r="ACZ149" s="368"/>
      <c r="ADA149" s="368"/>
      <c r="ADB149" s="368"/>
      <c r="ADC149" s="368"/>
      <c r="ADD149" s="368"/>
      <c r="ADE149" s="368"/>
      <c r="ADF149" s="368"/>
      <c r="ADG149" s="368"/>
      <c r="ADH149" s="368"/>
      <c r="ADI149" s="368"/>
      <c r="ADJ149" s="368"/>
      <c r="ADK149" s="368"/>
      <c r="ADL149" s="368"/>
      <c r="ADM149" s="368"/>
      <c r="ADN149" s="368"/>
      <c r="ADO149" s="368"/>
      <c r="ADP149" s="368"/>
      <c r="ADQ149" s="368"/>
      <c r="ADR149" s="368"/>
      <c r="ADS149" s="368"/>
      <c r="ADT149" s="368"/>
      <c r="ADU149" s="368"/>
      <c r="ADV149" s="368"/>
      <c r="ADW149" s="368"/>
      <c r="ADX149" s="368"/>
      <c r="ADY149" s="368"/>
      <c r="ADZ149" s="368"/>
      <c r="AEA149" s="368"/>
      <c r="AEB149" s="368"/>
      <c r="AEC149" s="368"/>
      <c r="AED149" s="368"/>
      <c r="AEE149" s="368"/>
      <c r="AEF149" s="368"/>
      <c r="AEG149" s="368"/>
      <c r="AEH149" s="368"/>
      <c r="AEI149" s="368"/>
      <c r="AEJ149" s="368"/>
      <c r="AEK149" s="368"/>
      <c r="AEL149" s="368"/>
      <c r="AEM149" s="368"/>
      <c r="AEN149" s="368"/>
      <c r="AEO149" s="368"/>
      <c r="AEP149" s="368"/>
      <c r="AEQ149" s="368"/>
      <c r="AER149" s="368"/>
      <c r="AES149" s="368"/>
      <c r="AET149" s="368"/>
      <c r="AEU149" s="368"/>
      <c r="AEV149" s="368"/>
      <c r="AEW149" s="368"/>
      <c r="AEX149" s="368"/>
      <c r="AEY149" s="368"/>
      <c r="AEZ149" s="368"/>
      <c r="AFA149" s="368"/>
      <c r="AFB149" s="368"/>
      <c r="AFC149" s="368"/>
      <c r="AFD149" s="368"/>
      <c r="AFE149" s="368"/>
      <c r="AFF149" s="368"/>
      <c r="AFG149" s="368"/>
      <c r="AFH149" s="368"/>
      <c r="AFI149" s="368"/>
      <c r="AFJ149" s="368"/>
      <c r="AFK149" s="368"/>
      <c r="AFL149" s="368"/>
      <c r="AFM149" s="368"/>
      <c r="AFN149" s="368"/>
      <c r="AFO149" s="368"/>
      <c r="AFP149" s="368"/>
      <c r="AFQ149" s="368"/>
      <c r="AFR149" s="368"/>
      <c r="AFS149" s="368"/>
      <c r="AFT149" s="368"/>
      <c r="AFU149" s="368"/>
      <c r="AFV149" s="368"/>
      <c r="AFW149" s="368"/>
      <c r="AFX149" s="368"/>
      <c r="AFY149" s="368"/>
      <c r="AFZ149" s="368"/>
      <c r="AGA149" s="368"/>
      <c r="AGB149" s="368"/>
      <c r="AGC149" s="368"/>
      <c r="AGD149" s="368"/>
      <c r="AGE149" s="368"/>
      <c r="AGF149" s="368"/>
      <c r="AGG149" s="368"/>
      <c r="AGH149" s="368"/>
      <c r="AGI149" s="368"/>
      <c r="AGJ149" s="368"/>
      <c r="AGK149" s="368"/>
      <c r="AGL149" s="368"/>
      <c r="AGM149" s="368"/>
      <c r="AGN149" s="368"/>
      <c r="AGO149" s="368"/>
      <c r="AGP149" s="368"/>
      <c r="AGQ149" s="368"/>
      <c r="AGR149" s="368"/>
      <c r="AGS149" s="368"/>
      <c r="AGT149" s="368"/>
      <c r="AGU149" s="368"/>
      <c r="AGV149" s="368"/>
      <c r="AGW149" s="368"/>
      <c r="AGX149" s="368"/>
      <c r="AGY149" s="368"/>
      <c r="AGZ149" s="368"/>
      <c r="AHA149" s="368"/>
      <c r="AHB149" s="368"/>
      <c r="AHC149" s="368"/>
      <c r="AHD149" s="368"/>
      <c r="AHE149" s="368"/>
      <c r="AHF149" s="368"/>
      <c r="AHG149" s="368"/>
      <c r="AHH149" s="368"/>
      <c r="AHI149" s="368"/>
      <c r="AHJ149" s="368"/>
      <c r="AHK149" s="368"/>
      <c r="AHL149" s="368"/>
      <c r="AHM149" s="368"/>
      <c r="AHN149" s="368"/>
      <c r="AHO149" s="368"/>
      <c r="AHP149" s="368"/>
      <c r="AHQ149" s="368"/>
      <c r="AHR149" s="368"/>
      <c r="AHS149" s="368"/>
      <c r="AHT149" s="368"/>
      <c r="AHU149" s="368"/>
      <c r="AHV149" s="368"/>
      <c r="AHW149" s="368"/>
      <c r="AHX149" s="368"/>
      <c r="AHY149" s="368"/>
      <c r="AHZ149" s="368"/>
      <c r="AIA149" s="368"/>
      <c r="AIB149" s="368"/>
      <c r="AIC149" s="368"/>
      <c r="AID149" s="368"/>
      <c r="AIE149" s="368"/>
      <c r="AIF149" s="368"/>
      <c r="AIG149" s="368"/>
      <c r="AIH149" s="368"/>
      <c r="AII149" s="368"/>
      <c r="AIJ149" s="368"/>
      <c r="AIK149" s="368"/>
      <c r="AIL149" s="368"/>
      <c r="AIM149" s="368"/>
      <c r="AIN149" s="368"/>
      <c r="AIO149" s="368"/>
      <c r="AIP149" s="368"/>
      <c r="AIQ149" s="368"/>
      <c r="AIR149" s="368"/>
      <c r="AIS149" s="368"/>
      <c r="AIT149" s="368"/>
      <c r="AIU149" s="368"/>
      <c r="AIV149" s="368"/>
      <c r="AIW149" s="368"/>
      <c r="AIX149" s="368"/>
      <c r="AIY149" s="368"/>
      <c r="AIZ149" s="368"/>
      <c r="AJA149" s="368"/>
      <c r="AJB149" s="368"/>
      <c r="AJC149" s="368"/>
      <c r="AJD149" s="368"/>
      <c r="AJE149" s="368"/>
      <c r="AJF149" s="368"/>
      <c r="AJG149" s="368"/>
      <c r="AJH149" s="368"/>
      <c r="AJI149" s="368"/>
      <c r="AJJ149" s="368"/>
      <c r="AJK149" s="368"/>
      <c r="AJL149" s="368"/>
      <c r="AJM149" s="368"/>
      <c r="AJN149" s="368"/>
      <c r="AJO149" s="368"/>
      <c r="AJP149" s="368"/>
      <c r="AJQ149" s="368"/>
      <c r="AJR149" s="368"/>
      <c r="AJS149" s="368"/>
      <c r="AJT149" s="368"/>
      <c r="AJU149" s="368"/>
      <c r="AJV149" s="368"/>
      <c r="AJW149" s="368"/>
      <c r="AJX149" s="368"/>
      <c r="AJY149" s="368"/>
      <c r="AJZ149" s="368"/>
      <c r="AKA149" s="368"/>
      <c r="AKB149" s="368"/>
      <c r="AKC149" s="368"/>
      <c r="AKD149" s="368"/>
      <c r="AKE149" s="368"/>
      <c r="AKF149" s="368"/>
      <c r="AKG149" s="368"/>
      <c r="AKH149" s="368"/>
      <c r="AKI149" s="368"/>
      <c r="AKJ149" s="368"/>
      <c r="AKK149" s="368"/>
      <c r="AKL149" s="368"/>
      <c r="AKM149" s="368"/>
      <c r="AKN149" s="368"/>
    </row>
    <row r="150" spans="1:976" s="346" customFormat="1" ht="22.5" customHeight="1" x14ac:dyDescent="0.2">
      <c r="A150" s="370" t="s">
        <v>262</v>
      </c>
      <c r="B150" s="370"/>
      <c r="C150" s="370" t="s">
        <v>221</v>
      </c>
      <c r="D150" s="370" t="s">
        <v>222</v>
      </c>
      <c r="E150" s="371">
        <v>414760</v>
      </c>
      <c r="F150" s="371">
        <v>1889</v>
      </c>
      <c r="G150" s="371">
        <v>303</v>
      </c>
      <c r="H150" s="371">
        <v>0</v>
      </c>
      <c r="I150" s="372">
        <v>45902</v>
      </c>
      <c r="J150" s="370" t="s">
        <v>263</v>
      </c>
      <c r="K150" s="370" t="s">
        <v>690</v>
      </c>
      <c r="L150" s="373">
        <v>28.04</v>
      </c>
      <c r="M150" s="373">
        <v>1.54</v>
      </c>
      <c r="N150" s="444">
        <v>29.58</v>
      </c>
      <c r="O150" s="370"/>
      <c r="P150" s="374">
        <v>45904</v>
      </c>
      <c r="Q150" s="373">
        <v>29.58</v>
      </c>
      <c r="R150" s="370" t="s">
        <v>691</v>
      </c>
      <c r="S150" s="373">
        <v>0</v>
      </c>
      <c r="T150" s="373">
        <v>0</v>
      </c>
      <c r="U150" s="373">
        <v>0</v>
      </c>
      <c r="V150" s="373">
        <v>0</v>
      </c>
      <c r="W150" s="370"/>
      <c r="X150" s="370" t="s">
        <v>293</v>
      </c>
      <c r="Y150" s="370" t="s">
        <v>294</v>
      </c>
      <c r="Z150" s="370" t="s">
        <v>42</v>
      </c>
      <c r="AA150" s="370" t="s">
        <v>228</v>
      </c>
      <c r="AB150" s="370" t="s">
        <v>235</v>
      </c>
      <c r="AC150" s="370" t="s">
        <v>331</v>
      </c>
      <c r="AD150" s="370" t="s">
        <v>231</v>
      </c>
      <c r="AE150" s="370" t="s">
        <v>232</v>
      </c>
      <c r="AF150" s="370" t="s">
        <v>231</v>
      </c>
      <c r="AG150" s="370" t="s">
        <v>232</v>
      </c>
      <c r="AH150" s="370"/>
      <c r="AI150" s="370"/>
      <c r="AJ150" s="370"/>
      <c r="AK150" s="370" t="s">
        <v>692</v>
      </c>
      <c r="AL150" s="371">
        <v>1</v>
      </c>
      <c r="AM150" s="371">
        <v>0</v>
      </c>
      <c r="AN150" s="372">
        <v>45904</v>
      </c>
      <c r="AO150" s="372">
        <v>45904</v>
      </c>
      <c r="AP150" s="373">
        <v>29.58</v>
      </c>
      <c r="AQ150" s="372">
        <v>45903</v>
      </c>
      <c r="AR150" s="368"/>
      <c r="AS150" s="368"/>
      <c r="AT150" s="368"/>
      <c r="AU150" s="368"/>
      <c r="AV150" s="368"/>
      <c r="AW150" s="368"/>
      <c r="AX150" s="368"/>
      <c r="AY150" s="368"/>
      <c r="AZ150" s="368"/>
      <c r="BA150" s="368"/>
      <c r="BB150" s="368"/>
      <c r="BC150" s="368"/>
      <c r="BD150" s="368"/>
      <c r="BE150" s="368"/>
      <c r="BF150" s="368"/>
      <c r="BG150" s="368"/>
      <c r="BH150" s="368"/>
      <c r="BI150" s="368"/>
      <c r="BJ150" s="368"/>
      <c r="BK150" s="368"/>
      <c r="BL150" s="368"/>
      <c r="BM150" s="368"/>
      <c r="BN150" s="368"/>
      <c r="BO150" s="368"/>
      <c r="BP150" s="368"/>
      <c r="BQ150" s="368"/>
      <c r="BR150" s="368"/>
      <c r="BS150" s="368"/>
      <c r="BT150" s="368"/>
      <c r="BU150" s="368"/>
      <c r="BV150" s="368"/>
      <c r="BW150" s="368"/>
      <c r="BX150" s="368"/>
      <c r="BY150" s="368"/>
      <c r="BZ150" s="368"/>
      <c r="CA150" s="368"/>
      <c r="CB150" s="368"/>
      <c r="CC150" s="368"/>
      <c r="CD150" s="368"/>
      <c r="CE150" s="368"/>
      <c r="CF150" s="368"/>
      <c r="CG150" s="368"/>
      <c r="CH150" s="368"/>
      <c r="CI150" s="368"/>
      <c r="CJ150" s="368"/>
      <c r="CK150" s="368"/>
      <c r="CL150" s="368"/>
      <c r="CM150" s="368"/>
      <c r="CN150" s="368"/>
      <c r="CO150" s="368"/>
      <c r="CP150" s="368"/>
      <c r="CQ150" s="368"/>
      <c r="CR150" s="368"/>
      <c r="CS150" s="368"/>
      <c r="CT150" s="368"/>
      <c r="CU150" s="368"/>
      <c r="CV150" s="368"/>
      <c r="CW150" s="368"/>
      <c r="CX150" s="368"/>
      <c r="CY150" s="368"/>
      <c r="CZ150" s="368"/>
      <c r="DA150" s="368"/>
      <c r="DB150" s="368"/>
      <c r="DC150" s="368"/>
      <c r="DD150" s="368"/>
      <c r="DE150" s="368"/>
      <c r="DF150" s="368"/>
      <c r="DG150" s="368"/>
      <c r="DH150" s="368"/>
      <c r="DI150" s="368"/>
      <c r="DJ150" s="368"/>
      <c r="DK150" s="368"/>
      <c r="DL150" s="368"/>
      <c r="DM150" s="368"/>
      <c r="DN150" s="368"/>
      <c r="DO150" s="368"/>
      <c r="DP150" s="368"/>
      <c r="DQ150" s="368"/>
      <c r="DR150" s="368"/>
      <c r="DS150" s="368"/>
      <c r="DT150" s="368"/>
      <c r="DU150" s="368"/>
      <c r="DV150" s="368"/>
      <c r="DW150" s="368"/>
      <c r="DX150" s="368"/>
      <c r="DY150" s="368"/>
      <c r="DZ150" s="368"/>
      <c r="EA150" s="368"/>
      <c r="EB150" s="368"/>
      <c r="EC150" s="368"/>
      <c r="ED150" s="368"/>
      <c r="EE150" s="368"/>
      <c r="EF150" s="368"/>
      <c r="EG150" s="368"/>
      <c r="EH150" s="368"/>
      <c r="EI150" s="368"/>
      <c r="EJ150" s="368"/>
      <c r="EK150" s="368"/>
      <c r="EL150" s="368"/>
      <c r="EM150" s="368"/>
      <c r="EN150" s="368"/>
      <c r="EO150" s="368"/>
      <c r="EP150" s="368"/>
      <c r="EQ150" s="368"/>
      <c r="ER150" s="368"/>
      <c r="ES150" s="368"/>
      <c r="ET150" s="368"/>
      <c r="EU150" s="368"/>
      <c r="EV150" s="368"/>
      <c r="EW150" s="368"/>
      <c r="EX150" s="368"/>
      <c r="EY150" s="368"/>
      <c r="EZ150" s="368"/>
      <c r="FA150" s="368"/>
      <c r="FB150" s="368"/>
      <c r="FC150" s="368"/>
      <c r="FD150" s="368"/>
      <c r="FE150" s="368"/>
      <c r="FF150" s="368"/>
      <c r="FG150" s="368"/>
      <c r="FH150" s="368"/>
      <c r="FI150" s="368"/>
      <c r="FJ150" s="368"/>
      <c r="FK150" s="368"/>
      <c r="FL150" s="368"/>
      <c r="FM150" s="368"/>
      <c r="FN150" s="368"/>
      <c r="FO150" s="368"/>
      <c r="FP150" s="368"/>
      <c r="FQ150" s="368"/>
      <c r="FR150" s="368"/>
      <c r="FS150" s="368"/>
      <c r="FT150" s="368"/>
      <c r="FU150" s="368"/>
      <c r="FV150" s="368"/>
      <c r="FW150" s="368"/>
      <c r="FX150" s="368"/>
      <c r="FY150" s="368"/>
      <c r="FZ150" s="368"/>
      <c r="GA150" s="368"/>
      <c r="GB150" s="368"/>
      <c r="GC150" s="368"/>
      <c r="GD150" s="368"/>
      <c r="GE150" s="368"/>
      <c r="GF150" s="368"/>
      <c r="GG150" s="368"/>
      <c r="GH150" s="368"/>
      <c r="GI150" s="368"/>
      <c r="GJ150" s="368"/>
      <c r="GK150" s="368"/>
      <c r="GL150" s="368"/>
      <c r="GM150" s="368"/>
      <c r="GN150" s="368"/>
      <c r="GO150" s="368"/>
      <c r="GP150" s="368"/>
      <c r="GQ150" s="368"/>
      <c r="GR150" s="368"/>
      <c r="GS150" s="368"/>
      <c r="GT150" s="368"/>
      <c r="GU150" s="368"/>
      <c r="GV150" s="368"/>
      <c r="GW150" s="368"/>
      <c r="GX150" s="368"/>
      <c r="GY150" s="368"/>
      <c r="GZ150" s="368"/>
      <c r="HA150" s="368"/>
      <c r="HB150" s="368"/>
      <c r="HC150" s="368"/>
      <c r="HD150" s="368"/>
      <c r="HE150" s="368"/>
      <c r="HF150" s="368"/>
      <c r="HG150" s="368"/>
      <c r="HH150" s="368"/>
      <c r="HI150" s="368"/>
      <c r="HJ150" s="368"/>
      <c r="HK150" s="368"/>
      <c r="HL150" s="368"/>
      <c r="HM150" s="368"/>
      <c r="HN150" s="368"/>
      <c r="HO150" s="368"/>
      <c r="HP150" s="368"/>
      <c r="HQ150" s="368"/>
      <c r="HR150" s="368"/>
      <c r="HS150" s="368"/>
      <c r="HT150" s="368"/>
      <c r="HU150" s="368"/>
      <c r="HV150" s="368"/>
      <c r="HW150" s="368"/>
      <c r="HX150" s="368"/>
      <c r="HY150" s="368"/>
      <c r="HZ150" s="368"/>
      <c r="IA150" s="368"/>
      <c r="IB150" s="368"/>
      <c r="IC150" s="368"/>
      <c r="ID150" s="368"/>
      <c r="IE150" s="368"/>
      <c r="IF150" s="368"/>
      <c r="IG150" s="368"/>
      <c r="IH150" s="368"/>
      <c r="II150" s="368"/>
      <c r="IJ150" s="368"/>
      <c r="IK150" s="368"/>
      <c r="IL150" s="368"/>
      <c r="IM150" s="368"/>
      <c r="IN150" s="368"/>
      <c r="IO150" s="368"/>
      <c r="IP150" s="368"/>
      <c r="IQ150" s="368"/>
      <c r="IR150" s="368"/>
      <c r="IS150" s="368"/>
      <c r="IT150" s="368"/>
      <c r="IU150" s="368"/>
      <c r="IV150" s="368"/>
      <c r="IW150" s="368"/>
      <c r="IX150" s="368"/>
      <c r="IY150" s="368"/>
      <c r="IZ150" s="368"/>
      <c r="JA150" s="368"/>
      <c r="JB150" s="368"/>
      <c r="JC150" s="368"/>
      <c r="JD150" s="368"/>
      <c r="JE150" s="368"/>
      <c r="JF150" s="368"/>
      <c r="JG150" s="368"/>
      <c r="JH150" s="368"/>
      <c r="JI150" s="368"/>
      <c r="JJ150" s="368"/>
      <c r="JK150" s="368"/>
      <c r="JL150" s="368"/>
      <c r="JM150" s="368"/>
      <c r="JN150" s="368"/>
      <c r="JO150" s="368"/>
      <c r="JP150" s="368"/>
      <c r="JQ150" s="368"/>
      <c r="JR150" s="368"/>
      <c r="JS150" s="368"/>
      <c r="JT150" s="368"/>
      <c r="JU150" s="368"/>
      <c r="JV150" s="368"/>
      <c r="JW150" s="368"/>
      <c r="JX150" s="368"/>
      <c r="JY150" s="368"/>
      <c r="JZ150" s="368"/>
      <c r="KA150" s="368"/>
      <c r="KB150" s="368"/>
      <c r="KC150" s="368"/>
      <c r="KD150" s="368"/>
      <c r="KE150" s="368"/>
      <c r="KF150" s="368"/>
      <c r="KG150" s="368"/>
      <c r="KH150" s="368"/>
      <c r="KI150" s="368"/>
      <c r="KJ150" s="368"/>
      <c r="KK150" s="368"/>
      <c r="KL150" s="368"/>
      <c r="KM150" s="368"/>
      <c r="KN150" s="368"/>
      <c r="KO150" s="368"/>
      <c r="KP150" s="368"/>
      <c r="KQ150" s="368"/>
      <c r="KR150" s="368"/>
      <c r="KS150" s="368"/>
      <c r="KT150" s="368"/>
      <c r="KU150" s="368"/>
      <c r="KV150" s="368"/>
      <c r="KW150" s="368"/>
      <c r="KX150" s="368"/>
      <c r="KY150" s="368"/>
      <c r="KZ150" s="368"/>
      <c r="LA150" s="368"/>
      <c r="LB150" s="368"/>
      <c r="LC150" s="368"/>
      <c r="LD150" s="368"/>
      <c r="LE150" s="368"/>
      <c r="LF150" s="368"/>
      <c r="LG150" s="368"/>
      <c r="LH150" s="368"/>
      <c r="LI150" s="368"/>
      <c r="LJ150" s="368"/>
      <c r="LK150" s="368"/>
      <c r="LL150" s="368"/>
      <c r="LM150" s="368"/>
      <c r="LN150" s="368"/>
      <c r="LO150" s="368"/>
      <c r="LP150" s="368"/>
      <c r="LQ150" s="368"/>
      <c r="LR150" s="368"/>
      <c r="LS150" s="368"/>
      <c r="LT150" s="368"/>
      <c r="LU150" s="368"/>
      <c r="LV150" s="368"/>
      <c r="LW150" s="368"/>
      <c r="LX150" s="368"/>
      <c r="LY150" s="368"/>
      <c r="LZ150" s="368"/>
      <c r="MA150" s="368"/>
      <c r="MB150" s="368"/>
      <c r="MC150" s="368"/>
      <c r="MD150" s="368"/>
      <c r="ME150" s="368"/>
      <c r="MF150" s="368"/>
      <c r="MG150" s="368"/>
      <c r="MH150" s="368"/>
      <c r="MI150" s="368"/>
      <c r="MJ150" s="368"/>
      <c r="MK150" s="368"/>
      <c r="ML150" s="368"/>
      <c r="MM150" s="368"/>
      <c r="MN150" s="368"/>
      <c r="MO150" s="368"/>
      <c r="MP150" s="368"/>
      <c r="MQ150" s="368"/>
      <c r="MR150" s="368"/>
      <c r="MS150" s="368"/>
      <c r="MT150" s="368"/>
      <c r="MU150" s="368"/>
      <c r="MV150" s="368"/>
      <c r="MW150" s="368"/>
      <c r="MX150" s="368"/>
      <c r="MY150" s="368"/>
      <c r="MZ150" s="368"/>
      <c r="NA150" s="368"/>
      <c r="NB150" s="368"/>
      <c r="NC150" s="368"/>
      <c r="ND150" s="368"/>
      <c r="NE150" s="368"/>
      <c r="NF150" s="368"/>
      <c r="NG150" s="368"/>
      <c r="NH150" s="368"/>
      <c r="NI150" s="368"/>
      <c r="NJ150" s="368"/>
      <c r="NK150" s="368"/>
      <c r="NL150" s="368"/>
      <c r="NM150" s="368"/>
      <c r="NN150" s="368"/>
      <c r="NO150" s="368"/>
      <c r="NP150" s="368"/>
      <c r="NQ150" s="368"/>
      <c r="NR150" s="368"/>
      <c r="NS150" s="368"/>
      <c r="NT150" s="368"/>
      <c r="NU150" s="368"/>
      <c r="NV150" s="368"/>
      <c r="NW150" s="368"/>
      <c r="NX150" s="368"/>
      <c r="NY150" s="368"/>
      <c r="NZ150" s="368"/>
      <c r="OA150" s="368"/>
      <c r="OB150" s="368"/>
      <c r="OC150" s="368"/>
      <c r="OD150" s="368"/>
      <c r="OE150" s="368"/>
      <c r="OF150" s="368"/>
      <c r="OG150" s="368"/>
      <c r="OH150" s="368"/>
      <c r="OI150" s="368"/>
      <c r="OJ150" s="368"/>
      <c r="OK150" s="368"/>
      <c r="OL150" s="368"/>
      <c r="OM150" s="368"/>
      <c r="ON150" s="368"/>
      <c r="OO150" s="368"/>
      <c r="OP150" s="368"/>
      <c r="OQ150" s="368"/>
      <c r="OR150" s="368"/>
      <c r="OS150" s="368"/>
      <c r="OT150" s="368"/>
      <c r="OU150" s="368"/>
      <c r="OV150" s="368"/>
      <c r="OW150" s="368"/>
      <c r="OX150" s="368"/>
      <c r="OY150" s="368"/>
      <c r="OZ150" s="368"/>
      <c r="PA150" s="368"/>
      <c r="PB150" s="368"/>
      <c r="PC150" s="368"/>
      <c r="PD150" s="368"/>
      <c r="PE150" s="368"/>
      <c r="PF150" s="368"/>
      <c r="PG150" s="368"/>
      <c r="PH150" s="368"/>
      <c r="PI150" s="368"/>
      <c r="PJ150" s="368"/>
      <c r="PK150" s="368"/>
      <c r="PL150" s="368"/>
      <c r="PM150" s="368"/>
      <c r="PN150" s="368"/>
      <c r="PO150" s="368"/>
      <c r="PP150" s="368"/>
      <c r="PQ150" s="368"/>
      <c r="PR150" s="368"/>
      <c r="PS150" s="368"/>
      <c r="PT150" s="368"/>
      <c r="PU150" s="368"/>
      <c r="PV150" s="368"/>
      <c r="PW150" s="368"/>
      <c r="PX150" s="368"/>
      <c r="PY150" s="368"/>
      <c r="PZ150" s="368"/>
      <c r="QA150" s="368"/>
      <c r="QB150" s="368"/>
      <c r="QC150" s="368"/>
      <c r="QD150" s="368"/>
      <c r="QE150" s="368"/>
      <c r="QF150" s="368"/>
      <c r="QG150" s="368"/>
      <c r="QH150" s="368"/>
      <c r="QI150" s="368"/>
      <c r="QJ150" s="368"/>
      <c r="QK150" s="368"/>
      <c r="QL150" s="368"/>
      <c r="QM150" s="368"/>
      <c r="QN150" s="368"/>
      <c r="QO150" s="368"/>
      <c r="QP150" s="368"/>
      <c r="QQ150" s="368"/>
      <c r="QR150" s="368"/>
      <c r="QS150" s="368"/>
      <c r="QT150" s="368"/>
      <c r="QU150" s="368"/>
      <c r="QV150" s="368"/>
      <c r="QW150" s="368"/>
      <c r="QX150" s="368"/>
      <c r="QY150" s="368"/>
      <c r="QZ150" s="368"/>
      <c r="RA150" s="368"/>
      <c r="RB150" s="368"/>
      <c r="RC150" s="368"/>
      <c r="RD150" s="368"/>
      <c r="RE150" s="368"/>
      <c r="RF150" s="368"/>
      <c r="RG150" s="368"/>
      <c r="RH150" s="368"/>
      <c r="RI150" s="368"/>
      <c r="RJ150" s="368"/>
      <c r="RK150" s="368"/>
      <c r="RL150" s="368"/>
      <c r="RM150" s="368"/>
      <c r="RN150" s="368"/>
      <c r="RO150" s="368"/>
      <c r="RP150" s="368"/>
      <c r="RQ150" s="368"/>
      <c r="RR150" s="368"/>
      <c r="RS150" s="368"/>
      <c r="RT150" s="368"/>
      <c r="RU150" s="368"/>
      <c r="RV150" s="368"/>
      <c r="RW150" s="368"/>
      <c r="RX150" s="368"/>
      <c r="RY150" s="368"/>
      <c r="RZ150" s="368"/>
      <c r="SA150" s="368"/>
      <c r="SB150" s="368"/>
      <c r="SC150" s="368"/>
      <c r="SD150" s="368"/>
      <c r="SE150" s="368"/>
      <c r="SF150" s="368"/>
      <c r="SG150" s="368"/>
      <c r="SH150" s="368"/>
      <c r="SI150" s="368"/>
      <c r="SJ150" s="368"/>
      <c r="SK150" s="368"/>
      <c r="SL150" s="368"/>
      <c r="SM150" s="368"/>
      <c r="SN150" s="368"/>
      <c r="SO150" s="368"/>
      <c r="SP150" s="368"/>
      <c r="SQ150" s="368"/>
      <c r="SR150" s="368"/>
      <c r="SS150" s="368"/>
      <c r="ST150" s="368"/>
      <c r="SU150" s="368"/>
      <c r="SV150" s="368"/>
      <c r="SW150" s="368"/>
      <c r="SX150" s="368"/>
      <c r="SY150" s="368"/>
      <c r="SZ150" s="368"/>
      <c r="TA150" s="368"/>
      <c r="TB150" s="368"/>
      <c r="TC150" s="368"/>
      <c r="TD150" s="368"/>
      <c r="TE150" s="368"/>
      <c r="TF150" s="368"/>
      <c r="TG150" s="368"/>
      <c r="TH150" s="368"/>
      <c r="TI150" s="368"/>
      <c r="TJ150" s="368"/>
      <c r="TK150" s="368"/>
      <c r="TL150" s="368"/>
      <c r="TM150" s="368"/>
      <c r="TN150" s="368"/>
      <c r="TO150" s="368"/>
      <c r="TP150" s="368"/>
      <c r="TQ150" s="368"/>
      <c r="TR150" s="368"/>
      <c r="TS150" s="368"/>
      <c r="TT150" s="368"/>
      <c r="TU150" s="368"/>
      <c r="TV150" s="368"/>
      <c r="TW150" s="368"/>
      <c r="TX150" s="368"/>
      <c r="TY150" s="368"/>
      <c r="TZ150" s="368"/>
      <c r="UA150" s="368"/>
      <c r="UB150" s="368"/>
      <c r="UC150" s="368"/>
      <c r="UD150" s="368"/>
      <c r="UE150" s="368"/>
      <c r="UF150" s="368"/>
      <c r="UG150" s="368"/>
      <c r="UH150" s="368"/>
      <c r="UI150" s="368"/>
      <c r="UJ150" s="368"/>
      <c r="UK150" s="368"/>
      <c r="UL150" s="368"/>
      <c r="UM150" s="368"/>
      <c r="UN150" s="368"/>
      <c r="UO150" s="368"/>
      <c r="UP150" s="368"/>
      <c r="UQ150" s="368"/>
      <c r="UR150" s="368"/>
      <c r="US150" s="368"/>
      <c r="UT150" s="368"/>
      <c r="UU150" s="368"/>
      <c r="UV150" s="368"/>
      <c r="UW150" s="368"/>
      <c r="UX150" s="368"/>
      <c r="UY150" s="368"/>
      <c r="UZ150" s="368"/>
      <c r="VA150" s="368"/>
      <c r="VB150" s="368"/>
      <c r="VC150" s="368"/>
      <c r="VD150" s="368"/>
      <c r="VE150" s="368"/>
      <c r="VF150" s="368"/>
      <c r="VG150" s="368"/>
      <c r="VH150" s="368"/>
      <c r="VI150" s="368"/>
      <c r="VJ150" s="368"/>
      <c r="VK150" s="368"/>
      <c r="VL150" s="368"/>
      <c r="VM150" s="368"/>
      <c r="VN150" s="368"/>
      <c r="VO150" s="368"/>
      <c r="VP150" s="368"/>
      <c r="VQ150" s="368"/>
      <c r="VR150" s="368"/>
      <c r="VS150" s="368"/>
      <c r="VT150" s="368"/>
      <c r="VU150" s="368"/>
      <c r="VV150" s="368"/>
      <c r="VW150" s="368"/>
      <c r="VX150" s="368"/>
      <c r="VY150" s="368"/>
      <c r="VZ150" s="368"/>
      <c r="WA150" s="368"/>
      <c r="WB150" s="368"/>
      <c r="WC150" s="368"/>
      <c r="WD150" s="368"/>
      <c r="WE150" s="368"/>
      <c r="WF150" s="368"/>
      <c r="WG150" s="368"/>
      <c r="WH150" s="368"/>
      <c r="WI150" s="368"/>
      <c r="WJ150" s="368"/>
      <c r="WK150" s="368"/>
      <c r="WL150" s="368"/>
      <c r="WM150" s="368"/>
      <c r="WN150" s="368"/>
      <c r="WO150" s="368"/>
      <c r="WP150" s="368"/>
      <c r="WQ150" s="368"/>
      <c r="WR150" s="368"/>
      <c r="WS150" s="368"/>
      <c r="WT150" s="368"/>
      <c r="WU150" s="368"/>
      <c r="WV150" s="368"/>
      <c r="WW150" s="368"/>
      <c r="WX150" s="368"/>
      <c r="WY150" s="368"/>
      <c r="WZ150" s="368"/>
      <c r="XA150" s="368"/>
      <c r="XB150" s="368"/>
      <c r="XC150" s="368"/>
      <c r="XD150" s="368"/>
      <c r="XE150" s="368"/>
      <c r="XF150" s="368"/>
      <c r="XG150" s="368"/>
      <c r="XH150" s="368"/>
      <c r="XI150" s="368"/>
      <c r="XJ150" s="368"/>
      <c r="XK150" s="368"/>
      <c r="XL150" s="368"/>
      <c r="XM150" s="368"/>
      <c r="XN150" s="368"/>
      <c r="XO150" s="368"/>
      <c r="XP150" s="368"/>
      <c r="XQ150" s="368"/>
      <c r="XR150" s="368"/>
      <c r="XS150" s="368"/>
      <c r="XT150" s="368"/>
      <c r="XU150" s="368"/>
      <c r="XV150" s="368"/>
      <c r="XW150" s="368"/>
      <c r="XX150" s="368"/>
      <c r="XY150" s="368"/>
      <c r="XZ150" s="368"/>
      <c r="YA150" s="368"/>
      <c r="YB150" s="368"/>
      <c r="YC150" s="368"/>
      <c r="YD150" s="368"/>
      <c r="YE150" s="368"/>
      <c r="YF150" s="368"/>
      <c r="YG150" s="368"/>
      <c r="YH150" s="368"/>
      <c r="YI150" s="368"/>
      <c r="YJ150" s="368"/>
      <c r="YK150" s="368"/>
      <c r="YL150" s="368"/>
      <c r="YM150" s="368"/>
      <c r="YN150" s="368"/>
      <c r="YO150" s="368"/>
      <c r="YP150" s="368"/>
      <c r="YQ150" s="368"/>
      <c r="YR150" s="368"/>
      <c r="YS150" s="368"/>
      <c r="YT150" s="368"/>
      <c r="YU150" s="368"/>
      <c r="YV150" s="368"/>
      <c r="YW150" s="368"/>
      <c r="YX150" s="368"/>
      <c r="YY150" s="368"/>
      <c r="YZ150" s="368"/>
      <c r="ZA150" s="368"/>
      <c r="ZB150" s="368"/>
      <c r="ZC150" s="368"/>
      <c r="ZD150" s="368"/>
      <c r="ZE150" s="368"/>
      <c r="ZF150" s="368"/>
      <c r="ZG150" s="368"/>
      <c r="ZH150" s="368"/>
      <c r="ZI150" s="368"/>
      <c r="ZJ150" s="368"/>
      <c r="ZK150" s="368"/>
      <c r="ZL150" s="368"/>
      <c r="ZM150" s="368"/>
      <c r="ZN150" s="368"/>
      <c r="ZO150" s="368"/>
      <c r="ZP150" s="368"/>
      <c r="ZQ150" s="368"/>
      <c r="ZR150" s="368"/>
      <c r="ZS150" s="368"/>
      <c r="ZT150" s="368"/>
      <c r="ZU150" s="368"/>
      <c r="ZV150" s="368"/>
      <c r="ZW150" s="368"/>
      <c r="ZX150" s="368"/>
      <c r="ZY150" s="368"/>
      <c r="ZZ150" s="368"/>
      <c r="AAA150" s="368"/>
      <c r="AAB150" s="368"/>
      <c r="AAC150" s="368"/>
      <c r="AAD150" s="368"/>
      <c r="AAE150" s="368"/>
      <c r="AAF150" s="368"/>
      <c r="AAG150" s="368"/>
      <c r="AAH150" s="368"/>
      <c r="AAI150" s="368"/>
      <c r="AAJ150" s="368"/>
      <c r="AAK150" s="368"/>
      <c r="AAL150" s="368"/>
      <c r="AAM150" s="368"/>
      <c r="AAN150" s="368"/>
      <c r="AAO150" s="368"/>
      <c r="AAP150" s="368"/>
      <c r="AAQ150" s="368"/>
      <c r="AAR150" s="368"/>
      <c r="AAS150" s="368"/>
      <c r="AAT150" s="368"/>
      <c r="AAU150" s="368"/>
      <c r="AAV150" s="368"/>
      <c r="AAW150" s="368"/>
      <c r="AAX150" s="368"/>
      <c r="AAY150" s="368"/>
      <c r="AAZ150" s="368"/>
      <c r="ABA150" s="368"/>
      <c r="ABB150" s="368"/>
      <c r="ABC150" s="368"/>
      <c r="ABD150" s="368"/>
      <c r="ABE150" s="368"/>
      <c r="ABF150" s="368"/>
      <c r="ABG150" s="368"/>
      <c r="ABH150" s="368"/>
      <c r="ABI150" s="368"/>
      <c r="ABJ150" s="368"/>
      <c r="ABK150" s="368"/>
      <c r="ABL150" s="368"/>
      <c r="ABM150" s="368"/>
      <c r="ABN150" s="368"/>
      <c r="ABO150" s="368"/>
      <c r="ABP150" s="368"/>
      <c r="ABQ150" s="368"/>
      <c r="ABR150" s="368"/>
      <c r="ABS150" s="368"/>
      <c r="ABT150" s="368"/>
      <c r="ABU150" s="368"/>
      <c r="ABV150" s="368"/>
      <c r="ABW150" s="368"/>
      <c r="ABX150" s="368"/>
      <c r="ABY150" s="368"/>
      <c r="ABZ150" s="368"/>
      <c r="ACA150" s="368"/>
      <c r="ACB150" s="368"/>
      <c r="ACC150" s="368"/>
      <c r="ACD150" s="368"/>
      <c r="ACE150" s="368"/>
      <c r="ACF150" s="368"/>
      <c r="ACG150" s="368"/>
      <c r="ACH150" s="368"/>
      <c r="ACI150" s="368"/>
      <c r="ACJ150" s="368"/>
      <c r="ACK150" s="368"/>
      <c r="ACL150" s="368"/>
      <c r="ACM150" s="368"/>
      <c r="ACN150" s="368"/>
      <c r="ACO150" s="368"/>
      <c r="ACP150" s="368"/>
      <c r="ACQ150" s="368"/>
      <c r="ACR150" s="368"/>
      <c r="ACS150" s="368"/>
      <c r="ACT150" s="368"/>
      <c r="ACU150" s="368"/>
      <c r="ACV150" s="368"/>
      <c r="ACW150" s="368"/>
      <c r="ACX150" s="368"/>
      <c r="ACY150" s="368"/>
      <c r="ACZ150" s="368"/>
      <c r="ADA150" s="368"/>
      <c r="ADB150" s="368"/>
      <c r="ADC150" s="368"/>
      <c r="ADD150" s="368"/>
      <c r="ADE150" s="368"/>
      <c r="ADF150" s="368"/>
      <c r="ADG150" s="368"/>
      <c r="ADH150" s="368"/>
      <c r="ADI150" s="368"/>
      <c r="ADJ150" s="368"/>
      <c r="ADK150" s="368"/>
      <c r="ADL150" s="368"/>
      <c r="ADM150" s="368"/>
      <c r="ADN150" s="368"/>
      <c r="ADO150" s="368"/>
      <c r="ADP150" s="368"/>
      <c r="ADQ150" s="368"/>
      <c r="ADR150" s="368"/>
      <c r="ADS150" s="368"/>
      <c r="ADT150" s="368"/>
      <c r="ADU150" s="368"/>
      <c r="ADV150" s="368"/>
      <c r="ADW150" s="368"/>
      <c r="ADX150" s="368"/>
      <c r="ADY150" s="368"/>
      <c r="ADZ150" s="368"/>
      <c r="AEA150" s="368"/>
      <c r="AEB150" s="368"/>
      <c r="AEC150" s="368"/>
      <c r="AED150" s="368"/>
      <c r="AEE150" s="368"/>
      <c r="AEF150" s="368"/>
      <c r="AEG150" s="368"/>
      <c r="AEH150" s="368"/>
      <c r="AEI150" s="368"/>
      <c r="AEJ150" s="368"/>
      <c r="AEK150" s="368"/>
      <c r="AEL150" s="368"/>
      <c r="AEM150" s="368"/>
      <c r="AEN150" s="368"/>
      <c r="AEO150" s="368"/>
      <c r="AEP150" s="368"/>
      <c r="AEQ150" s="368"/>
      <c r="AER150" s="368"/>
      <c r="AES150" s="368"/>
      <c r="AET150" s="368"/>
      <c r="AEU150" s="368"/>
      <c r="AEV150" s="368"/>
      <c r="AEW150" s="368"/>
      <c r="AEX150" s="368"/>
      <c r="AEY150" s="368"/>
      <c r="AEZ150" s="368"/>
      <c r="AFA150" s="368"/>
      <c r="AFB150" s="368"/>
      <c r="AFC150" s="368"/>
      <c r="AFD150" s="368"/>
      <c r="AFE150" s="368"/>
      <c r="AFF150" s="368"/>
      <c r="AFG150" s="368"/>
      <c r="AFH150" s="368"/>
      <c r="AFI150" s="368"/>
      <c r="AFJ150" s="368"/>
      <c r="AFK150" s="368"/>
      <c r="AFL150" s="368"/>
      <c r="AFM150" s="368"/>
      <c r="AFN150" s="368"/>
      <c r="AFO150" s="368"/>
      <c r="AFP150" s="368"/>
      <c r="AFQ150" s="368"/>
      <c r="AFR150" s="368"/>
      <c r="AFS150" s="368"/>
      <c r="AFT150" s="368"/>
      <c r="AFU150" s="368"/>
      <c r="AFV150" s="368"/>
      <c r="AFW150" s="368"/>
      <c r="AFX150" s="368"/>
      <c r="AFY150" s="368"/>
      <c r="AFZ150" s="368"/>
      <c r="AGA150" s="368"/>
      <c r="AGB150" s="368"/>
      <c r="AGC150" s="368"/>
      <c r="AGD150" s="368"/>
      <c r="AGE150" s="368"/>
      <c r="AGF150" s="368"/>
      <c r="AGG150" s="368"/>
      <c r="AGH150" s="368"/>
      <c r="AGI150" s="368"/>
      <c r="AGJ150" s="368"/>
      <c r="AGK150" s="368"/>
      <c r="AGL150" s="368"/>
      <c r="AGM150" s="368"/>
      <c r="AGN150" s="368"/>
      <c r="AGO150" s="368"/>
      <c r="AGP150" s="368"/>
      <c r="AGQ150" s="368"/>
      <c r="AGR150" s="368"/>
      <c r="AGS150" s="368"/>
      <c r="AGT150" s="368"/>
      <c r="AGU150" s="368"/>
      <c r="AGV150" s="368"/>
      <c r="AGW150" s="368"/>
      <c r="AGX150" s="368"/>
      <c r="AGY150" s="368"/>
      <c r="AGZ150" s="368"/>
      <c r="AHA150" s="368"/>
      <c r="AHB150" s="368"/>
      <c r="AHC150" s="368"/>
      <c r="AHD150" s="368"/>
      <c r="AHE150" s="368"/>
      <c r="AHF150" s="368"/>
      <c r="AHG150" s="368"/>
      <c r="AHH150" s="368"/>
      <c r="AHI150" s="368"/>
      <c r="AHJ150" s="368"/>
      <c r="AHK150" s="368"/>
      <c r="AHL150" s="368"/>
      <c r="AHM150" s="368"/>
      <c r="AHN150" s="368"/>
      <c r="AHO150" s="368"/>
      <c r="AHP150" s="368"/>
      <c r="AHQ150" s="368"/>
      <c r="AHR150" s="368"/>
      <c r="AHS150" s="368"/>
      <c r="AHT150" s="368"/>
      <c r="AHU150" s="368"/>
      <c r="AHV150" s="368"/>
      <c r="AHW150" s="368"/>
      <c r="AHX150" s="368"/>
      <c r="AHY150" s="368"/>
      <c r="AHZ150" s="368"/>
      <c r="AIA150" s="368"/>
      <c r="AIB150" s="368"/>
      <c r="AIC150" s="368"/>
      <c r="AID150" s="368"/>
      <c r="AIE150" s="368"/>
      <c r="AIF150" s="368"/>
      <c r="AIG150" s="368"/>
      <c r="AIH150" s="368"/>
      <c r="AII150" s="368"/>
      <c r="AIJ150" s="368"/>
      <c r="AIK150" s="368"/>
      <c r="AIL150" s="368"/>
      <c r="AIM150" s="368"/>
      <c r="AIN150" s="368"/>
      <c r="AIO150" s="368"/>
      <c r="AIP150" s="368"/>
      <c r="AIQ150" s="368"/>
      <c r="AIR150" s="368"/>
      <c r="AIS150" s="368"/>
      <c r="AIT150" s="368"/>
      <c r="AIU150" s="368"/>
      <c r="AIV150" s="368"/>
      <c r="AIW150" s="368"/>
      <c r="AIX150" s="368"/>
      <c r="AIY150" s="368"/>
      <c r="AIZ150" s="368"/>
      <c r="AJA150" s="368"/>
      <c r="AJB150" s="368"/>
      <c r="AJC150" s="368"/>
      <c r="AJD150" s="368"/>
      <c r="AJE150" s="368"/>
      <c r="AJF150" s="368"/>
      <c r="AJG150" s="368"/>
      <c r="AJH150" s="368"/>
      <c r="AJI150" s="368"/>
      <c r="AJJ150" s="368"/>
      <c r="AJK150" s="368"/>
      <c r="AJL150" s="368"/>
      <c r="AJM150" s="368"/>
      <c r="AJN150" s="368"/>
      <c r="AJO150" s="368"/>
      <c r="AJP150" s="368"/>
      <c r="AJQ150" s="368"/>
      <c r="AJR150" s="368"/>
      <c r="AJS150" s="368"/>
      <c r="AJT150" s="368"/>
      <c r="AJU150" s="368"/>
      <c r="AJV150" s="368"/>
      <c r="AJW150" s="368"/>
      <c r="AJX150" s="368"/>
      <c r="AJY150" s="368"/>
      <c r="AJZ150" s="368"/>
      <c r="AKA150" s="368"/>
      <c r="AKB150" s="368"/>
      <c r="AKC150" s="368"/>
      <c r="AKD150" s="368"/>
      <c r="AKE150" s="368"/>
      <c r="AKF150" s="368"/>
      <c r="AKG150" s="368"/>
      <c r="AKH150" s="368"/>
      <c r="AKI150" s="368"/>
      <c r="AKJ150" s="368"/>
      <c r="AKK150" s="368"/>
      <c r="AKL150" s="368"/>
      <c r="AKM150" s="368"/>
      <c r="AKN150" s="368"/>
    </row>
    <row r="151" spans="1:976" s="346" customFormat="1" ht="22.5" customHeight="1" x14ac:dyDescent="0.2">
      <c r="A151" s="370" t="s">
        <v>262</v>
      </c>
      <c r="B151" s="370"/>
      <c r="C151" s="370" t="s">
        <v>221</v>
      </c>
      <c r="D151" s="370" t="s">
        <v>222</v>
      </c>
      <c r="E151" s="371">
        <v>414761</v>
      </c>
      <c r="F151" s="371">
        <v>1890</v>
      </c>
      <c r="G151" s="371">
        <v>303</v>
      </c>
      <c r="H151" s="371">
        <v>0</v>
      </c>
      <c r="I151" s="372">
        <v>45902</v>
      </c>
      <c r="J151" s="370" t="s">
        <v>263</v>
      </c>
      <c r="K151" s="370" t="s">
        <v>693</v>
      </c>
      <c r="L151" s="373">
        <v>27.72</v>
      </c>
      <c r="M151" s="373">
        <v>1.52</v>
      </c>
      <c r="N151" s="444">
        <v>29.24</v>
      </c>
      <c r="O151" s="370"/>
      <c r="P151" s="374">
        <v>45904</v>
      </c>
      <c r="Q151" s="373">
        <v>29.24</v>
      </c>
      <c r="R151" s="370" t="s">
        <v>694</v>
      </c>
      <c r="S151" s="373">
        <v>0</v>
      </c>
      <c r="T151" s="373">
        <v>0</v>
      </c>
      <c r="U151" s="373">
        <v>0</v>
      </c>
      <c r="V151" s="373">
        <v>0</v>
      </c>
      <c r="W151" s="370"/>
      <c r="X151" s="370" t="s">
        <v>293</v>
      </c>
      <c r="Y151" s="370" t="s">
        <v>294</v>
      </c>
      <c r="Z151" s="370" t="s">
        <v>42</v>
      </c>
      <c r="AA151" s="370" t="s">
        <v>228</v>
      </c>
      <c r="AB151" s="370" t="s">
        <v>235</v>
      </c>
      <c r="AC151" s="370" t="s">
        <v>331</v>
      </c>
      <c r="AD151" s="370" t="s">
        <v>231</v>
      </c>
      <c r="AE151" s="370" t="s">
        <v>232</v>
      </c>
      <c r="AF151" s="370" t="s">
        <v>231</v>
      </c>
      <c r="AG151" s="370" t="s">
        <v>232</v>
      </c>
      <c r="AH151" s="370"/>
      <c r="AI151" s="370"/>
      <c r="AJ151" s="370"/>
      <c r="AK151" s="370" t="s">
        <v>695</v>
      </c>
      <c r="AL151" s="371">
        <v>1</v>
      </c>
      <c r="AM151" s="371">
        <v>0</v>
      </c>
      <c r="AN151" s="372">
        <v>45904</v>
      </c>
      <c r="AO151" s="372">
        <v>45904</v>
      </c>
      <c r="AP151" s="373">
        <v>29.24</v>
      </c>
      <c r="AQ151" s="372">
        <v>45903</v>
      </c>
      <c r="AR151" s="368"/>
      <c r="AS151" s="368"/>
      <c r="AT151" s="368"/>
      <c r="AU151" s="368"/>
      <c r="AV151" s="368"/>
      <c r="AW151" s="368"/>
      <c r="AX151" s="368"/>
      <c r="AY151" s="368"/>
      <c r="AZ151" s="368"/>
      <c r="BA151" s="368"/>
      <c r="BB151" s="368"/>
      <c r="BC151" s="368"/>
      <c r="BD151" s="368"/>
      <c r="BE151" s="368"/>
      <c r="BF151" s="368"/>
      <c r="BG151" s="368"/>
      <c r="BH151" s="368"/>
      <c r="BI151" s="368"/>
      <c r="BJ151" s="368"/>
      <c r="BK151" s="368"/>
      <c r="BL151" s="368"/>
      <c r="BM151" s="368"/>
      <c r="BN151" s="368"/>
      <c r="BO151" s="368"/>
      <c r="BP151" s="368"/>
      <c r="BQ151" s="368"/>
      <c r="BR151" s="368"/>
      <c r="BS151" s="368"/>
      <c r="BT151" s="368"/>
      <c r="BU151" s="368"/>
      <c r="BV151" s="368"/>
      <c r="BW151" s="368"/>
      <c r="BX151" s="368"/>
      <c r="BY151" s="368"/>
      <c r="BZ151" s="368"/>
      <c r="CA151" s="368"/>
      <c r="CB151" s="368"/>
      <c r="CC151" s="368"/>
      <c r="CD151" s="368"/>
      <c r="CE151" s="368"/>
      <c r="CF151" s="368"/>
      <c r="CG151" s="368"/>
      <c r="CH151" s="368"/>
      <c r="CI151" s="368"/>
      <c r="CJ151" s="368"/>
      <c r="CK151" s="368"/>
      <c r="CL151" s="368"/>
      <c r="CM151" s="368"/>
      <c r="CN151" s="368"/>
      <c r="CO151" s="368"/>
      <c r="CP151" s="368"/>
      <c r="CQ151" s="368"/>
      <c r="CR151" s="368"/>
      <c r="CS151" s="368"/>
      <c r="CT151" s="368"/>
      <c r="CU151" s="368"/>
      <c r="CV151" s="368"/>
      <c r="CW151" s="368"/>
      <c r="CX151" s="368"/>
      <c r="CY151" s="368"/>
      <c r="CZ151" s="368"/>
      <c r="DA151" s="368"/>
      <c r="DB151" s="368"/>
      <c r="DC151" s="368"/>
      <c r="DD151" s="368"/>
      <c r="DE151" s="368"/>
      <c r="DF151" s="368"/>
      <c r="DG151" s="368"/>
      <c r="DH151" s="368"/>
      <c r="DI151" s="368"/>
      <c r="DJ151" s="368"/>
      <c r="DK151" s="368"/>
      <c r="DL151" s="368"/>
      <c r="DM151" s="368"/>
      <c r="DN151" s="368"/>
      <c r="DO151" s="368"/>
      <c r="DP151" s="368"/>
      <c r="DQ151" s="368"/>
      <c r="DR151" s="368"/>
      <c r="DS151" s="368"/>
      <c r="DT151" s="368"/>
      <c r="DU151" s="368"/>
      <c r="DV151" s="368"/>
      <c r="DW151" s="368"/>
      <c r="DX151" s="368"/>
      <c r="DY151" s="368"/>
      <c r="DZ151" s="368"/>
      <c r="EA151" s="368"/>
      <c r="EB151" s="368"/>
      <c r="EC151" s="368"/>
      <c r="ED151" s="368"/>
      <c r="EE151" s="368"/>
      <c r="EF151" s="368"/>
      <c r="EG151" s="368"/>
      <c r="EH151" s="368"/>
      <c r="EI151" s="368"/>
      <c r="EJ151" s="368"/>
      <c r="EK151" s="368"/>
      <c r="EL151" s="368"/>
      <c r="EM151" s="368"/>
      <c r="EN151" s="368"/>
      <c r="EO151" s="368"/>
      <c r="EP151" s="368"/>
      <c r="EQ151" s="368"/>
      <c r="ER151" s="368"/>
      <c r="ES151" s="368"/>
      <c r="ET151" s="368"/>
      <c r="EU151" s="368"/>
      <c r="EV151" s="368"/>
      <c r="EW151" s="368"/>
      <c r="EX151" s="368"/>
      <c r="EY151" s="368"/>
      <c r="EZ151" s="368"/>
      <c r="FA151" s="368"/>
      <c r="FB151" s="368"/>
      <c r="FC151" s="368"/>
      <c r="FD151" s="368"/>
      <c r="FE151" s="368"/>
      <c r="FF151" s="368"/>
      <c r="FG151" s="368"/>
      <c r="FH151" s="368"/>
      <c r="FI151" s="368"/>
      <c r="FJ151" s="368"/>
      <c r="FK151" s="368"/>
      <c r="FL151" s="368"/>
      <c r="FM151" s="368"/>
      <c r="FN151" s="368"/>
      <c r="FO151" s="368"/>
      <c r="FP151" s="368"/>
      <c r="FQ151" s="368"/>
      <c r="FR151" s="368"/>
      <c r="FS151" s="368"/>
      <c r="FT151" s="368"/>
      <c r="FU151" s="368"/>
      <c r="FV151" s="368"/>
      <c r="FW151" s="368"/>
      <c r="FX151" s="368"/>
      <c r="FY151" s="368"/>
      <c r="FZ151" s="368"/>
      <c r="GA151" s="368"/>
      <c r="GB151" s="368"/>
      <c r="GC151" s="368"/>
      <c r="GD151" s="368"/>
      <c r="GE151" s="368"/>
      <c r="GF151" s="368"/>
      <c r="GG151" s="368"/>
      <c r="GH151" s="368"/>
      <c r="GI151" s="368"/>
      <c r="GJ151" s="368"/>
      <c r="GK151" s="368"/>
      <c r="GL151" s="368"/>
      <c r="GM151" s="368"/>
      <c r="GN151" s="368"/>
      <c r="GO151" s="368"/>
      <c r="GP151" s="368"/>
      <c r="GQ151" s="368"/>
      <c r="GR151" s="368"/>
      <c r="GS151" s="368"/>
      <c r="GT151" s="368"/>
      <c r="GU151" s="368"/>
      <c r="GV151" s="368"/>
      <c r="GW151" s="368"/>
      <c r="GX151" s="368"/>
      <c r="GY151" s="368"/>
      <c r="GZ151" s="368"/>
      <c r="HA151" s="368"/>
      <c r="HB151" s="368"/>
      <c r="HC151" s="368"/>
      <c r="HD151" s="368"/>
      <c r="HE151" s="368"/>
      <c r="HF151" s="368"/>
      <c r="HG151" s="368"/>
      <c r="HH151" s="368"/>
      <c r="HI151" s="368"/>
      <c r="HJ151" s="368"/>
      <c r="HK151" s="368"/>
      <c r="HL151" s="368"/>
      <c r="HM151" s="368"/>
      <c r="HN151" s="368"/>
      <c r="HO151" s="368"/>
      <c r="HP151" s="368"/>
      <c r="HQ151" s="368"/>
      <c r="HR151" s="368"/>
      <c r="HS151" s="368"/>
      <c r="HT151" s="368"/>
      <c r="HU151" s="368"/>
      <c r="HV151" s="368"/>
      <c r="HW151" s="368"/>
      <c r="HX151" s="368"/>
      <c r="HY151" s="368"/>
      <c r="HZ151" s="368"/>
      <c r="IA151" s="368"/>
      <c r="IB151" s="368"/>
      <c r="IC151" s="368"/>
      <c r="ID151" s="368"/>
      <c r="IE151" s="368"/>
      <c r="IF151" s="368"/>
      <c r="IG151" s="368"/>
      <c r="IH151" s="368"/>
      <c r="II151" s="368"/>
      <c r="IJ151" s="368"/>
      <c r="IK151" s="368"/>
      <c r="IL151" s="368"/>
      <c r="IM151" s="368"/>
      <c r="IN151" s="368"/>
      <c r="IO151" s="368"/>
      <c r="IP151" s="368"/>
      <c r="IQ151" s="368"/>
      <c r="IR151" s="368"/>
      <c r="IS151" s="368"/>
      <c r="IT151" s="368"/>
      <c r="IU151" s="368"/>
      <c r="IV151" s="368"/>
      <c r="IW151" s="368"/>
      <c r="IX151" s="368"/>
      <c r="IY151" s="368"/>
      <c r="IZ151" s="368"/>
      <c r="JA151" s="368"/>
      <c r="JB151" s="368"/>
      <c r="JC151" s="368"/>
      <c r="JD151" s="368"/>
      <c r="JE151" s="368"/>
      <c r="JF151" s="368"/>
      <c r="JG151" s="368"/>
      <c r="JH151" s="368"/>
      <c r="JI151" s="368"/>
      <c r="JJ151" s="368"/>
      <c r="JK151" s="368"/>
      <c r="JL151" s="368"/>
      <c r="JM151" s="368"/>
      <c r="JN151" s="368"/>
      <c r="JO151" s="368"/>
      <c r="JP151" s="368"/>
      <c r="JQ151" s="368"/>
      <c r="JR151" s="368"/>
      <c r="JS151" s="368"/>
      <c r="JT151" s="368"/>
      <c r="JU151" s="368"/>
      <c r="JV151" s="368"/>
      <c r="JW151" s="368"/>
      <c r="JX151" s="368"/>
      <c r="JY151" s="368"/>
      <c r="JZ151" s="368"/>
      <c r="KA151" s="368"/>
      <c r="KB151" s="368"/>
      <c r="KC151" s="368"/>
      <c r="KD151" s="368"/>
      <c r="KE151" s="368"/>
      <c r="KF151" s="368"/>
      <c r="KG151" s="368"/>
      <c r="KH151" s="368"/>
      <c r="KI151" s="368"/>
      <c r="KJ151" s="368"/>
      <c r="KK151" s="368"/>
      <c r="KL151" s="368"/>
      <c r="KM151" s="368"/>
      <c r="KN151" s="368"/>
      <c r="KO151" s="368"/>
      <c r="KP151" s="368"/>
      <c r="KQ151" s="368"/>
      <c r="KR151" s="368"/>
      <c r="KS151" s="368"/>
      <c r="KT151" s="368"/>
      <c r="KU151" s="368"/>
      <c r="KV151" s="368"/>
      <c r="KW151" s="368"/>
      <c r="KX151" s="368"/>
      <c r="KY151" s="368"/>
      <c r="KZ151" s="368"/>
      <c r="LA151" s="368"/>
      <c r="LB151" s="368"/>
      <c r="LC151" s="368"/>
      <c r="LD151" s="368"/>
      <c r="LE151" s="368"/>
      <c r="LF151" s="368"/>
      <c r="LG151" s="368"/>
      <c r="LH151" s="368"/>
      <c r="LI151" s="368"/>
      <c r="LJ151" s="368"/>
      <c r="LK151" s="368"/>
      <c r="LL151" s="368"/>
      <c r="LM151" s="368"/>
      <c r="LN151" s="368"/>
      <c r="LO151" s="368"/>
      <c r="LP151" s="368"/>
      <c r="LQ151" s="368"/>
      <c r="LR151" s="368"/>
      <c r="LS151" s="368"/>
      <c r="LT151" s="368"/>
      <c r="LU151" s="368"/>
      <c r="LV151" s="368"/>
      <c r="LW151" s="368"/>
      <c r="LX151" s="368"/>
      <c r="LY151" s="368"/>
      <c r="LZ151" s="368"/>
      <c r="MA151" s="368"/>
      <c r="MB151" s="368"/>
      <c r="MC151" s="368"/>
      <c r="MD151" s="368"/>
      <c r="ME151" s="368"/>
      <c r="MF151" s="368"/>
      <c r="MG151" s="368"/>
      <c r="MH151" s="368"/>
      <c r="MI151" s="368"/>
      <c r="MJ151" s="368"/>
      <c r="MK151" s="368"/>
      <c r="ML151" s="368"/>
      <c r="MM151" s="368"/>
      <c r="MN151" s="368"/>
      <c r="MO151" s="368"/>
      <c r="MP151" s="368"/>
      <c r="MQ151" s="368"/>
      <c r="MR151" s="368"/>
      <c r="MS151" s="368"/>
      <c r="MT151" s="368"/>
      <c r="MU151" s="368"/>
      <c r="MV151" s="368"/>
      <c r="MW151" s="368"/>
      <c r="MX151" s="368"/>
      <c r="MY151" s="368"/>
      <c r="MZ151" s="368"/>
      <c r="NA151" s="368"/>
      <c r="NB151" s="368"/>
      <c r="NC151" s="368"/>
      <c r="ND151" s="368"/>
      <c r="NE151" s="368"/>
      <c r="NF151" s="368"/>
      <c r="NG151" s="368"/>
      <c r="NH151" s="368"/>
      <c r="NI151" s="368"/>
      <c r="NJ151" s="368"/>
      <c r="NK151" s="368"/>
      <c r="NL151" s="368"/>
      <c r="NM151" s="368"/>
      <c r="NN151" s="368"/>
      <c r="NO151" s="368"/>
      <c r="NP151" s="368"/>
      <c r="NQ151" s="368"/>
      <c r="NR151" s="368"/>
      <c r="NS151" s="368"/>
      <c r="NT151" s="368"/>
      <c r="NU151" s="368"/>
      <c r="NV151" s="368"/>
      <c r="NW151" s="368"/>
      <c r="NX151" s="368"/>
      <c r="NY151" s="368"/>
      <c r="NZ151" s="368"/>
      <c r="OA151" s="368"/>
      <c r="OB151" s="368"/>
      <c r="OC151" s="368"/>
      <c r="OD151" s="368"/>
      <c r="OE151" s="368"/>
      <c r="OF151" s="368"/>
      <c r="OG151" s="368"/>
      <c r="OH151" s="368"/>
      <c r="OI151" s="368"/>
      <c r="OJ151" s="368"/>
      <c r="OK151" s="368"/>
      <c r="OL151" s="368"/>
      <c r="OM151" s="368"/>
      <c r="ON151" s="368"/>
      <c r="OO151" s="368"/>
      <c r="OP151" s="368"/>
      <c r="OQ151" s="368"/>
      <c r="OR151" s="368"/>
      <c r="OS151" s="368"/>
      <c r="OT151" s="368"/>
      <c r="OU151" s="368"/>
      <c r="OV151" s="368"/>
      <c r="OW151" s="368"/>
      <c r="OX151" s="368"/>
      <c r="OY151" s="368"/>
      <c r="OZ151" s="368"/>
      <c r="PA151" s="368"/>
      <c r="PB151" s="368"/>
      <c r="PC151" s="368"/>
      <c r="PD151" s="368"/>
      <c r="PE151" s="368"/>
      <c r="PF151" s="368"/>
      <c r="PG151" s="368"/>
      <c r="PH151" s="368"/>
      <c r="PI151" s="368"/>
      <c r="PJ151" s="368"/>
      <c r="PK151" s="368"/>
      <c r="PL151" s="368"/>
      <c r="PM151" s="368"/>
      <c r="PN151" s="368"/>
      <c r="PO151" s="368"/>
      <c r="PP151" s="368"/>
      <c r="PQ151" s="368"/>
      <c r="PR151" s="368"/>
      <c r="PS151" s="368"/>
      <c r="PT151" s="368"/>
      <c r="PU151" s="368"/>
      <c r="PV151" s="368"/>
      <c r="PW151" s="368"/>
      <c r="PX151" s="368"/>
      <c r="PY151" s="368"/>
      <c r="PZ151" s="368"/>
      <c r="QA151" s="368"/>
      <c r="QB151" s="368"/>
      <c r="QC151" s="368"/>
      <c r="QD151" s="368"/>
      <c r="QE151" s="368"/>
      <c r="QF151" s="368"/>
      <c r="QG151" s="368"/>
      <c r="QH151" s="368"/>
      <c r="QI151" s="368"/>
      <c r="QJ151" s="368"/>
      <c r="QK151" s="368"/>
      <c r="QL151" s="368"/>
      <c r="QM151" s="368"/>
      <c r="QN151" s="368"/>
      <c r="QO151" s="368"/>
      <c r="QP151" s="368"/>
      <c r="QQ151" s="368"/>
      <c r="QR151" s="368"/>
      <c r="QS151" s="368"/>
      <c r="QT151" s="368"/>
      <c r="QU151" s="368"/>
      <c r="QV151" s="368"/>
      <c r="QW151" s="368"/>
      <c r="QX151" s="368"/>
      <c r="QY151" s="368"/>
      <c r="QZ151" s="368"/>
      <c r="RA151" s="368"/>
      <c r="RB151" s="368"/>
      <c r="RC151" s="368"/>
      <c r="RD151" s="368"/>
      <c r="RE151" s="368"/>
      <c r="RF151" s="368"/>
      <c r="RG151" s="368"/>
      <c r="RH151" s="368"/>
      <c r="RI151" s="368"/>
      <c r="RJ151" s="368"/>
      <c r="RK151" s="368"/>
      <c r="RL151" s="368"/>
      <c r="RM151" s="368"/>
      <c r="RN151" s="368"/>
      <c r="RO151" s="368"/>
      <c r="RP151" s="368"/>
      <c r="RQ151" s="368"/>
      <c r="RR151" s="368"/>
      <c r="RS151" s="368"/>
      <c r="RT151" s="368"/>
      <c r="RU151" s="368"/>
      <c r="RV151" s="368"/>
      <c r="RW151" s="368"/>
      <c r="RX151" s="368"/>
      <c r="RY151" s="368"/>
      <c r="RZ151" s="368"/>
      <c r="SA151" s="368"/>
      <c r="SB151" s="368"/>
      <c r="SC151" s="368"/>
      <c r="SD151" s="368"/>
      <c r="SE151" s="368"/>
      <c r="SF151" s="368"/>
      <c r="SG151" s="368"/>
      <c r="SH151" s="368"/>
      <c r="SI151" s="368"/>
      <c r="SJ151" s="368"/>
      <c r="SK151" s="368"/>
      <c r="SL151" s="368"/>
      <c r="SM151" s="368"/>
      <c r="SN151" s="368"/>
      <c r="SO151" s="368"/>
      <c r="SP151" s="368"/>
      <c r="SQ151" s="368"/>
      <c r="SR151" s="368"/>
      <c r="SS151" s="368"/>
      <c r="ST151" s="368"/>
      <c r="SU151" s="368"/>
      <c r="SV151" s="368"/>
      <c r="SW151" s="368"/>
      <c r="SX151" s="368"/>
      <c r="SY151" s="368"/>
      <c r="SZ151" s="368"/>
      <c r="TA151" s="368"/>
      <c r="TB151" s="368"/>
      <c r="TC151" s="368"/>
      <c r="TD151" s="368"/>
      <c r="TE151" s="368"/>
      <c r="TF151" s="368"/>
      <c r="TG151" s="368"/>
      <c r="TH151" s="368"/>
      <c r="TI151" s="368"/>
      <c r="TJ151" s="368"/>
      <c r="TK151" s="368"/>
      <c r="TL151" s="368"/>
      <c r="TM151" s="368"/>
      <c r="TN151" s="368"/>
      <c r="TO151" s="368"/>
      <c r="TP151" s="368"/>
      <c r="TQ151" s="368"/>
      <c r="TR151" s="368"/>
      <c r="TS151" s="368"/>
      <c r="TT151" s="368"/>
      <c r="TU151" s="368"/>
      <c r="TV151" s="368"/>
      <c r="TW151" s="368"/>
      <c r="TX151" s="368"/>
      <c r="TY151" s="368"/>
      <c r="TZ151" s="368"/>
      <c r="UA151" s="368"/>
      <c r="UB151" s="368"/>
      <c r="UC151" s="368"/>
      <c r="UD151" s="368"/>
      <c r="UE151" s="368"/>
      <c r="UF151" s="368"/>
      <c r="UG151" s="368"/>
      <c r="UH151" s="368"/>
      <c r="UI151" s="368"/>
      <c r="UJ151" s="368"/>
      <c r="UK151" s="368"/>
      <c r="UL151" s="368"/>
      <c r="UM151" s="368"/>
      <c r="UN151" s="368"/>
      <c r="UO151" s="368"/>
      <c r="UP151" s="368"/>
      <c r="UQ151" s="368"/>
      <c r="UR151" s="368"/>
      <c r="US151" s="368"/>
      <c r="UT151" s="368"/>
      <c r="UU151" s="368"/>
      <c r="UV151" s="368"/>
      <c r="UW151" s="368"/>
      <c r="UX151" s="368"/>
      <c r="UY151" s="368"/>
      <c r="UZ151" s="368"/>
      <c r="VA151" s="368"/>
      <c r="VB151" s="368"/>
      <c r="VC151" s="368"/>
      <c r="VD151" s="368"/>
      <c r="VE151" s="368"/>
      <c r="VF151" s="368"/>
      <c r="VG151" s="368"/>
      <c r="VH151" s="368"/>
      <c r="VI151" s="368"/>
      <c r="VJ151" s="368"/>
      <c r="VK151" s="368"/>
      <c r="VL151" s="368"/>
      <c r="VM151" s="368"/>
      <c r="VN151" s="368"/>
      <c r="VO151" s="368"/>
      <c r="VP151" s="368"/>
      <c r="VQ151" s="368"/>
      <c r="VR151" s="368"/>
      <c r="VS151" s="368"/>
      <c r="VT151" s="368"/>
      <c r="VU151" s="368"/>
      <c r="VV151" s="368"/>
      <c r="VW151" s="368"/>
      <c r="VX151" s="368"/>
      <c r="VY151" s="368"/>
      <c r="VZ151" s="368"/>
      <c r="WA151" s="368"/>
      <c r="WB151" s="368"/>
      <c r="WC151" s="368"/>
      <c r="WD151" s="368"/>
      <c r="WE151" s="368"/>
      <c r="WF151" s="368"/>
      <c r="WG151" s="368"/>
      <c r="WH151" s="368"/>
      <c r="WI151" s="368"/>
      <c r="WJ151" s="368"/>
      <c r="WK151" s="368"/>
      <c r="WL151" s="368"/>
      <c r="WM151" s="368"/>
      <c r="WN151" s="368"/>
      <c r="WO151" s="368"/>
      <c r="WP151" s="368"/>
      <c r="WQ151" s="368"/>
      <c r="WR151" s="368"/>
      <c r="WS151" s="368"/>
      <c r="WT151" s="368"/>
      <c r="WU151" s="368"/>
      <c r="WV151" s="368"/>
      <c r="WW151" s="368"/>
      <c r="WX151" s="368"/>
      <c r="WY151" s="368"/>
      <c r="WZ151" s="368"/>
      <c r="XA151" s="368"/>
      <c r="XB151" s="368"/>
      <c r="XC151" s="368"/>
      <c r="XD151" s="368"/>
      <c r="XE151" s="368"/>
      <c r="XF151" s="368"/>
      <c r="XG151" s="368"/>
      <c r="XH151" s="368"/>
      <c r="XI151" s="368"/>
      <c r="XJ151" s="368"/>
      <c r="XK151" s="368"/>
      <c r="XL151" s="368"/>
      <c r="XM151" s="368"/>
      <c r="XN151" s="368"/>
      <c r="XO151" s="368"/>
      <c r="XP151" s="368"/>
      <c r="XQ151" s="368"/>
      <c r="XR151" s="368"/>
      <c r="XS151" s="368"/>
      <c r="XT151" s="368"/>
      <c r="XU151" s="368"/>
      <c r="XV151" s="368"/>
      <c r="XW151" s="368"/>
      <c r="XX151" s="368"/>
      <c r="XY151" s="368"/>
      <c r="XZ151" s="368"/>
      <c r="YA151" s="368"/>
      <c r="YB151" s="368"/>
      <c r="YC151" s="368"/>
      <c r="YD151" s="368"/>
      <c r="YE151" s="368"/>
      <c r="YF151" s="368"/>
      <c r="YG151" s="368"/>
      <c r="YH151" s="368"/>
      <c r="YI151" s="368"/>
      <c r="YJ151" s="368"/>
      <c r="YK151" s="368"/>
      <c r="YL151" s="368"/>
      <c r="YM151" s="368"/>
      <c r="YN151" s="368"/>
      <c r="YO151" s="368"/>
      <c r="YP151" s="368"/>
      <c r="YQ151" s="368"/>
      <c r="YR151" s="368"/>
      <c r="YS151" s="368"/>
      <c r="YT151" s="368"/>
      <c r="YU151" s="368"/>
      <c r="YV151" s="368"/>
      <c r="YW151" s="368"/>
      <c r="YX151" s="368"/>
      <c r="YY151" s="368"/>
      <c r="YZ151" s="368"/>
      <c r="ZA151" s="368"/>
      <c r="ZB151" s="368"/>
      <c r="ZC151" s="368"/>
      <c r="ZD151" s="368"/>
      <c r="ZE151" s="368"/>
      <c r="ZF151" s="368"/>
      <c r="ZG151" s="368"/>
      <c r="ZH151" s="368"/>
      <c r="ZI151" s="368"/>
      <c r="ZJ151" s="368"/>
      <c r="ZK151" s="368"/>
      <c r="ZL151" s="368"/>
      <c r="ZM151" s="368"/>
      <c r="ZN151" s="368"/>
      <c r="ZO151" s="368"/>
      <c r="ZP151" s="368"/>
      <c r="ZQ151" s="368"/>
      <c r="ZR151" s="368"/>
      <c r="ZS151" s="368"/>
      <c r="ZT151" s="368"/>
      <c r="ZU151" s="368"/>
      <c r="ZV151" s="368"/>
      <c r="ZW151" s="368"/>
      <c r="ZX151" s="368"/>
      <c r="ZY151" s="368"/>
      <c r="ZZ151" s="368"/>
      <c r="AAA151" s="368"/>
      <c r="AAB151" s="368"/>
      <c r="AAC151" s="368"/>
      <c r="AAD151" s="368"/>
      <c r="AAE151" s="368"/>
      <c r="AAF151" s="368"/>
      <c r="AAG151" s="368"/>
      <c r="AAH151" s="368"/>
      <c r="AAI151" s="368"/>
      <c r="AAJ151" s="368"/>
      <c r="AAK151" s="368"/>
      <c r="AAL151" s="368"/>
      <c r="AAM151" s="368"/>
      <c r="AAN151" s="368"/>
      <c r="AAO151" s="368"/>
      <c r="AAP151" s="368"/>
      <c r="AAQ151" s="368"/>
      <c r="AAR151" s="368"/>
      <c r="AAS151" s="368"/>
      <c r="AAT151" s="368"/>
      <c r="AAU151" s="368"/>
      <c r="AAV151" s="368"/>
      <c r="AAW151" s="368"/>
      <c r="AAX151" s="368"/>
      <c r="AAY151" s="368"/>
      <c r="AAZ151" s="368"/>
      <c r="ABA151" s="368"/>
      <c r="ABB151" s="368"/>
      <c r="ABC151" s="368"/>
      <c r="ABD151" s="368"/>
      <c r="ABE151" s="368"/>
      <c r="ABF151" s="368"/>
      <c r="ABG151" s="368"/>
      <c r="ABH151" s="368"/>
      <c r="ABI151" s="368"/>
      <c r="ABJ151" s="368"/>
      <c r="ABK151" s="368"/>
      <c r="ABL151" s="368"/>
      <c r="ABM151" s="368"/>
      <c r="ABN151" s="368"/>
      <c r="ABO151" s="368"/>
      <c r="ABP151" s="368"/>
      <c r="ABQ151" s="368"/>
      <c r="ABR151" s="368"/>
      <c r="ABS151" s="368"/>
      <c r="ABT151" s="368"/>
      <c r="ABU151" s="368"/>
      <c r="ABV151" s="368"/>
      <c r="ABW151" s="368"/>
      <c r="ABX151" s="368"/>
      <c r="ABY151" s="368"/>
      <c r="ABZ151" s="368"/>
      <c r="ACA151" s="368"/>
      <c r="ACB151" s="368"/>
      <c r="ACC151" s="368"/>
      <c r="ACD151" s="368"/>
      <c r="ACE151" s="368"/>
      <c r="ACF151" s="368"/>
      <c r="ACG151" s="368"/>
      <c r="ACH151" s="368"/>
      <c r="ACI151" s="368"/>
      <c r="ACJ151" s="368"/>
      <c r="ACK151" s="368"/>
      <c r="ACL151" s="368"/>
      <c r="ACM151" s="368"/>
      <c r="ACN151" s="368"/>
      <c r="ACO151" s="368"/>
      <c r="ACP151" s="368"/>
      <c r="ACQ151" s="368"/>
      <c r="ACR151" s="368"/>
      <c r="ACS151" s="368"/>
      <c r="ACT151" s="368"/>
      <c r="ACU151" s="368"/>
      <c r="ACV151" s="368"/>
      <c r="ACW151" s="368"/>
      <c r="ACX151" s="368"/>
      <c r="ACY151" s="368"/>
      <c r="ACZ151" s="368"/>
      <c r="ADA151" s="368"/>
      <c r="ADB151" s="368"/>
      <c r="ADC151" s="368"/>
      <c r="ADD151" s="368"/>
      <c r="ADE151" s="368"/>
      <c r="ADF151" s="368"/>
      <c r="ADG151" s="368"/>
      <c r="ADH151" s="368"/>
      <c r="ADI151" s="368"/>
      <c r="ADJ151" s="368"/>
      <c r="ADK151" s="368"/>
      <c r="ADL151" s="368"/>
      <c r="ADM151" s="368"/>
      <c r="ADN151" s="368"/>
      <c r="ADO151" s="368"/>
      <c r="ADP151" s="368"/>
      <c r="ADQ151" s="368"/>
      <c r="ADR151" s="368"/>
      <c r="ADS151" s="368"/>
      <c r="ADT151" s="368"/>
      <c r="ADU151" s="368"/>
      <c r="ADV151" s="368"/>
      <c r="ADW151" s="368"/>
      <c r="ADX151" s="368"/>
      <c r="ADY151" s="368"/>
      <c r="ADZ151" s="368"/>
      <c r="AEA151" s="368"/>
      <c r="AEB151" s="368"/>
      <c r="AEC151" s="368"/>
      <c r="AED151" s="368"/>
      <c r="AEE151" s="368"/>
      <c r="AEF151" s="368"/>
      <c r="AEG151" s="368"/>
      <c r="AEH151" s="368"/>
      <c r="AEI151" s="368"/>
      <c r="AEJ151" s="368"/>
      <c r="AEK151" s="368"/>
      <c r="AEL151" s="368"/>
      <c r="AEM151" s="368"/>
      <c r="AEN151" s="368"/>
      <c r="AEO151" s="368"/>
      <c r="AEP151" s="368"/>
      <c r="AEQ151" s="368"/>
      <c r="AER151" s="368"/>
      <c r="AES151" s="368"/>
      <c r="AET151" s="368"/>
      <c r="AEU151" s="368"/>
      <c r="AEV151" s="368"/>
      <c r="AEW151" s="368"/>
      <c r="AEX151" s="368"/>
      <c r="AEY151" s="368"/>
      <c r="AEZ151" s="368"/>
      <c r="AFA151" s="368"/>
      <c r="AFB151" s="368"/>
      <c r="AFC151" s="368"/>
      <c r="AFD151" s="368"/>
      <c r="AFE151" s="368"/>
      <c r="AFF151" s="368"/>
      <c r="AFG151" s="368"/>
      <c r="AFH151" s="368"/>
      <c r="AFI151" s="368"/>
      <c r="AFJ151" s="368"/>
      <c r="AFK151" s="368"/>
      <c r="AFL151" s="368"/>
      <c r="AFM151" s="368"/>
      <c r="AFN151" s="368"/>
      <c r="AFO151" s="368"/>
      <c r="AFP151" s="368"/>
      <c r="AFQ151" s="368"/>
      <c r="AFR151" s="368"/>
      <c r="AFS151" s="368"/>
      <c r="AFT151" s="368"/>
      <c r="AFU151" s="368"/>
      <c r="AFV151" s="368"/>
      <c r="AFW151" s="368"/>
      <c r="AFX151" s="368"/>
      <c r="AFY151" s="368"/>
      <c r="AFZ151" s="368"/>
      <c r="AGA151" s="368"/>
      <c r="AGB151" s="368"/>
      <c r="AGC151" s="368"/>
      <c r="AGD151" s="368"/>
      <c r="AGE151" s="368"/>
      <c r="AGF151" s="368"/>
      <c r="AGG151" s="368"/>
      <c r="AGH151" s="368"/>
      <c r="AGI151" s="368"/>
      <c r="AGJ151" s="368"/>
      <c r="AGK151" s="368"/>
      <c r="AGL151" s="368"/>
      <c r="AGM151" s="368"/>
      <c r="AGN151" s="368"/>
      <c r="AGO151" s="368"/>
      <c r="AGP151" s="368"/>
      <c r="AGQ151" s="368"/>
      <c r="AGR151" s="368"/>
      <c r="AGS151" s="368"/>
      <c r="AGT151" s="368"/>
      <c r="AGU151" s="368"/>
      <c r="AGV151" s="368"/>
      <c r="AGW151" s="368"/>
      <c r="AGX151" s="368"/>
      <c r="AGY151" s="368"/>
      <c r="AGZ151" s="368"/>
      <c r="AHA151" s="368"/>
      <c r="AHB151" s="368"/>
      <c r="AHC151" s="368"/>
      <c r="AHD151" s="368"/>
      <c r="AHE151" s="368"/>
      <c r="AHF151" s="368"/>
      <c r="AHG151" s="368"/>
      <c r="AHH151" s="368"/>
      <c r="AHI151" s="368"/>
      <c r="AHJ151" s="368"/>
      <c r="AHK151" s="368"/>
      <c r="AHL151" s="368"/>
      <c r="AHM151" s="368"/>
      <c r="AHN151" s="368"/>
      <c r="AHO151" s="368"/>
      <c r="AHP151" s="368"/>
      <c r="AHQ151" s="368"/>
      <c r="AHR151" s="368"/>
      <c r="AHS151" s="368"/>
      <c r="AHT151" s="368"/>
      <c r="AHU151" s="368"/>
      <c r="AHV151" s="368"/>
      <c r="AHW151" s="368"/>
      <c r="AHX151" s="368"/>
      <c r="AHY151" s="368"/>
      <c r="AHZ151" s="368"/>
      <c r="AIA151" s="368"/>
      <c r="AIB151" s="368"/>
      <c r="AIC151" s="368"/>
      <c r="AID151" s="368"/>
      <c r="AIE151" s="368"/>
      <c r="AIF151" s="368"/>
      <c r="AIG151" s="368"/>
      <c r="AIH151" s="368"/>
      <c r="AII151" s="368"/>
      <c r="AIJ151" s="368"/>
      <c r="AIK151" s="368"/>
      <c r="AIL151" s="368"/>
      <c r="AIM151" s="368"/>
      <c r="AIN151" s="368"/>
      <c r="AIO151" s="368"/>
      <c r="AIP151" s="368"/>
      <c r="AIQ151" s="368"/>
      <c r="AIR151" s="368"/>
      <c r="AIS151" s="368"/>
      <c r="AIT151" s="368"/>
      <c r="AIU151" s="368"/>
      <c r="AIV151" s="368"/>
      <c r="AIW151" s="368"/>
      <c r="AIX151" s="368"/>
      <c r="AIY151" s="368"/>
      <c r="AIZ151" s="368"/>
      <c r="AJA151" s="368"/>
      <c r="AJB151" s="368"/>
      <c r="AJC151" s="368"/>
      <c r="AJD151" s="368"/>
      <c r="AJE151" s="368"/>
      <c r="AJF151" s="368"/>
      <c r="AJG151" s="368"/>
      <c r="AJH151" s="368"/>
      <c r="AJI151" s="368"/>
      <c r="AJJ151" s="368"/>
      <c r="AJK151" s="368"/>
      <c r="AJL151" s="368"/>
      <c r="AJM151" s="368"/>
      <c r="AJN151" s="368"/>
      <c r="AJO151" s="368"/>
      <c r="AJP151" s="368"/>
      <c r="AJQ151" s="368"/>
      <c r="AJR151" s="368"/>
      <c r="AJS151" s="368"/>
      <c r="AJT151" s="368"/>
      <c r="AJU151" s="368"/>
      <c r="AJV151" s="368"/>
      <c r="AJW151" s="368"/>
      <c r="AJX151" s="368"/>
      <c r="AJY151" s="368"/>
      <c r="AJZ151" s="368"/>
      <c r="AKA151" s="368"/>
      <c r="AKB151" s="368"/>
      <c r="AKC151" s="368"/>
      <c r="AKD151" s="368"/>
      <c r="AKE151" s="368"/>
      <c r="AKF151" s="368"/>
      <c r="AKG151" s="368"/>
      <c r="AKH151" s="368"/>
      <c r="AKI151" s="368"/>
      <c r="AKJ151" s="368"/>
      <c r="AKK151" s="368"/>
      <c r="AKL151" s="368"/>
      <c r="AKM151" s="368"/>
      <c r="AKN151" s="368"/>
    </row>
    <row r="152" spans="1:976" s="346" customFormat="1" ht="22.5" customHeight="1" x14ac:dyDescent="0.2">
      <c r="A152" s="370" t="s">
        <v>262</v>
      </c>
      <c r="B152" s="370"/>
      <c r="C152" s="370" t="s">
        <v>221</v>
      </c>
      <c r="D152" s="370" t="s">
        <v>222</v>
      </c>
      <c r="E152" s="371">
        <v>414763</v>
      </c>
      <c r="F152" s="371">
        <v>1891</v>
      </c>
      <c r="G152" s="371">
        <v>303</v>
      </c>
      <c r="H152" s="371">
        <v>0</v>
      </c>
      <c r="I152" s="372">
        <v>45902</v>
      </c>
      <c r="J152" s="370" t="s">
        <v>263</v>
      </c>
      <c r="K152" s="370" t="s">
        <v>696</v>
      </c>
      <c r="L152" s="373">
        <v>26.61</v>
      </c>
      <c r="M152" s="373">
        <v>2.6</v>
      </c>
      <c r="N152" s="444">
        <v>29.21</v>
      </c>
      <c r="O152" s="370"/>
      <c r="P152" s="374">
        <v>45904</v>
      </c>
      <c r="Q152" s="373">
        <v>29.21</v>
      </c>
      <c r="R152" s="370" t="s">
        <v>697</v>
      </c>
      <c r="S152" s="373">
        <v>0</v>
      </c>
      <c r="T152" s="373">
        <v>0</v>
      </c>
      <c r="U152" s="373">
        <v>0</v>
      </c>
      <c r="V152" s="373">
        <v>0</v>
      </c>
      <c r="W152" s="370"/>
      <c r="X152" s="370" t="s">
        <v>293</v>
      </c>
      <c r="Y152" s="370" t="s">
        <v>294</v>
      </c>
      <c r="Z152" s="370" t="s">
        <v>42</v>
      </c>
      <c r="AA152" s="370" t="s">
        <v>228</v>
      </c>
      <c r="AB152" s="370" t="s">
        <v>235</v>
      </c>
      <c r="AC152" s="370" t="s">
        <v>331</v>
      </c>
      <c r="AD152" s="370" t="s">
        <v>231</v>
      </c>
      <c r="AE152" s="370" t="s">
        <v>232</v>
      </c>
      <c r="AF152" s="370" t="s">
        <v>231</v>
      </c>
      <c r="AG152" s="370" t="s">
        <v>232</v>
      </c>
      <c r="AH152" s="370"/>
      <c r="AI152" s="370"/>
      <c r="AJ152" s="370"/>
      <c r="AK152" s="370" t="s">
        <v>698</v>
      </c>
      <c r="AL152" s="371">
        <v>1</v>
      </c>
      <c r="AM152" s="371">
        <v>0</v>
      </c>
      <c r="AN152" s="372">
        <v>45904</v>
      </c>
      <c r="AO152" s="372">
        <v>45904</v>
      </c>
      <c r="AP152" s="373">
        <v>29.21</v>
      </c>
      <c r="AQ152" s="372">
        <v>45903</v>
      </c>
      <c r="AR152" s="368"/>
      <c r="AS152" s="368"/>
      <c r="AT152" s="368"/>
      <c r="AU152" s="368"/>
      <c r="AV152" s="368"/>
      <c r="AW152" s="368"/>
      <c r="AX152" s="368"/>
      <c r="AY152" s="368"/>
      <c r="AZ152" s="368"/>
      <c r="BA152" s="368"/>
      <c r="BB152" s="368"/>
      <c r="BC152" s="368"/>
      <c r="BD152" s="368"/>
      <c r="BE152" s="368"/>
      <c r="BF152" s="368"/>
      <c r="BG152" s="368"/>
      <c r="BH152" s="368"/>
      <c r="BI152" s="368"/>
      <c r="BJ152" s="368"/>
      <c r="BK152" s="368"/>
      <c r="BL152" s="368"/>
      <c r="BM152" s="368"/>
      <c r="BN152" s="368"/>
      <c r="BO152" s="368"/>
      <c r="BP152" s="368"/>
      <c r="BQ152" s="368"/>
      <c r="BR152" s="368"/>
      <c r="BS152" s="368"/>
      <c r="BT152" s="368"/>
      <c r="BU152" s="368"/>
      <c r="BV152" s="368"/>
      <c r="BW152" s="368"/>
      <c r="BX152" s="368"/>
      <c r="BY152" s="368"/>
      <c r="BZ152" s="368"/>
      <c r="CA152" s="368"/>
      <c r="CB152" s="368"/>
      <c r="CC152" s="368"/>
      <c r="CD152" s="368"/>
      <c r="CE152" s="368"/>
      <c r="CF152" s="368"/>
      <c r="CG152" s="368"/>
      <c r="CH152" s="368"/>
      <c r="CI152" s="368"/>
      <c r="CJ152" s="368"/>
      <c r="CK152" s="368"/>
      <c r="CL152" s="368"/>
      <c r="CM152" s="368"/>
      <c r="CN152" s="368"/>
      <c r="CO152" s="368"/>
      <c r="CP152" s="368"/>
      <c r="CQ152" s="368"/>
      <c r="CR152" s="368"/>
      <c r="CS152" s="368"/>
      <c r="CT152" s="368"/>
      <c r="CU152" s="368"/>
      <c r="CV152" s="368"/>
      <c r="CW152" s="368"/>
      <c r="CX152" s="368"/>
      <c r="CY152" s="368"/>
      <c r="CZ152" s="368"/>
      <c r="DA152" s="368"/>
      <c r="DB152" s="368"/>
      <c r="DC152" s="368"/>
      <c r="DD152" s="368"/>
      <c r="DE152" s="368"/>
      <c r="DF152" s="368"/>
      <c r="DG152" s="368"/>
      <c r="DH152" s="368"/>
      <c r="DI152" s="368"/>
      <c r="DJ152" s="368"/>
      <c r="DK152" s="368"/>
      <c r="DL152" s="368"/>
      <c r="DM152" s="368"/>
      <c r="DN152" s="368"/>
      <c r="DO152" s="368"/>
      <c r="DP152" s="368"/>
      <c r="DQ152" s="368"/>
      <c r="DR152" s="368"/>
      <c r="DS152" s="368"/>
      <c r="DT152" s="368"/>
      <c r="DU152" s="368"/>
      <c r="DV152" s="368"/>
      <c r="DW152" s="368"/>
      <c r="DX152" s="368"/>
      <c r="DY152" s="368"/>
      <c r="DZ152" s="368"/>
      <c r="EA152" s="368"/>
      <c r="EB152" s="368"/>
      <c r="EC152" s="368"/>
      <c r="ED152" s="368"/>
      <c r="EE152" s="368"/>
      <c r="EF152" s="368"/>
      <c r="EG152" s="368"/>
      <c r="EH152" s="368"/>
      <c r="EI152" s="368"/>
      <c r="EJ152" s="368"/>
      <c r="EK152" s="368"/>
      <c r="EL152" s="368"/>
      <c r="EM152" s="368"/>
      <c r="EN152" s="368"/>
      <c r="EO152" s="368"/>
      <c r="EP152" s="368"/>
      <c r="EQ152" s="368"/>
      <c r="ER152" s="368"/>
      <c r="ES152" s="368"/>
      <c r="ET152" s="368"/>
      <c r="EU152" s="368"/>
      <c r="EV152" s="368"/>
      <c r="EW152" s="368"/>
      <c r="EX152" s="368"/>
      <c r="EY152" s="368"/>
      <c r="EZ152" s="368"/>
      <c r="FA152" s="368"/>
      <c r="FB152" s="368"/>
      <c r="FC152" s="368"/>
      <c r="FD152" s="368"/>
      <c r="FE152" s="368"/>
      <c r="FF152" s="368"/>
      <c r="FG152" s="368"/>
      <c r="FH152" s="368"/>
      <c r="FI152" s="368"/>
      <c r="FJ152" s="368"/>
      <c r="FK152" s="368"/>
      <c r="FL152" s="368"/>
      <c r="FM152" s="368"/>
      <c r="FN152" s="368"/>
      <c r="FO152" s="368"/>
      <c r="FP152" s="368"/>
      <c r="FQ152" s="368"/>
      <c r="FR152" s="368"/>
      <c r="FS152" s="368"/>
      <c r="FT152" s="368"/>
      <c r="FU152" s="368"/>
      <c r="FV152" s="368"/>
      <c r="FW152" s="368"/>
      <c r="FX152" s="368"/>
      <c r="FY152" s="368"/>
      <c r="FZ152" s="368"/>
      <c r="GA152" s="368"/>
      <c r="GB152" s="368"/>
      <c r="GC152" s="368"/>
      <c r="GD152" s="368"/>
      <c r="GE152" s="368"/>
      <c r="GF152" s="368"/>
      <c r="GG152" s="368"/>
      <c r="GH152" s="368"/>
      <c r="GI152" s="368"/>
      <c r="GJ152" s="368"/>
      <c r="GK152" s="368"/>
      <c r="GL152" s="368"/>
      <c r="GM152" s="368"/>
      <c r="GN152" s="368"/>
      <c r="GO152" s="368"/>
      <c r="GP152" s="368"/>
      <c r="GQ152" s="368"/>
      <c r="GR152" s="368"/>
      <c r="GS152" s="368"/>
      <c r="GT152" s="368"/>
      <c r="GU152" s="368"/>
      <c r="GV152" s="368"/>
      <c r="GW152" s="368"/>
      <c r="GX152" s="368"/>
      <c r="GY152" s="368"/>
      <c r="GZ152" s="368"/>
      <c r="HA152" s="368"/>
      <c r="HB152" s="368"/>
      <c r="HC152" s="368"/>
      <c r="HD152" s="368"/>
      <c r="HE152" s="368"/>
      <c r="HF152" s="368"/>
      <c r="HG152" s="368"/>
      <c r="HH152" s="368"/>
      <c r="HI152" s="368"/>
      <c r="HJ152" s="368"/>
      <c r="HK152" s="368"/>
      <c r="HL152" s="368"/>
      <c r="HM152" s="368"/>
      <c r="HN152" s="368"/>
      <c r="HO152" s="368"/>
      <c r="HP152" s="368"/>
      <c r="HQ152" s="368"/>
      <c r="HR152" s="368"/>
      <c r="HS152" s="368"/>
      <c r="HT152" s="368"/>
      <c r="HU152" s="368"/>
      <c r="HV152" s="368"/>
      <c r="HW152" s="368"/>
      <c r="HX152" s="368"/>
      <c r="HY152" s="368"/>
      <c r="HZ152" s="368"/>
      <c r="IA152" s="368"/>
      <c r="IB152" s="368"/>
      <c r="IC152" s="368"/>
      <c r="ID152" s="368"/>
      <c r="IE152" s="368"/>
      <c r="IF152" s="368"/>
      <c r="IG152" s="368"/>
      <c r="IH152" s="368"/>
      <c r="II152" s="368"/>
      <c r="IJ152" s="368"/>
      <c r="IK152" s="368"/>
      <c r="IL152" s="368"/>
      <c r="IM152" s="368"/>
      <c r="IN152" s="368"/>
      <c r="IO152" s="368"/>
      <c r="IP152" s="368"/>
      <c r="IQ152" s="368"/>
      <c r="IR152" s="368"/>
      <c r="IS152" s="368"/>
      <c r="IT152" s="368"/>
      <c r="IU152" s="368"/>
      <c r="IV152" s="368"/>
      <c r="IW152" s="368"/>
      <c r="IX152" s="368"/>
      <c r="IY152" s="368"/>
      <c r="IZ152" s="368"/>
      <c r="JA152" s="368"/>
      <c r="JB152" s="368"/>
      <c r="JC152" s="368"/>
      <c r="JD152" s="368"/>
      <c r="JE152" s="368"/>
      <c r="JF152" s="368"/>
      <c r="JG152" s="368"/>
      <c r="JH152" s="368"/>
      <c r="JI152" s="368"/>
      <c r="JJ152" s="368"/>
      <c r="JK152" s="368"/>
      <c r="JL152" s="368"/>
      <c r="JM152" s="368"/>
      <c r="JN152" s="368"/>
      <c r="JO152" s="368"/>
      <c r="JP152" s="368"/>
      <c r="JQ152" s="368"/>
      <c r="JR152" s="368"/>
      <c r="JS152" s="368"/>
      <c r="JT152" s="368"/>
      <c r="JU152" s="368"/>
      <c r="JV152" s="368"/>
      <c r="JW152" s="368"/>
      <c r="JX152" s="368"/>
      <c r="JY152" s="368"/>
      <c r="JZ152" s="368"/>
      <c r="KA152" s="368"/>
      <c r="KB152" s="368"/>
      <c r="KC152" s="368"/>
      <c r="KD152" s="368"/>
      <c r="KE152" s="368"/>
      <c r="KF152" s="368"/>
      <c r="KG152" s="368"/>
      <c r="KH152" s="368"/>
      <c r="KI152" s="368"/>
      <c r="KJ152" s="368"/>
      <c r="KK152" s="368"/>
      <c r="KL152" s="368"/>
      <c r="KM152" s="368"/>
      <c r="KN152" s="368"/>
      <c r="KO152" s="368"/>
      <c r="KP152" s="368"/>
      <c r="KQ152" s="368"/>
      <c r="KR152" s="368"/>
      <c r="KS152" s="368"/>
      <c r="KT152" s="368"/>
      <c r="KU152" s="368"/>
      <c r="KV152" s="368"/>
      <c r="KW152" s="368"/>
      <c r="KX152" s="368"/>
      <c r="KY152" s="368"/>
      <c r="KZ152" s="368"/>
      <c r="LA152" s="368"/>
      <c r="LB152" s="368"/>
      <c r="LC152" s="368"/>
      <c r="LD152" s="368"/>
      <c r="LE152" s="368"/>
      <c r="LF152" s="368"/>
      <c r="LG152" s="368"/>
      <c r="LH152" s="368"/>
      <c r="LI152" s="368"/>
      <c r="LJ152" s="368"/>
      <c r="LK152" s="368"/>
      <c r="LL152" s="368"/>
      <c r="LM152" s="368"/>
      <c r="LN152" s="368"/>
      <c r="LO152" s="368"/>
      <c r="LP152" s="368"/>
      <c r="LQ152" s="368"/>
      <c r="LR152" s="368"/>
      <c r="LS152" s="368"/>
      <c r="LT152" s="368"/>
      <c r="LU152" s="368"/>
      <c r="LV152" s="368"/>
      <c r="LW152" s="368"/>
      <c r="LX152" s="368"/>
      <c r="LY152" s="368"/>
      <c r="LZ152" s="368"/>
      <c r="MA152" s="368"/>
      <c r="MB152" s="368"/>
      <c r="MC152" s="368"/>
      <c r="MD152" s="368"/>
      <c r="ME152" s="368"/>
      <c r="MF152" s="368"/>
      <c r="MG152" s="368"/>
      <c r="MH152" s="368"/>
      <c r="MI152" s="368"/>
      <c r="MJ152" s="368"/>
      <c r="MK152" s="368"/>
      <c r="ML152" s="368"/>
      <c r="MM152" s="368"/>
      <c r="MN152" s="368"/>
      <c r="MO152" s="368"/>
      <c r="MP152" s="368"/>
      <c r="MQ152" s="368"/>
      <c r="MR152" s="368"/>
      <c r="MS152" s="368"/>
      <c r="MT152" s="368"/>
      <c r="MU152" s="368"/>
      <c r="MV152" s="368"/>
      <c r="MW152" s="368"/>
      <c r="MX152" s="368"/>
      <c r="MY152" s="368"/>
      <c r="MZ152" s="368"/>
      <c r="NA152" s="368"/>
      <c r="NB152" s="368"/>
      <c r="NC152" s="368"/>
      <c r="ND152" s="368"/>
      <c r="NE152" s="368"/>
      <c r="NF152" s="368"/>
      <c r="NG152" s="368"/>
      <c r="NH152" s="368"/>
      <c r="NI152" s="368"/>
      <c r="NJ152" s="368"/>
      <c r="NK152" s="368"/>
      <c r="NL152" s="368"/>
      <c r="NM152" s="368"/>
      <c r="NN152" s="368"/>
      <c r="NO152" s="368"/>
      <c r="NP152" s="368"/>
      <c r="NQ152" s="368"/>
      <c r="NR152" s="368"/>
      <c r="NS152" s="368"/>
      <c r="NT152" s="368"/>
      <c r="NU152" s="368"/>
      <c r="NV152" s="368"/>
      <c r="NW152" s="368"/>
      <c r="NX152" s="368"/>
      <c r="NY152" s="368"/>
      <c r="NZ152" s="368"/>
      <c r="OA152" s="368"/>
      <c r="OB152" s="368"/>
      <c r="OC152" s="368"/>
      <c r="OD152" s="368"/>
      <c r="OE152" s="368"/>
      <c r="OF152" s="368"/>
      <c r="OG152" s="368"/>
      <c r="OH152" s="368"/>
      <c r="OI152" s="368"/>
      <c r="OJ152" s="368"/>
      <c r="OK152" s="368"/>
      <c r="OL152" s="368"/>
      <c r="OM152" s="368"/>
      <c r="ON152" s="368"/>
      <c r="OO152" s="368"/>
      <c r="OP152" s="368"/>
      <c r="OQ152" s="368"/>
      <c r="OR152" s="368"/>
      <c r="OS152" s="368"/>
      <c r="OT152" s="368"/>
      <c r="OU152" s="368"/>
      <c r="OV152" s="368"/>
      <c r="OW152" s="368"/>
      <c r="OX152" s="368"/>
      <c r="OY152" s="368"/>
      <c r="OZ152" s="368"/>
      <c r="PA152" s="368"/>
      <c r="PB152" s="368"/>
      <c r="PC152" s="368"/>
      <c r="PD152" s="368"/>
      <c r="PE152" s="368"/>
      <c r="PF152" s="368"/>
      <c r="PG152" s="368"/>
      <c r="PH152" s="368"/>
      <c r="PI152" s="368"/>
      <c r="PJ152" s="368"/>
      <c r="PK152" s="368"/>
      <c r="PL152" s="368"/>
      <c r="PM152" s="368"/>
      <c r="PN152" s="368"/>
      <c r="PO152" s="368"/>
      <c r="PP152" s="368"/>
      <c r="PQ152" s="368"/>
      <c r="PR152" s="368"/>
      <c r="PS152" s="368"/>
      <c r="PT152" s="368"/>
      <c r="PU152" s="368"/>
      <c r="PV152" s="368"/>
      <c r="PW152" s="368"/>
      <c r="PX152" s="368"/>
      <c r="PY152" s="368"/>
      <c r="PZ152" s="368"/>
      <c r="QA152" s="368"/>
      <c r="QB152" s="368"/>
      <c r="QC152" s="368"/>
      <c r="QD152" s="368"/>
      <c r="QE152" s="368"/>
      <c r="QF152" s="368"/>
      <c r="QG152" s="368"/>
      <c r="QH152" s="368"/>
      <c r="QI152" s="368"/>
      <c r="QJ152" s="368"/>
      <c r="QK152" s="368"/>
      <c r="QL152" s="368"/>
      <c r="QM152" s="368"/>
      <c r="QN152" s="368"/>
      <c r="QO152" s="368"/>
      <c r="QP152" s="368"/>
      <c r="QQ152" s="368"/>
      <c r="QR152" s="368"/>
      <c r="QS152" s="368"/>
      <c r="QT152" s="368"/>
      <c r="QU152" s="368"/>
      <c r="QV152" s="368"/>
      <c r="QW152" s="368"/>
      <c r="QX152" s="368"/>
      <c r="QY152" s="368"/>
      <c r="QZ152" s="368"/>
      <c r="RA152" s="368"/>
      <c r="RB152" s="368"/>
      <c r="RC152" s="368"/>
      <c r="RD152" s="368"/>
      <c r="RE152" s="368"/>
      <c r="RF152" s="368"/>
      <c r="RG152" s="368"/>
      <c r="RH152" s="368"/>
      <c r="RI152" s="368"/>
      <c r="RJ152" s="368"/>
      <c r="RK152" s="368"/>
      <c r="RL152" s="368"/>
      <c r="RM152" s="368"/>
      <c r="RN152" s="368"/>
      <c r="RO152" s="368"/>
      <c r="RP152" s="368"/>
      <c r="RQ152" s="368"/>
      <c r="RR152" s="368"/>
      <c r="RS152" s="368"/>
      <c r="RT152" s="368"/>
      <c r="RU152" s="368"/>
      <c r="RV152" s="368"/>
      <c r="RW152" s="368"/>
      <c r="RX152" s="368"/>
      <c r="RY152" s="368"/>
      <c r="RZ152" s="368"/>
      <c r="SA152" s="368"/>
      <c r="SB152" s="368"/>
      <c r="SC152" s="368"/>
      <c r="SD152" s="368"/>
      <c r="SE152" s="368"/>
      <c r="SF152" s="368"/>
      <c r="SG152" s="368"/>
      <c r="SH152" s="368"/>
      <c r="SI152" s="368"/>
      <c r="SJ152" s="368"/>
      <c r="SK152" s="368"/>
      <c r="SL152" s="368"/>
      <c r="SM152" s="368"/>
      <c r="SN152" s="368"/>
      <c r="SO152" s="368"/>
      <c r="SP152" s="368"/>
      <c r="SQ152" s="368"/>
      <c r="SR152" s="368"/>
      <c r="SS152" s="368"/>
      <c r="ST152" s="368"/>
      <c r="SU152" s="368"/>
      <c r="SV152" s="368"/>
      <c r="SW152" s="368"/>
      <c r="SX152" s="368"/>
      <c r="SY152" s="368"/>
      <c r="SZ152" s="368"/>
      <c r="TA152" s="368"/>
      <c r="TB152" s="368"/>
      <c r="TC152" s="368"/>
      <c r="TD152" s="368"/>
      <c r="TE152" s="368"/>
      <c r="TF152" s="368"/>
      <c r="TG152" s="368"/>
      <c r="TH152" s="368"/>
      <c r="TI152" s="368"/>
      <c r="TJ152" s="368"/>
      <c r="TK152" s="368"/>
      <c r="TL152" s="368"/>
      <c r="TM152" s="368"/>
      <c r="TN152" s="368"/>
      <c r="TO152" s="368"/>
      <c r="TP152" s="368"/>
      <c r="TQ152" s="368"/>
      <c r="TR152" s="368"/>
      <c r="TS152" s="368"/>
      <c r="TT152" s="368"/>
      <c r="TU152" s="368"/>
      <c r="TV152" s="368"/>
      <c r="TW152" s="368"/>
      <c r="TX152" s="368"/>
      <c r="TY152" s="368"/>
      <c r="TZ152" s="368"/>
      <c r="UA152" s="368"/>
      <c r="UB152" s="368"/>
      <c r="UC152" s="368"/>
      <c r="UD152" s="368"/>
      <c r="UE152" s="368"/>
      <c r="UF152" s="368"/>
      <c r="UG152" s="368"/>
      <c r="UH152" s="368"/>
      <c r="UI152" s="368"/>
      <c r="UJ152" s="368"/>
      <c r="UK152" s="368"/>
      <c r="UL152" s="368"/>
      <c r="UM152" s="368"/>
      <c r="UN152" s="368"/>
      <c r="UO152" s="368"/>
      <c r="UP152" s="368"/>
      <c r="UQ152" s="368"/>
      <c r="UR152" s="368"/>
      <c r="US152" s="368"/>
      <c r="UT152" s="368"/>
      <c r="UU152" s="368"/>
      <c r="UV152" s="368"/>
      <c r="UW152" s="368"/>
      <c r="UX152" s="368"/>
      <c r="UY152" s="368"/>
      <c r="UZ152" s="368"/>
      <c r="VA152" s="368"/>
      <c r="VB152" s="368"/>
      <c r="VC152" s="368"/>
      <c r="VD152" s="368"/>
      <c r="VE152" s="368"/>
      <c r="VF152" s="368"/>
      <c r="VG152" s="368"/>
      <c r="VH152" s="368"/>
      <c r="VI152" s="368"/>
      <c r="VJ152" s="368"/>
      <c r="VK152" s="368"/>
      <c r="VL152" s="368"/>
      <c r="VM152" s="368"/>
      <c r="VN152" s="368"/>
      <c r="VO152" s="368"/>
      <c r="VP152" s="368"/>
      <c r="VQ152" s="368"/>
      <c r="VR152" s="368"/>
      <c r="VS152" s="368"/>
      <c r="VT152" s="368"/>
      <c r="VU152" s="368"/>
      <c r="VV152" s="368"/>
      <c r="VW152" s="368"/>
      <c r="VX152" s="368"/>
      <c r="VY152" s="368"/>
      <c r="VZ152" s="368"/>
      <c r="WA152" s="368"/>
      <c r="WB152" s="368"/>
      <c r="WC152" s="368"/>
      <c r="WD152" s="368"/>
      <c r="WE152" s="368"/>
      <c r="WF152" s="368"/>
      <c r="WG152" s="368"/>
      <c r="WH152" s="368"/>
      <c r="WI152" s="368"/>
      <c r="WJ152" s="368"/>
      <c r="WK152" s="368"/>
      <c r="WL152" s="368"/>
      <c r="WM152" s="368"/>
      <c r="WN152" s="368"/>
      <c r="WO152" s="368"/>
      <c r="WP152" s="368"/>
      <c r="WQ152" s="368"/>
      <c r="WR152" s="368"/>
      <c r="WS152" s="368"/>
      <c r="WT152" s="368"/>
      <c r="WU152" s="368"/>
      <c r="WV152" s="368"/>
      <c r="WW152" s="368"/>
      <c r="WX152" s="368"/>
      <c r="WY152" s="368"/>
      <c r="WZ152" s="368"/>
      <c r="XA152" s="368"/>
      <c r="XB152" s="368"/>
      <c r="XC152" s="368"/>
      <c r="XD152" s="368"/>
      <c r="XE152" s="368"/>
      <c r="XF152" s="368"/>
      <c r="XG152" s="368"/>
      <c r="XH152" s="368"/>
      <c r="XI152" s="368"/>
      <c r="XJ152" s="368"/>
      <c r="XK152" s="368"/>
      <c r="XL152" s="368"/>
      <c r="XM152" s="368"/>
      <c r="XN152" s="368"/>
      <c r="XO152" s="368"/>
      <c r="XP152" s="368"/>
      <c r="XQ152" s="368"/>
      <c r="XR152" s="368"/>
      <c r="XS152" s="368"/>
      <c r="XT152" s="368"/>
      <c r="XU152" s="368"/>
      <c r="XV152" s="368"/>
      <c r="XW152" s="368"/>
      <c r="XX152" s="368"/>
      <c r="XY152" s="368"/>
      <c r="XZ152" s="368"/>
      <c r="YA152" s="368"/>
      <c r="YB152" s="368"/>
      <c r="YC152" s="368"/>
      <c r="YD152" s="368"/>
      <c r="YE152" s="368"/>
      <c r="YF152" s="368"/>
      <c r="YG152" s="368"/>
      <c r="YH152" s="368"/>
      <c r="YI152" s="368"/>
      <c r="YJ152" s="368"/>
      <c r="YK152" s="368"/>
      <c r="YL152" s="368"/>
      <c r="YM152" s="368"/>
      <c r="YN152" s="368"/>
      <c r="YO152" s="368"/>
      <c r="YP152" s="368"/>
      <c r="YQ152" s="368"/>
      <c r="YR152" s="368"/>
      <c r="YS152" s="368"/>
      <c r="YT152" s="368"/>
      <c r="YU152" s="368"/>
      <c r="YV152" s="368"/>
      <c r="YW152" s="368"/>
      <c r="YX152" s="368"/>
      <c r="YY152" s="368"/>
      <c r="YZ152" s="368"/>
      <c r="ZA152" s="368"/>
      <c r="ZB152" s="368"/>
      <c r="ZC152" s="368"/>
      <c r="ZD152" s="368"/>
      <c r="ZE152" s="368"/>
      <c r="ZF152" s="368"/>
      <c r="ZG152" s="368"/>
      <c r="ZH152" s="368"/>
      <c r="ZI152" s="368"/>
      <c r="ZJ152" s="368"/>
      <c r="ZK152" s="368"/>
      <c r="ZL152" s="368"/>
      <c r="ZM152" s="368"/>
      <c r="ZN152" s="368"/>
      <c r="ZO152" s="368"/>
      <c r="ZP152" s="368"/>
      <c r="ZQ152" s="368"/>
      <c r="ZR152" s="368"/>
      <c r="ZS152" s="368"/>
      <c r="ZT152" s="368"/>
      <c r="ZU152" s="368"/>
      <c r="ZV152" s="368"/>
      <c r="ZW152" s="368"/>
      <c r="ZX152" s="368"/>
      <c r="ZY152" s="368"/>
      <c r="ZZ152" s="368"/>
      <c r="AAA152" s="368"/>
      <c r="AAB152" s="368"/>
      <c r="AAC152" s="368"/>
      <c r="AAD152" s="368"/>
      <c r="AAE152" s="368"/>
      <c r="AAF152" s="368"/>
      <c r="AAG152" s="368"/>
      <c r="AAH152" s="368"/>
      <c r="AAI152" s="368"/>
      <c r="AAJ152" s="368"/>
      <c r="AAK152" s="368"/>
      <c r="AAL152" s="368"/>
      <c r="AAM152" s="368"/>
      <c r="AAN152" s="368"/>
      <c r="AAO152" s="368"/>
      <c r="AAP152" s="368"/>
      <c r="AAQ152" s="368"/>
      <c r="AAR152" s="368"/>
      <c r="AAS152" s="368"/>
      <c r="AAT152" s="368"/>
      <c r="AAU152" s="368"/>
      <c r="AAV152" s="368"/>
      <c r="AAW152" s="368"/>
      <c r="AAX152" s="368"/>
      <c r="AAY152" s="368"/>
      <c r="AAZ152" s="368"/>
      <c r="ABA152" s="368"/>
      <c r="ABB152" s="368"/>
      <c r="ABC152" s="368"/>
      <c r="ABD152" s="368"/>
      <c r="ABE152" s="368"/>
      <c r="ABF152" s="368"/>
      <c r="ABG152" s="368"/>
      <c r="ABH152" s="368"/>
      <c r="ABI152" s="368"/>
      <c r="ABJ152" s="368"/>
      <c r="ABK152" s="368"/>
      <c r="ABL152" s="368"/>
      <c r="ABM152" s="368"/>
      <c r="ABN152" s="368"/>
      <c r="ABO152" s="368"/>
      <c r="ABP152" s="368"/>
      <c r="ABQ152" s="368"/>
      <c r="ABR152" s="368"/>
      <c r="ABS152" s="368"/>
      <c r="ABT152" s="368"/>
      <c r="ABU152" s="368"/>
      <c r="ABV152" s="368"/>
      <c r="ABW152" s="368"/>
      <c r="ABX152" s="368"/>
      <c r="ABY152" s="368"/>
      <c r="ABZ152" s="368"/>
      <c r="ACA152" s="368"/>
      <c r="ACB152" s="368"/>
      <c r="ACC152" s="368"/>
      <c r="ACD152" s="368"/>
      <c r="ACE152" s="368"/>
      <c r="ACF152" s="368"/>
      <c r="ACG152" s="368"/>
      <c r="ACH152" s="368"/>
      <c r="ACI152" s="368"/>
      <c r="ACJ152" s="368"/>
      <c r="ACK152" s="368"/>
      <c r="ACL152" s="368"/>
      <c r="ACM152" s="368"/>
      <c r="ACN152" s="368"/>
      <c r="ACO152" s="368"/>
      <c r="ACP152" s="368"/>
      <c r="ACQ152" s="368"/>
      <c r="ACR152" s="368"/>
      <c r="ACS152" s="368"/>
      <c r="ACT152" s="368"/>
      <c r="ACU152" s="368"/>
      <c r="ACV152" s="368"/>
      <c r="ACW152" s="368"/>
      <c r="ACX152" s="368"/>
      <c r="ACY152" s="368"/>
      <c r="ACZ152" s="368"/>
      <c r="ADA152" s="368"/>
      <c r="ADB152" s="368"/>
      <c r="ADC152" s="368"/>
      <c r="ADD152" s="368"/>
      <c r="ADE152" s="368"/>
      <c r="ADF152" s="368"/>
      <c r="ADG152" s="368"/>
      <c r="ADH152" s="368"/>
      <c r="ADI152" s="368"/>
      <c r="ADJ152" s="368"/>
      <c r="ADK152" s="368"/>
      <c r="ADL152" s="368"/>
      <c r="ADM152" s="368"/>
      <c r="ADN152" s="368"/>
      <c r="ADO152" s="368"/>
      <c r="ADP152" s="368"/>
      <c r="ADQ152" s="368"/>
      <c r="ADR152" s="368"/>
      <c r="ADS152" s="368"/>
      <c r="ADT152" s="368"/>
      <c r="ADU152" s="368"/>
      <c r="ADV152" s="368"/>
      <c r="ADW152" s="368"/>
      <c r="ADX152" s="368"/>
      <c r="ADY152" s="368"/>
      <c r="ADZ152" s="368"/>
      <c r="AEA152" s="368"/>
      <c r="AEB152" s="368"/>
      <c r="AEC152" s="368"/>
      <c r="AED152" s="368"/>
      <c r="AEE152" s="368"/>
      <c r="AEF152" s="368"/>
      <c r="AEG152" s="368"/>
      <c r="AEH152" s="368"/>
      <c r="AEI152" s="368"/>
      <c r="AEJ152" s="368"/>
      <c r="AEK152" s="368"/>
      <c r="AEL152" s="368"/>
      <c r="AEM152" s="368"/>
      <c r="AEN152" s="368"/>
      <c r="AEO152" s="368"/>
      <c r="AEP152" s="368"/>
      <c r="AEQ152" s="368"/>
      <c r="AER152" s="368"/>
      <c r="AES152" s="368"/>
      <c r="AET152" s="368"/>
      <c r="AEU152" s="368"/>
      <c r="AEV152" s="368"/>
      <c r="AEW152" s="368"/>
      <c r="AEX152" s="368"/>
      <c r="AEY152" s="368"/>
      <c r="AEZ152" s="368"/>
      <c r="AFA152" s="368"/>
      <c r="AFB152" s="368"/>
      <c r="AFC152" s="368"/>
      <c r="AFD152" s="368"/>
      <c r="AFE152" s="368"/>
      <c r="AFF152" s="368"/>
      <c r="AFG152" s="368"/>
      <c r="AFH152" s="368"/>
      <c r="AFI152" s="368"/>
      <c r="AFJ152" s="368"/>
      <c r="AFK152" s="368"/>
      <c r="AFL152" s="368"/>
      <c r="AFM152" s="368"/>
      <c r="AFN152" s="368"/>
      <c r="AFO152" s="368"/>
      <c r="AFP152" s="368"/>
      <c r="AFQ152" s="368"/>
      <c r="AFR152" s="368"/>
      <c r="AFS152" s="368"/>
      <c r="AFT152" s="368"/>
      <c r="AFU152" s="368"/>
      <c r="AFV152" s="368"/>
      <c r="AFW152" s="368"/>
      <c r="AFX152" s="368"/>
      <c r="AFY152" s="368"/>
      <c r="AFZ152" s="368"/>
      <c r="AGA152" s="368"/>
      <c r="AGB152" s="368"/>
      <c r="AGC152" s="368"/>
      <c r="AGD152" s="368"/>
      <c r="AGE152" s="368"/>
      <c r="AGF152" s="368"/>
      <c r="AGG152" s="368"/>
      <c r="AGH152" s="368"/>
      <c r="AGI152" s="368"/>
      <c r="AGJ152" s="368"/>
      <c r="AGK152" s="368"/>
      <c r="AGL152" s="368"/>
      <c r="AGM152" s="368"/>
      <c r="AGN152" s="368"/>
      <c r="AGO152" s="368"/>
      <c r="AGP152" s="368"/>
      <c r="AGQ152" s="368"/>
      <c r="AGR152" s="368"/>
      <c r="AGS152" s="368"/>
      <c r="AGT152" s="368"/>
      <c r="AGU152" s="368"/>
      <c r="AGV152" s="368"/>
      <c r="AGW152" s="368"/>
      <c r="AGX152" s="368"/>
      <c r="AGY152" s="368"/>
      <c r="AGZ152" s="368"/>
      <c r="AHA152" s="368"/>
      <c r="AHB152" s="368"/>
      <c r="AHC152" s="368"/>
      <c r="AHD152" s="368"/>
      <c r="AHE152" s="368"/>
      <c r="AHF152" s="368"/>
      <c r="AHG152" s="368"/>
      <c r="AHH152" s="368"/>
      <c r="AHI152" s="368"/>
      <c r="AHJ152" s="368"/>
      <c r="AHK152" s="368"/>
      <c r="AHL152" s="368"/>
      <c r="AHM152" s="368"/>
      <c r="AHN152" s="368"/>
      <c r="AHO152" s="368"/>
      <c r="AHP152" s="368"/>
      <c r="AHQ152" s="368"/>
      <c r="AHR152" s="368"/>
      <c r="AHS152" s="368"/>
      <c r="AHT152" s="368"/>
      <c r="AHU152" s="368"/>
      <c r="AHV152" s="368"/>
      <c r="AHW152" s="368"/>
      <c r="AHX152" s="368"/>
      <c r="AHY152" s="368"/>
      <c r="AHZ152" s="368"/>
      <c r="AIA152" s="368"/>
      <c r="AIB152" s="368"/>
      <c r="AIC152" s="368"/>
      <c r="AID152" s="368"/>
      <c r="AIE152" s="368"/>
      <c r="AIF152" s="368"/>
      <c r="AIG152" s="368"/>
      <c r="AIH152" s="368"/>
      <c r="AII152" s="368"/>
      <c r="AIJ152" s="368"/>
      <c r="AIK152" s="368"/>
      <c r="AIL152" s="368"/>
      <c r="AIM152" s="368"/>
      <c r="AIN152" s="368"/>
      <c r="AIO152" s="368"/>
      <c r="AIP152" s="368"/>
      <c r="AIQ152" s="368"/>
      <c r="AIR152" s="368"/>
      <c r="AIS152" s="368"/>
      <c r="AIT152" s="368"/>
      <c r="AIU152" s="368"/>
      <c r="AIV152" s="368"/>
      <c r="AIW152" s="368"/>
      <c r="AIX152" s="368"/>
      <c r="AIY152" s="368"/>
      <c r="AIZ152" s="368"/>
      <c r="AJA152" s="368"/>
      <c r="AJB152" s="368"/>
      <c r="AJC152" s="368"/>
      <c r="AJD152" s="368"/>
      <c r="AJE152" s="368"/>
      <c r="AJF152" s="368"/>
      <c r="AJG152" s="368"/>
      <c r="AJH152" s="368"/>
      <c r="AJI152" s="368"/>
      <c r="AJJ152" s="368"/>
      <c r="AJK152" s="368"/>
      <c r="AJL152" s="368"/>
      <c r="AJM152" s="368"/>
      <c r="AJN152" s="368"/>
      <c r="AJO152" s="368"/>
      <c r="AJP152" s="368"/>
      <c r="AJQ152" s="368"/>
      <c r="AJR152" s="368"/>
      <c r="AJS152" s="368"/>
      <c r="AJT152" s="368"/>
      <c r="AJU152" s="368"/>
      <c r="AJV152" s="368"/>
      <c r="AJW152" s="368"/>
      <c r="AJX152" s="368"/>
      <c r="AJY152" s="368"/>
      <c r="AJZ152" s="368"/>
      <c r="AKA152" s="368"/>
      <c r="AKB152" s="368"/>
      <c r="AKC152" s="368"/>
      <c r="AKD152" s="368"/>
      <c r="AKE152" s="368"/>
      <c r="AKF152" s="368"/>
      <c r="AKG152" s="368"/>
      <c r="AKH152" s="368"/>
      <c r="AKI152" s="368"/>
      <c r="AKJ152" s="368"/>
      <c r="AKK152" s="368"/>
      <c r="AKL152" s="368"/>
      <c r="AKM152" s="368"/>
      <c r="AKN152" s="368"/>
    </row>
    <row r="153" spans="1:976" s="346" customFormat="1" ht="22.5" customHeight="1" x14ac:dyDescent="0.2">
      <c r="A153" s="370" t="s">
        <v>262</v>
      </c>
      <c r="B153" s="370"/>
      <c r="C153" s="370" t="s">
        <v>221</v>
      </c>
      <c r="D153" s="370" t="s">
        <v>222</v>
      </c>
      <c r="E153" s="371">
        <v>414765</v>
      </c>
      <c r="F153" s="371">
        <v>1892</v>
      </c>
      <c r="G153" s="371">
        <v>303</v>
      </c>
      <c r="H153" s="371">
        <v>0</v>
      </c>
      <c r="I153" s="372">
        <v>45902</v>
      </c>
      <c r="J153" s="370" t="s">
        <v>263</v>
      </c>
      <c r="K153" s="370" t="s">
        <v>699</v>
      </c>
      <c r="L153" s="373">
        <v>110.99</v>
      </c>
      <c r="M153" s="373">
        <v>8.8699999999999992</v>
      </c>
      <c r="N153" s="444">
        <v>119.86</v>
      </c>
      <c r="O153" s="370"/>
      <c r="P153" s="374">
        <v>45904</v>
      </c>
      <c r="Q153" s="373">
        <v>119.86</v>
      </c>
      <c r="R153" s="370" t="s">
        <v>700</v>
      </c>
      <c r="S153" s="373">
        <v>0</v>
      </c>
      <c r="T153" s="373">
        <v>0</v>
      </c>
      <c r="U153" s="373">
        <v>0</v>
      </c>
      <c r="V153" s="373">
        <v>0</v>
      </c>
      <c r="W153" s="370"/>
      <c r="X153" s="370" t="s">
        <v>293</v>
      </c>
      <c r="Y153" s="370" t="s">
        <v>294</v>
      </c>
      <c r="Z153" s="370" t="s">
        <v>42</v>
      </c>
      <c r="AA153" s="370" t="s">
        <v>228</v>
      </c>
      <c r="AB153" s="370" t="s">
        <v>235</v>
      </c>
      <c r="AC153" s="370" t="s">
        <v>331</v>
      </c>
      <c r="AD153" s="370" t="s">
        <v>231</v>
      </c>
      <c r="AE153" s="370" t="s">
        <v>232</v>
      </c>
      <c r="AF153" s="370" t="s">
        <v>231</v>
      </c>
      <c r="AG153" s="370" t="s">
        <v>232</v>
      </c>
      <c r="AH153" s="370"/>
      <c r="AI153" s="370"/>
      <c r="AJ153" s="370"/>
      <c r="AK153" s="370" t="s">
        <v>701</v>
      </c>
      <c r="AL153" s="371">
        <v>1</v>
      </c>
      <c r="AM153" s="371">
        <v>0</v>
      </c>
      <c r="AN153" s="372">
        <v>45904</v>
      </c>
      <c r="AO153" s="372">
        <v>45904</v>
      </c>
      <c r="AP153" s="373">
        <v>119.86</v>
      </c>
      <c r="AQ153" s="372">
        <v>45903</v>
      </c>
      <c r="AR153" s="368"/>
      <c r="AS153" s="368"/>
      <c r="AT153" s="368"/>
      <c r="AU153" s="368"/>
      <c r="AV153" s="368"/>
      <c r="AW153" s="368"/>
      <c r="AX153" s="368"/>
      <c r="AY153" s="368"/>
      <c r="AZ153" s="368"/>
      <c r="BA153" s="368"/>
      <c r="BB153" s="368"/>
      <c r="BC153" s="368"/>
      <c r="BD153" s="368"/>
      <c r="BE153" s="368"/>
      <c r="BF153" s="368"/>
      <c r="BG153" s="368"/>
      <c r="BH153" s="368"/>
      <c r="BI153" s="368"/>
      <c r="BJ153" s="368"/>
      <c r="BK153" s="368"/>
      <c r="BL153" s="368"/>
      <c r="BM153" s="368"/>
      <c r="BN153" s="368"/>
      <c r="BO153" s="368"/>
      <c r="BP153" s="368"/>
      <c r="BQ153" s="368"/>
      <c r="BR153" s="368"/>
      <c r="BS153" s="368"/>
      <c r="BT153" s="368"/>
      <c r="BU153" s="368"/>
      <c r="BV153" s="368"/>
      <c r="BW153" s="368"/>
      <c r="BX153" s="368"/>
      <c r="BY153" s="368"/>
      <c r="BZ153" s="368"/>
      <c r="CA153" s="368"/>
      <c r="CB153" s="368"/>
      <c r="CC153" s="368"/>
      <c r="CD153" s="368"/>
      <c r="CE153" s="368"/>
      <c r="CF153" s="368"/>
      <c r="CG153" s="368"/>
      <c r="CH153" s="368"/>
      <c r="CI153" s="368"/>
      <c r="CJ153" s="368"/>
      <c r="CK153" s="368"/>
      <c r="CL153" s="368"/>
      <c r="CM153" s="368"/>
      <c r="CN153" s="368"/>
      <c r="CO153" s="368"/>
      <c r="CP153" s="368"/>
      <c r="CQ153" s="368"/>
      <c r="CR153" s="368"/>
      <c r="CS153" s="368"/>
      <c r="CT153" s="368"/>
      <c r="CU153" s="368"/>
      <c r="CV153" s="368"/>
      <c r="CW153" s="368"/>
      <c r="CX153" s="368"/>
      <c r="CY153" s="368"/>
      <c r="CZ153" s="368"/>
      <c r="DA153" s="368"/>
      <c r="DB153" s="368"/>
      <c r="DC153" s="368"/>
      <c r="DD153" s="368"/>
      <c r="DE153" s="368"/>
      <c r="DF153" s="368"/>
      <c r="DG153" s="368"/>
      <c r="DH153" s="368"/>
      <c r="DI153" s="368"/>
      <c r="DJ153" s="368"/>
      <c r="DK153" s="368"/>
      <c r="DL153" s="368"/>
      <c r="DM153" s="368"/>
      <c r="DN153" s="368"/>
      <c r="DO153" s="368"/>
      <c r="DP153" s="368"/>
      <c r="DQ153" s="368"/>
      <c r="DR153" s="368"/>
      <c r="DS153" s="368"/>
      <c r="DT153" s="368"/>
      <c r="DU153" s="368"/>
      <c r="DV153" s="368"/>
      <c r="DW153" s="368"/>
      <c r="DX153" s="368"/>
      <c r="DY153" s="368"/>
      <c r="DZ153" s="368"/>
      <c r="EA153" s="368"/>
      <c r="EB153" s="368"/>
      <c r="EC153" s="368"/>
      <c r="ED153" s="368"/>
      <c r="EE153" s="368"/>
      <c r="EF153" s="368"/>
      <c r="EG153" s="368"/>
      <c r="EH153" s="368"/>
      <c r="EI153" s="368"/>
      <c r="EJ153" s="368"/>
      <c r="EK153" s="368"/>
      <c r="EL153" s="368"/>
      <c r="EM153" s="368"/>
      <c r="EN153" s="368"/>
      <c r="EO153" s="368"/>
      <c r="EP153" s="368"/>
      <c r="EQ153" s="368"/>
      <c r="ER153" s="368"/>
      <c r="ES153" s="368"/>
      <c r="ET153" s="368"/>
      <c r="EU153" s="368"/>
      <c r="EV153" s="368"/>
      <c r="EW153" s="368"/>
      <c r="EX153" s="368"/>
      <c r="EY153" s="368"/>
      <c r="EZ153" s="368"/>
      <c r="FA153" s="368"/>
      <c r="FB153" s="368"/>
      <c r="FC153" s="368"/>
      <c r="FD153" s="368"/>
      <c r="FE153" s="368"/>
      <c r="FF153" s="368"/>
      <c r="FG153" s="368"/>
      <c r="FH153" s="368"/>
      <c r="FI153" s="368"/>
      <c r="FJ153" s="368"/>
      <c r="FK153" s="368"/>
      <c r="FL153" s="368"/>
      <c r="FM153" s="368"/>
      <c r="FN153" s="368"/>
      <c r="FO153" s="368"/>
      <c r="FP153" s="368"/>
      <c r="FQ153" s="368"/>
      <c r="FR153" s="368"/>
      <c r="FS153" s="368"/>
      <c r="FT153" s="368"/>
      <c r="FU153" s="368"/>
      <c r="FV153" s="368"/>
      <c r="FW153" s="368"/>
      <c r="FX153" s="368"/>
      <c r="FY153" s="368"/>
      <c r="FZ153" s="368"/>
      <c r="GA153" s="368"/>
      <c r="GB153" s="368"/>
      <c r="GC153" s="368"/>
      <c r="GD153" s="368"/>
      <c r="GE153" s="368"/>
      <c r="GF153" s="368"/>
      <c r="GG153" s="368"/>
      <c r="GH153" s="368"/>
      <c r="GI153" s="368"/>
      <c r="GJ153" s="368"/>
      <c r="GK153" s="368"/>
      <c r="GL153" s="368"/>
      <c r="GM153" s="368"/>
      <c r="GN153" s="368"/>
      <c r="GO153" s="368"/>
      <c r="GP153" s="368"/>
      <c r="GQ153" s="368"/>
      <c r="GR153" s="368"/>
      <c r="GS153" s="368"/>
      <c r="GT153" s="368"/>
      <c r="GU153" s="368"/>
      <c r="GV153" s="368"/>
      <c r="GW153" s="368"/>
      <c r="GX153" s="368"/>
      <c r="GY153" s="368"/>
      <c r="GZ153" s="368"/>
      <c r="HA153" s="368"/>
      <c r="HB153" s="368"/>
      <c r="HC153" s="368"/>
      <c r="HD153" s="368"/>
      <c r="HE153" s="368"/>
      <c r="HF153" s="368"/>
      <c r="HG153" s="368"/>
      <c r="HH153" s="368"/>
      <c r="HI153" s="368"/>
      <c r="HJ153" s="368"/>
      <c r="HK153" s="368"/>
      <c r="HL153" s="368"/>
      <c r="HM153" s="368"/>
      <c r="HN153" s="368"/>
      <c r="HO153" s="368"/>
      <c r="HP153" s="368"/>
      <c r="HQ153" s="368"/>
      <c r="HR153" s="368"/>
      <c r="HS153" s="368"/>
      <c r="HT153" s="368"/>
      <c r="HU153" s="368"/>
      <c r="HV153" s="368"/>
      <c r="HW153" s="368"/>
      <c r="HX153" s="368"/>
      <c r="HY153" s="368"/>
      <c r="HZ153" s="368"/>
      <c r="IA153" s="368"/>
      <c r="IB153" s="368"/>
      <c r="IC153" s="368"/>
      <c r="ID153" s="368"/>
      <c r="IE153" s="368"/>
      <c r="IF153" s="368"/>
      <c r="IG153" s="368"/>
      <c r="IH153" s="368"/>
      <c r="II153" s="368"/>
      <c r="IJ153" s="368"/>
      <c r="IK153" s="368"/>
      <c r="IL153" s="368"/>
      <c r="IM153" s="368"/>
      <c r="IN153" s="368"/>
      <c r="IO153" s="368"/>
      <c r="IP153" s="368"/>
      <c r="IQ153" s="368"/>
      <c r="IR153" s="368"/>
      <c r="IS153" s="368"/>
      <c r="IT153" s="368"/>
      <c r="IU153" s="368"/>
      <c r="IV153" s="368"/>
      <c r="IW153" s="368"/>
      <c r="IX153" s="368"/>
      <c r="IY153" s="368"/>
      <c r="IZ153" s="368"/>
      <c r="JA153" s="368"/>
      <c r="JB153" s="368"/>
      <c r="JC153" s="368"/>
      <c r="JD153" s="368"/>
      <c r="JE153" s="368"/>
      <c r="JF153" s="368"/>
      <c r="JG153" s="368"/>
      <c r="JH153" s="368"/>
      <c r="JI153" s="368"/>
      <c r="JJ153" s="368"/>
      <c r="JK153" s="368"/>
      <c r="JL153" s="368"/>
      <c r="JM153" s="368"/>
      <c r="JN153" s="368"/>
      <c r="JO153" s="368"/>
      <c r="JP153" s="368"/>
      <c r="JQ153" s="368"/>
      <c r="JR153" s="368"/>
      <c r="JS153" s="368"/>
      <c r="JT153" s="368"/>
      <c r="JU153" s="368"/>
      <c r="JV153" s="368"/>
      <c r="JW153" s="368"/>
      <c r="JX153" s="368"/>
      <c r="JY153" s="368"/>
      <c r="JZ153" s="368"/>
      <c r="KA153" s="368"/>
      <c r="KB153" s="368"/>
      <c r="KC153" s="368"/>
      <c r="KD153" s="368"/>
      <c r="KE153" s="368"/>
      <c r="KF153" s="368"/>
      <c r="KG153" s="368"/>
      <c r="KH153" s="368"/>
      <c r="KI153" s="368"/>
      <c r="KJ153" s="368"/>
      <c r="KK153" s="368"/>
      <c r="KL153" s="368"/>
      <c r="KM153" s="368"/>
      <c r="KN153" s="368"/>
      <c r="KO153" s="368"/>
      <c r="KP153" s="368"/>
      <c r="KQ153" s="368"/>
      <c r="KR153" s="368"/>
      <c r="KS153" s="368"/>
      <c r="KT153" s="368"/>
      <c r="KU153" s="368"/>
      <c r="KV153" s="368"/>
      <c r="KW153" s="368"/>
      <c r="KX153" s="368"/>
      <c r="KY153" s="368"/>
      <c r="KZ153" s="368"/>
      <c r="LA153" s="368"/>
      <c r="LB153" s="368"/>
      <c r="LC153" s="368"/>
      <c r="LD153" s="368"/>
      <c r="LE153" s="368"/>
      <c r="LF153" s="368"/>
      <c r="LG153" s="368"/>
      <c r="LH153" s="368"/>
      <c r="LI153" s="368"/>
      <c r="LJ153" s="368"/>
      <c r="LK153" s="368"/>
      <c r="LL153" s="368"/>
      <c r="LM153" s="368"/>
      <c r="LN153" s="368"/>
      <c r="LO153" s="368"/>
      <c r="LP153" s="368"/>
      <c r="LQ153" s="368"/>
      <c r="LR153" s="368"/>
      <c r="LS153" s="368"/>
      <c r="LT153" s="368"/>
      <c r="LU153" s="368"/>
      <c r="LV153" s="368"/>
      <c r="LW153" s="368"/>
      <c r="LX153" s="368"/>
      <c r="LY153" s="368"/>
      <c r="LZ153" s="368"/>
      <c r="MA153" s="368"/>
      <c r="MB153" s="368"/>
      <c r="MC153" s="368"/>
      <c r="MD153" s="368"/>
      <c r="ME153" s="368"/>
      <c r="MF153" s="368"/>
      <c r="MG153" s="368"/>
      <c r="MH153" s="368"/>
      <c r="MI153" s="368"/>
      <c r="MJ153" s="368"/>
      <c r="MK153" s="368"/>
      <c r="ML153" s="368"/>
      <c r="MM153" s="368"/>
      <c r="MN153" s="368"/>
      <c r="MO153" s="368"/>
      <c r="MP153" s="368"/>
      <c r="MQ153" s="368"/>
      <c r="MR153" s="368"/>
      <c r="MS153" s="368"/>
      <c r="MT153" s="368"/>
      <c r="MU153" s="368"/>
      <c r="MV153" s="368"/>
      <c r="MW153" s="368"/>
      <c r="MX153" s="368"/>
      <c r="MY153" s="368"/>
      <c r="MZ153" s="368"/>
      <c r="NA153" s="368"/>
      <c r="NB153" s="368"/>
      <c r="NC153" s="368"/>
      <c r="ND153" s="368"/>
      <c r="NE153" s="368"/>
      <c r="NF153" s="368"/>
      <c r="NG153" s="368"/>
      <c r="NH153" s="368"/>
      <c r="NI153" s="368"/>
      <c r="NJ153" s="368"/>
      <c r="NK153" s="368"/>
      <c r="NL153" s="368"/>
      <c r="NM153" s="368"/>
      <c r="NN153" s="368"/>
      <c r="NO153" s="368"/>
      <c r="NP153" s="368"/>
      <c r="NQ153" s="368"/>
      <c r="NR153" s="368"/>
      <c r="NS153" s="368"/>
      <c r="NT153" s="368"/>
      <c r="NU153" s="368"/>
      <c r="NV153" s="368"/>
      <c r="NW153" s="368"/>
      <c r="NX153" s="368"/>
      <c r="NY153" s="368"/>
      <c r="NZ153" s="368"/>
      <c r="OA153" s="368"/>
      <c r="OB153" s="368"/>
      <c r="OC153" s="368"/>
      <c r="OD153" s="368"/>
      <c r="OE153" s="368"/>
      <c r="OF153" s="368"/>
      <c r="OG153" s="368"/>
      <c r="OH153" s="368"/>
      <c r="OI153" s="368"/>
      <c r="OJ153" s="368"/>
      <c r="OK153" s="368"/>
      <c r="OL153" s="368"/>
      <c r="OM153" s="368"/>
      <c r="ON153" s="368"/>
      <c r="OO153" s="368"/>
      <c r="OP153" s="368"/>
      <c r="OQ153" s="368"/>
      <c r="OR153" s="368"/>
      <c r="OS153" s="368"/>
      <c r="OT153" s="368"/>
      <c r="OU153" s="368"/>
      <c r="OV153" s="368"/>
      <c r="OW153" s="368"/>
      <c r="OX153" s="368"/>
      <c r="OY153" s="368"/>
      <c r="OZ153" s="368"/>
      <c r="PA153" s="368"/>
      <c r="PB153" s="368"/>
      <c r="PC153" s="368"/>
      <c r="PD153" s="368"/>
      <c r="PE153" s="368"/>
      <c r="PF153" s="368"/>
      <c r="PG153" s="368"/>
      <c r="PH153" s="368"/>
      <c r="PI153" s="368"/>
      <c r="PJ153" s="368"/>
      <c r="PK153" s="368"/>
      <c r="PL153" s="368"/>
      <c r="PM153" s="368"/>
      <c r="PN153" s="368"/>
      <c r="PO153" s="368"/>
      <c r="PP153" s="368"/>
      <c r="PQ153" s="368"/>
      <c r="PR153" s="368"/>
      <c r="PS153" s="368"/>
      <c r="PT153" s="368"/>
      <c r="PU153" s="368"/>
      <c r="PV153" s="368"/>
      <c r="PW153" s="368"/>
      <c r="PX153" s="368"/>
      <c r="PY153" s="368"/>
      <c r="PZ153" s="368"/>
      <c r="QA153" s="368"/>
      <c r="QB153" s="368"/>
      <c r="QC153" s="368"/>
      <c r="QD153" s="368"/>
      <c r="QE153" s="368"/>
      <c r="QF153" s="368"/>
      <c r="QG153" s="368"/>
      <c r="QH153" s="368"/>
      <c r="QI153" s="368"/>
      <c r="QJ153" s="368"/>
      <c r="QK153" s="368"/>
      <c r="QL153" s="368"/>
      <c r="QM153" s="368"/>
      <c r="QN153" s="368"/>
      <c r="QO153" s="368"/>
      <c r="QP153" s="368"/>
      <c r="QQ153" s="368"/>
      <c r="QR153" s="368"/>
      <c r="QS153" s="368"/>
      <c r="QT153" s="368"/>
      <c r="QU153" s="368"/>
      <c r="QV153" s="368"/>
      <c r="QW153" s="368"/>
      <c r="QX153" s="368"/>
      <c r="QY153" s="368"/>
      <c r="QZ153" s="368"/>
      <c r="RA153" s="368"/>
      <c r="RB153" s="368"/>
      <c r="RC153" s="368"/>
      <c r="RD153" s="368"/>
      <c r="RE153" s="368"/>
      <c r="RF153" s="368"/>
      <c r="RG153" s="368"/>
      <c r="RH153" s="368"/>
      <c r="RI153" s="368"/>
      <c r="RJ153" s="368"/>
      <c r="RK153" s="368"/>
      <c r="RL153" s="368"/>
      <c r="RM153" s="368"/>
      <c r="RN153" s="368"/>
      <c r="RO153" s="368"/>
      <c r="RP153" s="368"/>
      <c r="RQ153" s="368"/>
      <c r="RR153" s="368"/>
      <c r="RS153" s="368"/>
      <c r="RT153" s="368"/>
      <c r="RU153" s="368"/>
      <c r="RV153" s="368"/>
      <c r="RW153" s="368"/>
      <c r="RX153" s="368"/>
      <c r="RY153" s="368"/>
      <c r="RZ153" s="368"/>
      <c r="SA153" s="368"/>
      <c r="SB153" s="368"/>
      <c r="SC153" s="368"/>
      <c r="SD153" s="368"/>
      <c r="SE153" s="368"/>
      <c r="SF153" s="368"/>
      <c r="SG153" s="368"/>
      <c r="SH153" s="368"/>
      <c r="SI153" s="368"/>
      <c r="SJ153" s="368"/>
      <c r="SK153" s="368"/>
      <c r="SL153" s="368"/>
      <c r="SM153" s="368"/>
      <c r="SN153" s="368"/>
      <c r="SO153" s="368"/>
      <c r="SP153" s="368"/>
      <c r="SQ153" s="368"/>
      <c r="SR153" s="368"/>
      <c r="SS153" s="368"/>
      <c r="ST153" s="368"/>
      <c r="SU153" s="368"/>
      <c r="SV153" s="368"/>
      <c r="SW153" s="368"/>
      <c r="SX153" s="368"/>
      <c r="SY153" s="368"/>
      <c r="SZ153" s="368"/>
      <c r="TA153" s="368"/>
      <c r="TB153" s="368"/>
      <c r="TC153" s="368"/>
      <c r="TD153" s="368"/>
      <c r="TE153" s="368"/>
      <c r="TF153" s="368"/>
      <c r="TG153" s="368"/>
      <c r="TH153" s="368"/>
      <c r="TI153" s="368"/>
      <c r="TJ153" s="368"/>
      <c r="TK153" s="368"/>
      <c r="TL153" s="368"/>
      <c r="TM153" s="368"/>
      <c r="TN153" s="368"/>
      <c r="TO153" s="368"/>
      <c r="TP153" s="368"/>
      <c r="TQ153" s="368"/>
      <c r="TR153" s="368"/>
      <c r="TS153" s="368"/>
      <c r="TT153" s="368"/>
      <c r="TU153" s="368"/>
      <c r="TV153" s="368"/>
      <c r="TW153" s="368"/>
      <c r="TX153" s="368"/>
      <c r="TY153" s="368"/>
      <c r="TZ153" s="368"/>
      <c r="UA153" s="368"/>
      <c r="UB153" s="368"/>
      <c r="UC153" s="368"/>
      <c r="UD153" s="368"/>
      <c r="UE153" s="368"/>
      <c r="UF153" s="368"/>
      <c r="UG153" s="368"/>
      <c r="UH153" s="368"/>
      <c r="UI153" s="368"/>
      <c r="UJ153" s="368"/>
      <c r="UK153" s="368"/>
      <c r="UL153" s="368"/>
      <c r="UM153" s="368"/>
      <c r="UN153" s="368"/>
      <c r="UO153" s="368"/>
      <c r="UP153" s="368"/>
      <c r="UQ153" s="368"/>
      <c r="UR153" s="368"/>
      <c r="US153" s="368"/>
      <c r="UT153" s="368"/>
      <c r="UU153" s="368"/>
      <c r="UV153" s="368"/>
      <c r="UW153" s="368"/>
      <c r="UX153" s="368"/>
      <c r="UY153" s="368"/>
      <c r="UZ153" s="368"/>
      <c r="VA153" s="368"/>
      <c r="VB153" s="368"/>
      <c r="VC153" s="368"/>
      <c r="VD153" s="368"/>
      <c r="VE153" s="368"/>
      <c r="VF153" s="368"/>
      <c r="VG153" s="368"/>
      <c r="VH153" s="368"/>
      <c r="VI153" s="368"/>
      <c r="VJ153" s="368"/>
      <c r="VK153" s="368"/>
      <c r="VL153" s="368"/>
      <c r="VM153" s="368"/>
      <c r="VN153" s="368"/>
      <c r="VO153" s="368"/>
      <c r="VP153" s="368"/>
      <c r="VQ153" s="368"/>
      <c r="VR153" s="368"/>
      <c r="VS153" s="368"/>
      <c r="VT153" s="368"/>
      <c r="VU153" s="368"/>
      <c r="VV153" s="368"/>
      <c r="VW153" s="368"/>
      <c r="VX153" s="368"/>
      <c r="VY153" s="368"/>
      <c r="VZ153" s="368"/>
      <c r="WA153" s="368"/>
      <c r="WB153" s="368"/>
      <c r="WC153" s="368"/>
      <c r="WD153" s="368"/>
      <c r="WE153" s="368"/>
      <c r="WF153" s="368"/>
      <c r="WG153" s="368"/>
      <c r="WH153" s="368"/>
      <c r="WI153" s="368"/>
      <c r="WJ153" s="368"/>
      <c r="WK153" s="368"/>
      <c r="WL153" s="368"/>
      <c r="WM153" s="368"/>
      <c r="WN153" s="368"/>
      <c r="WO153" s="368"/>
      <c r="WP153" s="368"/>
      <c r="WQ153" s="368"/>
      <c r="WR153" s="368"/>
      <c r="WS153" s="368"/>
      <c r="WT153" s="368"/>
      <c r="WU153" s="368"/>
      <c r="WV153" s="368"/>
      <c r="WW153" s="368"/>
      <c r="WX153" s="368"/>
      <c r="WY153" s="368"/>
      <c r="WZ153" s="368"/>
      <c r="XA153" s="368"/>
      <c r="XB153" s="368"/>
      <c r="XC153" s="368"/>
      <c r="XD153" s="368"/>
      <c r="XE153" s="368"/>
      <c r="XF153" s="368"/>
      <c r="XG153" s="368"/>
      <c r="XH153" s="368"/>
      <c r="XI153" s="368"/>
      <c r="XJ153" s="368"/>
      <c r="XK153" s="368"/>
      <c r="XL153" s="368"/>
      <c r="XM153" s="368"/>
      <c r="XN153" s="368"/>
      <c r="XO153" s="368"/>
      <c r="XP153" s="368"/>
      <c r="XQ153" s="368"/>
      <c r="XR153" s="368"/>
      <c r="XS153" s="368"/>
      <c r="XT153" s="368"/>
      <c r="XU153" s="368"/>
      <c r="XV153" s="368"/>
      <c r="XW153" s="368"/>
      <c r="XX153" s="368"/>
      <c r="XY153" s="368"/>
      <c r="XZ153" s="368"/>
      <c r="YA153" s="368"/>
      <c r="YB153" s="368"/>
      <c r="YC153" s="368"/>
      <c r="YD153" s="368"/>
      <c r="YE153" s="368"/>
      <c r="YF153" s="368"/>
      <c r="YG153" s="368"/>
      <c r="YH153" s="368"/>
      <c r="YI153" s="368"/>
      <c r="YJ153" s="368"/>
      <c r="YK153" s="368"/>
      <c r="YL153" s="368"/>
      <c r="YM153" s="368"/>
      <c r="YN153" s="368"/>
      <c r="YO153" s="368"/>
      <c r="YP153" s="368"/>
      <c r="YQ153" s="368"/>
      <c r="YR153" s="368"/>
      <c r="YS153" s="368"/>
      <c r="YT153" s="368"/>
      <c r="YU153" s="368"/>
      <c r="YV153" s="368"/>
      <c r="YW153" s="368"/>
      <c r="YX153" s="368"/>
      <c r="YY153" s="368"/>
      <c r="YZ153" s="368"/>
      <c r="ZA153" s="368"/>
      <c r="ZB153" s="368"/>
      <c r="ZC153" s="368"/>
      <c r="ZD153" s="368"/>
      <c r="ZE153" s="368"/>
      <c r="ZF153" s="368"/>
      <c r="ZG153" s="368"/>
      <c r="ZH153" s="368"/>
      <c r="ZI153" s="368"/>
      <c r="ZJ153" s="368"/>
      <c r="ZK153" s="368"/>
      <c r="ZL153" s="368"/>
      <c r="ZM153" s="368"/>
      <c r="ZN153" s="368"/>
      <c r="ZO153" s="368"/>
      <c r="ZP153" s="368"/>
      <c r="ZQ153" s="368"/>
      <c r="ZR153" s="368"/>
      <c r="ZS153" s="368"/>
      <c r="ZT153" s="368"/>
      <c r="ZU153" s="368"/>
      <c r="ZV153" s="368"/>
      <c r="ZW153" s="368"/>
      <c r="ZX153" s="368"/>
      <c r="ZY153" s="368"/>
      <c r="ZZ153" s="368"/>
      <c r="AAA153" s="368"/>
      <c r="AAB153" s="368"/>
      <c r="AAC153" s="368"/>
      <c r="AAD153" s="368"/>
      <c r="AAE153" s="368"/>
      <c r="AAF153" s="368"/>
      <c r="AAG153" s="368"/>
      <c r="AAH153" s="368"/>
      <c r="AAI153" s="368"/>
      <c r="AAJ153" s="368"/>
      <c r="AAK153" s="368"/>
      <c r="AAL153" s="368"/>
      <c r="AAM153" s="368"/>
      <c r="AAN153" s="368"/>
      <c r="AAO153" s="368"/>
      <c r="AAP153" s="368"/>
      <c r="AAQ153" s="368"/>
      <c r="AAR153" s="368"/>
      <c r="AAS153" s="368"/>
      <c r="AAT153" s="368"/>
      <c r="AAU153" s="368"/>
      <c r="AAV153" s="368"/>
      <c r="AAW153" s="368"/>
      <c r="AAX153" s="368"/>
      <c r="AAY153" s="368"/>
      <c r="AAZ153" s="368"/>
      <c r="ABA153" s="368"/>
      <c r="ABB153" s="368"/>
      <c r="ABC153" s="368"/>
      <c r="ABD153" s="368"/>
      <c r="ABE153" s="368"/>
      <c r="ABF153" s="368"/>
      <c r="ABG153" s="368"/>
      <c r="ABH153" s="368"/>
      <c r="ABI153" s="368"/>
      <c r="ABJ153" s="368"/>
      <c r="ABK153" s="368"/>
      <c r="ABL153" s="368"/>
      <c r="ABM153" s="368"/>
      <c r="ABN153" s="368"/>
      <c r="ABO153" s="368"/>
      <c r="ABP153" s="368"/>
      <c r="ABQ153" s="368"/>
      <c r="ABR153" s="368"/>
      <c r="ABS153" s="368"/>
      <c r="ABT153" s="368"/>
      <c r="ABU153" s="368"/>
      <c r="ABV153" s="368"/>
      <c r="ABW153" s="368"/>
      <c r="ABX153" s="368"/>
      <c r="ABY153" s="368"/>
      <c r="ABZ153" s="368"/>
      <c r="ACA153" s="368"/>
      <c r="ACB153" s="368"/>
      <c r="ACC153" s="368"/>
      <c r="ACD153" s="368"/>
      <c r="ACE153" s="368"/>
      <c r="ACF153" s="368"/>
      <c r="ACG153" s="368"/>
      <c r="ACH153" s="368"/>
      <c r="ACI153" s="368"/>
      <c r="ACJ153" s="368"/>
      <c r="ACK153" s="368"/>
      <c r="ACL153" s="368"/>
      <c r="ACM153" s="368"/>
      <c r="ACN153" s="368"/>
      <c r="ACO153" s="368"/>
      <c r="ACP153" s="368"/>
      <c r="ACQ153" s="368"/>
      <c r="ACR153" s="368"/>
      <c r="ACS153" s="368"/>
      <c r="ACT153" s="368"/>
      <c r="ACU153" s="368"/>
      <c r="ACV153" s="368"/>
      <c r="ACW153" s="368"/>
      <c r="ACX153" s="368"/>
      <c r="ACY153" s="368"/>
      <c r="ACZ153" s="368"/>
      <c r="ADA153" s="368"/>
      <c r="ADB153" s="368"/>
      <c r="ADC153" s="368"/>
      <c r="ADD153" s="368"/>
      <c r="ADE153" s="368"/>
      <c r="ADF153" s="368"/>
      <c r="ADG153" s="368"/>
      <c r="ADH153" s="368"/>
      <c r="ADI153" s="368"/>
      <c r="ADJ153" s="368"/>
      <c r="ADK153" s="368"/>
      <c r="ADL153" s="368"/>
      <c r="ADM153" s="368"/>
      <c r="ADN153" s="368"/>
      <c r="ADO153" s="368"/>
      <c r="ADP153" s="368"/>
      <c r="ADQ153" s="368"/>
      <c r="ADR153" s="368"/>
      <c r="ADS153" s="368"/>
      <c r="ADT153" s="368"/>
      <c r="ADU153" s="368"/>
      <c r="ADV153" s="368"/>
      <c r="ADW153" s="368"/>
      <c r="ADX153" s="368"/>
      <c r="ADY153" s="368"/>
      <c r="ADZ153" s="368"/>
      <c r="AEA153" s="368"/>
      <c r="AEB153" s="368"/>
      <c r="AEC153" s="368"/>
      <c r="AED153" s="368"/>
      <c r="AEE153" s="368"/>
      <c r="AEF153" s="368"/>
      <c r="AEG153" s="368"/>
      <c r="AEH153" s="368"/>
      <c r="AEI153" s="368"/>
      <c r="AEJ153" s="368"/>
      <c r="AEK153" s="368"/>
      <c r="AEL153" s="368"/>
      <c r="AEM153" s="368"/>
      <c r="AEN153" s="368"/>
      <c r="AEO153" s="368"/>
      <c r="AEP153" s="368"/>
      <c r="AEQ153" s="368"/>
      <c r="AER153" s="368"/>
      <c r="AES153" s="368"/>
      <c r="AET153" s="368"/>
      <c r="AEU153" s="368"/>
      <c r="AEV153" s="368"/>
      <c r="AEW153" s="368"/>
      <c r="AEX153" s="368"/>
      <c r="AEY153" s="368"/>
      <c r="AEZ153" s="368"/>
      <c r="AFA153" s="368"/>
      <c r="AFB153" s="368"/>
      <c r="AFC153" s="368"/>
      <c r="AFD153" s="368"/>
      <c r="AFE153" s="368"/>
      <c r="AFF153" s="368"/>
      <c r="AFG153" s="368"/>
      <c r="AFH153" s="368"/>
      <c r="AFI153" s="368"/>
      <c r="AFJ153" s="368"/>
      <c r="AFK153" s="368"/>
      <c r="AFL153" s="368"/>
      <c r="AFM153" s="368"/>
      <c r="AFN153" s="368"/>
      <c r="AFO153" s="368"/>
      <c r="AFP153" s="368"/>
      <c r="AFQ153" s="368"/>
      <c r="AFR153" s="368"/>
      <c r="AFS153" s="368"/>
      <c r="AFT153" s="368"/>
      <c r="AFU153" s="368"/>
      <c r="AFV153" s="368"/>
      <c r="AFW153" s="368"/>
      <c r="AFX153" s="368"/>
      <c r="AFY153" s="368"/>
      <c r="AFZ153" s="368"/>
      <c r="AGA153" s="368"/>
      <c r="AGB153" s="368"/>
      <c r="AGC153" s="368"/>
      <c r="AGD153" s="368"/>
      <c r="AGE153" s="368"/>
      <c r="AGF153" s="368"/>
      <c r="AGG153" s="368"/>
      <c r="AGH153" s="368"/>
      <c r="AGI153" s="368"/>
      <c r="AGJ153" s="368"/>
      <c r="AGK153" s="368"/>
      <c r="AGL153" s="368"/>
      <c r="AGM153" s="368"/>
      <c r="AGN153" s="368"/>
      <c r="AGO153" s="368"/>
      <c r="AGP153" s="368"/>
      <c r="AGQ153" s="368"/>
      <c r="AGR153" s="368"/>
      <c r="AGS153" s="368"/>
      <c r="AGT153" s="368"/>
      <c r="AGU153" s="368"/>
      <c r="AGV153" s="368"/>
      <c r="AGW153" s="368"/>
      <c r="AGX153" s="368"/>
      <c r="AGY153" s="368"/>
      <c r="AGZ153" s="368"/>
      <c r="AHA153" s="368"/>
      <c r="AHB153" s="368"/>
      <c r="AHC153" s="368"/>
      <c r="AHD153" s="368"/>
      <c r="AHE153" s="368"/>
      <c r="AHF153" s="368"/>
      <c r="AHG153" s="368"/>
      <c r="AHH153" s="368"/>
      <c r="AHI153" s="368"/>
      <c r="AHJ153" s="368"/>
      <c r="AHK153" s="368"/>
      <c r="AHL153" s="368"/>
      <c r="AHM153" s="368"/>
      <c r="AHN153" s="368"/>
      <c r="AHO153" s="368"/>
      <c r="AHP153" s="368"/>
      <c r="AHQ153" s="368"/>
      <c r="AHR153" s="368"/>
      <c r="AHS153" s="368"/>
      <c r="AHT153" s="368"/>
      <c r="AHU153" s="368"/>
      <c r="AHV153" s="368"/>
      <c r="AHW153" s="368"/>
      <c r="AHX153" s="368"/>
      <c r="AHY153" s="368"/>
      <c r="AHZ153" s="368"/>
      <c r="AIA153" s="368"/>
      <c r="AIB153" s="368"/>
      <c r="AIC153" s="368"/>
      <c r="AID153" s="368"/>
      <c r="AIE153" s="368"/>
      <c r="AIF153" s="368"/>
      <c r="AIG153" s="368"/>
      <c r="AIH153" s="368"/>
      <c r="AII153" s="368"/>
      <c r="AIJ153" s="368"/>
      <c r="AIK153" s="368"/>
      <c r="AIL153" s="368"/>
      <c r="AIM153" s="368"/>
      <c r="AIN153" s="368"/>
      <c r="AIO153" s="368"/>
      <c r="AIP153" s="368"/>
      <c r="AIQ153" s="368"/>
      <c r="AIR153" s="368"/>
      <c r="AIS153" s="368"/>
      <c r="AIT153" s="368"/>
      <c r="AIU153" s="368"/>
      <c r="AIV153" s="368"/>
      <c r="AIW153" s="368"/>
      <c r="AIX153" s="368"/>
      <c r="AIY153" s="368"/>
      <c r="AIZ153" s="368"/>
      <c r="AJA153" s="368"/>
      <c r="AJB153" s="368"/>
      <c r="AJC153" s="368"/>
      <c r="AJD153" s="368"/>
      <c r="AJE153" s="368"/>
      <c r="AJF153" s="368"/>
      <c r="AJG153" s="368"/>
      <c r="AJH153" s="368"/>
      <c r="AJI153" s="368"/>
      <c r="AJJ153" s="368"/>
      <c r="AJK153" s="368"/>
      <c r="AJL153" s="368"/>
      <c r="AJM153" s="368"/>
      <c r="AJN153" s="368"/>
      <c r="AJO153" s="368"/>
      <c r="AJP153" s="368"/>
      <c r="AJQ153" s="368"/>
      <c r="AJR153" s="368"/>
      <c r="AJS153" s="368"/>
      <c r="AJT153" s="368"/>
      <c r="AJU153" s="368"/>
      <c r="AJV153" s="368"/>
      <c r="AJW153" s="368"/>
      <c r="AJX153" s="368"/>
      <c r="AJY153" s="368"/>
      <c r="AJZ153" s="368"/>
      <c r="AKA153" s="368"/>
      <c r="AKB153" s="368"/>
      <c r="AKC153" s="368"/>
      <c r="AKD153" s="368"/>
      <c r="AKE153" s="368"/>
      <c r="AKF153" s="368"/>
      <c r="AKG153" s="368"/>
      <c r="AKH153" s="368"/>
      <c r="AKI153" s="368"/>
      <c r="AKJ153" s="368"/>
      <c r="AKK153" s="368"/>
      <c r="AKL153" s="368"/>
      <c r="AKM153" s="368"/>
      <c r="AKN153" s="368"/>
    </row>
    <row r="154" spans="1:976" s="346" customFormat="1" ht="22.5" customHeight="1" x14ac:dyDescent="0.2">
      <c r="A154" s="370" t="s">
        <v>262</v>
      </c>
      <c r="B154" s="370"/>
      <c r="C154" s="370" t="s">
        <v>221</v>
      </c>
      <c r="D154" s="370" t="s">
        <v>222</v>
      </c>
      <c r="E154" s="371">
        <v>414766</v>
      </c>
      <c r="F154" s="371">
        <v>1893</v>
      </c>
      <c r="G154" s="371">
        <v>303</v>
      </c>
      <c r="H154" s="371">
        <v>0</v>
      </c>
      <c r="I154" s="372">
        <v>45902</v>
      </c>
      <c r="J154" s="370" t="s">
        <v>263</v>
      </c>
      <c r="K154" s="370" t="s">
        <v>702</v>
      </c>
      <c r="L154" s="373">
        <v>26.36</v>
      </c>
      <c r="M154" s="373">
        <v>2.36</v>
      </c>
      <c r="N154" s="444">
        <v>28.72</v>
      </c>
      <c r="O154" s="370"/>
      <c r="P154" s="374">
        <v>45904</v>
      </c>
      <c r="Q154" s="373">
        <v>28.72</v>
      </c>
      <c r="R154" s="370" t="s">
        <v>703</v>
      </c>
      <c r="S154" s="373">
        <v>0</v>
      </c>
      <c r="T154" s="373">
        <v>0</v>
      </c>
      <c r="U154" s="373">
        <v>0</v>
      </c>
      <c r="V154" s="373">
        <v>0</v>
      </c>
      <c r="W154" s="370"/>
      <c r="X154" s="370" t="s">
        <v>293</v>
      </c>
      <c r="Y154" s="370" t="s">
        <v>294</v>
      </c>
      <c r="Z154" s="370" t="s">
        <v>42</v>
      </c>
      <c r="AA154" s="370" t="s">
        <v>228</v>
      </c>
      <c r="AB154" s="370" t="s">
        <v>235</v>
      </c>
      <c r="AC154" s="370" t="s">
        <v>331</v>
      </c>
      <c r="AD154" s="370" t="s">
        <v>231</v>
      </c>
      <c r="AE154" s="370" t="s">
        <v>232</v>
      </c>
      <c r="AF154" s="370" t="s">
        <v>231</v>
      </c>
      <c r="AG154" s="370" t="s">
        <v>232</v>
      </c>
      <c r="AH154" s="370"/>
      <c r="AI154" s="370"/>
      <c r="AJ154" s="370"/>
      <c r="AK154" s="370" t="s">
        <v>704</v>
      </c>
      <c r="AL154" s="371">
        <v>1</v>
      </c>
      <c r="AM154" s="371">
        <v>0</v>
      </c>
      <c r="AN154" s="372">
        <v>45904</v>
      </c>
      <c r="AO154" s="372">
        <v>45904</v>
      </c>
      <c r="AP154" s="373">
        <v>28.72</v>
      </c>
      <c r="AQ154" s="372">
        <v>45903</v>
      </c>
      <c r="AR154" s="368"/>
      <c r="AS154" s="368"/>
      <c r="AT154" s="368"/>
      <c r="AU154" s="368"/>
      <c r="AV154" s="368"/>
      <c r="AW154" s="368"/>
      <c r="AX154" s="368"/>
      <c r="AY154" s="368"/>
      <c r="AZ154" s="368"/>
      <c r="BA154" s="368"/>
      <c r="BB154" s="368"/>
      <c r="BC154" s="368"/>
      <c r="BD154" s="368"/>
      <c r="BE154" s="368"/>
      <c r="BF154" s="368"/>
      <c r="BG154" s="368"/>
      <c r="BH154" s="368"/>
      <c r="BI154" s="368"/>
      <c r="BJ154" s="368"/>
      <c r="BK154" s="368"/>
      <c r="BL154" s="368"/>
      <c r="BM154" s="368"/>
      <c r="BN154" s="368"/>
      <c r="BO154" s="368"/>
      <c r="BP154" s="368"/>
      <c r="BQ154" s="368"/>
      <c r="BR154" s="368"/>
      <c r="BS154" s="368"/>
      <c r="BT154" s="368"/>
      <c r="BU154" s="368"/>
      <c r="BV154" s="368"/>
      <c r="BW154" s="368"/>
      <c r="BX154" s="368"/>
      <c r="BY154" s="368"/>
      <c r="BZ154" s="368"/>
      <c r="CA154" s="368"/>
      <c r="CB154" s="368"/>
      <c r="CC154" s="368"/>
      <c r="CD154" s="368"/>
      <c r="CE154" s="368"/>
      <c r="CF154" s="368"/>
      <c r="CG154" s="368"/>
      <c r="CH154" s="368"/>
      <c r="CI154" s="368"/>
      <c r="CJ154" s="368"/>
      <c r="CK154" s="368"/>
      <c r="CL154" s="368"/>
      <c r="CM154" s="368"/>
      <c r="CN154" s="368"/>
      <c r="CO154" s="368"/>
      <c r="CP154" s="368"/>
      <c r="CQ154" s="368"/>
      <c r="CR154" s="368"/>
      <c r="CS154" s="368"/>
      <c r="CT154" s="368"/>
      <c r="CU154" s="368"/>
      <c r="CV154" s="368"/>
      <c r="CW154" s="368"/>
      <c r="CX154" s="368"/>
      <c r="CY154" s="368"/>
      <c r="CZ154" s="368"/>
      <c r="DA154" s="368"/>
      <c r="DB154" s="368"/>
      <c r="DC154" s="368"/>
      <c r="DD154" s="368"/>
      <c r="DE154" s="368"/>
      <c r="DF154" s="368"/>
      <c r="DG154" s="368"/>
      <c r="DH154" s="368"/>
      <c r="DI154" s="368"/>
      <c r="DJ154" s="368"/>
      <c r="DK154" s="368"/>
      <c r="DL154" s="368"/>
      <c r="DM154" s="368"/>
      <c r="DN154" s="368"/>
      <c r="DO154" s="368"/>
      <c r="DP154" s="368"/>
      <c r="DQ154" s="368"/>
      <c r="DR154" s="368"/>
      <c r="DS154" s="368"/>
      <c r="DT154" s="368"/>
      <c r="DU154" s="368"/>
      <c r="DV154" s="368"/>
      <c r="DW154" s="368"/>
      <c r="DX154" s="368"/>
      <c r="DY154" s="368"/>
      <c r="DZ154" s="368"/>
      <c r="EA154" s="368"/>
      <c r="EB154" s="368"/>
      <c r="EC154" s="368"/>
      <c r="ED154" s="368"/>
      <c r="EE154" s="368"/>
      <c r="EF154" s="368"/>
      <c r="EG154" s="368"/>
      <c r="EH154" s="368"/>
      <c r="EI154" s="368"/>
      <c r="EJ154" s="368"/>
      <c r="EK154" s="368"/>
      <c r="EL154" s="368"/>
      <c r="EM154" s="368"/>
      <c r="EN154" s="368"/>
      <c r="EO154" s="368"/>
      <c r="EP154" s="368"/>
      <c r="EQ154" s="368"/>
      <c r="ER154" s="368"/>
      <c r="ES154" s="368"/>
      <c r="ET154" s="368"/>
      <c r="EU154" s="368"/>
      <c r="EV154" s="368"/>
      <c r="EW154" s="368"/>
      <c r="EX154" s="368"/>
      <c r="EY154" s="368"/>
      <c r="EZ154" s="368"/>
      <c r="FA154" s="368"/>
      <c r="FB154" s="368"/>
      <c r="FC154" s="368"/>
      <c r="FD154" s="368"/>
      <c r="FE154" s="368"/>
      <c r="FF154" s="368"/>
      <c r="FG154" s="368"/>
      <c r="FH154" s="368"/>
      <c r="FI154" s="368"/>
      <c r="FJ154" s="368"/>
      <c r="FK154" s="368"/>
      <c r="FL154" s="368"/>
      <c r="FM154" s="368"/>
      <c r="FN154" s="368"/>
      <c r="FO154" s="368"/>
      <c r="FP154" s="368"/>
      <c r="FQ154" s="368"/>
      <c r="FR154" s="368"/>
      <c r="FS154" s="368"/>
      <c r="FT154" s="368"/>
      <c r="FU154" s="368"/>
      <c r="FV154" s="368"/>
      <c r="FW154" s="368"/>
      <c r="FX154" s="368"/>
      <c r="FY154" s="368"/>
      <c r="FZ154" s="368"/>
      <c r="GA154" s="368"/>
      <c r="GB154" s="368"/>
      <c r="GC154" s="368"/>
      <c r="GD154" s="368"/>
      <c r="GE154" s="368"/>
      <c r="GF154" s="368"/>
      <c r="GG154" s="368"/>
      <c r="GH154" s="368"/>
      <c r="GI154" s="368"/>
      <c r="GJ154" s="368"/>
      <c r="GK154" s="368"/>
      <c r="GL154" s="368"/>
      <c r="GM154" s="368"/>
      <c r="GN154" s="368"/>
      <c r="GO154" s="368"/>
      <c r="GP154" s="368"/>
      <c r="GQ154" s="368"/>
      <c r="GR154" s="368"/>
      <c r="GS154" s="368"/>
      <c r="GT154" s="368"/>
      <c r="GU154" s="368"/>
      <c r="GV154" s="368"/>
      <c r="GW154" s="368"/>
      <c r="GX154" s="368"/>
      <c r="GY154" s="368"/>
      <c r="GZ154" s="368"/>
      <c r="HA154" s="368"/>
      <c r="HB154" s="368"/>
      <c r="HC154" s="368"/>
      <c r="HD154" s="368"/>
      <c r="HE154" s="368"/>
      <c r="HF154" s="368"/>
      <c r="HG154" s="368"/>
      <c r="HH154" s="368"/>
      <c r="HI154" s="368"/>
      <c r="HJ154" s="368"/>
      <c r="HK154" s="368"/>
      <c r="HL154" s="368"/>
      <c r="HM154" s="368"/>
      <c r="HN154" s="368"/>
      <c r="HO154" s="368"/>
      <c r="HP154" s="368"/>
      <c r="HQ154" s="368"/>
      <c r="HR154" s="368"/>
      <c r="HS154" s="368"/>
      <c r="HT154" s="368"/>
      <c r="HU154" s="368"/>
      <c r="HV154" s="368"/>
      <c r="HW154" s="368"/>
      <c r="HX154" s="368"/>
      <c r="HY154" s="368"/>
      <c r="HZ154" s="368"/>
      <c r="IA154" s="368"/>
      <c r="IB154" s="368"/>
      <c r="IC154" s="368"/>
      <c r="ID154" s="368"/>
      <c r="IE154" s="368"/>
      <c r="IF154" s="368"/>
      <c r="IG154" s="368"/>
      <c r="IH154" s="368"/>
      <c r="II154" s="368"/>
      <c r="IJ154" s="368"/>
      <c r="IK154" s="368"/>
      <c r="IL154" s="368"/>
      <c r="IM154" s="368"/>
      <c r="IN154" s="368"/>
      <c r="IO154" s="368"/>
      <c r="IP154" s="368"/>
      <c r="IQ154" s="368"/>
      <c r="IR154" s="368"/>
      <c r="IS154" s="368"/>
      <c r="IT154" s="368"/>
      <c r="IU154" s="368"/>
      <c r="IV154" s="368"/>
      <c r="IW154" s="368"/>
      <c r="IX154" s="368"/>
      <c r="IY154" s="368"/>
      <c r="IZ154" s="368"/>
      <c r="JA154" s="368"/>
      <c r="JB154" s="368"/>
      <c r="JC154" s="368"/>
      <c r="JD154" s="368"/>
      <c r="JE154" s="368"/>
      <c r="JF154" s="368"/>
      <c r="JG154" s="368"/>
      <c r="JH154" s="368"/>
      <c r="JI154" s="368"/>
      <c r="JJ154" s="368"/>
      <c r="JK154" s="368"/>
      <c r="JL154" s="368"/>
      <c r="JM154" s="368"/>
      <c r="JN154" s="368"/>
      <c r="JO154" s="368"/>
      <c r="JP154" s="368"/>
      <c r="JQ154" s="368"/>
      <c r="JR154" s="368"/>
      <c r="JS154" s="368"/>
      <c r="JT154" s="368"/>
      <c r="JU154" s="368"/>
      <c r="JV154" s="368"/>
      <c r="JW154" s="368"/>
      <c r="JX154" s="368"/>
      <c r="JY154" s="368"/>
      <c r="JZ154" s="368"/>
      <c r="KA154" s="368"/>
      <c r="KB154" s="368"/>
      <c r="KC154" s="368"/>
      <c r="KD154" s="368"/>
      <c r="KE154" s="368"/>
      <c r="KF154" s="368"/>
      <c r="KG154" s="368"/>
      <c r="KH154" s="368"/>
      <c r="KI154" s="368"/>
      <c r="KJ154" s="368"/>
      <c r="KK154" s="368"/>
      <c r="KL154" s="368"/>
      <c r="KM154" s="368"/>
      <c r="KN154" s="368"/>
      <c r="KO154" s="368"/>
      <c r="KP154" s="368"/>
      <c r="KQ154" s="368"/>
      <c r="KR154" s="368"/>
      <c r="KS154" s="368"/>
      <c r="KT154" s="368"/>
      <c r="KU154" s="368"/>
      <c r="KV154" s="368"/>
      <c r="KW154" s="368"/>
      <c r="KX154" s="368"/>
      <c r="KY154" s="368"/>
      <c r="KZ154" s="368"/>
      <c r="LA154" s="368"/>
      <c r="LB154" s="368"/>
      <c r="LC154" s="368"/>
      <c r="LD154" s="368"/>
      <c r="LE154" s="368"/>
      <c r="LF154" s="368"/>
      <c r="LG154" s="368"/>
      <c r="LH154" s="368"/>
      <c r="LI154" s="368"/>
      <c r="LJ154" s="368"/>
      <c r="LK154" s="368"/>
      <c r="LL154" s="368"/>
      <c r="LM154" s="368"/>
      <c r="LN154" s="368"/>
      <c r="LO154" s="368"/>
      <c r="LP154" s="368"/>
      <c r="LQ154" s="368"/>
      <c r="LR154" s="368"/>
      <c r="LS154" s="368"/>
      <c r="LT154" s="368"/>
      <c r="LU154" s="368"/>
      <c r="LV154" s="368"/>
      <c r="LW154" s="368"/>
      <c r="LX154" s="368"/>
      <c r="LY154" s="368"/>
      <c r="LZ154" s="368"/>
      <c r="MA154" s="368"/>
      <c r="MB154" s="368"/>
      <c r="MC154" s="368"/>
      <c r="MD154" s="368"/>
      <c r="ME154" s="368"/>
      <c r="MF154" s="368"/>
      <c r="MG154" s="368"/>
      <c r="MH154" s="368"/>
      <c r="MI154" s="368"/>
      <c r="MJ154" s="368"/>
      <c r="MK154" s="368"/>
      <c r="ML154" s="368"/>
      <c r="MM154" s="368"/>
      <c r="MN154" s="368"/>
      <c r="MO154" s="368"/>
      <c r="MP154" s="368"/>
      <c r="MQ154" s="368"/>
      <c r="MR154" s="368"/>
      <c r="MS154" s="368"/>
      <c r="MT154" s="368"/>
      <c r="MU154" s="368"/>
      <c r="MV154" s="368"/>
      <c r="MW154" s="368"/>
      <c r="MX154" s="368"/>
      <c r="MY154" s="368"/>
      <c r="MZ154" s="368"/>
      <c r="NA154" s="368"/>
      <c r="NB154" s="368"/>
      <c r="NC154" s="368"/>
      <c r="ND154" s="368"/>
      <c r="NE154" s="368"/>
      <c r="NF154" s="368"/>
      <c r="NG154" s="368"/>
      <c r="NH154" s="368"/>
      <c r="NI154" s="368"/>
      <c r="NJ154" s="368"/>
      <c r="NK154" s="368"/>
      <c r="NL154" s="368"/>
      <c r="NM154" s="368"/>
      <c r="NN154" s="368"/>
      <c r="NO154" s="368"/>
      <c r="NP154" s="368"/>
      <c r="NQ154" s="368"/>
      <c r="NR154" s="368"/>
      <c r="NS154" s="368"/>
      <c r="NT154" s="368"/>
      <c r="NU154" s="368"/>
      <c r="NV154" s="368"/>
      <c r="NW154" s="368"/>
      <c r="NX154" s="368"/>
      <c r="NY154" s="368"/>
      <c r="NZ154" s="368"/>
      <c r="OA154" s="368"/>
      <c r="OB154" s="368"/>
      <c r="OC154" s="368"/>
      <c r="OD154" s="368"/>
      <c r="OE154" s="368"/>
      <c r="OF154" s="368"/>
      <c r="OG154" s="368"/>
      <c r="OH154" s="368"/>
      <c r="OI154" s="368"/>
      <c r="OJ154" s="368"/>
      <c r="OK154" s="368"/>
      <c r="OL154" s="368"/>
      <c r="OM154" s="368"/>
      <c r="ON154" s="368"/>
      <c r="OO154" s="368"/>
      <c r="OP154" s="368"/>
      <c r="OQ154" s="368"/>
      <c r="OR154" s="368"/>
      <c r="OS154" s="368"/>
      <c r="OT154" s="368"/>
      <c r="OU154" s="368"/>
      <c r="OV154" s="368"/>
      <c r="OW154" s="368"/>
      <c r="OX154" s="368"/>
      <c r="OY154" s="368"/>
      <c r="OZ154" s="368"/>
      <c r="PA154" s="368"/>
      <c r="PB154" s="368"/>
      <c r="PC154" s="368"/>
      <c r="PD154" s="368"/>
      <c r="PE154" s="368"/>
      <c r="PF154" s="368"/>
      <c r="PG154" s="368"/>
      <c r="PH154" s="368"/>
      <c r="PI154" s="368"/>
      <c r="PJ154" s="368"/>
      <c r="PK154" s="368"/>
      <c r="PL154" s="368"/>
      <c r="PM154" s="368"/>
      <c r="PN154" s="368"/>
      <c r="PO154" s="368"/>
      <c r="PP154" s="368"/>
      <c r="PQ154" s="368"/>
      <c r="PR154" s="368"/>
      <c r="PS154" s="368"/>
      <c r="PT154" s="368"/>
      <c r="PU154" s="368"/>
      <c r="PV154" s="368"/>
      <c r="PW154" s="368"/>
      <c r="PX154" s="368"/>
      <c r="PY154" s="368"/>
      <c r="PZ154" s="368"/>
      <c r="QA154" s="368"/>
      <c r="QB154" s="368"/>
      <c r="QC154" s="368"/>
      <c r="QD154" s="368"/>
      <c r="QE154" s="368"/>
      <c r="QF154" s="368"/>
      <c r="QG154" s="368"/>
      <c r="QH154" s="368"/>
      <c r="QI154" s="368"/>
      <c r="QJ154" s="368"/>
      <c r="QK154" s="368"/>
      <c r="QL154" s="368"/>
      <c r="QM154" s="368"/>
      <c r="QN154" s="368"/>
      <c r="QO154" s="368"/>
      <c r="QP154" s="368"/>
      <c r="QQ154" s="368"/>
      <c r="QR154" s="368"/>
      <c r="QS154" s="368"/>
      <c r="QT154" s="368"/>
      <c r="QU154" s="368"/>
      <c r="QV154" s="368"/>
      <c r="QW154" s="368"/>
      <c r="QX154" s="368"/>
      <c r="QY154" s="368"/>
      <c r="QZ154" s="368"/>
      <c r="RA154" s="368"/>
      <c r="RB154" s="368"/>
      <c r="RC154" s="368"/>
      <c r="RD154" s="368"/>
      <c r="RE154" s="368"/>
      <c r="RF154" s="368"/>
      <c r="RG154" s="368"/>
      <c r="RH154" s="368"/>
      <c r="RI154" s="368"/>
      <c r="RJ154" s="368"/>
      <c r="RK154" s="368"/>
      <c r="RL154" s="368"/>
      <c r="RM154" s="368"/>
      <c r="RN154" s="368"/>
      <c r="RO154" s="368"/>
      <c r="RP154" s="368"/>
      <c r="RQ154" s="368"/>
      <c r="RR154" s="368"/>
      <c r="RS154" s="368"/>
      <c r="RT154" s="368"/>
      <c r="RU154" s="368"/>
      <c r="RV154" s="368"/>
      <c r="RW154" s="368"/>
      <c r="RX154" s="368"/>
      <c r="RY154" s="368"/>
      <c r="RZ154" s="368"/>
      <c r="SA154" s="368"/>
      <c r="SB154" s="368"/>
      <c r="SC154" s="368"/>
      <c r="SD154" s="368"/>
      <c r="SE154" s="368"/>
      <c r="SF154" s="368"/>
      <c r="SG154" s="368"/>
      <c r="SH154" s="368"/>
      <c r="SI154" s="368"/>
      <c r="SJ154" s="368"/>
      <c r="SK154" s="368"/>
      <c r="SL154" s="368"/>
      <c r="SM154" s="368"/>
      <c r="SN154" s="368"/>
      <c r="SO154" s="368"/>
      <c r="SP154" s="368"/>
      <c r="SQ154" s="368"/>
      <c r="SR154" s="368"/>
      <c r="SS154" s="368"/>
      <c r="ST154" s="368"/>
      <c r="SU154" s="368"/>
      <c r="SV154" s="368"/>
      <c r="SW154" s="368"/>
      <c r="SX154" s="368"/>
      <c r="SY154" s="368"/>
      <c r="SZ154" s="368"/>
      <c r="TA154" s="368"/>
      <c r="TB154" s="368"/>
      <c r="TC154" s="368"/>
      <c r="TD154" s="368"/>
      <c r="TE154" s="368"/>
      <c r="TF154" s="368"/>
      <c r="TG154" s="368"/>
      <c r="TH154" s="368"/>
      <c r="TI154" s="368"/>
      <c r="TJ154" s="368"/>
      <c r="TK154" s="368"/>
      <c r="TL154" s="368"/>
      <c r="TM154" s="368"/>
      <c r="TN154" s="368"/>
      <c r="TO154" s="368"/>
      <c r="TP154" s="368"/>
      <c r="TQ154" s="368"/>
      <c r="TR154" s="368"/>
      <c r="TS154" s="368"/>
      <c r="TT154" s="368"/>
      <c r="TU154" s="368"/>
      <c r="TV154" s="368"/>
      <c r="TW154" s="368"/>
      <c r="TX154" s="368"/>
      <c r="TY154" s="368"/>
      <c r="TZ154" s="368"/>
      <c r="UA154" s="368"/>
      <c r="UB154" s="368"/>
      <c r="UC154" s="368"/>
      <c r="UD154" s="368"/>
      <c r="UE154" s="368"/>
      <c r="UF154" s="368"/>
      <c r="UG154" s="368"/>
      <c r="UH154" s="368"/>
      <c r="UI154" s="368"/>
      <c r="UJ154" s="368"/>
      <c r="UK154" s="368"/>
      <c r="UL154" s="368"/>
      <c r="UM154" s="368"/>
      <c r="UN154" s="368"/>
      <c r="UO154" s="368"/>
      <c r="UP154" s="368"/>
      <c r="UQ154" s="368"/>
      <c r="UR154" s="368"/>
      <c r="US154" s="368"/>
      <c r="UT154" s="368"/>
      <c r="UU154" s="368"/>
      <c r="UV154" s="368"/>
      <c r="UW154" s="368"/>
      <c r="UX154" s="368"/>
      <c r="UY154" s="368"/>
      <c r="UZ154" s="368"/>
      <c r="VA154" s="368"/>
      <c r="VB154" s="368"/>
      <c r="VC154" s="368"/>
      <c r="VD154" s="368"/>
      <c r="VE154" s="368"/>
      <c r="VF154" s="368"/>
      <c r="VG154" s="368"/>
      <c r="VH154" s="368"/>
      <c r="VI154" s="368"/>
      <c r="VJ154" s="368"/>
      <c r="VK154" s="368"/>
      <c r="VL154" s="368"/>
      <c r="VM154" s="368"/>
      <c r="VN154" s="368"/>
      <c r="VO154" s="368"/>
      <c r="VP154" s="368"/>
      <c r="VQ154" s="368"/>
      <c r="VR154" s="368"/>
      <c r="VS154" s="368"/>
      <c r="VT154" s="368"/>
      <c r="VU154" s="368"/>
      <c r="VV154" s="368"/>
      <c r="VW154" s="368"/>
      <c r="VX154" s="368"/>
      <c r="VY154" s="368"/>
      <c r="VZ154" s="368"/>
      <c r="WA154" s="368"/>
      <c r="WB154" s="368"/>
      <c r="WC154" s="368"/>
      <c r="WD154" s="368"/>
      <c r="WE154" s="368"/>
      <c r="WF154" s="368"/>
      <c r="WG154" s="368"/>
      <c r="WH154" s="368"/>
      <c r="WI154" s="368"/>
      <c r="WJ154" s="368"/>
      <c r="WK154" s="368"/>
      <c r="WL154" s="368"/>
      <c r="WM154" s="368"/>
      <c r="WN154" s="368"/>
      <c r="WO154" s="368"/>
      <c r="WP154" s="368"/>
      <c r="WQ154" s="368"/>
      <c r="WR154" s="368"/>
      <c r="WS154" s="368"/>
      <c r="WT154" s="368"/>
      <c r="WU154" s="368"/>
      <c r="WV154" s="368"/>
      <c r="WW154" s="368"/>
      <c r="WX154" s="368"/>
      <c r="WY154" s="368"/>
      <c r="WZ154" s="368"/>
      <c r="XA154" s="368"/>
      <c r="XB154" s="368"/>
      <c r="XC154" s="368"/>
      <c r="XD154" s="368"/>
      <c r="XE154" s="368"/>
      <c r="XF154" s="368"/>
      <c r="XG154" s="368"/>
      <c r="XH154" s="368"/>
      <c r="XI154" s="368"/>
      <c r="XJ154" s="368"/>
      <c r="XK154" s="368"/>
      <c r="XL154" s="368"/>
      <c r="XM154" s="368"/>
      <c r="XN154" s="368"/>
      <c r="XO154" s="368"/>
      <c r="XP154" s="368"/>
      <c r="XQ154" s="368"/>
      <c r="XR154" s="368"/>
      <c r="XS154" s="368"/>
      <c r="XT154" s="368"/>
      <c r="XU154" s="368"/>
      <c r="XV154" s="368"/>
      <c r="XW154" s="368"/>
      <c r="XX154" s="368"/>
      <c r="XY154" s="368"/>
      <c r="XZ154" s="368"/>
      <c r="YA154" s="368"/>
      <c r="YB154" s="368"/>
      <c r="YC154" s="368"/>
      <c r="YD154" s="368"/>
      <c r="YE154" s="368"/>
      <c r="YF154" s="368"/>
      <c r="YG154" s="368"/>
      <c r="YH154" s="368"/>
      <c r="YI154" s="368"/>
      <c r="YJ154" s="368"/>
      <c r="YK154" s="368"/>
      <c r="YL154" s="368"/>
      <c r="YM154" s="368"/>
      <c r="YN154" s="368"/>
      <c r="YO154" s="368"/>
      <c r="YP154" s="368"/>
      <c r="YQ154" s="368"/>
      <c r="YR154" s="368"/>
      <c r="YS154" s="368"/>
      <c r="YT154" s="368"/>
      <c r="YU154" s="368"/>
      <c r="YV154" s="368"/>
      <c r="YW154" s="368"/>
      <c r="YX154" s="368"/>
      <c r="YY154" s="368"/>
      <c r="YZ154" s="368"/>
      <c r="ZA154" s="368"/>
      <c r="ZB154" s="368"/>
      <c r="ZC154" s="368"/>
      <c r="ZD154" s="368"/>
      <c r="ZE154" s="368"/>
      <c r="ZF154" s="368"/>
      <c r="ZG154" s="368"/>
      <c r="ZH154" s="368"/>
      <c r="ZI154" s="368"/>
      <c r="ZJ154" s="368"/>
      <c r="ZK154" s="368"/>
      <c r="ZL154" s="368"/>
      <c r="ZM154" s="368"/>
      <c r="ZN154" s="368"/>
      <c r="ZO154" s="368"/>
      <c r="ZP154" s="368"/>
      <c r="ZQ154" s="368"/>
      <c r="ZR154" s="368"/>
      <c r="ZS154" s="368"/>
      <c r="ZT154" s="368"/>
      <c r="ZU154" s="368"/>
      <c r="ZV154" s="368"/>
      <c r="ZW154" s="368"/>
      <c r="ZX154" s="368"/>
      <c r="ZY154" s="368"/>
      <c r="ZZ154" s="368"/>
      <c r="AAA154" s="368"/>
      <c r="AAB154" s="368"/>
      <c r="AAC154" s="368"/>
      <c r="AAD154" s="368"/>
      <c r="AAE154" s="368"/>
      <c r="AAF154" s="368"/>
      <c r="AAG154" s="368"/>
      <c r="AAH154" s="368"/>
      <c r="AAI154" s="368"/>
      <c r="AAJ154" s="368"/>
      <c r="AAK154" s="368"/>
      <c r="AAL154" s="368"/>
      <c r="AAM154" s="368"/>
      <c r="AAN154" s="368"/>
      <c r="AAO154" s="368"/>
      <c r="AAP154" s="368"/>
      <c r="AAQ154" s="368"/>
      <c r="AAR154" s="368"/>
      <c r="AAS154" s="368"/>
      <c r="AAT154" s="368"/>
      <c r="AAU154" s="368"/>
      <c r="AAV154" s="368"/>
      <c r="AAW154" s="368"/>
      <c r="AAX154" s="368"/>
      <c r="AAY154" s="368"/>
      <c r="AAZ154" s="368"/>
      <c r="ABA154" s="368"/>
      <c r="ABB154" s="368"/>
      <c r="ABC154" s="368"/>
      <c r="ABD154" s="368"/>
      <c r="ABE154" s="368"/>
      <c r="ABF154" s="368"/>
      <c r="ABG154" s="368"/>
      <c r="ABH154" s="368"/>
      <c r="ABI154" s="368"/>
      <c r="ABJ154" s="368"/>
      <c r="ABK154" s="368"/>
      <c r="ABL154" s="368"/>
      <c r="ABM154" s="368"/>
      <c r="ABN154" s="368"/>
      <c r="ABO154" s="368"/>
      <c r="ABP154" s="368"/>
      <c r="ABQ154" s="368"/>
      <c r="ABR154" s="368"/>
      <c r="ABS154" s="368"/>
      <c r="ABT154" s="368"/>
      <c r="ABU154" s="368"/>
      <c r="ABV154" s="368"/>
      <c r="ABW154" s="368"/>
      <c r="ABX154" s="368"/>
      <c r="ABY154" s="368"/>
      <c r="ABZ154" s="368"/>
      <c r="ACA154" s="368"/>
      <c r="ACB154" s="368"/>
      <c r="ACC154" s="368"/>
      <c r="ACD154" s="368"/>
      <c r="ACE154" s="368"/>
      <c r="ACF154" s="368"/>
      <c r="ACG154" s="368"/>
      <c r="ACH154" s="368"/>
      <c r="ACI154" s="368"/>
      <c r="ACJ154" s="368"/>
      <c r="ACK154" s="368"/>
      <c r="ACL154" s="368"/>
      <c r="ACM154" s="368"/>
      <c r="ACN154" s="368"/>
      <c r="ACO154" s="368"/>
      <c r="ACP154" s="368"/>
      <c r="ACQ154" s="368"/>
      <c r="ACR154" s="368"/>
      <c r="ACS154" s="368"/>
      <c r="ACT154" s="368"/>
      <c r="ACU154" s="368"/>
      <c r="ACV154" s="368"/>
      <c r="ACW154" s="368"/>
      <c r="ACX154" s="368"/>
      <c r="ACY154" s="368"/>
      <c r="ACZ154" s="368"/>
      <c r="ADA154" s="368"/>
      <c r="ADB154" s="368"/>
      <c r="ADC154" s="368"/>
      <c r="ADD154" s="368"/>
      <c r="ADE154" s="368"/>
      <c r="ADF154" s="368"/>
      <c r="ADG154" s="368"/>
      <c r="ADH154" s="368"/>
      <c r="ADI154" s="368"/>
      <c r="ADJ154" s="368"/>
      <c r="ADK154" s="368"/>
      <c r="ADL154" s="368"/>
      <c r="ADM154" s="368"/>
      <c r="ADN154" s="368"/>
      <c r="ADO154" s="368"/>
      <c r="ADP154" s="368"/>
      <c r="ADQ154" s="368"/>
      <c r="ADR154" s="368"/>
      <c r="ADS154" s="368"/>
      <c r="ADT154" s="368"/>
      <c r="ADU154" s="368"/>
      <c r="ADV154" s="368"/>
      <c r="ADW154" s="368"/>
      <c r="ADX154" s="368"/>
      <c r="ADY154" s="368"/>
      <c r="ADZ154" s="368"/>
      <c r="AEA154" s="368"/>
      <c r="AEB154" s="368"/>
      <c r="AEC154" s="368"/>
      <c r="AED154" s="368"/>
      <c r="AEE154" s="368"/>
      <c r="AEF154" s="368"/>
      <c r="AEG154" s="368"/>
      <c r="AEH154" s="368"/>
      <c r="AEI154" s="368"/>
      <c r="AEJ154" s="368"/>
      <c r="AEK154" s="368"/>
      <c r="AEL154" s="368"/>
      <c r="AEM154" s="368"/>
      <c r="AEN154" s="368"/>
      <c r="AEO154" s="368"/>
      <c r="AEP154" s="368"/>
      <c r="AEQ154" s="368"/>
      <c r="AER154" s="368"/>
      <c r="AES154" s="368"/>
      <c r="AET154" s="368"/>
      <c r="AEU154" s="368"/>
      <c r="AEV154" s="368"/>
      <c r="AEW154" s="368"/>
      <c r="AEX154" s="368"/>
      <c r="AEY154" s="368"/>
      <c r="AEZ154" s="368"/>
      <c r="AFA154" s="368"/>
      <c r="AFB154" s="368"/>
      <c r="AFC154" s="368"/>
      <c r="AFD154" s="368"/>
      <c r="AFE154" s="368"/>
      <c r="AFF154" s="368"/>
      <c r="AFG154" s="368"/>
      <c r="AFH154" s="368"/>
      <c r="AFI154" s="368"/>
      <c r="AFJ154" s="368"/>
      <c r="AFK154" s="368"/>
      <c r="AFL154" s="368"/>
      <c r="AFM154" s="368"/>
      <c r="AFN154" s="368"/>
      <c r="AFO154" s="368"/>
      <c r="AFP154" s="368"/>
      <c r="AFQ154" s="368"/>
      <c r="AFR154" s="368"/>
      <c r="AFS154" s="368"/>
      <c r="AFT154" s="368"/>
      <c r="AFU154" s="368"/>
      <c r="AFV154" s="368"/>
      <c r="AFW154" s="368"/>
      <c r="AFX154" s="368"/>
      <c r="AFY154" s="368"/>
      <c r="AFZ154" s="368"/>
      <c r="AGA154" s="368"/>
      <c r="AGB154" s="368"/>
      <c r="AGC154" s="368"/>
      <c r="AGD154" s="368"/>
      <c r="AGE154" s="368"/>
      <c r="AGF154" s="368"/>
      <c r="AGG154" s="368"/>
      <c r="AGH154" s="368"/>
      <c r="AGI154" s="368"/>
      <c r="AGJ154" s="368"/>
      <c r="AGK154" s="368"/>
      <c r="AGL154" s="368"/>
      <c r="AGM154" s="368"/>
      <c r="AGN154" s="368"/>
      <c r="AGO154" s="368"/>
      <c r="AGP154" s="368"/>
      <c r="AGQ154" s="368"/>
      <c r="AGR154" s="368"/>
      <c r="AGS154" s="368"/>
      <c r="AGT154" s="368"/>
      <c r="AGU154" s="368"/>
      <c r="AGV154" s="368"/>
      <c r="AGW154" s="368"/>
      <c r="AGX154" s="368"/>
      <c r="AGY154" s="368"/>
      <c r="AGZ154" s="368"/>
      <c r="AHA154" s="368"/>
      <c r="AHB154" s="368"/>
      <c r="AHC154" s="368"/>
      <c r="AHD154" s="368"/>
      <c r="AHE154" s="368"/>
      <c r="AHF154" s="368"/>
      <c r="AHG154" s="368"/>
      <c r="AHH154" s="368"/>
      <c r="AHI154" s="368"/>
      <c r="AHJ154" s="368"/>
      <c r="AHK154" s="368"/>
      <c r="AHL154" s="368"/>
      <c r="AHM154" s="368"/>
      <c r="AHN154" s="368"/>
      <c r="AHO154" s="368"/>
      <c r="AHP154" s="368"/>
      <c r="AHQ154" s="368"/>
      <c r="AHR154" s="368"/>
      <c r="AHS154" s="368"/>
      <c r="AHT154" s="368"/>
      <c r="AHU154" s="368"/>
      <c r="AHV154" s="368"/>
      <c r="AHW154" s="368"/>
      <c r="AHX154" s="368"/>
      <c r="AHY154" s="368"/>
      <c r="AHZ154" s="368"/>
      <c r="AIA154" s="368"/>
      <c r="AIB154" s="368"/>
      <c r="AIC154" s="368"/>
      <c r="AID154" s="368"/>
      <c r="AIE154" s="368"/>
      <c r="AIF154" s="368"/>
      <c r="AIG154" s="368"/>
      <c r="AIH154" s="368"/>
      <c r="AII154" s="368"/>
      <c r="AIJ154" s="368"/>
      <c r="AIK154" s="368"/>
      <c r="AIL154" s="368"/>
      <c r="AIM154" s="368"/>
      <c r="AIN154" s="368"/>
      <c r="AIO154" s="368"/>
      <c r="AIP154" s="368"/>
      <c r="AIQ154" s="368"/>
      <c r="AIR154" s="368"/>
      <c r="AIS154" s="368"/>
      <c r="AIT154" s="368"/>
      <c r="AIU154" s="368"/>
      <c r="AIV154" s="368"/>
      <c r="AIW154" s="368"/>
      <c r="AIX154" s="368"/>
      <c r="AIY154" s="368"/>
      <c r="AIZ154" s="368"/>
      <c r="AJA154" s="368"/>
      <c r="AJB154" s="368"/>
      <c r="AJC154" s="368"/>
      <c r="AJD154" s="368"/>
      <c r="AJE154" s="368"/>
      <c r="AJF154" s="368"/>
      <c r="AJG154" s="368"/>
      <c r="AJH154" s="368"/>
      <c r="AJI154" s="368"/>
      <c r="AJJ154" s="368"/>
      <c r="AJK154" s="368"/>
      <c r="AJL154" s="368"/>
      <c r="AJM154" s="368"/>
      <c r="AJN154" s="368"/>
      <c r="AJO154" s="368"/>
      <c r="AJP154" s="368"/>
      <c r="AJQ154" s="368"/>
      <c r="AJR154" s="368"/>
      <c r="AJS154" s="368"/>
      <c r="AJT154" s="368"/>
      <c r="AJU154" s="368"/>
      <c r="AJV154" s="368"/>
      <c r="AJW154" s="368"/>
      <c r="AJX154" s="368"/>
      <c r="AJY154" s="368"/>
      <c r="AJZ154" s="368"/>
      <c r="AKA154" s="368"/>
      <c r="AKB154" s="368"/>
      <c r="AKC154" s="368"/>
      <c r="AKD154" s="368"/>
      <c r="AKE154" s="368"/>
      <c r="AKF154" s="368"/>
      <c r="AKG154" s="368"/>
      <c r="AKH154" s="368"/>
      <c r="AKI154" s="368"/>
      <c r="AKJ154" s="368"/>
      <c r="AKK154" s="368"/>
      <c r="AKL154" s="368"/>
      <c r="AKM154" s="368"/>
      <c r="AKN154" s="368"/>
    </row>
    <row r="155" spans="1:976" s="346" customFormat="1" ht="22.5" customHeight="1" x14ac:dyDescent="0.2">
      <c r="A155" s="370" t="s">
        <v>262</v>
      </c>
      <c r="B155" s="370"/>
      <c r="C155" s="370" t="s">
        <v>221</v>
      </c>
      <c r="D155" s="370" t="s">
        <v>222</v>
      </c>
      <c r="E155" s="371">
        <v>414767</v>
      </c>
      <c r="F155" s="371">
        <v>1895</v>
      </c>
      <c r="G155" s="371">
        <v>303</v>
      </c>
      <c r="H155" s="371">
        <v>0</v>
      </c>
      <c r="I155" s="372">
        <v>45902</v>
      </c>
      <c r="J155" s="370" t="s">
        <v>263</v>
      </c>
      <c r="K155" s="370" t="s">
        <v>705</v>
      </c>
      <c r="L155" s="373">
        <v>27.58</v>
      </c>
      <c r="M155" s="373">
        <v>1.52</v>
      </c>
      <c r="N155" s="444">
        <v>29.1</v>
      </c>
      <c r="O155" s="370"/>
      <c r="P155" s="374">
        <v>45904</v>
      </c>
      <c r="Q155" s="373">
        <v>29.1</v>
      </c>
      <c r="R155" s="370" t="s">
        <v>706</v>
      </c>
      <c r="S155" s="373">
        <v>0</v>
      </c>
      <c r="T155" s="373">
        <v>0</v>
      </c>
      <c r="U155" s="373">
        <v>0</v>
      </c>
      <c r="V155" s="373">
        <v>0</v>
      </c>
      <c r="W155" s="370"/>
      <c r="X155" s="370" t="s">
        <v>293</v>
      </c>
      <c r="Y155" s="370" t="s">
        <v>294</v>
      </c>
      <c r="Z155" s="370" t="s">
        <v>42</v>
      </c>
      <c r="AA155" s="370" t="s">
        <v>228</v>
      </c>
      <c r="AB155" s="370" t="s">
        <v>235</v>
      </c>
      <c r="AC155" s="370" t="s">
        <v>331</v>
      </c>
      <c r="AD155" s="370" t="s">
        <v>231</v>
      </c>
      <c r="AE155" s="370" t="s">
        <v>232</v>
      </c>
      <c r="AF155" s="370" t="s">
        <v>231</v>
      </c>
      <c r="AG155" s="370" t="s">
        <v>232</v>
      </c>
      <c r="AH155" s="370"/>
      <c r="AI155" s="370"/>
      <c r="AJ155" s="370"/>
      <c r="AK155" s="370" t="s">
        <v>707</v>
      </c>
      <c r="AL155" s="371">
        <v>1</v>
      </c>
      <c r="AM155" s="371">
        <v>0</v>
      </c>
      <c r="AN155" s="372">
        <v>45904</v>
      </c>
      <c r="AO155" s="372">
        <v>45904</v>
      </c>
      <c r="AP155" s="373">
        <v>29.1</v>
      </c>
      <c r="AQ155" s="372">
        <v>45903</v>
      </c>
      <c r="AR155" s="368"/>
      <c r="AS155" s="368"/>
      <c r="AT155" s="368"/>
      <c r="AU155" s="368"/>
      <c r="AV155" s="368"/>
      <c r="AW155" s="368"/>
      <c r="AX155" s="368"/>
      <c r="AY155" s="368"/>
      <c r="AZ155" s="368"/>
      <c r="BA155" s="368"/>
      <c r="BB155" s="368"/>
      <c r="BC155" s="368"/>
      <c r="BD155" s="368"/>
      <c r="BE155" s="368"/>
      <c r="BF155" s="368"/>
      <c r="BG155" s="368"/>
      <c r="BH155" s="368"/>
      <c r="BI155" s="368"/>
      <c r="BJ155" s="368"/>
      <c r="BK155" s="368"/>
      <c r="BL155" s="368"/>
      <c r="BM155" s="368"/>
      <c r="BN155" s="368"/>
      <c r="BO155" s="368"/>
      <c r="BP155" s="368"/>
      <c r="BQ155" s="368"/>
      <c r="BR155" s="368"/>
      <c r="BS155" s="368"/>
      <c r="BT155" s="368"/>
      <c r="BU155" s="368"/>
      <c r="BV155" s="368"/>
      <c r="BW155" s="368"/>
      <c r="BX155" s="368"/>
      <c r="BY155" s="368"/>
      <c r="BZ155" s="368"/>
      <c r="CA155" s="368"/>
      <c r="CB155" s="368"/>
      <c r="CC155" s="368"/>
      <c r="CD155" s="368"/>
      <c r="CE155" s="368"/>
      <c r="CF155" s="368"/>
      <c r="CG155" s="368"/>
      <c r="CH155" s="368"/>
      <c r="CI155" s="368"/>
      <c r="CJ155" s="368"/>
      <c r="CK155" s="368"/>
      <c r="CL155" s="368"/>
      <c r="CM155" s="368"/>
      <c r="CN155" s="368"/>
      <c r="CO155" s="368"/>
      <c r="CP155" s="368"/>
      <c r="CQ155" s="368"/>
      <c r="CR155" s="368"/>
      <c r="CS155" s="368"/>
      <c r="CT155" s="368"/>
      <c r="CU155" s="368"/>
      <c r="CV155" s="368"/>
      <c r="CW155" s="368"/>
      <c r="CX155" s="368"/>
      <c r="CY155" s="368"/>
      <c r="CZ155" s="368"/>
      <c r="DA155" s="368"/>
      <c r="DB155" s="368"/>
      <c r="DC155" s="368"/>
      <c r="DD155" s="368"/>
      <c r="DE155" s="368"/>
      <c r="DF155" s="368"/>
      <c r="DG155" s="368"/>
      <c r="DH155" s="368"/>
      <c r="DI155" s="368"/>
      <c r="DJ155" s="368"/>
      <c r="DK155" s="368"/>
      <c r="DL155" s="368"/>
      <c r="DM155" s="368"/>
      <c r="DN155" s="368"/>
      <c r="DO155" s="368"/>
      <c r="DP155" s="368"/>
      <c r="DQ155" s="368"/>
      <c r="DR155" s="368"/>
      <c r="DS155" s="368"/>
      <c r="DT155" s="368"/>
      <c r="DU155" s="368"/>
      <c r="DV155" s="368"/>
      <c r="DW155" s="368"/>
      <c r="DX155" s="368"/>
      <c r="DY155" s="368"/>
      <c r="DZ155" s="368"/>
      <c r="EA155" s="368"/>
      <c r="EB155" s="368"/>
      <c r="EC155" s="368"/>
      <c r="ED155" s="368"/>
      <c r="EE155" s="368"/>
      <c r="EF155" s="368"/>
      <c r="EG155" s="368"/>
      <c r="EH155" s="368"/>
      <c r="EI155" s="368"/>
      <c r="EJ155" s="368"/>
      <c r="EK155" s="368"/>
      <c r="EL155" s="368"/>
      <c r="EM155" s="368"/>
      <c r="EN155" s="368"/>
      <c r="EO155" s="368"/>
      <c r="EP155" s="368"/>
      <c r="EQ155" s="368"/>
      <c r="ER155" s="368"/>
      <c r="ES155" s="368"/>
      <c r="ET155" s="368"/>
      <c r="EU155" s="368"/>
      <c r="EV155" s="368"/>
      <c r="EW155" s="368"/>
      <c r="EX155" s="368"/>
      <c r="EY155" s="368"/>
      <c r="EZ155" s="368"/>
      <c r="FA155" s="368"/>
      <c r="FB155" s="368"/>
      <c r="FC155" s="368"/>
      <c r="FD155" s="368"/>
      <c r="FE155" s="368"/>
      <c r="FF155" s="368"/>
      <c r="FG155" s="368"/>
      <c r="FH155" s="368"/>
      <c r="FI155" s="368"/>
      <c r="FJ155" s="368"/>
      <c r="FK155" s="368"/>
      <c r="FL155" s="368"/>
      <c r="FM155" s="368"/>
      <c r="FN155" s="368"/>
      <c r="FO155" s="368"/>
      <c r="FP155" s="368"/>
      <c r="FQ155" s="368"/>
      <c r="FR155" s="368"/>
      <c r="FS155" s="368"/>
      <c r="FT155" s="368"/>
      <c r="FU155" s="368"/>
      <c r="FV155" s="368"/>
      <c r="FW155" s="368"/>
      <c r="FX155" s="368"/>
      <c r="FY155" s="368"/>
      <c r="FZ155" s="368"/>
      <c r="GA155" s="368"/>
      <c r="GB155" s="368"/>
      <c r="GC155" s="368"/>
      <c r="GD155" s="368"/>
      <c r="GE155" s="368"/>
      <c r="GF155" s="368"/>
      <c r="GG155" s="368"/>
      <c r="GH155" s="368"/>
      <c r="GI155" s="368"/>
      <c r="GJ155" s="368"/>
      <c r="GK155" s="368"/>
      <c r="GL155" s="368"/>
      <c r="GM155" s="368"/>
      <c r="GN155" s="368"/>
      <c r="GO155" s="368"/>
      <c r="GP155" s="368"/>
      <c r="GQ155" s="368"/>
      <c r="GR155" s="368"/>
      <c r="GS155" s="368"/>
      <c r="GT155" s="368"/>
      <c r="GU155" s="368"/>
      <c r="GV155" s="368"/>
      <c r="GW155" s="368"/>
      <c r="GX155" s="368"/>
      <c r="GY155" s="368"/>
      <c r="GZ155" s="368"/>
      <c r="HA155" s="368"/>
      <c r="HB155" s="368"/>
      <c r="HC155" s="368"/>
      <c r="HD155" s="368"/>
      <c r="HE155" s="368"/>
      <c r="HF155" s="368"/>
      <c r="HG155" s="368"/>
      <c r="HH155" s="368"/>
      <c r="HI155" s="368"/>
      <c r="HJ155" s="368"/>
      <c r="HK155" s="368"/>
      <c r="HL155" s="368"/>
      <c r="HM155" s="368"/>
      <c r="HN155" s="368"/>
      <c r="HO155" s="368"/>
      <c r="HP155" s="368"/>
      <c r="HQ155" s="368"/>
      <c r="HR155" s="368"/>
      <c r="HS155" s="368"/>
      <c r="HT155" s="368"/>
      <c r="HU155" s="368"/>
      <c r="HV155" s="368"/>
      <c r="HW155" s="368"/>
      <c r="HX155" s="368"/>
      <c r="HY155" s="368"/>
      <c r="HZ155" s="368"/>
      <c r="IA155" s="368"/>
      <c r="IB155" s="368"/>
      <c r="IC155" s="368"/>
      <c r="ID155" s="368"/>
      <c r="IE155" s="368"/>
      <c r="IF155" s="368"/>
      <c r="IG155" s="368"/>
      <c r="IH155" s="368"/>
      <c r="II155" s="368"/>
      <c r="IJ155" s="368"/>
      <c r="IK155" s="368"/>
      <c r="IL155" s="368"/>
      <c r="IM155" s="368"/>
      <c r="IN155" s="368"/>
      <c r="IO155" s="368"/>
      <c r="IP155" s="368"/>
      <c r="IQ155" s="368"/>
      <c r="IR155" s="368"/>
      <c r="IS155" s="368"/>
      <c r="IT155" s="368"/>
      <c r="IU155" s="368"/>
      <c r="IV155" s="368"/>
      <c r="IW155" s="368"/>
      <c r="IX155" s="368"/>
      <c r="IY155" s="368"/>
      <c r="IZ155" s="368"/>
      <c r="JA155" s="368"/>
      <c r="JB155" s="368"/>
      <c r="JC155" s="368"/>
      <c r="JD155" s="368"/>
      <c r="JE155" s="368"/>
      <c r="JF155" s="368"/>
      <c r="JG155" s="368"/>
      <c r="JH155" s="368"/>
      <c r="JI155" s="368"/>
      <c r="JJ155" s="368"/>
      <c r="JK155" s="368"/>
      <c r="JL155" s="368"/>
      <c r="JM155" s="368"/>
      <c r="JN155" s="368"/>
      <c r="JO155" s="368"/>
      <c r="JP155" s="368"/>
      <c r="JQ155" s="368"/>
      <c r="JR155" s="368"/>
      <c r="JS155" s="368"/>
      <c r="JT155" s="368"/>
      <c r="JU155" s="368"/>
      <c r="JV155" s="368"/>
      <c r="JW155" s="368"/>
      <c r="JX155" s="368"/>
      <c r="JY155" s="368"/>
      <c r="JZ155" s="368"/>
      <c r="KA155" s="368"/>
      <c r="KB155" s="368"/>
      <c r="KC155" s="368"/>
      <c r="KD155" s="368"/>
      <c r="KE155" s="368"/>
      <c r="KF155" s="368"/>
      <c r="KG155" s="368"/>
      <c r="KH155" s="368"/>
      <c r="KI155" s="368"/>
      <c r="KJ155" s="368"/>
      <c r="KK155" s="368"/>
      <c r="KL155" s="368"/>
      <c r="KM155" s="368"/>
      <c r="KN155" s="368"/>
      <c r="KO155" s="368"/>
      <c r="KP155" s="368"/>
      <c r="KQ155" s="368"/>
      <c r="KR155" s="368"/>
      <c r="KS155" s="368"/>
      <c r="KT155" s="368"/>
      <c r="KU155" s="368"/>
      <c r="KV155" s="368"/>
      <c r="KW155" s="368"/>
      <c r="KX155" s="368"/>
      <c r="KY155" s="368"/>
      <c r="KZ155" s="368"/>
      <c r="LA155" s="368"/>
      <c r="LB155" s="368"/>
      <c r="LC155" s="368"/>
      <c r="LD155" s="368"/>
      <c r="LE155" s="368"/>
      <c r="LF155" s="368"/>
      <c r="LG155" s="368"/>
      <c r="LH155" s="368"/>
      <c r="LI155" s="368"/>
      <c r="LJ155" s="368"/>
      <c r="LK155" s="368"/>
      <c r="LL155" s="368"/>
      <c r="LM155" s="368"/>
      <c r="LN155" s="368"/>
      <c r="LO155" s="368"/>
      <c r="LP155" s="368"/>
      <c r="LQ155" s="368"/>
      <c r="LR155" s="368"/>
      <c r="LS155" s="368"/>
      <c r="LT155" s="368"/>
      <c r="LU155" s="368"/>
      <c r="LV155" s="368"/>
      <c r="LW155" s="368"/>
      <c r="LX155" s="368"/>
      <c r="LY155" s="368"/>
      <c r="LZ155" s="368"/>
      <c r="MA155" s="368"/>
      <c r="MB155" s="368"/>
      <c r="MC155" s="368"/>
      <c r="MD155" s="368"/>
      <c r="ME155" s="368"/>
      <c r="MF155" s="368"/>
      <c r="MG155" s="368"/>
      <c r="MH155" s="368"/>
      <c r="MI155" s="368"/>
      <c r="MJ155" s="368"/>
      <c r="MK155" s="368"/>
      <c r="ML155" s="368"/>
      <c r="MM155" s="368"/>
      <c r="MN155" s="368"/>
      <c r="MO155" s="368"/>
      <c r="MP155" s="368"/>
      <c r="MQ155" s="368"/>
      <c r="MR155" s="368"/>
      <c r="MS155" s="368"/>
      <c r="MT155" s="368"/>
      <c r="MU155" s="368"/>
      <c r="MV155" s="368"/>
      <c r="MW155" s="368"/>
      <c r="MX155" s="368"/>
      <c r="MY155" s="368"/>
      <c r="MZ155" s="368"/>
      <c r="NA155" s="368"/>
      <c r="NB155" s="368"/>
      <c r="NC155" s="368"/>
      <c r="ND155" s="368"/>
      <c r="NE155" s="368"/>
      <c r="NF155" s="368"/>
      <c r="NG155" s="368"/>
      <c r="NH155" s="368"/>
      <c r="NI155" s="368"/>
      <c r="NJ155" s="368"/>
      <c r="NK155" s="368"/>
      <c r="NL155" s="368"/>
      <c r="NM155" s="368"/>
      <c r="NN155" s="368"/>
      <c r="NO155" s="368"/>
      <c r="NP155" s="368"/>
      <c r="NQ155" s="368"/>
      <c r="NR155" s="368"/>
      <c r="NS155" s="368"/>
      <c r="NT155" s="368"/>
      <c r="NU155" s="368"/>
      <c r="NV155" s="368"/>
      <c r="NW155" s="368"/>
      <c r="NX155" s="368"/>
      <c r="NY155" s="368"/>
      <c r="NZ155" s="368"/>
      <c r="OA155" s="368"/>
      <c r="OB155" s="368"/>
      <c r="OC155" s="368"/>
      <c r="OD155" s="368"/>
      <c r="OE155" s="368"/>
      <c r="OF155" s="368"/>
      <c r="OG155" s="368"/>
      <c r="OH155" s="368"/>
      <c r="OI155" s="368"/>
      <c r="OJ155" s="368"/>
      <c r="OK155" s="368"/>
      <c r="OL155" s="368"/>
      <c r="OM155" s="368"/>
      <c r="ON155" s="368"/>
      <c r="OO155" s="368"/>
      <c r="OP155" s="368"/>
      <c r="OQ155" s="368"/>
      <c r="OR155" s="368"/>
      <c r="OS155" s="368"/>
      <c r="OT155" s="368"/>
      <c r="OU155" s="368"/>
      <c r="OV155" s="368"/>
      <c r="OW155" s="368"/>
      <c r="OX155" s="368"/>
      <c r="OY155" s="368"/>
      <c r="OZ155" s="368"/>
      <c r="PA155" s="368"/>
      <c r="PB155" s="368"/>
      <c r="PC155" s="368"/>
      <c r="PD155" s="368"/>
      <c r="PE155" s="368"/>
      <c r="PF155" s="368"/>
      <c r="PG155" s="368"/>
      <c r="PH155" s="368"/>
      <c r="PI155" s="368"/>
      <c r="PJ155" s="368"/>
      <c r="PK155" s="368"/>
      <c r="PL155" s="368"/>
      <c r="PM155" s="368"/>
      <c r="PN155" s="368"/>
      <c r="PO155" s="368"/>
      <c r="PP155" s="368"/>
      <c r="PQ155" s="368"/>
      <c r="PR155" s="368"/>
      <c r="PS155" s="368"/>
      <c r="PT155" s="368"/>
      <c r="PU155" s="368"/>
      <c r="PV155" s="368"/>
      <c r="PW155" s="368"/>
      <c r="PX155" s="368"/>
      <c r="PY155" s="368"/>
      <c r="PZ155" s="368"/>
      <c r="QA155" s="368"/>
      <c r="QB155" s="368"/>
      <c r="QC155" s="368"/>
      <c r="QD155" s="368"/>
      <c r="QE155" s="368"/>
      <c r="QF155" s="368"/>
      <c r="QG155" s="368"/>
      <c r="QH155" s="368"/>
      <c r="QI155" s="368"/>
      <c r="QJ155" s="368"/>
      <c r="QK155" s="368"/>
      <c r="QL155" s="368"/>
      <c r="QM155" s="368"/>
      <c r="QN155" s="368"/>
      <c r="QO155" s="368"/>
      <c r="QP155" s="368"/>
      <c r="QQ155" s="368"/>
      <c r="QR155" s="368"/>
      <c r="QS155" s="368"/>
      <c r="QT155" s="368"/>
      <c r="QU155" s="368"/>
      <c r="QV155" s="368"/>
      <c r="QW155" s="368"/>
      <c r="QX155" s="368"/>
      <c r="QY155" s="368"/>
      <c r="QZ155" s="368"/>
      <c r="RA155" s="368"/>
      <c r="RB155" s="368"/>
      <c r="RC155" s="368"/>
      <c r="RD155" s="368"/>
      <c r="RE155" s="368"/>
      <c r="RF155" s="368"/>
      <c r="RG155" s="368"/>
      <c r="RH155" s="368"/>
      <c r="RI155" s="368"/>
      <c r="RJ155" s="368"/>
      <c r="RK155" s="368"/>
      <c r="RL155" s="368"/>
      <c r="RM155" s="368"/>
      <c r="RN155" s="368"/>
      <c r="RO155" s="368"/>
      <c r="RP155" s="368"/>
      <c r="RQ155" s="368"/>
      <c r="RR155" s="368"/>
      <c r="RS155" s="368"/>
      <c r="RT155" s="368"/>
      <c r="RU155" s="368"/>
      <c r="RV155" s="368"/>
      <c r="RW155" s="368"/>
      <c r="RX155" s="368"/>
      <c r="RY155" s="368"/>
      <c r="RZ155" s="368"/>
      <c r="SA155" s="368"/>
      <c r="SB155" s="368"/>
      <c r="SC155" s="368"/>
      <c r="SD155" s="368"/>
      <c r="SE155" s="368"/>
      <c r="SF155" s="368"/>
      <c r="SG155" s="368"/>
      <c r="SH155" s="368"/>
      <c r="SI155" s="368"/>
      <c r="SJ155" s="368"/>
      <c r="SK155" s="368"/>
      <c r="SL155" s="368"/>
      <c r="SM155" s="368"/>
      <c r="SN155" s="368"/>
      <c r="SO155" s="368"/>
      <c r="SP155" s="368"/>
      <c r="SQ155" s="368"/>
      <c r="SR155" s="368"/>
      <c r="SS155" s="368"/>
      <c r="ST155" s="368"/>
      <c r="SU155" s="368"/>
      <c r="SV155" s="368"/>
      <c r="SW155" s="368"/>
      <c r="SX155" s="368"/>
      <c r="SY155" s="368"/>
      <c r="SZ155" s="368"/>
      <c r="TA155" s="368"/>
      <c r="TB155" s="368"/>
      <c r="TC155" s="368"/>
      <c r="TD155" s="368"/>
      <c r="TE155" s="368"/>
      <c r="TF155" s="368"/>
      <c r="TG155" s="368"/>
      <c r="TH155" s="368"/>
      <c r="TI155" s="368"/>
      <c r="TJ155" s="368"/>
      <c r="TK155" s="368"/>
      <c r="TL155" s="368"/>
      <c r="TM155" s="368"/>
      <c r="TN155" s="368"/>
      <c r="TO155" s="368"/>
      <c r="TP155" s="368"/>
      <c r="TQ155" s="368"/>
      <c r="TR155" s="368"/>
      <c r="TS155" s="368"/>
      <c r="TT155" s="368"/>
      <c r="TU155" s="368"/>
      <c r="TV155" s="368"/>
      <c r="TW155" s="368"/>
      <c r="TX155" s="368"/>
      <c r="TY155" s="368"/>
      <c r="TZ155" s="368"/>
      <c r="UA155" s="368"/>
      <c r="UB155" s="368"/>
      <c r="UC155" s="368"/>
      <c r="UD155" s="368"/>
      <c r="UE155" s="368"/>
      <c r="UF155" s="368"/>
      <c r="UG155" s="368"/>
      <c r="UH155" s="368"/>
      <c r="UI155" s="368"/>
      <c r="UJ155" s="368"/>
      <c r="UK155" s="368"/>
      <c r="UL155" s="368"/>
      <c r="UM155" s="368"/>
      <c r="UN155" s="368"/>
      <c r="UO155" s="368"/>
      <c r="UP155" s="368"/>
      <c r="UQ155" s="368"/>
      <c r="UR155" s="368"/>
      <c r="US155" s="368"/>
      <c r="UT155" s="368"/>
      <c r="UU155" s="368"/>
      <c r="UV155" s="368"/>
      <c r="UW155" s="368"/>
      <c r="UX155" s="368"/>
      <c r="UY155" s="368"/>
      <c r="UZ155" s="368"/>
      <c r="VA155" s="368"/>
      <c r="VB155" s="368"/>
      <c r="VC155" s="368"/>
      <c r="VD155" s="368"/>
      <c r="VE155" s="368"/>
      <c r="VF155" s="368"/>
      <c r="VG155" s="368"/>
      <c r="VH155" s="368"/>
      <c r="VI155" s="368"/>
      <c r="VJ155" s="368"/>
      <c r="VK155" s="368"/>
      <c r="VL155" s="368"/>
      <c r="VM155" s="368"/>
      <c r="VN155" s="368"/>
      <c r="VO155" s="368"/>
      <c r="VP155" s="368"/>
      <c r="VQ155" s="368"/>
      <c r="VR155" s="368"/>
      <c r="VS155" s="368"/>
      <c r="VT155" s="368"/>
      <c r="VU155" s="368"/>
      <c r="VV155" s="368"/>
      <c r="VW155" s="368"/>
      <c r="VX155" s="368"/>
      <c r="VY155" s="368"/>
      <c r="VZ155" s="368"/>
      <c r="WA155" s="368"/>
      <c r="WB155" s="368"/>
      <c r="WC155" s="368"/>
      <c r="WD155" s="368"/>
      <c r="WE155" s="368"/>
      <c r="WF155" s="368"/>
      <c r="WG155" s="368"/>
      <c r="WH155" s="368"/>
      <c r="WI155" s="368"/>
      <c r="WJ155" s="368"/>
      <c r="WK155" s="368"/>
      <c r="WL155" s="368"/>
      <c r="WM155" s="368"/>
      <c r="WN155" s="368"/>
      <c r="WO155" s="368"/>
      <c r="WP155" s="368"/>
      <c r="WQ155" s="368"/>
      <c r="WR155" s="368"/>
      <c r="WS155" s="368"/>
      <c r="WT155" s="368"/>
      <c r="WU155" s="368"/>
      <c r="WV155" s="368"/>
      <c r="WW155" s="368"/>
      <c r="WX155" s="368"/>
      <c r="WY155" s="368"/>
      <c r="WZ155" s="368"/>
      <c r="XA155" s="368"/>
      <c r="XB155" s="368"/>
      <c r="XC155" s="368"/>
      <c r="XD155" s="368"/>
      <c r="XE155" s="368"/>
      <c r="XF155" s="368"/>
      <c r="XG155" s="368"/>
      <c r="XH155" s="368"/>
      <c r="XI155" s="368"/>
      <c r="XJ155" s="368"/>
      <c r="XK155" s="368"/>
      <c r="XL155" s="368"/>
      <c r="XM155" s="368"/>
      <c r="XN155" s="368"/>
      <c r="XO155" s="368"/>
      <c r="XP155" s="368"/>
      <c r="XQ155" s="368"/>
      <c r="XR155" s="368"/>
      <c r="XS155" s="368"/>
      <c r="XT155" s="368"/>
      <c r="XU155" s="368"/>
      <c r="XV155" s="368"/>
      <c r="XW155" s="368"/>
      <c r="XX155" s="368"/>
      <c r="XY155" s="368"/>
      <c r="XZ155" s="368"/>
      <c r="YA155" s="368"/>
      <c r="YB155" s="368"/>
      <c r="YC155" s="368"/>
      <c r="YD155" s="368"/>
      <c r="YE155" s="368"/>
      <c r="YF155" s="368"/>
      <c r="YG155" s="368"/>
      <c r="YH155" s="368"/>
      <c r="YI155" s="368"/>
      <c r="YJ155" s="368"/>
      <c r="YK155" s="368"/>
      <c r="YL155" s="368"/>
      <c r="YM155" s="368"/>
      <c r="YN155" s="368"/>
      <c r="YO155" s="368"/>
      <c r="YP155" s="368"/>
      <c r="YQ155" s="368"/>
      <c r="YR155" s="368"/>
      <c r="YS155" s="368"/>
      <c r="YT155" s="368"/>
      <c r="YU155" s="368"/>
      <c r="YV155" s="368"/>
      <c r="YW155" s="368"/>
      <c r="YX155" s="368"/>
      <c r="YY155" s="368"/>
      <c r="YZ155" s="368"/>
      <c r="ZA155" s="368"/>
      <c r="ZB155" s="368"/>
      <c r="ZC155" s="368"/>
      <c r="ZD155" s="368"/>
      <c r="ZE155" s="368"/>
      <c r="ZF155" s="368"/>
      <c r="ZG155" s="368"/>
      <c r="ZH155" s="368"/>
      <c r="ZI155" s="368"/>
      <c r="ZJ155" s="368"/>
      <c r="ZK155" s="368"/>
      <c r="ZL155" s="368"/>
      <c r="ZM155" s="368"/>
      <c r="ZN155" s="368"/>
      <c r="ZO155" s="368"/>
      <c r="ZP155" s="368"/>
      <c r="ZQ155" s="368"/>
      <c r="ZR155" s="368"/>
      <c r="ZS155" s="368"/>
      <c r="ZT155" s="368"/>
      <c r="ZU155" s="368"/>
      <c r="ZV155" s="368"/>
      <c r="ZW155" s="368"/>
      <c r="ZX155" s="368"/>
      <c r="ZY155" s="368"/>
      <c r="ZZ155" s="368"/>
      <c r="AAA155" s="368"/>
      <c r="AAB155" s="368"/>
      <c r="AAC155" s="368"/>
      <c r="AAD155" s="368"/>
      <c r="AAE155" s="368"/>
      <c r="AAF155" s="368"/>
      <c r="AAG155" s="368"/>
      <c r="AAH155" s="368"/>
      <c r="AAI155" s="368"/>
      <c r="AAJ155" s="368"/>
      <c r="AAK155" s="368"/>
      <c r="AAL155" s="368"/>
      <c r="AAM155" s="368"/>
      <c r="AAN155" s="368"/>
      <c r="AAO155" s="368"/>
      <c r="AAP155" s="368"/>
      <c r="AAQ155" s="368"/>
      <c r="AAR155" s="368"/>
      <c r="AAS155" s="368"/>
      <c r="AAT155" s="368"/>
      <c r="AAU155" s="368"/>
      <c r="AAV155" s="368"/>
      <c r="AAW155" s="368"/>
      <c r="AAX155" s="368"/>
      <c r="AAY155" s="368"/>
      <c r="AAZ155" s="368"/>
      <c r="ABA155" s="368"/>
      <c r="ABB155" s="368"/>
      <c r="ABC155" s="368"/>
      <c r="ABD155" s="368"/>
      <c r="ABE155" s="368"/>
      <c r="ABF155" s="368"/>
      <c r="ABG155" s="368"/>
      <c r="ABH155" s="368"/>
      <c r="ABI155" s="368"/>
      <c r="ABJ155" s="368"/>
      <c r="ABK155" s="368"/>
      <c r="ABL155" s="368"/>
      <c r="ABM155" s="368"/>
      <c r="ABN155" s="368"/>
      <c r="ABO155" s="368"/>
      <c r="ABP155" s="368"/>
      <c r="ABQ155" s="368"/>
      <c r="ABR155" s="368"/>
      <c r="ABS155" s="368"/>
      <c r="ABT155" s="368"/>
      <c r="ABU155" s="368"/>
      <c r="ABV155" s="368"/>
      <c r="ABW155" s="368"/>
      <c r="ABX155" s="368"/>
      <c r="ABY155" s="368"/>
      <c r="ABZ155" s="368"/>
      <c r="ACA155" s="368"/>
      <c r="ACB155" s="368"/>
      <c r="ACC155" s="368"/>
      <c r="ACD155" s="368"/>
      <c r="ACE155" s="368"/>
      <c r="ACF155" s="368"/>
      <c r="ACG155" s="368"/>
      <c r="ACH155" s="368"/>
      <c r="ACI155" s="368"/>
      <c r="ACJ155" s="368"/>
      <c r="ACK155" s="368"/>
      <c r="ACL155" s="368"/>
      <c r="ACM155" s="368"/>
      <c r="ACN155" s="368"/>
      <c r="ACO155" s="368"/>
      <c r="ACP155" s="368"/>
      <c r="ACQ155" s="368"/>
      <c r="ACR155" s="368"/>
      <c r="ACS155" s="368"/>
      <c r="ACT155" s="368"/>
      <c r="ACU155" s="368"/>
      <c r="ACV155" s="368"/>
      <c r="ACW155" s="368"/>
      <c r="ACX155" s="368"/>
      <c r="ACY155" s="368"/>
      <c r="ACZ155" s="368"/>
      <c r="ADA155" s="368"/>
      <c r="ADB155" s="368"/>
      <c r="ADC155" s="368"/>
      <c r="ADD155" s="368"/>
      <c r="ADE155" s="368"/>
      <c r="ADF155" s="368"/>
      <c r="ADG155" s="368"/>
      <c r="ADH155" s="368"/>
      <c r="ADI155" s="368"/>
      <c r="ADJ155" s="368"/>
      <c r="ADK155" s="368"/>
      <c r="ADL155" s="368"/>
      <c r="ADM155" s="368"/>
      <c r="ADN155" s="368"/>
      <c r="ADO155" s="368"/>
      <c r="ADP155" s="368"/>
      <c r="ADQ155" s="368"/>
      <c r="ADR155" s="368"/>
      <c r="ADS155" s="368"/>
      <c r="ADT155" s="368"/>
      <c r="ADU155" s="368"/>
      <c r="ADV155" s="368"/>
      <c r="ADW155" s="368"/>
      <c r="ADX155" s="368"/>
      <c r="ADY155" s="368"/>
      <c r="ADZ155" s="368"/>
      <c r="AEA155" s="368"/>
      <c r="AEB155" s="368"/>
      <c r="AEC155" s="368"/>
      <c r="AED155" s="368"/>
      <c r="AEE155" s="368"/>
      <c r="AEF155" s="368"/>
      <c r="AEG155" s="368"/>
      <c r="AEH155" s="368"/>
      <c r="AEI155" s="368"/>
      <c r="AEJ155" s="368"/>
      <c r="AEK155" s="368"/>
      <c r="AEL155" s="368"/>
      <c r="AEM155" s="368"/>
      <c r="AEN155" s="368"/>
      <c r="AEO155" s="368"/>
      <c r="AEP155" s="368"/>
      <c r="AEQ155" s="368"/>
      <c r="AER155" s="368"/>
      <c r="AES155" s="368"/>
      <c r="AET155" s="368"/>
      <c r="AEU155" s="368"/>
      <c r="AEV155" s="368"/>
      <c r="AEW155" s="368"/>
      <c r="AEX155" s="368"/>
      <c r="AEY155" s="368"/>
      <c r="AEZ155" s="368"/>
      <c r="AFA155" s="368"/>
      <c r="AFB155" s="368"/>
      <c r="AFC155" s="368"/>
      <c r="AFD155" s="368"/>
      <c r="AFE155" s="368"/>
      <c r="AFF155" s="368"/>
      <c r="AFG155" s="368"/>
      <c r="AFH155" s="368"/>
      <c r="AFI155" s="368"/>
      <c r="AFJ155" s="368"/>
      <c r="AFK155" s="368"/>
      <c r="AFL155" s="368"/>
      <c r="AFM155" s="368"/>
      <c r="AFN155" s="368"/>
      <c r="AFO155" s="368"/>
      <c r="AFP155" s="368"/>
      <c r="AFQ155" s="368"/>
      <c r="AFR155" s="368"/>
      <c r="AFS155" s="368"/>
      <c r="AFT155" s="368"/>
      <c r="AFU155" s="368"/>
      <c r="AFV155" s="368"/>
      <c r="AFW155" s="368"/>
      <c r="AFX155" s="368"/>
      <c r="AFY155" s="368"/>
      <c r="AFZ155" s="368"/>
      <c r="AGA155" s="368"/>
      <c r="AGB155" s="368"/>
      <c r="AGC155" s="368"/>
      <c r="AGD155" s="368"/>
      <c r="AGE155" s="368"/>
      <c r="AGF155" s="368"/>
      <c r="AGG155" s="368"/>
      <c r="AGH155" s="368"/>
      <c r="AGI155" s="368"/>
      <c r="AGJ155" s="368"/>
      <c r="AGK155" s="368"/>
      <c r="AGL155" s="368"/>
      <c r="AGM155" s="368"/>
      <c r="AGN155" s="368"/>
      <c r="AGO155" s="368"/>
      <c r="AGP155" s="368"/>
      <c r="AGQ155" s="368"/>
      <c r="AGR155" s="368"/>
      <c r="AGS155" s="368"/>
      <c r="AGT155" s="368"/>
      <c r="AGU155" s="368"/>
      <c r="AGV155" s="368"/>
      <c r="AGW155" s="368"/>
      <c r="AGX155" s="368"/>
      <c r="AGY155" s="368"/>
      <c r="AGZ155" s="368"/>
      <c r="AHA155" s="368"/>
      <c r="AHB155" s="368"/>
      <c r="AHC155" s="368"/>
      <c r="AHD155" s="368"/>
      <c r="AHE155" s="368"/>
      <c r="AHF155" s="368"/>
      <c r="AHG155" s="368"/>
      <c r="AHH155" s="368"/>
      <c r="AHI155" s="368"/>
      <c r="AHJ155" s="368"/>
      <c r="AHK155" s="368"/>
      <c r="AHL155" s="368"/>
      <c r="AHM155" s="368"/>
      <c r="AHN155" s="368"/>
      <c r="AHO155" s="368"/>
      <c r="AHP155" s="368"/>
      <c r="AHQ155" s="368"/>
      <c r="AHR155" s="368"/>
      <c r="AHS155" s="368"/>
      <c r="AHT155" s="368"/>
      <c r="AHU155" s="368"/>
      <c r="AHV155" s="368"/>
      <c r="AHW155" s="368"/>
      <c r="AHX155" s="368"/>
      <c r="AHY155" s="368"/>
      <c r="AHZ155" s="368"/>
      <c r="AIA155" s="368"/>
      <c r="AIB155" s="368"/>
      <c r="AIC155" s="368"/>
      <c r="AID155" s="368"/>
      <c r="AIE155" s="368"/>
      <c r="AIF155" s="368"/>
      <c r="AIG155" s="368"/>
      <c r="AIH155" s="368"/>
      <c r="AII155" s="368"/>
      <c r="AIJ155" s="368"/>
      <c r="AIK155" s="368"/>
      <c r="AIL155" s="368"/>
      <c r="AIM155" s="368"/>
      <c r="AIN155" s="368"/>
      <c r="AIO155" s="368"/>
      <c r="AIP155" s="368"/>
      <c r="AIQ155" s="368"/>
      <c r="AIR155" s="368"/>
      <c r="AIS155" s="368"/>
      <c r="AIT155" s="368"/>
      <c r="AIU155" s="368"/>
      <c r="AIV155" s="368"/>
      <c r="AIW155" s="368"/>
      <c r="AIX155" s="368"/>
      <c r="AIY155" s="368"/>
      <c r="AIZ155" s="368"/>
      <c r="AJA155" s="368"/>
      <c r="AJB155" s="368"/>
      <c r="AJC155" s="368"/>
      <c r="AJD155" s="368"/>
      <c r="AJE155" s="368"/>
      <c r="AJF155" s="368"/>
      <c r="AJG155" s="368"/>
      <c r="AJH155" s="368"/>
      <c r="AJI155" s="368"/>
      <c r="AJJ155" s="368"/>
      <c r="AJK155" s="368"/>
      <c r="AJL155" s="368"/>
      <c r="AJM155" s="368"/>
      <c r="AJN155" s="368"/>
      <c r="AJO155" s="368"/>
      <c r="AJP155" s="368"/>
      <c r="AJQ155" s="368"/>
      <c r="AJR155" s="368"/>
      <c r="AJS155" s="368"/>
      <c r="AJT155" s="368"/>
      <c r="AJU155" s="368"/>
      <c r="AJV155" s="368"/>
      <c r="AJW155" s="368"/>
      <c r="AJX155" s="368"/>
      <c r="AJY155" s="368"/>
      <c r="AJZ155" s="368"/>
      <c r="AKA155" s="368"/>
      <c r="AKB155" s="368"/>
      <c r="AKC155" s="368"/>
      <c r="AKD155" s="368"/>
      <c r="AKE155" s="368"/>
      <c r="AKF155" s="368"/>
      <c r="AKG155" s="368"/>
      <c r="AKH155" s="368"/>
      <c r="AKI155" s="368"/>
      <c r="AKJ155" s="368"/>
      <c r="AKK155" s="368"/>
      <c r="AKL155" s="368"/>
      <c r="AKM155" s="368"/>
      <c r="AKN155" s="368"/>
    </row>
    <row r="156" spans="1:976" s="346" customFormat="1" ht="22.5" customHeight="1" x14ac:dyDescent="0.2">
      <c r="A156" s="370" t="s">
        <v>262</v>
      </c>
      <c r="B156" s="370"/>
      <c r="C156" s="370" t="s">
        <v>221</v>
      </c>
      <c r="D156" s="370" t="s">
        <v>222</v>
      </c>
      <c r="E156" s="371">
        <v>414768</v>
      </c>
      <c r="F156" s="371">
        <v>1896</v>
      </c>
      <c r="G156" s="371">
        <v>303</v>
      </c>
      <c r="H156" s="371">
        <v>0</v>
      </c>
      <c r="I156" s="372">
        <v>45902</v>
      </c>
      <c r="J156" s="370" t="s">
        <v>263</v>
      </c>
      <c r="K156" s="370" t="s">
        <v>708</v>
      </c>
      <c r="L156" s="373">
        <v>93.32</v>
      </c>
      <c r="M156" s="373">
        <v>5.98</v>
      </c>
      <c r="N156" s="444">
        <v>99.3</v>
      </c>
      <c r="O156" s="370"/>
      <c r="P156" s="374">
        <v>45904</v>
      </c>
      <c r="Q156" s="373">
        <v>99.3</v>
      </c>
      <c r="R156" s="370" t="s">
        <v>709</v>
      </c>
      <c r="S156" s="373">
        <v>0</v>
      </c>
      <c r="T156" s="373">
        <v>0</v>
      </c>
      <c r="U156" s="373">
        <v>0</v>
      </c>
      <c r="V156" s="373">
        <v>0</v>
      </c>
      <c r="W156" s="370"/>
      <c r="X156" s="370" t="s">
        <v>293</v>
      </c>
      <c r="Y156" s="370" t="s">
        <v>294</v>
      </c>
      <c r="Z156" s="370" t="s">
        <v>42</v>
      </c>
      <c r="AA156" s="370" t="s">
        <v>228</v>
      </c>
      <c r="AB156" s="370" t="s">
        <v>235</v>
      </c>
      <c r="AC156" s="370" t="s">
        <v>331</v>
      </c>
      <c r="AD156" s="370" t="s">
        <v>231</v>
      </c>
      <c r="AE156" s="370" t="s">
        <v>232</v>
      </c>
      <c r="AF156" s="370" t="s">
        <v>231</v>
      </c>
      <c r="AG156" s="370" t="s">
        <v>232</v>
      </c>
      <c r="AH156" s="370"/>
      <c r="AI156" s="370"/>
      <c r="AJ156" s="370"/>
      <c r="AK156" s="370" t="s">
        <v>710</v>
      </c>
      <c r="AL156" s="371">
        <v>1</v>
      </c>
      <c r="AM156" s="371">
        <v>0</v>
      </c>
      <c r="AN156" s="372">
        <v>45904</v>
      </c>
      <c r="AO156" s="372">
        <v>45904</v>
      </c>
      <c r="AP156" s="373">
        <v>99.3</v>
      </c>
      <c r="AQ156" s="372">
        <v>45903</v>
      </c>
      <c r="AR156" s="368"/>
      <c r="AS156" s="368"/>
      <c r="AT156" s="368"/>
      <c r="AU156" s="368"/>
      <c r="AV156" s="368"/>
      <c r="AW156" s="368"/>
      <c r="AX156" s="368"/>
      <c r="AY156" s="368"/>
      <c r="AZ156" s="368"/>
      <c r="BA156" s="368"/>
      <c r="BB156" s="368"/>
      <c r="BC156" s="368"/>
      <c r="BD156" s="368"/>
      <c r="BE156" s="368"/>
      <c r="BF156" s="368"/>
      <c r="BG156" s="368"/>
      <c r="BH156" s="368"/>
      <c r="BI156" s="368"/>
      <c r="BJ156" s="368"/>
      <c r="BK156" s="368"/>
      <c r="BL156" s="368"/>
      <c r="BM156" s="368"/>
      <c r="BN156" s="368"/>
      <c r="BO156" s="368"/>
      <c r="BP156" s="368"/>
      <c r="BQ156" s="368"/>
      <c r="BR156" s="368"/>
      <c r="BS156" s="368"/>
      <c r="BT156" s="368"/>
      <c r="BU156" s="368"/>
      <c r="BV156" s="368"/>
      <c r="BW156" s="368"/>
      <c r="BX156" s="368"/>
      <c r="BY156" s="368"/>
      <c r="BZ156" s="368"/>
      <c r="CA156" s="368"/>
      <c r="CB156" s="368"/>
      <c r="CC156" s="368"/>
      <c r="CD156" s="368"/>
      <c r="CE156" s="368"/>
      <c r="CF156" s="368"/>
      <c r="CG156" s="368"/>
      <c r="CH156" s="368"/>
      <c r="CI156" s="368"/>
      <c r="CJ156" s="368"/>
      <c r="CK156" s="368"/>
      <c r="CL156" s="368"/>
      <c r="CM156" s="368"/>
      <c r="CN156" s="368"/>
      <c r="CO156" s="368"/>
      <c r="CP156" s="368"/>
      <c r="CQ156" s="368"/>
      <c r="CR156" s="368"/>
      <c r="CS156" s="368"/>
      <c r="CT156" s="368"/>
      <c r="CU156" s="368"/>
      <c r="CV156" s="368"/>
      <c r="CW156" s="368"/>
      <c r="CX156" s="368"/>
      <c r="CY156" s="368"/>
      <c r="CZ156" s="368"/>
      <c r="DA156" s="368"/>
      <c r="DB156" s="368"/>
      <c r="DC156" s="368"/>
      <c r="DD156" s="368"/>
      <c r="DE156" s="368"/>
      <c r="DF156" s="368"/>
      <c r="DG156" s="368"/>
      <c r="DH156" s="368"/>
      <c r="DI156" s="368"/>
      <c r="DJ156" s="368"/>
      <c r="DK156" s="368"/>
      <c r="DL156" s="368"/>
      <c r="DM156" s="368"/>
      <c r="DN156" s="368"/>
      <c r="DO156" s="368"/>
      <c r="DP156" s="368"/>
      <c r="DQ156" s="368"/>
      <c r="DR156" s="368"/>
      <c r="DS156" s="368"/>
      <c r="DT156" s="368"/>
      <c r="DU156" s="368"/>
      <c r="DV156" s="368"/>
      <c r="DW156" s="368"/>
      <c r="DX156" s="368"/>
      <c r="DY156" s="368"/>
      <c r="DZ156" s="368"/>
      <c r="EA156" s="368"/>
      <c r="EB156" s="368"/>
      <c r="EC156" s="368"/>
      <c r="ED156" s="368"/>
      <c r="EE156" s="368"/>
      <c r="EF156" s="368"/>
      <c r="EG156" s="368"/>
      <c r="EH156" s="368"/>
      <c r="EI156" s="368"/>
      <c r="EJ156" s="368"/>
      <c r="EK156" s="368"/>
      <c r="EL156" s="368"/>
      <c r="EM156" s="368"/>
      <c r="EN156" s="368"/>
      <c r="EO156" s="368"/>
      <c r="EP156" s="368"/>
      <c r="EQ156" s="368"/>
      <c r="ER156" s="368"/>
      <c r="ES156" s="368"/>
      <c r="ET156" s="368"/>
      <c r="EU156" s="368"/>
      <c r="EV156" s="368"/>
      <c r="EW156" s="368"/>
      <c r="EX156" s="368"/>
      <c r="EY156" s="368"/>
      <c r="EZ156" s="368"/>
      <c r="FA156" s="368"/>
      <c r="FB156" s="368"/>
      <c r="FC156" s="368"/>
      <c r="FD156" s="368"/>
      <c r="FE156" s="368"/>
      <c r="FF156" s="368"/>
      <c r="FG156" s="368"/>
      <c r="FH156" s="368"/>
      <c r="FI156" s="368"/>
      <c r="FJ156" s="368"/>
      <c r="FK156" s="368"/>
      <c r="FL156" s="368"/>
      <c r="FM156" s="368"/>
      <c r="FN156" s="368"/>
      <c r="FO156" s="368"/>
      <c r="FP156" s="368"/>
      <c r="FQ156" s="368"/>
      <c r="FR156" s="368"/>
      <c r="FS156" s="368"/>
      <c r="FT156" s="368"/>
      <c r="FU156" s="368"/>
      <c r="FV156" s="368"/>
      <c r="FW156" s="368"/>
      <c r="FX156" s="368"/>
      <c r="FY156" s="368"/>
      <c r="FZ156" s="368"/>
      <c r="GA156" s="368"/>
      <c r="GB156" s="368"/>
      <c r="GC156" s="368"/>
      <c r="GD156" s="368"/>
      <c r="GE156" s="368"/>
      <c r="GF156" s="368"/>
      <c r="GG156" s="368"/>
      <c r="GH156" s="368"/>
      <c r="GI156" s="368"/>
      <c r="GJ156" s="368"/>
      <c r="GK156" s="368"/>
      <c r="GL156" s="368"/>
      <c r="GM156" s="368"/>
      <c r="GN156" s="368"/>
      <c r="GO156" s="368"/>
      <c r="GP156" s="368"/>
      <c r="GQ156" s="368"/>
      <c r="GR156" s="368"/>
      <c r="GS156" s="368"/>
      <c r="GT156" s="368"/>
      <c r="GU156" s="368"/>
      <c r="GV156" s="368"/>
      <c r="GW156" s="368"/>
      <c r="GX156" s="368"/>
      <c r="GY156" s="368"/>
      <c r="GZ156" s="368"/>
      <c r="HA156" s="368"/>
      <c r="HB156" s="368"/>
      <c r="HC156" s="368"/>
      <c r="HD156" s="368"/>
      <c r="HE156" s="368"/>
      <c r="HF156" s="368"/>
      <c r="HG156" s="368"/>
      <c r="HH156" s="368"/>
      <c r="HI156" s="368"/>
      <c r="HJ156" s="368"/>
      <c r="HK156" s="368"/>
      <c r="HL156" s="368"/>
      <c r="HM156" s="368"/>
      <c r="HN156" s="368"/>
      <c r="HO156" s="368"/>
      <c r="HP156" s="368"/>
      <c r="HQ156" s="368"/>
      <c r="HR156" s="368"/>
      <c r="HS156" s="368"/>
      <c r="HT156" s="368"/>
      <c r="HU156" s="368"/>
      <c r="HV156" s="368"/>
      <c r="HW156" s="368"/>
      <c r="HX156" s="368"/>
      <c r="HY156" s="368"/>
      <c r="HZ156" s="368"/>
      <c r="IA156" s="368"/>
      <c r="IB156" s="368"/>
      <c r="IC156" s="368"/>
      <c r="ID156" s="368"/>
      <c r="IE156" s="368"/>
      <c r="IF156" s="368"/>
      <c r="IG156" s="368"/>
      <c r="IH156" s="368"/>
      <c r="II156" s="368"/>
      <c r="IJ156" s="368"/>
      <c r="IK156" s="368"/>
      <c r="IL156" s="368"/>
      <c r="IM156" s="368"/>
      <c r="IN156" s="368"/>
      <c r="IO156" s="368"/>
      <c r="IP156" s="368"/>
      <c r="IQ156" s="368"/>
      <c r="IR156" s="368"/>
      <c r="IS156" s="368"/>
      <c r="IT156" s="368"/>
      <c r="IU156" s="368"/>
      <c r="IV156" s="368"/>
      <c r="IW156" s="368"/>
      <c r="IX156" s="368"/>
      <c r="IY156" s="368"/>
      <c r="IZ156" s="368"/>
      <c r="JA156" s="368"/>
      <c r="JB156" s="368"/>
      <c r="JC156" s="368"/>
      <c r="JD156" s="368"/>
      <c r="JE156" s="368"/>
      <c r="JF156" s="368"/>
      <c r="JG156" s="368"/>
      <c r="JH156" s="368"/>
      <c r="JI156" s="368"/>
      <c r="JJ156" s="368"/>
      <c r="JK156" s="368"/>
      <c r="JL156" s="368"/>
      <c r="JM156" s="368"/>
      <c r="JN156" s="368"/>
      <c r="JO156" s="368"/>
      <c r="JP156" s="368"/>
      <c r="JQ156" s="368"/>
      <c r="JR156" s="368"/>
      <c r="JS156" s="368"/>
      <c r="JT156" s="368"/>
      <c r="JU156" s="368"/>
      <c r="JV156" s="368"/>
      <c r="JW156" s="368"/>
      <c r="JX156" s="368"/>
      <c r="JY156" s="368"/>
      <c r="JZ156" s="368"/>
      <c r="KA156" s="368"/>
      <c r="KB156" s="368"/>
      <c r="KC156" s="368"/>
      <c r="KD156" s="368"/>
      <c r="KE156" s="368"/>
      <c r="KF156" s="368"/>
      <c r="KG156" s="368"/>
      <c r="KH156" s="368"/>
      <c r="KI156" s="368"/>
      <c r="KJ156" s="368"/>
      <c r="KK156" s="368"/>
      <c r="KL156" s="368"/>
      <c r="KM156" s="368"/>
      <c r="KN156" s="368"/>
      <c r="KO156" s="368"/>
      <c r="KP156" s="368"/>
      <c r="KQ156" s="368"/>
      <c r="KR156" s="368"/>
      <c r="KS156" s="368"/>
      <c r="KT156" s="368"/>
      <c r="KU156" s="368"/>
      <c r="KV156" s="368"/>
      <c r="KW156" s="368"/>
      <c r="KX156" s="368"/>
      <c r="KY156" s="368"/>
      <c r="KZ156" s="368"/>
      <c r="LA156" s="368"/>
      <c r="LB156" s="368"/>
      <c r="LC156" s="368"/>
      <c r="LD156" s="368"/>
      <c r="LE156" s="368"/>
      <c r="LF156" s="368"/>
      <c r="LG156" s="368"/>
      <c r="LH156" s="368"/>
      <c r="LI156" s="368"/>
      <c r="LJ156" s="368"/>
      <c r="LK156" s="368"/>
      <c r="LL156" s="368"/>
      <c r="LM156" s="368"/>
      <c r="LN156" s="368"/>
      <c r="LO156" s="368"/>
      <c r="LP156" s="368"/>
      <c r="LQ156" s="368"/>
      <c r="LR156" s="368"/>
      <c r="LS156" s="368"/>
      <c r="LT156" s="368"/>
      <c r="LU156" s="368"/>
      <c r="LV156" s="368"/>
      <c r="LW156" s="368"/>
      <c r="LX156" s="368"/>
      <c r="LY156" s="368"/>
      <c r="LZ156" s="368"/>
      <c r="MA156" s="368"/>
      <c r="MB156" s="368"/>
      <c r="MC156" s="368"/>
      <c r="MD156" s="368"/>
      <c r="ME156" s="368"/>
      <c r="MF156" s="368"/>
      <c r="MG156" s="368"/>
      <c r="MH156" s="368"/>
      <c r="MI156" s="368"/>
      <c r="MJ156" s="368"/>
      <c r="MK156" s="368"/>
      <c r="ML156" s="368"/>
      <c r="MM156" s="368"/>
      <c r="MN156" s="368"/>
      <c r="MO156" s="368"/>
      <c r="MP156" s="368"/>
      <c r="MQ156" s="368"/>
      <c r="MR156" s="368"/>
      <c r="MS156" s="368"/>
      <c r="MT156" s="368"/>
      <c r="MU156" s="368"/>
      <c r="MV156" s="368"/>
      <c r="MW156" s="368"/>
      <c r="MX156" s="368"/>
      <c r="MY156" s="368"/>
      <c r="MZ156" s="368"/>
      <c r="NA156" s="368"/>
      <c r="NB156" s="368"/>
      <c r="NC156" s="368"/>
      <c r="ND156" s="368"/>
      <c r="NE156" s="368"/>
      <c r="NF156" s="368"/>
      <c r="NG156" s="368"/>
      <c r="NH156" s="368"/>
      <c r="NI156" s="368"/>
      <c r="NJ156" s="368"/>
      <c r="NK156" s="368"/>
      <c r="NL156" s="368"/>
      <c r="NM156" s="368"/>
      <c r="NN156" s="368"/>
      <c r="NO156" s="368"/>
      <c r="NP156" s="368"/>
      <c r="NQ156" s="368"/>
      <c r="NR156" s="368"/>
      <c r="NS156" s="368"/>
      <c r="NT156" s="368"/>
      <c r="NU156" s="368"/>
      <c r="NV156" s="368"/>
      <c r="NW156" s="368"/>
      <c r="NX156" s="368"/>
      <c r="NY156" s="368"/>
      <c r="NZ156" s="368"/>
      <c r="OA156" s="368"/>
      <c r="OB156" s="368"/>
      <c r="OC156" s="368"/>
      <c r="OD156" s="368"/>
      <c r="OE156" s="368"/>
      <c r="OF156" s="368"/>
      <c r="OG156" s="368"/>
      <c r="OH156" s="368"/>
      <c r="OI156" s="368"/>
      <c r="OJ156" s="368"/>
      <c r="OK156" s="368"/>
      <c r="OL156" s="368"/>
      <c r="OM156" s="368"/>
      <c r="ON156" s="368"/>
      <c r="OO156" s="368"/>
      <c r="OP156" s="368"/>
      <c r="OQ156" s="368"/>
      <c r="OR156" s="368"/>
      <c r="OS156" s="368"/>
      <c r="OT156" s="368"/>
      <c r="OU156" s="368"/>
      <c r="OV156" s="368"/>
      <c r="OW156" s="368"/>
      <c r="OX156" s="368"/>
      <c r="OY156" s="368"/>
      <c r="OZ156" s="368"/>
      <c r="PA156" s="368"/>
      <c r="PB156" s="368"/>
      <c r="PC156" s="368"/>
      <c r="PD156" s="368"/>
      <c r="PE156" s="368"/>
      <c r="PF156" s="368"/>
      <c r="PG156" s="368"/>
      <c r="PH156" s="368"/>
      <c r="PI156" s="368"/>
      <c r="PJ156" s="368"/>
      <c r="PK156" s="368"/>
      <c r="PL156" s="368"/>
      <c r="PM156" s="368"/>
      <c r="PN156" s="368"/>
      <c r="PO156" s="368"/>
      <c r="PP156" s="368"/>
      <c r="PQ156" s="368"/>
      <c r="PR156" s="368"/>
      <c r="PS156" s="368"/>
      <c r="PT156" s="368"/>
      <c r="PU156" s="368"/>
      <c r="PV156" s="368"/>
      <c r="PW156" s="368"/>
      <c r="PX156" s="368"/>
      <c r="PY156" s="368"/>
      <c r="PZ156" s="368"/>
      <c r="QA156" s="368"/>
      <c r="QB156" s="368"/>
      <c r="QC156" s="368"/>
      <c r="QD156" s="368"/>
      <c r="QE156" s="368"/>
      <c r="QF156" s="368"/>
      <c r="QG156" s="368"/>
      <c r="QH156" s="368"/>
      <c r="QI156" s="368"/>
      <c r="QJ156" s="368"/>
      <c r="QK156" s="368"/>
      <c r="QL156" s="368"/>
      <c r="QM156" s="368"/>
      <c r="QN156" s="368"/>
      <c r="QO156" s="368"/>
      <c r="QP156" s="368"/>
      <c r="QQ156" s="368"/>
      <c r="QR156" s="368"/>
      <c r="QS156" s="368"/>
      <c r="QT156" s="368"/>
      <c r="QU156" s="368"/>
      <c r="QV156" s="368"/>
      <c r="QW156" s="368"/>
      <c r="QX156" s="368"/>
      <c r="QY156" s="368"/>
      <c r="QZ156" s="368"/>
      <c r="RA156" s="368"/>
      <c r="RB156" s="368"/>
      <c r="RC156" s="368"/>
      <c r="RD156" s="368"/>
      <c r="RE156" s="368"/>
      <c r="RF156" s="368"/>
      <c r="RG156" s="368"/>
      <c r="RH156" s="368"/>
      <c r="RI156" s="368"/>
      <c r="RJ156" s="368"/>
      <c r="RK156" s="368"/>
      <c r="RL156" s="368"/>
      <c r="RM156" s="368"/>
      <c r="RN156" s="368"/>
      <c r="RO156" s="368"/>
      <c r="RP156" s="368"/>
      <c r="RQ156" s="368"/>
      <c r="RR156" s="368"/>
      <c r="RS156" s="368"/>
      <c r="RT156" s="368"/>
      <c r="RU156" s="368"/>
      <c r="RV156" s="368"/>
      <c r="RW156" s="368"/>
      <c r="RX156" s="368"/>
      <c r="RY156" s="368"/>
      <c r="RZ156" s="368"/>
      <c r="SA156" s="368"/>
      <c r="SB156" s="368"/>
      <c r="SC156" s="368"/>
      <c r="SD156" s="368"/>
      <c r="SE156" s="368"/>
      <c r="SF156" s="368"/>
      <c r="SG156" s="368"/>
      <c r="SH156" s="368"/>
      <c r="SI156" s="368"/>
      <c r="SJ156" s="368"/>
      <c r="SK156" s="368"/>
      <c r="SL156" s="368"/>
      <c r="SM156" s="368"/>
      <c r="SN156" s="368"/>
      <c r="SO156" s="368"/>
      <c r="SP156" s="368"/>
      <c r="SQ156" s="368"/>
      <c r="SR156" s="368"/>
      <c r="SS156" s="368"/>
      <c r="ST156" s="368"/>
      <c r="SU156" s="368"/>
      <c r="SV156" s="368"/>
      <c r="SW156" s="368"/>
      <c r="SX156" s="368"/>
      <c r="SY156" s="368"/>
      <c r="SZ156" s="368"/>
      <c r="TA156" s="368"/>
      <c r="TB156" s="368"/>
      <c r="TC156" s="368"/>
      <c r="TD156" s="368"/>
      <c r="TE156" s="368"/>
      <c r="TF156" s="368"/>
      <c r="TG156" s="368"/>
      <c r="TH156" s="368"/>
      <c r="TI156" s="368"/>
      <c r="TJ156" s="368"/>
      <c r="TK156" s="368"/>
      <c r="TL156" s="368"/>
      <c r="TM156" s="368"/>
      <c r="TN156" s="368"/>
      <c r="TO156" s="368"/>
      <c r="TP156" s="368"/>
      <c r="TQ156" s="368"/>
      <c r="TR156" s="368"/>
      <c r="TS156" s="368"/>
      <c r="TT156" s="368"/>
      <c r="TU156" s="368"/>
      <c r="TV156" s="368"/>
      <c r="TW156" s="368"/>
      <c r="TX156" s="368"/>
      <c r="TY156" s="368"/>
      <c r="TZ156" s="368"/>
      <c r="UA156" s="368"/>
      <c r="UB156" s="368"/>
      <c r="UC156" s="368"/>
      <c r="UD156" s="368"/>
      <c r="UE156" s="368"/>
      <c r="UF156" s="368"/>
      <c r="UG156" s="368"/>
      <c r="UH156" s="368"/>
      <c r="UI156" s="368"/>
      <c r="UJ156" s="368"/>
      <c r="UK156" s="368"/>
      <c r="UL156" s="368"/>
      <c r="UM156" s="368"/>
      <c r="UN156" s="368"/>
      <c r="UO156" s="368"/>
      <c r="UP156" s="368"/>
      <c r="UQ156" s="368"/>
      <c r="UR156" s="368"/>
      <c r="US156" s="368"/>
      <c r="UT156" s="368"/>
      <c r="UU156" s="368"/>
      <c r="UV156" s="368"/>
      <c r="UW156" s="368"/>
      <c r="UX156" s="368"/>
      <c r="UY156" s="368"/>
      <c r="UZ156" s="368"/>
      <c r="VA156" s="368"/>
      <c r="VB156" s="368"/>
      <c r="VC156" s="368"/>
      <c r="VD156" s="368"/>
      <c r="VE156" s="368"/>
      <c r="VF156" s="368"/>
      <c r="VG156" s="368"/>
      <c r="VH156" s="368"/>
      <c r="VI156" s="368"/>
      <c r="VJ156" s="368"/>
      <c r="VK156" s="368"/>
      <c r="VL156" s="368"/>
      <c r="VM156" s="368"/>
      <c r="VN156" s="368"/>
      <c r="VO156" s="368"/>
      <c r="VP156" s="368"/>
      <c r="VQ156" s="368"/>
      <c r="VR156" s="368"/>
      <c r="VS156" s="368"/>
      <c r="VT156" s="368"/>
      <c r="VU156" s="368"/>
      <c r="VV156" s="368"/>
      <c r="VW156" s="368"/>
      <c r="VX156" s="368"/>
      <c r="VY156" s="368"/>
      <c r="VZ156" s="368"/>
      <c r="WA156" s="368"/>
      <c r="WB156" s="368"/>
      <c r="WC156" s="368"/>
      <c r="WD156" s="368"/>
      <c r="WE156" s="368"/>
      <c r="WF156" s="368"/>
      <c r="WG156" s="368"/>
      <c r="WH156" s="368"/>
      <c r="WI156" s="368"/>
      <c r="WJ156" s="368"/>
      <c r="WK156" s="368"/>
      <c r="WL156" s="368"/>
      <c r="WM156" s="368"/>
      <c r="WN156" s="368"/>
      <c r="WO156" s="368"/>
      <c r="WP156" s="368"/>
      <c r="WQ156" s="368"/>
      <c r="WR156" s="368"/>
      <c r="WS156" s="368"/>
      <c r="WT156" s="368"/>
      <c r="WU156" s="368"/>
      <c r="WV156" s="368"/>
      <c r="WW156" s="368"/>
      <c r="WX156" s="368"/>
      <c r="WY156" s="368"/>
      <c r="WZ156" s="368"/>
      <c r="XA156" s="368"/>
      <c r="XB156" s="368"/>
      <c r="XC156" s="368"/>
      <c r="XD156" s="368"/>
      <c r="XE156" s="368"/>
      <c r="XF156" s="368"/>
      <c r="XG156" s="368"/>
      <c r="XH156" s="368"/>
      <c r="XI156" s="368"/>
      <c r="XJ156" s="368"/>
      <c r="XK156" s="368"/>
      <c r="XL156" s="368"/>
      <c r="XM156" s="368"/>
      <c r="XN156" s="368"/>
      <c r="XO156" s="368"/>
      <c r="XP156" s="368"/>
      <c r="XQ156" s="368"/>
      <c r="XR156" s="368"/>
      <c r="XS156" s="368"/>
      <c r="XT156" s="368"/>
      <c r="XU156" s="368"/>
      <c r="XV156" s="368"/>
      <c r="XW156" s="368"/>
      <c r="XX156" s="368"/>
      <c r="XY156" s="368"/>
      <c r="XZ156" s="368"/>
      <c r="YA156" s="368"/>
      <c r="YB156" s="368"/>
      <c r="YC156" s="368"/>
      <c r="YD156" s="368"/>
      <c r="YE156" s="368"/>
      <c r="YF156" s="368"/>
      <c r="YG156" s="368"/>
      <c r="YH156" s="368"/>
      <c r="YI156" s="368"/>
      <c r="YJ156" s="368"/>
      <c r="YK156" s="368"/>
      <c r="YL156" s="368"/>
      <c r="YM156" s="368"/>
      <c r="YN156" s="368"/>
      <c r="YO156" s="368"/>
      <c r="YP156" s="368"/>
      <c r="YQ156" s="368"/>
      <c r="YR156" s="368"/>
      <c r="YS156" s="368"/>
      <c r="YT156" s="368"/>
      <c r="YU156" s="368"/>
      <c r="YV156" s="368"/>
      <c r="YW156" s="368"/>
      <c r="YX156" s="368"/>
      <c r="YY156" s="368"/>
      <c r="YZ156" s="368"/>
      <c r="ZA156" s="368"/>
      <c r="ZB156" s="368"/>
      <c r="ZC156" s="368"/>
      <c r="ZD156" s="368"/>
      <c r="ZE156" s="368"/>
      <c r="ZF156" s="368"/>
      <c r="ZG156" s="368"/>
      <c r="ZH156" s="368"/>
      <c r="ZI156" s="368"/>
      <c r="ZJ156" s="368"/>
      <c r="ZK156" s="368"/>
      <c r="ZL156" s="368"/>
      <c r="ZM156" s="368"/>
      <c r="ZN156" s="368"/>
      <c r="ZO156" s="368"/>
      <c r="ZP156" s="368"/>
      <c r="ZQ156" s="368"/>
      <c r="ZR156" s="368"/>
      <c r="ZS156" s="368"/>
      <c r="ZT156" s="368"/>
      <c r="ZU156" s="368"/>
      <c r="ZV156" s="368"/>
      <c r="ZW156" s="368"/>
      <c r="ZX156" s="368"/>
      <c r="ZY156" s="368"/>
      <c r="ZZ156" s="368"/>
      <c r="AAA156" s="368"/>
      <c r="AAB156" s="368"/>
      <c r="AAC156" s="368"/>
      <c r="AAD156" s="368"/>
      <c r="AAE156" s="368"/>
      <c r="AAF156" s="368"/>
      <c r="AAG156" s="368"/>
      <c r="AAH156" s="368"/>
      <c r="AAI156" s="368"/>
      <c r="AAJ156" s="368"/>
      <c r="AAK156" s="368"/>
      <c r="AAL156" s="368"/>
      <c r="AAM156" s="368"/>
      <c r="AAN156" s="368"/>
      <c r="AAO156" s="368"/>
      <c r="AAP156" s="368"/>
      <c r="AAQ156" s="368"/>
      <c r="AAR156" s="368"/>
      <c r="AAS156" s="368"/>
      <c r="AAT156" s="368"/>
      <c r="AAU156" s="368"/>
      <c r="AAV156" s="368"/>
      <c r="AAW156" s="368"/>
      <c r="AAX156" s="368"/>
      <c r="AAY156" s="368"/>
      <c r="AAZ156" s="368"/>
      <c r="ABA156" s="368"/>
      <c r="ABB156" s="368"/>
      <c r="ABC156" s="368"/>
      <c r="ABD156" s="368"/>
      <c r="ABE156" s="368"/>
      <c r="ABF156" s="368"/>
      <c r="ABG156" s="368"/>
      <c r="ABH156" s="368"/>
      <c r="ABI156" s="368"/>
      <c r="ABJ156" s="368"/>
      <c r="ABK156" s="368"/>
      <c r="ABL156" s="368"/>
      <c r="ABM156" s="368"/>
      <c r="ABN156" s="368"/>
      <c r="ABO156" s="368"/>
      <c r="ABP156" s="368"/>
      <c r="ABQ156" s="368"/>
      <c r="ABR156" s="368"/>
      <c r="ABS156" s="368"/>
      <c r="ABT156" s="368"/>
      <c r="ABU156" s="368"/>
      <c r="ABV156" s="368"/>
      <c r="ABW156" s="368"/>
      <c r="ABX156" s="368"/>
      <c r="ABY156" s="368"/>
      <c r="ABZ156" s="368"/>
      <c r="ACA156" s="368"/>
      <c r="ACB156" s="368"/>
      <c r="ACC156" s="368"/>
      <c r="ACD156" s="368"/>
      <c r="ACE156" s="368"/>
      <c r="ACF156" s="368"/>
      <c r="ACG156" s="368"/>
      <c r="ACH156" s="368"/>
      <c r="ACI156" s="368"/>
      <c r="ACJ156" s="368"/>
      <c r="ACK156" s="368"/>
      <c r="ACL156" s="368"/>
      <c r="ACM156" s="368"/>
      <c r="ACN156" s="368"/>
      <c r="ACO156" s="368"/>
      <c r="ACP156" s="368"/>
      <c r="ACQ156" s="368"/>
      <c r="ACR156" s="368"/>
      <c r="ACS156" s="368"/>
      <c r="ACT156" s="368"/>
      <c r="ACU156" s="368"/>
      <c r="ACV156" s="368"/>
      <c r="ACW156" s="368"/>
      <c r="ACX156" s="368"/>
      <c r="ACY156" s="368"/>
      <c r="ACZ156" s="368"/>
      <c r="ADA156" s="368"/>
      <c r="ADB156" s="368"/>
      <c r="ADC156" s="368"/>
      <c r="ADD156" s="368"/>
      <c r="ADE156" s="368"/>
      <c r="ADF156" s="368"/>
      <c r="ADG156" s="368"/>
      <c r="ADH156" s="368"/>
      <c r="ADI156" s="368"/>
      <c r="ADJ156" s="368"/>
      <c r="ADK156" s="368"/>
      <c r="ADL156" s="368"/>
      <c r="ADM156" s="368"/>
      <c r="ADN156" s="368"/>
      <c r="ADO156" s="368"/>
      <c r="ADP156" s="368"/>
      <c r="ADQ156" s="368"/>
      <c r="ADR156" s="368"/>
      <c r="ADS156" s="368"/>
      <c r="ADT156" s="368"/>
      <c r="ADU156" s="368"/>
      <c r="ADV156" s="368"/>
      <c r="ADW156" s="368"/>
      <c r="ADX156" s="368"/>
      <c r="ADY156" s="368"/>
      <c r="ADZ156" s="368"/>
      <c r="AEA156" s="368"/>
      <c r="AEB156" s="368"/>
      <c r="AEC156" s="368"/>
      <c r="AED156" s="368"/>
      <c r="AEE156" s="368"/>
      <c r="AEF156" s="368"/>
      <c r="AEG156" s="368"/>
      <c r="AEH156" s="368"/>
      <c r="AEI156" s="368"/>
      <c r="AEJ156" s="368"/>
      <c r="AEK156" s="368"/>
      <c r="AEL156" s="368"/>
      <c r="AEM156" s="368"/>
      <c r="AEN156" s="368"/>
      <c r="AEO156" s="368"/>
      <c r="AEP156" s="368"/>
      <c r="AEQ156" s="368"/>
      <c r="AER156" s="368"/>
      <c r="AES156" s="368"/>
      <c r="AET156" s="368"/>
      <c r="AEU156" s="368"/>
      <c r="AEV156" s="368"/>
      <c r="AEW156" s="368"/>
      <c r="AEX156" s="368"/>
      <c r="AEY156" s="368"/>
      <c r="AEZ156" s="368"/>
      <c r="AFA156" s="368"/>
      <c r="AFB156" s="368"/>
      <c r="AFC156" s="368"/>
      <c r="AFD156" s="368"/>
      <c r="AFE156" s="368"/>
      <c r="AFF156" s="368"/>
      <c r="AFG156" s="368"/>
      <c r="AFH156" s="368"/>
      <c r="AFI156" s="368"/>
      <c r="AFJ156" s="368"/>
      <c r="AFK156" s="368"/>
      <c r="AFL156" s="368"/>
      <c r="AFM156" s="368"/>
      <c r="AFN156" s="368"/>
      <c r="AFO156" s="368"/>
      <c r="AFP156" s="368"/>
      <c r="AFQ156" s="368"/>
      <c r="AFR156" s="368"/>
      <c r="AFS156" s="368"/>
      <c r="AFT156" s="368"/>
      <c r="AFU156" s="368"/>
      <c r="AFV156" s="368"/>
      <c r="AFW156" s="368"/>
      <c r="AFX156" s="368"/>
      <c r="AFY156" s="368"/>
      <c r="AFZ156" s="368"/>
      <c r="AGA156" s="368"/>
      <c r="AGB156" s="368"/>
      <c r="AGC156" s="368"/>
      <c r="AGD156" s="368"/>
      <c r="AGE156" s="368"/>
      <c r="AGF156" s="368"/>
      <c r="AGG156" s="368"/>
      <c r="AGH156" s="368"/>
      <c r="AGI156" s="368"/>
      <c r="AGJ156" s="368"/>
      <c r="AGK156" s="368"/>
      <c r="AGL156" s="368"/>
      <c r="AGM156" s="368"/>
      <c r="AGN156" s="368"/>
      <c r="AGO156" s="368"/>
      <c r="AGP156" s="368"/>
      <c r="AGQ156" s="368"/>
      <c r="AGR156" s="368"/>
      <c r="AGS156" s="368"/>
      <c r="AGT156" s="368"/>
      <c r="AGU156" s="368"/>
      <c r="AGV156" s="368"/>
      <c r="AGW156" s="368"/>
      <c r="AGX156" s="368"/>
      <c r="AGY156" s="368"/>
      <c r="AGZ156" s="368"/>
      <c r="AHA156" s="368"/>
      <c r="AHB156" s="368"/>
      <c r="AHC156" s="368"/>
      <c r="AHD156" s="368"/>
      <c r="AHE156" s="368"/>
      <c r="AHF156" s="368"/>
      <c r="AHG156" s="368"/>
      <c r="AHH156" s="368"/>
      <c r="AHI156" s="368"/>
      <c r="AHJ156" s="368"/>
      <c r="AHK156" s="368"/>
      <c r="AHL156" s="368"/>
      <c r="AHM156" s="368"/>
      <c r="AHN156" s="368"/>
      <c r="AHO156" s="368"/>
      <c r="AHP156" s="368"/>
      <c r="AHQ156" s="368"/>
      <c r="AHR156" s="368"/>
      <c r="AHS156" s="368"/>
      <c r="AHT156" s="368"/>
      <c r="AHU156" s="368"/>
      <c r="AHV156" s="368"/>
      <c r="AHW156" s="368"/>
      <c r="AHX156" s="368"/>
      <c r="AHY156" s="368"/>
      <c r="AHZ156" s="368"/>
      <c r="AIA156" s="368"/>
      <c r="AIB156" s="368"/>
      <c r="AIC156" s="368"/>
      <c r="AID156" s="368"/>
      <c r="AIE156" s="368"/>
      <c r="AIF156" s="368"/>
      <c r="AIG156" s="368"/>
      <c r="AIH156" s="368"/>
      <c r="AII156" s="368"/>
      <c r="AIJ156" s="368"/>
      <c r="AIK156" s="368"/>
      <c r="AIL156" s="368"/>
      <c r="AIM156" s="368"/>
      <c r="AIN156" s="368"/>
      <c r="AIO156" s="368"/>
      <c r="AIP156" s="368"/>
      <c r="AIQ156" s="368"/>
      <c r="AIR156" s="368"/>
      <c r="AIS156" s="368"/>
      <c r="AIT156" s="368"/>
      <c r="AIU156" s="368"/>
      <c r="AIV156" s="368"/>
      <c r="AIW156" s="368"/>
      <c r="AIX156" s="368"/>
      <c r="AIY156" s="368"/>
      <c r="AIZ156" s="368"/>
      <c r="AJA156" s="368"/>
      <c r="AJB156" s="368"/>
      <c r="AJC156" s="368"/>
      <c r="AJD156" s="368"/>
      <c r="AJE156" s="368"/>
      <c r="AJF156" s="368"/>
      <c r="AJG156" s="368"/>
      <c r="AJH156" s="368"/>
      <c r="AJI156" s="368"/>
      <c r="AJJ156" s="368"/>
      <c r="AJK156" s="368"/>
      <c r="AJL156" s="368"/>
      <c r="AJM156" s="368"/>
      <c r="AJN156" s="368"/>
      <c r="AJO156" s="368"/>
      <c r="AJP156" s="368"/>
      <c r="AJQ156" s="368"/>
      <c r="AJR156" s="368"/>
      <c r="AJS156" s="368"/>
      <c r="AJT156" s="368"/>
      <c r="AJU156" s="368"/>
      <c r="AJV156" s="368"/>
      <c r="AJW156" s="368"/>
      <c r="AJX156" s="368"/>
      <c r="AJY156" s="368"/>
      <c r="AJZ156" s="368"/>
      <c r="AKA156" s="368"/>
      <c r="AKB156" s="368"/>
      <c r="AKC156" s="368"/>
      <c r="AKD156" s="368"/>
      <c r="AKE156" s="368"/>
      <c r="AKF156" s="368"/>
      <c r="AKG156" s="368"/>
      <c r="AKH156" s="368"/>
      <c r="AKI156" s="368"/>
      <c r="AKJ156" s="368"/>
      <c r="AKK156" s="368"/>
      <c r="AKL156" s="368"/>
      <c r="AKM156" s="368"/>
      <c r="AKN156" s="368"/>
    </row>
    <row r="157" spans="1:976" s="346" customFormat="1" ht="22.5" customHeight="1" x14ac:dyDescent="0.2">
      <c r="A157" s="370" t="s">
        <v>262</v>
      </c>
      <c r="B157" s="370"/>
      <c r="C157" s="370" t="s">
        <v>221</v>
      </c>
      <c r="D157" s="370" t="s">
        <v>222</v>
      </c>
      <c r="E157" s="371">
        <v>414769</v>
      </c>
      <c r="F157" s="371">
        <v>1894</v>
      </c>
      <c r="G157" s="371">
        <v>303</v>
      </c>
      <c r="H157" s="371">
        <v>0</v>
      </c>
      <c r="I157" s="372">
        <v>45902</v>
      </c>
      <c r="J157" s="370" t="s">
        <v>263</v>
      </c>
      <c r="K157" s="370" t="s">
        <v>711</v>
      </c>
      <c r="L157" s="373">
        <v>91.99</v>
      </c>
      <c r="M157" s="373">
        <v>7.47</v>
      </c>
      <c r="N157" s="444">
        <v>99.46</v>
      </c>
      <c r="O157" s="370"/>
      <c r="P157" s="374">
        <v>45904</v>
      </c>
      <c r="Q157" s="373">
        <v>99.46</v>
      </c>
      <c r="R157" s="370" t="s">
        <v>712</v>
      </c>
      <c r="S157" s="373">
        <v>0</v>
      </c>
      <c r="T157" s="373">
        <v>0</v>
      </c>
      <c r="U157" s="373">
        <v>0</v>
      </c>
      <c r="V157" s="373">
        <v>0</v>
      </c>
      <c r="W157" s="370"/>
      <c r="X157" s="370" t="s">
        <v>293</v>
      </c>
      <c r="Y157" s="370" t="s">
        <v>294</v>
      </c>
      <c r="Z157" s="370" t="s">
        <v>42</v>
      </c>
      <c r="AA157" s="370" t="s">
        <v>228</v>
      </c>
      <c r="AB157" s="370" t="s">
        <v>235</v>
      </c>
      <c r="AC157" s="370" t="s">
        <v>331</v>
      </c>
      <c r="AD157" s="370" t="s">
        <v>231</v>
      </c>
      <c r="AE157" s="370" t="s">
        <v>232</v>
      </c>
      <c r="AF157" s="370" t="s">
        <v>231</v>
      </c>
      <c r="AG157" s="370" t="s">
        <v>232</v>
      </c>
      <c r="AH157" s="370"/>
      <c r="AI157" s="370"/>
      <c r="AJ157" s="370"/>
      <c r="AK157" s="370" t="s">
        <v>713</v>
      </c>
      <c r="AL157" s="371">
        <v>1</v>
      </c>
      <c r="AM157" s="371">
        <v>0</v>
      </c>
      <c r="AN157" s="372">
        <v>45904</v>
      </c>
      <c r="AO157" s="372">
        <v>45904</v>
      </c>
      <c r="AP157" s="373">
        <v>99.46</v>
      </c>
      <c r="AQ157" s="372">
        <v>45903</v>
      </c>
      <c r="AR157" s="368"/>
      <c r="AS157" s="368"/>
      <c r="AT157" s="368"/>
      <c r="AU157" s="368"/>
      <c r="AV157" s="368"/>
      <c r="AW157" s="368"/>
      <c r="AX157" s="368"/>
      <c r="AY157" s="368"/>
      <c r="AZ157" s="368"/>
      <c r="BA157" s="368"/>
      <c r="BB157" s="368"/>
      <c r="BC157" s="368"/>
      <c r="BD157" s="368"/>
      <c r="BE157" s="368"/>
      <c r="BF157" s="368"/>
      <c r="BG157" s="368"/>
      <c r="BH157" s="368"/>
      <c r="BI157" s="368"/>
      <c r="BJ157" s="368"/>
      <c r="BK157" s="368"/>
      <c r="BL157" s="368"/>
      <c r="BM157" s="368"/>
      <c r="BN157" s="368"/>
      <c r="BO157" s="368"/>
      <c r="BP157" s="368"/>
      <c r="BQ157" s="368"/>
      <c r="BR157" s="368"/>
      <c r="BS157" s="368"/>
      <c r="BT157" s="368"/>
      <c r="BU157" s="368"/>
      <c r="BV157" s="368"/>
      <c r="BW157" s="368"/>
      <c r="BX157" s="368"/>
      <c r="BY157" s="368"/>
      <c r="BZ157" s="368"/>
      <c r="CA157" s="368"/>
      <c r="CB157" s="368"/>
      <c r="CC157" s="368"/>
      <c r="CD157" s="368"/>
      <c r="CE157" s="368"/>
      <c r="CF157" s="368"/>
      <c r="CG157" s="368"/>
      <c r="CH157" s="368"/>
      <c r="CI157" s="368"/>
      <c r="CJ157" s="368"/>
      <c r="CK157" s="368"/>
      <c r="CL157" s="368"/>
      <c r="CM157" s="368"/>
      <c r="CN157" s="368"/>
      <c r="CO157" s="368"/>
      <c r="CP157" s="368"/>
      <c r="CQ157" s="368"/>
      <c r="CR157" s="368"/>
      <c r="CS157" s="368"/>
      <c r="CT157" s="368"/>
      <c r="CU157" s="368"/>
      <c r="CV157" s="368"/>
      <c r="CW157" s="368"/>
      <c r="CX157" s="368"/>
      <c r="CY157" s="368"/>
      <c r="CZ157" s="368"/>
      <c r="DA157" s="368"/>
      <c r="DB157" s="368"/>
      <c r="DC157" s="368"/>
      <c r="DD157" s="368"/>
      <c r="DE157" s="368"/>
      <c r="DF157" s="368"/>
      <c r="DG157" s="368"/>
      <c r="DH157" s="368"/>
      <c r="DI157" s="368"/>
      <c r="DJ157" s="368"/>
      <c r="DK157" s="368"/>
      <c r="DL157" s="368"/>
      <c r="DM157" s="368"/>
      <c r="DN157" s="368"/>
      <c r="DO157" s="368"/>
      <c r="DP157" s="368"/>
      <c r="DQ157" s="368"/>
      <c r="DR157" s="368"/>
      <c r="DS157" s="368"/>
      <c r="DT157" s="368"/>
      <c r="DU157" s="368"/>
      <c r="DV157" s="368"/>
      <c r="DW157" s="368"/>
      <c r="DX157" s="368"/>
      <c r="DY157" s="368"/>
      <c r="DZ157" s="368"/>
      <c r="EA157" s="368"/>
      <c r="EB157" s="368"/>
      <c r="EC157" s="368"/>
      <c r="ED157" s="368"/>
      <c r="EE157" s="368"/>
      <c r="EF157" s="368"/>
      <c r="EG157" s="368"/>
      <c r="EH157" s="368"/>
      <c r="EI157" s="368"/>
      <c r="EJ157" s="368"/>
      <c r="EK157" s="368"/>
      <c r="EL157" s="368"/>
      <c r="EM157" s="368"/>
      <c r="EN157" s="368"/>
      <c r="EO157" s="368"/>
      <c r="EP157" s="368"/>
      <c r="EQ157" s="368"/>
      <c r="ER157" s="368"/>
      <c r="ES157" s="368"/>
      <c r="ET157" s="368"/>
      <c r="EU157" s="368"/>
      <c r="EV157" s="368"/>
      <c r="EW157" s="368"/>
      <c r="EX157" s="368"/>
      <c r="EY157" s="368"/>
      <c r="EZ157" s="368"/>
      <c r="FA157" s="368"/>
      <c r="FB157" s="368"/>
      <c r="FC157" s="368"/>
      <c r="FD157" s="368"/>
      <c r="FE157" s="368"/>
      <c r="FF157" s="368"/>
      <c r="FG157" s="368"/>
      <c r="FH157" s="368"/>
      <c r="FI157" s="368"/>
      <c r="FJ157" s="368"/>
      <c r="FK157" s="368"/>
      <c r="FL157" s="368"/>
      <c r="FM157" s="368"/>
      <c r="FN157" s="368"/>
      <c r="FO157" s="368"/>
      <c r="FP157" s="368"/>
      <c r="FQ157" s="368"/>
      <c r="FR157" s="368"/>
      <c r="FS157" s="368"/>
      <c r="FT157" s="368"/>
      <c r="FU157" s="368"/>
      <c r="FV157" s="368"/>
      <c r="FW157" s="368"/>
      <c r="FX157" s="368"/>
      <c r="FY157" s="368"/>
      <c r="FZ157" s="368"/>
      <c r="GA157" s="368"/>
      <c r="GB157" s="368"/>
      <c r="GC157" s="368"/>
      <c r="GD157" s="368"/>
      <c r="GE157" s="368"/>
      <c r="GF157" s="368"/>
      <c r="GG157" s="368"/>
      <c r="GH157" s="368"/>
      <c r="GI157" s="368"/>
      <c r="GJ157" s="368"/>
      <c r="GK157" s="368"/>
      <c r="GL157" s="368"/>
      <c r="GM157" s="368"/>
      <c r="GN157" s="368"/>
      <c r="GO157" s="368"/>
      <c r="GP157" s="368"/>
      <c r="GQ157" s="368"/>
      <c r="GR157" s="368"/>
      <c r="GS157" s="368"/>
      <c r="GT157" s="368"/>
      <c r="GU157" s="368"/>
      <c r="GV157" s="368"/>
      <c r="GW157" s="368"/>
      <c r="GX157" s="368"/>
      <c r="GY157" s="368"/>
      <c r="GZ157" s="368"/>
      <c r="HA157" s="368"/>
      <c r="HB157" s="368"/>
      <c r="HC157" s="368"/>
      <c r="HD157" s="368"/>
      <c r="HE157" s="368"/>
      <c r="HF157" s="368"/>
      <c r="HG157" s="368"/>
      <c r="HH157" s="368"/>
      <c r="HI157" s="368"/>
      <c r="HJ157" s="368"/>
      <c r="HK157" s="368"/>
      <c r="HL157" s="368"/>
      <c r="HM157" s="368"/>
      <c r="HN157" s="368"/>
      <c r="HO157" s="368"/>
      <c r="HP157" s="368"/>
      <c r="HQ157" s="368"/>
      <c r="HR157" s="368"/>
      <c r="HS157" s="368"/>
      <c r="HT157" s="368"/>
      <c r="HU157" s="368"/>
      <c r="HV157" s="368"/>
      <c r="HW157" s="368"/>
      <c r="HX157" s="368"/>
      <c r="HY157" s="368"/>
      <c r="HZ157" s="368"/>
      <c r="IA157" s="368"/>
      <c r="IB157" s="368"/>
      <c r="IC157" s="368"/>
      <c r="ID157" s="368"/>
      <c r="IE157" s="368"/>
      <c r="IF157" s="368"/>
      <c r="IG157" s="368"/>
      <c r="IH157" s="368"/>
      <c r="II157" s="368"/>
      <c r="IJ157" s="368"/>
      <c r="IK157" s="368"/>
      <c r="IL157" s="368"/>
      <c r="IM157" s="368"/>
      <c r="IN157" s="368"/>
      <c r="IO157" s="368"/>
      <c r="IP157" s="368"/>
      <c r="IQ157" s="368"/>
      <c r="IR157" s="368"/>
      <c r="IS157" s="368"/>
      <c r="IT157" s="368"/>
      <c r="IU157" s="368"/>
      <c r="IV157" s="368"/>
      <c r="IW157" s="368"/>
      <c r="IX157" s="368"/>
      <c r="IY157" s="368"/>
      <c r="IZ157" s="368"/>
      <c r="JA157" s="368"/>
      <c r="JB157" s="368"/>
      <c r="JC157" s="368"/>
      <c r="JD157" s="368"/>
      <c r="JE157" s="368"/>
      <c r="JF157" s="368"/>
      <c r="JG157" s="368"/>
      <c r="JH157" s="368"/>
      <c r="JI157" s="368"/>
      <c r="JJ157" s="368"/>
      <c r="JK157" s="368"/>
      <c r="JL157" s="368"/>
      <c r="JM157" s="368"/>
      <c r="JN157" s="368"/>
      <c r="JO157" s="368"/>
      <c r="JP157" s="368"/>
      <c r="JQ157" s="368"/>
      <c r="JR157" s="368"/>
      <c r="JS157" s="368"/>
      <c r="JT157" s="368"/>
      <c r="JU157" s="368"/>
      <c r="JV157" s="368"/>
      <c r="JW157" s="368"/>
      <c r="JX157" s="368"/>
      <c r="JY157" s="368"/>
      <c r="JZ157" s="368"/>
      <c r="KA157" s="368"/>
      <c r="KB157" s="368"/>
      <c r="KC157" s="368"/>
      <c r="KD157" s="368"/>
      <c r="KE157" s="368"/>
      <c r="KF157" s="368"/>
      <c r="KG157" s="368"/>
      <c r="KH157" s="368"/>
      <c r="KI157" s="368"/>
      <c r="KJ157" s="368"/>
      <c r="KK157" s="368"/>
      <c r="KL157" s="368"/>
      <c r="KM157" s="368"/>
      <c r="KN157" s="368"/>
      <c r="KO157" s="368"/>
      <c r="KP157" s="368"/>
      <c r="KQ157" s="368"/>
      <c r="KR157" s="368"/>
      <c r="KS157" s="368"/>
      <c r="KT157" s="368"/>
      <c r="KU157" s="368"/>
      <c r="KV157" s="368"/>
      <c r="KW157" s="368"/>
      <c r="KX157" s="368"/>
      <c r="KY157" s="368"/>
      <c r="KZ157" s="368"/>
      <c r="LA157" s="368"/>
      <c r="LB157" s="368"/>
      <c r="LC157" s="368"/>
      <c r="LD157" s="368"/>
      <c r="LE157" s="368"/>
      <c r="LF157" s="368"/>
      <c r="LG157" s="368"/>
      <c r="LH157" s="368"/>
      <c r="LI157" s="368"/>
      <c r="LJ157" s="368"/>
      <c r="LK157" s="368"/>
      <c r="LL157" s="368"/>
      <c r="LM157" s="368"/>
      <c r="LN157" s="368"/>
      <c r="LO157" s="368"/>
      <c r="LP157" s="368"/>
      <c r="LQ157" s="368"/>
      <c r="LR157" s="368"/>
      <c r="LS157" s="368"/>
      <c r="LT157" s="368"/>
      <c r="LU157" s="368"/>
      <c r="LV157" s="368"/>
      <c r="LW157" s="368"/>
      <c r="LX157" s="368"/>
      <c r="LY157" s="368"/>
      <c r="LZ157" s="368"/>
      <c r="MA157" s="368"/>
      <c r="MB157" s="368"/>
      <c r="MC157" s="368"/>
      <c r="MD157" s="368"/>
      <c r="ME157" s="368"/>
      <c r="MF157" s="368"/>
      <c r="MG157" s="368"/>
      <c r="MH157" s="368"/>
      <c r="MI157" s="368"/>
      <c r="MJ157" s="368"/>
      <c r="MK157" s="368"/>
      <c r="ML157" s="368"/>
      <c r="MM157" s="368"/>
      <c r="MN157" s="368"/>
      <c r="MO157" s="368"/>
      <c r="MP157" s="368"/>
      <c r="MQ157" s="368"/>
      <c r="MR157" s="368"/>
      <c r="MS157" s="368"/>
      <c r="MT157" s="368"/>
      <c r="MU157" s="368"/>
      <c r="MV157" s="368"/>
      <c r="MW157" s="368"/>
      <c r="MX157" s="368"/>
      <c r="MY157" s="368"/>
      <c r="MZ157" s="368"/>
      <c r="NA157" s="368"/>
      <c r="NB157" s="368"/>
      <c r="NC157" s="368"/>
      <c r="ND157" s="368"/>
      <c r="NE157" s="368"/>
      <c r="NF157" s="368"/>
      <c r="NG157" s="368"/>
      <c r="NH157" s="368"/>
      <c r="NI157" s="368"/>
      <c r="NJ157" s="368"/>
      <c r="NK157" s="368"/>
      <c r="NL157" s="368"/>
      <c r="NM157" s="368"/>
      <c r="NN157" s="368"/>
      <c r="NO157" s="368"/>
      <c r="NP157" s="368"/>
      <c r="NQ157" s="368"/>
      <c r="NR157" s="368"/>
      <c r="NS157" s="368"/>
      <c r="NT157" s="368"/>
      <c r="NU157" s="368"/>
      <c r="NV157" s="368"/>
      <c r="NW157" s="368"/>
      <c r="NX157" s="368"/>
      <c r="NY157" s="368"/>
      <c r="NZ157" s="368"/>
      <c r="OA157" s="368"/>
      <c r="OB157" s="368"/>
      <c r="OC157" s="368"/>
      <c r="OD157" s="368"/>
      <c r="OE157" s="368"/>
      <c r="OF157" s="368"/>
      <c r="OG157" s="368"/>
      <c r="OH157" s="368"/>
      <c r="OI157" s="368"/>
      <c r="OJ157" s="368"/>
      <c r="OK157" s="368"/>
      <c r="OL157" s="368"/>
      <c r="OM157" s="368"/>
      <c r="ON157" s="368"/>
      <c r="OO157" s="368"/>
      <c r="OP157" s="368"/>
      <c r="OQ157" s="368"/>
      <c r="OR157" s="368"/>
      <c r="OS157" s="368"/>
      <c r="OT157" s="368"/>
      <c r="OU157" s="368"/>
      <c r="OV157" s="368"/>
      <c r="OW157" s="368"/>
      <c r="OX157" s="368"/>
      <c r="OY157" s="368"/>
      <c r="OZ157" s="368"/>
      <c r="PA157" s="368"/>
      <c r="PB157" s="368"/>
      <c r="PC157" s="368"/>
      <c r="PD157" s="368"/>
      <c r="PE157" s="368"/>
      <c r="PF157" s="368"/>
      <c r="PG157" s="368"/>
      <c r="PH157" s="368"/>
      <c r="PI157" s="368"/>
      <c r="PJ157" s="368"/>
      <c r="PK157" s="368"/>
      <c r="PL157" s="368"/>
      <c r="PM157" s="368"/>
      <c r="PN157" s="368"/>
      <c r="PO157" s="368"/>
      <c r="PP157" s="368"/>
      <c r="PQ157" s="368"/>
      <c r="PR157" s="368"/>
      <c r="PS157" s="368"/>
      <c r="PT157" s="368"/>
      <c r="PU157" s="368"/>
      <c r="PV157" s="368"/>
      <c r="PW157" s="368"/>
      <c r="PX157" s="368"/>
      <c r="PY157" s="368"/>
      <c r="PZ157" s="368"/>
      <c r="QA157" s="368"/>
      <c r="QB157" s="368"/>
      <c r="QC157" s="368"/>
      <c r="QD157" s="368"/>
      <c r="QE157" s="368"/>
      <c r="QF157" s="368"/>
      <c r="QG157" s="368"/>
      <c r="QH157" s="368"/>
      <c r="QI157" s="368"/>
      <c r="QJ157" s="368"/>
      <c r="QK157" s="368"/>
      <c r="QL157" s="368"/>
      <c r="QM157" s="368"/>
      <c r="QN157" s="368"/>
      <c r="QO157" s="368"/>
      <c r="QP157" s="368"/>
      <c r="QQ157" s="368"/>
      <c r="QR157" s="368"/>
      <c r="QS157" s="368"/>
      <c r="QT157" s="368"/>
      <c r="QU157" s="368"/>
      <c r="QV157" s="368"/>
      <c r="QW157" s="368"/>
      <c r="QX157" s="368"/>
      <c r="QY157" s="368"/>
      <c r="QZ157" s="368"/>
      <c r="RA157" s="368"/>
      <c r="RB157" s="368"/>
      <c r="RC157" s="368"/>
      <c r="RD157" s="368"/>
      <c r="RE157" s="368"/>
      <c r="RF157" s="368"/>
      <c r="RG157" s="368"/>
      <c r="RH157" s="368"/>
      <c r="RI157" s="368"/>
      <c r="RJ157" s="368"/>
      <c r="RK157" s="368"/>
      <c r="RL157" s="368"/>
      <c r="RM157" s="368"/>
      <c r="RN157" s="368"/>
      <c r="RO157" s="368"/>
      <c r="RP157" s="368"/>
      <c r="RQ157" s="368"/>
      <c r="RR157" s="368"/>
      <c r="RS157" s="368"/>
      <c r="RT157" s="368"/>
      <c r="RU157" s="368"/>
      <c r="RV157" s="368"/>
      <c r="RW157" s="368"/>
      <c r="RX157" s="368"/>
      <c r="RY157" s="368"/>
      <c r="RZ157" s="368"/>
      <c r="SA157" s="368"/>
      <c r="SB157" s="368"/>
      <c r="SC157" s="368"/>
      <c r="SD157" s="368"/>
      <c r="SE157" s="368"/>
      <c r="SF157" s="368"/>
      <c r="SG157" s="368"/>
      <c r="SH157" s="368"/>
      <c r="SI157" s="368"/>
      <c r="SJ157" s="368"/>
      <c r="SK157" s="368"/>
      <c r="SL157" s="368"/>
      <c r="SM157" s="368"/>
      <c r="SN157" s="368"/>
      <c r="SO157" s="368"/>
      <c r="SP157" s="368"/>
      <c r="SQ157" s="368"/>
      <c r="SR157" s="368"/>
      <c r="SS157" s="368"/>
      <c r="ST157" s="368"/>
      <c r="SU157" s="368"/>
      <c r="SV157" s="368"/>
      <c r="SW157" s="368"/>
      <c r="SX157" s="368"/>
      <c r="SY157" s="368"/>
      <c r="SZ157" s="368"/>
      <c r="TA157" s="368"/>
      <c r="TB157" s="368"/>
      <c r="TC157" s="368"/>
      <c r="TD157" s="368"/>
      <c r="TE157" s="368"/>
      <c r="TF157" s="368"/>
      <c r="TG157" s="368"/>
      <c r="TH157" s="368"/>
      <c r="TI157" s="368"/>
      <c r="TJ157" s="368"/>
      <c r="TK157" s="368"/>
      <c r="TL157" s="368"/>
      <c r="TM157" s="368"/>
      <c r="TN157" s="368"/>
      <c r="TO157" s="368"/>
      <c r="TP157" s="368"/>
      <c r="TQ157" s="368"/>
      <c r="TR157" s="368"/>
      <c r="TS157" s="368"/>
      <c r="TT157" s="368"/>
      <c r="TU157" s="368"/>
      <c r="TV157" s="368"/>
      <c r="TW157" s="368"/>
      <c r="TX157" s="368"/>
      <c r="TY157" s="368"/>
      <c r="TZ157" s="368"/>
      <c r="UA157" s="368"/>
      <c r="UB157" s="368"/>
      <c r="UC157" s="368"/>
      <c r="UD157" s="368"/>
      <c r="UE157" s="368"/>
      <c r="UF157" s="368"/>
      <c r="UG157" s="368"/>
      <c r="UH157" s="368"/>
      <c r="UI157" s="368"/>
      <c r="UJ157" s="368"/>
      <c r="UK157" s="368"/>
      <c r="UL157" s="368"/>
      <c r="UM157" s="368"/>
      <c r="UN157" s="368"/>
      <c r="UO157" s="368"/>
      <c r="UP157" s="368"/>
      <c r="UQ157" s="368"/>
      <c r="UR157" s="368"/>
      <c r="US157" s="368"/>
      <c r="UT157" s="368"/>
      <c r="UU157" s="368"/>
      <c r="UV157" s="368"/>
      <c r="UW157" s="368"/>
      <c r="UX157" s="368"/>
      <c r="UY157" s="368"/>
      <c r="UZ157" s="368"/>
      <c r="VA157" s="368"/>
      <c r="VB157" s="368"/>
      <c r="VC157" s="368"/>
      <c r="VD157" s="368"/>
      <c r="VE157" s="368"/>
      <c r="VF157" s="368"/>
      <c r="VG157" s="368"/>
      <c r="VH157" s="368"/>
      <c r="VI157" s="368"/>
      <c r="VJ157" s="368"/>
      <c r="VK157" s="368"/>
      <c r="VL157" s="368"/>
      <c r="VM157" s="368"/>
      <c r="VN157" s="368"/>
      <c r="VO157" s="368"/>
      <c r="VP157" s="368"/>
      <c r="VQ157" s="368"/>
      <c r="VR157" s="368"/>
      <c r="VS157" s="368"/>
      <c r="VT157" s="368"/>
      <c r="VU157" s="368"/>
      <c r="VV157" s="368"/>
      <c r="VW157" s="368"/>
      <c r="VX157" s="368"/>
      <c r="VY157" s="368"/>
      <c r="VZ157" s="368"/>
      <c r="WA157" s="368"/>
      <c r="WB157" s="368"/>
      <c r="WC157" s="368"/>
      <c r="WD157" s="368"/>
      <c r="WE157" s="368"/>
      <c r="WF157" s="368"/>
      <c r="WG157" s="368"/>
      <c r="WH157" s="368"/>
      <c r="WI157" s="368"/>
      <c r="WJ157" s="368"/>
      <c r="WK157" s="368"/>
      <c r="WL157" s="368"/>
      <c r="WM157" s="368"/>
      <c r="WN157" s="368"/>
      <c r="WO157" s="368"/>
      <c r="WP157" s="368"/>
      <c r="WQ157" s="368"/>
      <c r="WR157" s="368"/>
      <c r="WS157" s="368"/>
      <c r="WT157" s="368"/>
      <c r="WU157" s="368"/>
      <c r="WV157" s="368"/>
      <c r="WW157" s="368"/>
      <c r="WX157" s="368"/>
      <c r="WY157" s="368"/>
      <c r="WZ157" s="368"/>
      <c r="XA157" s="368"/>
      <c r="XB157" s="368"/>
      <c r="XC157" s="368"/>
      <c r="XD157" s="368"/>
      <c r="XE157" s="368"/>
      <c r="XF157" s="368"/>
      <c r="XG157" s="368"/>
      <c r="XH157" s="368"/>
      <c r="XI157" s="368"/>
      <c r="XJ157" s="368"/>
      <c r="XK157" s="368"/>
      <c r="XL157" s="368"/>
      <c r="XM157" s="368"/>
      <c r="XN157" s="368"/>
      <c r="XO157" s="368"/>
      <c r="XP157" s="368"/>
      <c r="XQ157" s="368"/>
      <c r="XR157" s="368"/>
      <c r="XS157" s="368"/>
      <c r="XT157" s="368"/>
      <c r="XU157" s="368"/>
      <c r="XV157" s="368"/>
      <c r="XW157" s="368"/>
      <c r="XX157" s="368"/>
      <c r="XY157" s="368"/>
      <c r="XZ157" s="368"/>
      <c r="YA157" s="368"/>
      <c r="YB157" s="368"/>
      <c r="YC157" s="368"/>
      <c r="YD157" s="368"/>
      <c r="YE157" s="368"/>
      <c r="YF157" s="368"/>
      <c r="YG157" s="368"/>
      <c r="YH157" s="368"/>
      <c r="YI157" s="368"/>
      <c r="YJ157" s="368"/>
      <c r="YK157" s="368"/>
      <c r="YL157" s="368"/>
      <c r="YM157" s="368"/>
      <c r="YN157" s="368"/>
      <c r="YO157" s="368"/>
      <c r="YP157" s="368"/>
      <c r="YQ157" s="368"/>
      <c r="YR157" s="368"/>
      <c r="YS157" s="368"/>
      <c r="YT157" s="368"/>
      <c r="YU157" s="368"/>
      <c r="YV157" s="368"/>
      <c r="YW157" s="368"/>
      <c r="YX157" s="368"/>
      <c r="YY157" s="368"/>
      <c r="YZ157" s="368"/>
      <c r="ZA157" s="368"/>
      <c r="ZB157" s="368"/>
      <c r="ZC157" s="368"/>
      <c r="ZD157" s="368"/>
      <c r="ZE157" s="368"/>
      <c r="ZF157" s="368"/>
      <c r="ZG157" s="368"/>
      <c r="ZH157" s="368"/>
      <c r="ZI157" s="368"/>
      <c r="ZJ157" s="368"/>
      <c r="ZK157" s="368"/>
      <c r="ZL157" s="368"/>
      <c r="ZM157" s="368"/>
      <c r="ZN157" s="368"/>
      <c r="ZO157" s="368"/>
      <c r="ZP157" s="368"/>
      <c r="ZQ157" s="368"/>
      <c r="ZR157" s="368"/>
      <c r="ZS157" s="368"/>
      <c r="ZT157" s="368"/>
      <c r="ZU157" s="368"/>
      <c r="ZV157" s="368"/>
      <c r="ZW157" s="368"/>
      <c r="ZX157" s="368"/>
      <c r="ZY157" s="368"/>
      <c r="ZZ157" s="368"/>
      <c r="AAA157" s="368"/>
      <c r="AAB157" s="368"/>
      <c r="AAC157" s="368"/>
      <c r="AAD157" s="368"/>
      <c r="AAE157" s="368"/>
      <c r="AAF157" s="368"/>
      <c r="AAG157" s="368"/>
      <c r="AAH157" s="368"/>
      <c r="AAI157" s="368"/>
      <c r="AAJ157" s="368"/>
      <c r="AAK157" s="368"/>
      <c r="AAL157" s="368"/>
      <c r="AAM157" s="368"/>
      <c r="AAN157" s="368"/>
      <c r="AAO157" s="368"/>
      <c r="AAP157" s="368"/>
      <c r="AAQ157" s="368"/>
      <c r="AAR157" s="368"/>
      <c r="AAS157" s="368"/>
      <c r="AAT157" s="368"/>
      <c r="AAU157" s="368"/>
      <c r="AAV157" s="368"/>
      <c r="AAW157" s="368"/>
      <c r="AAX157" s="368"/>
      <c r="AAY157" s="368"/>
      <c r="AAZ157" s="368"/>
      <c r="ABA157" s="368"/>
      <c r="ABB157" s="368"/>
      <c r="ABC157" s="368"/>
      <c r="ABD157" s="368"/>
      <c r="ABE157" s="368"/>
      <c r="ABF157" s="368"/>
      <c r="ABG157" s="368"/>
      <c r="ABH157" s="368"/>
      <c r="ABI157" s="368"/>
      <c r="ABJ157" s="368"/>
      <c r="ABK157" s="368"/>
      <c r="ABL157" s="368"/>
      <c r="ABM157" s="368"/>
      <c r="ABN157" s="368"/>
      <c r="ABO157" s="368"/>
      <c r="ABP157" s="368"/>
      <c r="ABQ157" s="368"/>
      <c r="ABR157" s="368"/>
      <c r="ABS157" s="368"/>
      <c r="ABT157" s="368"/>
      <c r="ABU157" s="368"/>
      <c r="ABV157" s="368"/>
      <c r="ABW157" s="368"/>
      <c r="ABX157" s="368"/>
      <c r="ABY157" s="368"/>
      <c r="ABZ157" s="368"/>
      <c r="ACA157" s="368"/>
      <c r="ACB157" s="368"/>
      <c r="ACC157" s="368"/>
      <c r="ACD157" s="368"/>
      <c r="ACE157" s="368"/>
      <c r="ACF157" s="368"/>
      <c r="ACG157" s="368"/>
      <c r="ACH157" s="368"/>
      <c r="ACI157" s="368"/>
      <c r="ACJ157" s="368"/>
      <c r="ACK157" s="368"/>
      <c r="ACL157" s="368"/>
      <c r="ACM157" s="368"/>
      <c r="ACN157" s="368"/>
      <c r="ACO157" s="368"/>
      <c r="ACP157" s="368"/>
      <c r="ACQ157" s="368"/>
      <c r="ACR157" s="368"/>
      <c r="ACS157" s="368"/>
      <c r="ACT157" s="368"/>
      <c r="ACU157" s="368"/>
      <c r="ACV157" s="368"/>
      <c r="ACW157" s="368"/>
      <c r="ACX157" s="368"/>
      <c r="ACY157" s="368"/>
      <c r="ACZ157" s="368"/>
      <c r="ADA157" s="368"/>
      <c r="ADB157" s="368"/>
      <c r="ADC157" s="368"/>
      <c r="ADD157" s="368"/>
      <c r="ADE157" s="368"/>
      <c r="ADF157" s="368"/>
      <c r="ADG157" s="368"/>
      <c r="ADH157" s="368"/>
      <c r="ADI157" s="368"/>
      <c r="ADJ157" s="368"/>
      <c r="ADK157" s="368"/>
      <c r="ADL157" s="368"/>
      <c r="ADM157" s="368"/>
      <c r="ADN157" s="368"/>
      <c r="ADO157" s="368"/>
      <c r="ADP157" s="368"/>
      <c r="ADQ157" s="368"/>
      <c r="ADR157" s="368"/>
      <c r="ADS157" s="368"/>
      <c r="ADT157" s="368"/>
      <c r="ADU157" s="368"/>
      <c r="ADV157" s="368"/>
      <c r="ADW157" s="368"/>
      <c r="ADX157" s="368"/>
      <c r="ADY157" s="368"/>
      <c r="ADZ157" s="368"/>
      <c r="AEA157" s="368"/>
      <c r="AEB157" s="368"/>
      <c r="AEC157" s="368"/>
      <c r="AED157" s="368"/>
      <c r="AEE157" s="368"/>
      <c r="AEF157" s="368"/>
      <c r="AEG157" s="368"/>
      <c r="AEH157" s="368"/>
      <c r="AEI157" s="368"/>
      <c r="AEJ157" s="368"/>
      <c r="AEK157" s="368"/>
      <c r="AEL157" s="368"/>
      <c r="AEM157" s="368"/>
      <c r="AEN157" s="368"/>
      <c r="AEO157" s="368"/>
      <c r="AEP157" s="368"/>
      <c r="AEQ157" s="368"/>
      <c r="AER157" s="368"/>
      <c r="AES157" s="368"/>
      <c r="AET157" s="368"/>
      <c r="AEU157" s="368"/>
      <c r="AEV157" s="368"/>
      <c r="AEW157" s="368"/>
      <c r="AEX157" s="368"/>
      <c r="AEY157" s="368"/>
      <c r="AEZ157" s="368"/>
      <c r="AFA157" s="368"/>
      <c r="AFB157" s="368"/>
      <c r="AFC157" s="368"/>
      <c r="AFD157" s="368"/>
      <c r="AFE157" s="368"/>
      <c r="AFF157" s="368"/>
      <c r="AFG157" s="368"/>
      <c r="AFH157" s="368"/>
      <c r="AFI157" s="368"/>
      <c r="AFJ157" s="368"/>
      <c r="AFK157" s="368"/>
      <c r="AFL157" s="368"/>
      <c r="AFM157" s="368"/>
      <c r="AFN157" s="368"/>
      <c r="AFO157" s="368"/>
      <c r="AFP157" s="368"/>
      <c r="AFQ157" s="368"/>
      <c r="AFR157" s="368"/>
      <c r="AFS157" s="368"/>
      <c r="AFT157" s="368"/>
      <c r="AFU157" s="368"/>
      <c r="AFV157" s="368"/>
      <c r="AFW157" s="368"/>
      <c r="AFX157" s="368"/>
      <c r="AFY157" s="368"/>
      <c r="AFZ157" s="368"/>
      <c r="AGA157" s="368"/>
      <c r="AGB157" s="368"/>
      <c r="AGC157" s="368"/>
      <c r="AGD157" s="368"/>
      <c r="AGE157" s="368"/>
      <c r="AGF157" s="368"/>
      <c r="AGG157" s="368"/>
      <c r="AGH157" s="368"/>
      <c r="AGI157" s="368"/>
      <c r="AGJ157" s="368"/>
      <c r="AGK157" s="368"/>
      <c r="AGL157" s="368"/>
      <c r="AGM157" s="368"/>
      <c r="AGN157" s="368"/>
      <c r="AGO157" s="368"/>
      <c r="AGP157" s="368"/>
      <c r="AGQ157" s="368"/>
      <c r="AGR157" s="368"/>
      <c r="AGS157" s="368"/>
      <c r="AGT157" s="368"/>
      <c r="AGU157" s="368"/>
      <c r="AGV157" s="368"/>
      <c r="AGW157" s="368"/>
      <c r="AGX157" s="368"/>
      <c r="AGY157" s="368"/>
      <c r="AGZ157" s="368"/>
      <c r="AHA157" s="368"/>
      <c r="AHB157" s="368"/>
      <c r="AHC157" s="368"/>
      <c r="AHD157" s="368"/>
      <c r="AHE157" s="368"/>
      <c r="AHF157" s="368"/>
      <c r="AHG157" s="368"/>
      <c r="AHH157" s="368"/>
      <c r="AHI157" s="368"/>
      <c r="AHJ157" s="368"/>
      <c r="AHK157" s="368"/>
      <c r="AHL157" s="368"/>
      <c r="AHM157" s="368"/>
      <c r="AHN157" s="368"/>
      <c r="AHO157" s="368"/>
      <c r="AHP157" s="368"/>
      <c r="AHQ157" s="368"/>
      <c r="AHR157" s="368"/>
      <c r="AHS157" s="368"/>
      <c r="AHT157" s="368"/>
      <c r="AHU157" s="368"/>
      <c r="AHV157" s="368"/>
      <c r="AHW157" s="368"/>
      <c r="AHX157" s="368"/>
      <c r="AHY157" s="368"/>
      <c r="AHZ157" s="368"/>
      <c r="AIA157" s="368"/>
      <c r="AIB157" s="368"/>
      <c r="AIC157" s="368"/>
      <c r="AID157" s="368"/>
      <c r="AIE157" s="368"/>
      <c r="AIF157" s="368"/>
      <c r="AIG157" s="368"/>
      <c r="AIH157" s="368"/>
      <c r="AII157" s="368"/>
      <c r="AIJ157" s="368"/>
      <c r="AIK157" s="368"/>
      <c r="AIL157" s="368"/>
      <c r="AIM157" s="368"/>
      <c r="AIN157" s="368"/>
      <c r="AIO157" s="368"/>
      <c r="AIP157" s="368"/>
      <c r="AIQ157" s="368"/>
      <c r="AIR157" s="368"/>
      <c r="AIS157" s="368"/>
      <c r="AIT157" s="368"/>
      <c r="AIU157" s="368"/>
      <c r="AIV157" s="368"/>
      <c r="AIW157" s="368"/>
      <c r="AIX157" s="368"/>
      <c r="AIY157" s="368"/>
      <c r="AIZ157" s="368"/>
      <c r="AJA157" s="368"/>
      <c r="AJB157" s="368"/>
      <c r="AJC157" s="368"/>
      <c r="AJD157" s="368"/>
      <c r="AJE157" s="368"/>
      <c r="AJF157" s="368"/>
      <c r="AJG157" s="368"/>
      <c r="AJH157" s="368"/>
      <c r="AJI157" s="368"/>
      <c r="AJJ157" s="368"/>
      <c r="AJK157" s="368"/>
      <c r="AJL157" s="368"/>
      <c r="AJM157" s="368"/>
      <c r="AJN157" s="368"/>
      <c r="AJO157" s="368"/>
      <c r="AJP157" s="368"/>
      <c r="AJQ157" s="368"/>
      <c r="AJR157" s="368"/>
      <c r="AJS157" s="368"/>
      <c r="AJT157" s="368"/>
      <c r="AJU157" s="368"/>
      <c r="AJV157" s="368"/>
      <c r="AJW157" s="368"/>
      <c r="AJX157" s="368"/>
      <c r="AJY157" s="368"/>
      <c r="AJZ157" s="368"/>
      <c r="AKA157" s="368"/>
      <c r="AKB157" s="368"/>
      <c r="AKC157" s="368"/>
      <c r="AKD157" s="368"/>
      <c r="AKE157" s="368"/>
      <c r="AKF157" s="368"/>
      <c r="AKG157" s="368"/>
      <c r="AKH157" s="368"/>
      <c r="AKI157" s="368"/>
      <c r="AKJ157" s="368"/>
      <c r="AKK157" s="368"/>
      <c r="AKL157" s="368"/>
      <c r="AKM157" s="368"/>
      <c r="AKN157" s="368"/>
    </row>
    <row r="158" spans="1:976" s="346" customFormat="1" ht="22.5" customHeight="1" x14ac:dyDescent="0.2">
      <c r="A158" s="370" t="s">
        <v>262</v>
      </c>
      <c r="B158" s="370"/>
      <c r="C158" s="370" t="s">
        <v>221</v>
      </c>
      <c r="D158" s="370" t="s">
        <v>222</v>
      </c>
      <c r="E158" s="371">
        <v>414774</v>
      </c>
      <c r="F158" s="371">
        <v>1897</v>
      </c>
      <c r="G158" s="371">
        <v>303</v>
      </c>
      <c r="H158" s="371">
        <v>0</v>
      </c>
      <c r="I158" s="372">
        <v>45902</v>
      </c>
      <c r="J158" s="370" t="s">
        <v>263</v>
      </c>
      <c r="K158" s="370" t="s">
        <v>714</v>
      </c>
      <c r="L158" s="373">
        <v>23.67</v>
      </c>
      <c r="M158" s="373">
        <v>1.3</v>
      </c>
      <c r="N158" s="444">
        <v>24.97</v>
      </c>
      <c r="O158" s="370"/>
      <c r="P158" s="374">
        <v>45904</v>
      </c>
      <c r="Q158" s="373">
        <v>24.97</v>
      </c>
      <c r="R158" s="370" t="s">
        <v>715</v>
      </c>
      <c r="S158" s="373">
        <v>0</v>
      </c>
      <c r="T158" s="373">
        <v>0</v>
      </c>
      <c r="U158" s="373">
        <v>0</v>
      </c>
      <c r="V158" s="373">
        <v>0</v>
      </c>
      <c r="W158" s="370"/>
      <c r="X158" s="370" t="s">
        <v>293</v>
      </c>
      <c r="Y158" s="370" t="s">
        <v>294</v>
      </c>
      <c r="Z158" s="370" t="s">
        <v>42</v>
      </c>
      <c r="AA158" s="370" t="s">
        <v>228</v>
      </c>
      <c r="AB158" s="370" t="s">
        <v>235</v>
      </c>
      <c r="AC158" s="370" t="s">
        <v>331</v>
      </c>
      <c r="AD158" s="370" t="s">
        <v>231</v>
      </c>
      <c r="AE158" s="370" t="s">
        <v>232</v>
      </c>
      <c r="AF158" s="370" t="s">
        <v>231</v>
      </c>
      <c r="AG158" s="370" t="s">
        <v>232</v>
      </c>
      <c r="AH158" s="370"/>
      <c r="AI158" s="370"/>
      <c r="AJ158" s="370"/>
      <c r="AK158" s="370" t="s">
        <v>716</v>
      </c>
      <c r="AL158" s="371">
        <v>1</v>
      </c>
      <c r="AM158" s="371">
        <v>0</v>
      </c>
      <c r="AN158" s="372">
        <v>45904</v>
      </c>
      <c r="AO158" s="372">
        <v>45904</v>
      </c>
      <c r="AP158" s="373">
        <v>24.97</v>
      </c>
      <c r="AQ158" s="372">
        <v>45903</v>
      </c>
      <c r="AR158" s="368"/>
      <c r="AS158" s="368"/>
      <c r="AT158" s="368"/>
      <c r="AU158" s="368"/>
      <c r="AV158" s="368"/>
      <c r="AW158" s="368"/>
      <c r="AX158" s="368"/>
      <c r="AY158" s="368"/>
      <c r="AZ158" s="368"/>
      <c r="BA158" s="368"/>
      <c r="BB158" s="368"/>
      <c r="BC158" s="368"/>
      <c r="BD158" s="368"/>
      <c r="BE158" s="368"/>
      <c r="BF158" s="368"/>
      <c r="BG158" s="368"/>
      <c r="BH158" s="368"/>
      <c r="BI158" s="368"/>
      <c r="BJ158" s="368"/>
      <c r="BK158" s="368"/>
      <c r="BL158" s="368"/>
      <c r="BM158" s="368"/>
      <c r="BN158" s="368"/>
      <c r="BO158" s="368"/>
      <c r="BP158" s="368"/>
      <c r="BQ158" s="368"/>
      <c r="BR158" s="368"/>
      <c r="BS158" s="368"/>
      <c r="BT158" s="368"/>
      <c r="BU158" s="368"/>
      <c r="BV158" s="368"/>
      <c r="BW158" s="368"/>
      <c r="BX158" s="368"/>
      <c r="BY158" s="368"/>
      <c r="BZ158" s="368"/>
      <c r="CA158" s="368"/>
      <c r="CB158" s="368"/>
      <c r="CC158" s="368"/>
      <c r="CD158" s="368"/>
      <c r="CE158" s="368"/>
      <c r="CF158" s="368"/>
      <c r="CG158" s="368"/>
      <c r="CH158" s="368"/>
      <c r="CI158" s="368"/>
      <c r="CJ158" s="368"/>
      <c r="CK158" s="368"/>
      <c r="CL158" s="368"/>
      <c r="CM158" s="368"/>
      <c r="CN158" s="368"/>
      <c r="CO158" s="368"/>
      <c r="CP158" s="368"/>
      <c r="CQ158" s="368"/>
      <c r="CR158" s="368"/>
      <c r="CS158" s="368"/>
      <c r="CT158" s="368"/>
      <c r="CU158" s="368"/>
      <c r="CV158" s="368"/>
      <c r="CW158" s="368"/>
      <c r="CX158" s="368"/>
      <c r="CY158" s="368"/>
      <c r="CZ158" s="368"/>
      <c r="DA158" s="368"/>
      <c r="DB158" s="368"/>
      <c r="DC158" s="368"/>
      <c r="DD158" s="368"/>
      <c r="DE158" s="368"/>
      <c r="DF158" s="368"/>
      <c r="DG158" s="368"/>
      <c r="DH158" s="368"/>
      <c r="DI158" s="368"/>
      <c r="DJ158" s="368"/>
      <c r="DK158" s="368"/>
      <c r="DL158" s="368"/>
      <c r="DM158" s="368"/>
      <c r="DN158" s="368"/>
      <c r="DO158" s="368"/>
      <c r="DP158" s="368"/>
      <c r="DQ158" s="368"/>
      <c r="DR158" s="368"/>
      <c r="DS158" s="368"/>
      <c r="DT158" s="368"/>
      <c r="DU158" s="368"/>
      <c r="DV158" s="368"/>
      <c r="DW158" s="368"/>
      <c r="DX158" s="368"/>
      <c r="DY158" s="368"/>
      <c r="DZ158" s="368"/>
      <c r="EA158" s="368"/>
      <c r="EB158" s="368"/>
      <c r="EC158" s="368"/>
      <c r="ED158" s="368"/>
      <c r="EE158" s="368"/>
      <c r="EF158" s="368"/>
      <c r="EG158" s="368"/>
      <c r="EH158" s="368"/>
      <c r="EI158" s="368"/>
      <c r="EJ158" s="368"/>
      <c r="EK158" s="368"/>
      <c r="EL158" s="368"/>
      <c r="EM158" s="368"/>
      <c r="EN158" s="368"/>
      <c r="EO158" s="368"/>
      <c r="EP158" s="368"/>
      <c r="EQ158" s="368"/>
      <c r="ER158" s="368"/>
      <c r="ES158" s="368"/>
      <c r="ET158" s="368"/>
      <c r="EU158" s="368"/>
      <c r="EV158" s="368"/>
      <c r="EW158" s="368"/>
      <c r="EX158" s="368"/>
      <c r="EY158" s="368"/>
      <c r="EZ158" s="368"/>
      <c r="FA158" s="368"/>
      <c r="FB158" s="368"/>
      <c r="FC158" s="368"/>
      <c r="FD158" s="368"/>
      <c r="FE158" s="368"/>
      <c r="FF158" s="368"/>
      <c r="FG158" s="368"/>
      <c r="FH158" s="368"/>
      <c r="FI158" s="368"/>
      <c r="FJ158" s="368"/>
      <c r="FK158" s="368"/>
      <c r="FL158" s="368"/>
      <c r="FM158" s="368"/>
      <c r="FN158" s="368"/>
      <c r="FO158" s="368"/>
      <c r="FP158" s="368"/>
      <c r="FQ158" s="368"/>
      <c r="FR158" s="368"/>
      <c r="FS158" s="368"/>
      <c r="FT158" s="368"/>
      <c r="FU158" s="368"/>
      <c r="FV158" s="368"/>
      <c r="FW158" s="368"/>
      <c r="FX158" s="368"/>
      <c r="FY158" s="368"/>
      <c r="FZ158" s="368"/>
      <c r="GA158" s="368"/>
      <c r="GB158" s="368"/>
      <c r="GC158" s="368"/>
      <c r="GD158" s="368"/>
      <c r="GE158" s="368"/>
      <c r="GF158" s="368"/>
      <c r="GG158" s="368"/>
      <c r="GH158" s="368"/>
      <c r="GI158" s="368"/>
      <c r="GJ158" s="368"/>
      <c r="GK158" s="368"/>
      <c r="GL158" s="368"/>
      <c r="GM158" s="368"/>
      <c r="GN158" s="368"/>
      <c r="GO158" s="368"/>
      <c r="GP158" s="368"/>
      <c r="GQ158" s="368"/>
      <c r="GR158" s="368"/>
      <c r="GS158" s="368"/>
      <c r="GT158" s="368"/>
      <c r="GU158" s="368"/>
      <c r="GV158" s="368"/>
      <c r="GW158" s="368"/>
      <c r="GX158" s="368"/>
      <c r="GY158" s="368"/>
      <c r="GZ158" s="368"/>
      <c r="HA158" s="368"/>
      <c r="HB158" s="368"/>
      <c r="HC158" s="368"/>
      <c r="HD158" s="368"/>
      <c r="HE158" s="368"/>
      <c r="HF158" s="368"/>
      <c r="HG158" s="368"/>
      <c r="HH158" s="368"/>
      <c r="HI158" s="368"/>
      <c r="HJ158" s="368"/>
      <c r="HK158" s="368"/>
      <c r="HL158" s="368"/>
      <c r="HM158" s="368"/>
      <c r="HN158" s="368"/>
      <c r="HO158" s="368"/>
      <c r="HP158" s="368"/>
      <c r="HQ158" s="368"/>
      <c r="HR158" s="368"/>
      <c r="HS158" s="368"/>
      <c r="HT158" s="368"/>
      <c r="HU158" s="368"/>
      <c r="HV158" s="368"/>
      <c r="HW158" s="368"/>
      <c r="HX158" s="368"/>
      <c r="HY158" s="368"/>
      <c r="HZ158" s="368"/>
      <c r="IA158" s="368"/>
      <c r="IB158" s="368"/>
      <c r="IC158" s="368"/>
      <c r="ID158" s="368"/>
      <c r="IE158" s="368"/>
      <c r="IF158" s="368"/>
      <c r="IG158" s="368"/>
      <c r="IH158" s="368"/>
      <c r="II158" s="368"/>
      <c r="IJ158" s="368"/>
      <c r="IK158" s="368"/>
      <c r="IL158" s="368"/>
      <c r="IM158" s="368"/>
      <c r="IN158" s="368"/>
      <c r="IO158" s="368"/>
      <c r="IP158" s="368"/>
      <c r="IQ158" s="368"/>
      <c r="IR158" s="368"/>
      <c r="IS158" s="368"/>
      <c r="IT158" s="368"/>
      <c r="IU158" s="368"/>
      <c r="IV158" s="368"/>
      <c r="IW158" s="368"/>
      <c r="IX158" s="368"/>
      <c r="IY158" s="368"/>
      <c r="IZ158" s="368"/>
      <c r="JA158" s="368"/>
      <c r="JB158" s="368"/>
      <c r="JC158" s="368"/>
      <c r="JD158" s="368"/>
      <c r="JE158" s="368"/>
      <c r="JF158" s="368"/>
      <c r="JG158" s="368"/>
      <c r="JH158" s="368"/>
      <c r="JI158" s="368"/>
      <c r="JJ158" s="368"/>
      <c r="JK158" s="368"/>
      <c r="JL158" s="368"/>
      <c r="JM158" s="368"/>
      <c r="JN158" s="368"/>
      <c r="JO158" s="368"/>
      <c r="JP158" s="368"/>
      <c r="JQ158" s="368"/>
      <c r="JR158" s="368"/>
      <c r="JS158" s="368"/>
      <c r="JT158" s="368"/>
      <c r="JU158" s="368"/>
      <c r="JV158" s="368"/>
      <c r="JW158" s="368"/>
      <c r="JX158" s="368"/>
      <c r="JY158" s="368"/>
      <c r="JZ158" s="368"/>
      <c r="KA158" s="368"/>
      <c r="KB158" s="368"/>
      <c r="KC158" s="368"/>
      <c r="KD158" s="368"/>
      <c r="KE158" s="368"/>
      <c r="KF158" s="368"/>
      <c r="KG158" s="368"/>
      <c r="KH158" s="368"/>
      <c r="KI158" s="368"/>
      <c r="KJ158" s="368"/>
      <c r="KK158" s="368"/>
      <c r="KL158" s="368"/>
      <c r="KM158" s="368"/>
      <c r="KN158" s="368"/>
      <c r="KO158" s="368"/>
      <c r="KP158" s="368"/>
      <c r="KQ158" s="368"/>
      <c r="KR158" s="368"/>
      <c r="KS158" s="368"/>
      <c r="KT158" s="368"/>
      <c r="KU158" s="368"/>
      <c r="KV158" s="368"/>
      <c r="KW158" s="368"/>
      <c r="KX158" s="368"/>
      <c r="KY158" s="368"/>
      <c r="KZ158" s="368"/>
      <c r="LA158" s="368"/>
      <c r="LB158" s="368"/>
      <c r="LC158" s="368"/>
      <c r="LD158" s="368"/>
      <c r="LE158" s="368"/>
      <c r="LF158" s="368"/>
      <c r="LG158" s="368"/>
      <c r="LH158" s="368"/>
      <c r="LI158" s="368"/>
      <c r="LJ158" s="368"/>
      <c r="LK158" s="368"/>
      <c r="LL158" s="368"/>
      <c r="LM158" s="368"/>
      <c r="LN158" s="368"/>
      <c r="LO158" s="368"/>
      <c r="LP158" s="368"/>
      <c r="LQ158" s="368"/>
      <c r="LR158" s="368"/>
      <c r="LS158" s="368"/>
      <c r="LT158" s="368"/>
      <c r="LU158" s="368"/>
      <c r="LV158" s="368"/>
      <c r="LW158" s="368"/>
      <c r="LX158" s="368"/>
      <c r="LY158" s="368"/>
      <c r="LZ158" s="368"/>
      <c r="MA158" s="368"/>
      <c r="MB158" s="368"/>
      <c r="MC158" s="368"/>
      <c r="MD158" s="368"/>
      <c r="ME158" s="368"/>
      <c r="MF158" s="368"/>
      <c r="MG158" s="368"/>
      <c r="MH158" s="368"/>
      <c r="MI158" s="368"/>
      <c r="MJ158" s="368"/>
      <c r="MK158" s="368"/>
      <c r="ML158" s="368"/>
      <c r="MM158" s="368"/>
      <c r="MN158" s="368"/>
      <c r="MO158" s="368"/>
      <c r="MP158" s="368"/>
      <c r="MQ158" s="368"/>
      <c r="MR158" s="368"/>
      <c r="MS158" s="368"/>
      <c r="MT158" s="368"/>
      <c r="MU158" s="368"/>
      <c r="MV158" s="368"/>
      <c r="MW158" s="368"/>
      <c r="MX158" s="368"/>
      <c r="MY158" s="368"/>
      <c r="MZ158" s="368"/>
      <c r="NA158" s="368"/>
      <c r="NB158" s="368"/>
      <c r="NC158" s="368"/>
      <c r="ND158" s="368"/>
      <c r="NE158" s="368"/>
      <c r="NF158" s="368"/>
      <c r="NG158" s="368"/>
      <c r="NH158" s="368"/>
      <c r="NI158" s="368"/>
      <c r="NJ158" s="368"/>
      <c r="NK158" s="368"/>
      <c r="NL158" s="368"/>
      <c r="NM158" s="368"/>
      <c r="NN158" s="368"/>
      <c r="NO158" s="368"/>
      <c r="NP158" s="368"/>
      <c r="NQ158" s="368"/>
      <c r="NR158" s="368"/>
      <c r="NS158" s="368"/>
      <c r="NT158" s="368"/>
      <c r="NU158" s="368"/>
      <c r="NV158" s="368"/>
      <c r="NW158" s="368"/>
      <c r="NX158" s="368"/>
      <c r="NY158" s="368"/>
      <c r="NZ158" s="368"/>
      <c r="OA158" s="368"/>
      <c r="OB158" s="368"/>
      <c r="OC158" s="368"/>
      <c r="OD158" s="368"/>
      <c r="OE158" s="368"/>
      <c r="OF158" s="368"/>
      <c r="OG158" s="368"/>
      <c r="OH158" s="368"/>
      <c r="OI158" s="368"/>
      <c r="OJ158" s="368"/>
      <c r="OK158" s="368"/>
      <c r="OL158" s="368"/>
      <c r="OM158" s="368"/>
      <c r="ON158" s="368"/>
      <c r="OO158" s="368"/>
      <c r="OP158" s="368"/>
      <c r="OQ158" s="368"/>
      <c r="OR158" s="368"/>
      <c r="OS158" s="368"/>
      <c r="OT158" s="368"/>
      <c r="OU158" s="368"/>
      <c r="OV158" s="368"/>
      <c r="OW158" s="368"/>
      <c r="OX158" s="368"/>
      <c r="OY158" s="368"/>
      <c r="OZ158" s="368"/>
      <c r="PA158" s="368"/>
      <c r="PB158" s="368"/>
      <c r="PC158" s="368"/>
      <c r="PD158" s="368"/>
      <c r="PE158" s="368"/>
      <c r="PF158" s="368"/>
      <c r="PG158" s="368"/>
      <c r="PH158" s="368"/>
      <c r="PI158" s="368"/>
      <c r="PJ158" s="368"/>
      <c r="PK158" s="368"/>
      <c r="PL158" s="368"/>
      <c r="PM158" s="368"/>
      <c r="PN158" s="368"/>
      <c r="PO158" s="368"/>
      <c r="PP158" s="368"/>
      <c r="PQ158" s="368"/>
      <c r="PR158" s="368"/>
      <c r="PS158" s="368"/>
      <c r="PT158" s="368"/>
      <c r="PU158" s="368"/>
      <c r="PV158" s="368"/>
      <c r="PW158" s="368"/>
      <c r="PX158" s="368"/>
      <c r="PY158" s="368"/>
      <c r="PZ158" s="368"/>
      <c r="QA158" s="368"/>
      <c r="QB158" s="368"/>
      <c r="QC158" s="368"/>
      <c r="QD158" s="368"/>
      <c r="QE158" s="368"/>
      <c r="QF158" s="368"/>
      <c r="QG158" s="368"/>
      <c r="QH158" s="368"/>
      <c r="QI158" s="368"/>
      <c r="QJ158" s="368"/>
      <c r="QK158" s="368"/>
      <c r="QL158" s="368"/>
      <c r="QM158" s="368"/>
      <c r="QN158" s="368"/>
      <c r="QO158" s="368"/>
      <c r="QP158" s="368"/>
      <c r="QQ158" s="368"/>
      <c r="QR158" s="368"/>
      <c r="QS158" s="368"/>
      <c r="QT158" s="368"/>
      <c r="QU158" s="368"/>
      <c r="QV158" s="368"/>
      <c r="QW158" s="368"/>
      <c r="QX158" s="368"/>
      <c r="QY158" s="368"/>
      <c r="QZ158" s="368"/>
      <c r="RA158" s="368"/>
      <c r="RB158" s="368"/>
      <c r="RC158" s="368"/>
      <c r="RD158" s="368"/>
      <c r="RE158" s="368"/>
      <c r="RF158" s="368"/>
      <c r="RG158" s="368"/>
      <c r="RH158" s="368"/>
      <c r="RI158" s="368"/>
      <c r="RJ158" s="368"/>
      <c r="RK158" s="368"/>
      <c r="RL158" s="368"/>
      <c r="RM158" s="368"/>
      <c r="RN158" s="368"/>
      <c r="RO158" s="368"/>
      <c r="RP158" s="368"/>
      <c r="RQ158" s="368"/>
      <c r="RR158" s="368"/>
      <c r="RS158" s="368"/>
      <c r="RT158" s="368"/>
      <c r="RU158" s="368"/>
      <c r="RV158" s="368"/>
      <c r="RW158" s="368"/>
      <c r="RX158" s="368"/>
      <c r="RY158" s="368"/>
      <c r="RZ158" s="368"/>
      <c r="SA158" s="368"/>
      <c r="SB158" s="368"/>
      <c r="SC158" s="368"/>
      <c r="SD158" s="368"/>
      <c r="SE158" s="368"/>
      <c r="SF158" s="368"/>
      <c r="SG158" s="368"/>
      <c r="SH158" s="368"/>
      <c r="SI158" s="368"/>
      <c r="SJ158" s="368"/>
      <c r="SK158" s="368"/>
      <c r="SL158" s="368"/>
      <c r="SM158" s="368"/>
      <c r="SN158" s="368"/>
      <c r="SO158" s="368"/>
      <c r="SP158" s="368"/>
      <c r="SQ158" s="368"/>
      <c r="SR158" s="368"/>
      <c r="SS158" s="368"/>
      <c r="ST158" s="368"/>
      <c r="SU158" s="368"/>
      <c r="SV158" s="368"/>
      <c r="SW158" s="368"/>
      <c r="SX158" s="368"/>
      <c r="SY158" s="368"/>
      <c r="SZ158" s="368"/>
      <c r="TA158" s="368"/>
      <c r="TB158" s="368"/>
      <c r="TC158" s="368"/>
      <c r="TD158" s="368"/>
      <c r="TE158" s="368"/>
      <c r="TF158" s="368"/>
      <c r="TG158" s="368"/>
      <c r="TH158" s="368"/>
      <c r="TI158" s="368"/>
      <c r="TJ158" s="368"/>
      <c r="TK158" s="368"/>
      <c r="TL158" s="368"/>
      <c r="TM158" s="368"/>
      <c r="TN158" s="368"/>
      <c r="TO158" s="368"/>
      <c r="TP158" s="368"/>
      <c r="TQ158" s="368"/>
      <c r="TR158" s="368"/>
      <c r="TS158" s="368"/>
      <c r="TT158" s="368"/>
      <c r="TU158" s="368"/>
      <c r="TV158" s="368"/>
      <c r="TW158" s="368"/>
      <c r="TX158" s="368"/>
      <c r="TY158" s="368"/>
      <c r="TZ158" s="368"/>
      <c r="UA158" s="368"/>
      <c r="UB158" s="368"/>
      <c r="UC158" s="368"/>
      <c r="UD158" s="368"/>
      <c r="UE158" s="368"/>
      <c r="UF158" s="368"/>
      <c r="UG158" s="368"/>
      <c r="UH158" s="368"/>
      <c r="UI158" s="368"/>
      <c r="UJ158" s="368"/>
      <c r="UK158" s="368"/>
      <c r="UL158" s="368"/>
      <c r="UM158" s="368"/>
      <c r="UN158" s="368"/>
      <c r="UO158" s="368"/>
      <c r="UP158" s="368"/>
      <c r="UQ158" s="368"/>
      <c r="UR158" s="368"/>
      <c r="US158" s="368"/>
      <c r="UT158" s="368"/>
      <c r="UU158" s="368"/>
      <c r="UV158" s="368"/>
      <c r="UW158" s="368"/>
      <c r="UX158" s="368"/>
      <c r="UY158" s="368"/>
      <c r="UZ158" s="368"/>
      <c r="VA158" s="368"/>
      <c r="VB158" s="368"/>
      <c r="VC158" s="368"/>
      <c r="VD158" s="368"/>
      <c r="VE158" s="368"/>
      <c r="VF158" s="368"/>
      <c r="VG158" s="368"/>
      <c r="VH158" s="368"/>
      <c r="VI158" s="368"/>
      <c r="VJ158" s="368"/>
      <c r="VK158" s="368"/>
      <c r="VL158" s="368"/>
      <c r="VM158" s="368"/>
      <c r="VN158" s="368"/>
      <c r="VO158" s="368"/>
      <c r="VP158" s="368"/>
      <c r="VQ158" s="368"/>
      <c r="VR158" s="368"/>
      <c r="VS158" s="368"/>
      <c r="VT158" s="368"/>
      <c r="VU158" s="368"/>
      <c r="VV158" s="368"/>
      <c r="VW158" s="368"/>
      <c r="VX158" s="368"/>
      <c r="VY158" s="368"/>
      <c r="VZ158" s="368"/>
      <c r="WA158" s="368"/>
      <c r="WB158" s="368"/>
      <c r="WC158" s="368"/>
      <c r="WD158" s="368"/>
      <c r="WE158" s="368"/>
      <c r="WF158" s="368"/>
      <c r="WG158" s="368"/>
      <c r="WH158" s="368"/>
      <c r="WI158" s="368"/>
      <c r="WJ158" s="368"/>
      <c r="WK158" s="368"/>
      <c r="WL158" s="368"/>
      <c r="WM158" s="368"/>
      <c r="WN158" s="368"/>
      <c r="WO158" s="368"/>
      <c r="WP158" s="368"/>
      <c r="WQ158" s="368"/>
      <c r="WR158" s="368"/>
      <c r="WS158" s="368"/>
      <c r="WT158" s="368"/>
      <c r="WU158" s="368"/>
      <c r="WV158" s="368"/>
      <c r="WW158" s="368"/>
      <c r="WX158" s="368"/>
      <c r="WY158" s="368"/>
      <c r="WZ158" s="368"/>
      <c r="XA158" s="368"/>
      <c r="XB158" s="368"/>
      <c r="XC158" s="368"/>
      <c r="XD158" s="368"/>
      <c r="XE158" s="368"/>
      <c r="XF158" s="368"/>
      <c r="XG158" s="368"/>
      <c r="XH158" s="368"/>
      <c r="XI158" s="368"/>
      <c r="XJ158" s="368"/>
      <c r="XK158" s="368"/>
      <c r="XL158" s="368"/>
      <c r="XM158" s="368"/>
      <c r="XN158" s="368"/>
      <c r="XO158" s="368"/>
      <c r="XP158" s="368"/>
      <c r="XQ158" s="368"/>
      <c r="XR158" s="368"/>
      <c r="XS158" s="368"/>
      <c r="XT158" s="368"/>
      <c r="XU158" s="368"/>
      <c r="XV158" s="368"/>
      <c r="XW158" s="368"/>
      <c r="XX158" s="368"/>
      <c r="XY158" s="368"/>
      <c r="XZ158" s="368"/>
      <c r="YA158" s="368"/>
      <c r="YB158" s="368"/>
      <c r="YC158" s="368"/>
      <c r="YD158" s="368"/>
      <c r="YE158" s="368"/>
      <c r="YF158" s="368"/>
      <c r="YG158" s="368"/>
      <c r="YH158" s="368"/>
      <c r="YI158" s="368"/>
      <c r="YJ158" s="368"/>
      <c r="YK158" s="368"/>
      <c r="YL158" s="368"/>
      <c r="YM158" s="368"/>
      <c r="YN158" s="368"/>
      <c r="YO158" s="368"/>
      <c r="YP158" s="368"/>
      <c r="YQ158" s="368"/>
      <c r="YR158" s="368"/>
      <c r="YS158" s="368"/>
      <c r="YT158" s="368"/>
      <c r="YU158" s="368"/>
      <c r="YV158" s="368"/>
      <c r="YW158" s="368"/>
      <c r="YX158" s="368"/>
      <c r="YY158" s="368"/>
      <c r="YZ158" s="368"/>
      <c r="ZA158" s="368"/>
      <c r="ZB158" s="368"/>
      <c r="ZC158" s="368"/>
      <c r="ZD158" s="368"/>
      <c r="ZE158" s="368"/>
      <c r="ZF158" s="368"/>
      <c r="ZG158" s="368"/>
      <c r="ZH158" s="368"/>
      <c r="ZI158" s="368"/>
      <c r="ZJ158" s="368"/>
      <c r="ZK158" s="368"/>
      <c r="ZL158" s="368"/>
      <c r="ZM158" s="368"/>
      <c r="ZN158" s="368"/>
      <c r="ZO158" s="368"/>
      <c r="ZP158" s="368"/>
      <c r="ZQ158" s="368"/>
      <c r="ZR158" s="368"/>
      <c r="ZS158" s="368"/>
      <c r="ZT158" s="368"/>
      <c r="ZU158" s="368"/>
      <c r="ZV158" s="368"/>
      <c r="ZW158" s="368"/>
      <c r="ZX158" s="368"/>
      <c r="ZY158" s="368"/>
      <c r="ZZ158" s="368"/>
      <c r="AAA158" s="368"/>
      <c r="AAB158" s="368"/>
      <c r="AAC158" s="368"/>
      <c r="AAD158" s="368"/>
      <c r="AAE158" s="368"/>
      <c r="AAF158" s="368"/>
      <c r="AAG158" s="368"/>
      <c r="AAH158" s="368"/>
      <c r="AAI158" s="368"/>
      <c r="AAJ158" s="368"/>
      <c r="AAK158" s="368"/>
      <c r="AAL158" s="368"/>
      <c r="AAM158" s="368"/>
      <c r="AAN158" s="368"/>
      <c r="AAO158" s="368"/>
      <c r="AAP158" s="368"/>
      <c r="AAQ158" s="368"/>
      <c r="AAR158" s="368"/>
      <c r="AAS158" s="368"/>
      <c r="AAT158" s="368"/>
      <c r="AAU158" s="368"/>
      <c r="AAV158" s="368"/>
      <c r="AAW158" s="368"/>
      <c r="AAX158" s="368"/>
      <c r="AAY158" s="368"/>
      <c r="AAZ158" s="368"/>
      <c r="ABA158" s="368"/>
      <c r="ABB158" s="368"/>
      <c r="ABC158" s="368"/>
      <c r="ABD158" s="368"/>
      <c r="ABE158" s="368"/>
      <c r="ABF158" s="368"/>
      <c r="ABG158" s="368"/>
      <c r="ABH158" s="368"/>
      <c r="ABI158" s="368"/>
      <c r="ABJ158" s="368"/>
      <c r="ABK158" s="368"/>
      <c r="ABL158" s="368"/>
      <c r="ABM158" s="368"/>
      <c r="ABN158" s="368"/>
      <c r="ABO158" s="368"/>
      <c r="ABP158" s="368"/>
      <c r="ABQ158" s="368"/>
      <c r="ABR158" s="368"/>
      <c r="ABS158" s="368"/>
      <c r="ABT158" s="368"/>
      <c r="ABU158" s="368"/>
      <c r="ABV158" s="368"/>
      <c r="ABW158" s="368"/>
      <c r="ABX158" s="368"/>
      <c r="ABY158" s="368"/>
      <c r="ABZ158" s="368"/>
      <c r="ACA158" s="368"/>
      <c r="ACB158" s="368"/>
      <c r="ACC158" s="368"/>
      <c r="ACD158" s="368"/>
      <c r="ACE158" s="368"/>
      <c r="ACF158" s="368"/>
      <c r="ACG158" s="368"/>
      <c r="ACH158" s="368"/>
      <c r="ACI158" s="368"/>
      <c r="ACJ158" s="368"/>
      <c r="ACK158" s="368"/>
      <c r="ACL158" s="368"/>
      <c r="ACM158" s="368"/>
      <c r="ACN158" s="368"/>
      <c r="ACO158" s="368"/>
      <c r="ACP158" s="368"/>
      <c r="ACQ158" s="368"/>
      <c r="ACR158" s="368"/>
      <c r="ACS158" s="368"/>
      <c r="ACT158" s="368"/>
      <c r="ACU158" s="368"/>
      <c r="ACV158" s="368"/>
      <c r="ACW158" s="368"/>
      <c r="ACX158" s="368"/>
      <c r="ACY158" s="368"/>
      <c r="ACZ158" s="368"/>
      <c r="ADA158" s="368"/>
      <c r="ADB158" s="368"/>
      <c r="ADC158" s="368"/>
      <c r="ADD158" s="368"/>
      <c r="ADE158" s="368"/>
      <c r="ADF158" s="368"/>
      <c r="ADG158" s="368"/>
      <c r="ADH158" s="368"/>
      <c r="ADI158" s="368"/>
      <c r="ADJ158" s="368"/>
      <c r="ADK158" s="368"/>
      <c r="ADL158" s="368"/>
      <c r="ADM158" s="368"/>
      <c r="ADN158" s="368"/>
      <c r="ADO158" s="368"/>
      <c r="ADP158" s="368"/>
      <c r="ADQ158" s="368"/>
      <c r="ADR158" s="368"/>
      <c r="ADS158" s="368"/>
      <c r="ADT158" s="368"/>
      <c r="ADU158" s="368"/>
      <c r="ADV158" s="368"/>
      <c r="ADW158" s="368"/>
      <c r="ADX158" s="368"/>
      <c r="ADY158" s="368"/>
      <c r="ADZ158" s="368"/>
      <c r="AEA158" s="368"/>
      <c r="AEB158" s="368"/>
      <c r="AEC158" s="368"/>
      <c r="AED158" s="368"/>
      <c r="AEE158" s="368"/>
      <c r="AEF158" s="368"/>
      <c r="AEG158" s="368"/>
      <c r="AEH158" s="368"/>
      <c r="AEI158" s="368"/>
      <c r="AEJ158" s="368"/>
      <c r="AEK158" s="368"/>
      <c r="AEL158" s="368"/>
      <c r="AEM158" s="368"/>
      <c r="AEN158" s="368"/>
      <c r="AEO158" s="368"/>
      <c r="AEP158" s="368"/>
      <c r="AEQ158" s="368"/>
      <c r="AER158" s="368"/>
      <c r="AES158" s="368"/>
      <c r="AET158" s="368"/>
      <c r="AEU158" s="368"/>
      <c r="AEV158" s="368"/>
      <c r="AEW158" s="368"/>
      <c r="AEX158" s="368"/>
      <c r="AEY158" s="368"/>
      <c r="AEZ158" s="368"/>
      <c r="AFA158" s="368"/>
      <c r="AFB158" s="368"/>
      <c r="AFC158" s="368"/>
      <c r="AFD158" s="368"/>
      <c r="AFE158" s="368"/>
      <c r="AFF158" s="368"/>
      <c r="AFG158" s="368"/>
      <c r="AFH158" s="368"/>
      <c r="AFI158" s="368"/>
      <c r="AFJ158" s="368"/>
      <c r="AFK158" s="368"/>
      <c r="AFL158" s="368"/>
      <c r="AFM158" s="368"/>
      <c r="AFN158" s="368"/>
      <c r="AFO158" s="368"/>
      <c r="AFP158" s="368"/>
      <c r="AFQ158" s="368"/>
      <c r="AFR158" s="368"/>
      <c r="AFS158" s="368"/>
      <c r="AFT158" s="368"/>
      <c r="AFU158" s="368"/>
      <c r="AFV158" s="368"/>
      <c r="AFW158" s="368"/>
      <c r="AFX158" s="368"/>
      <c r="AFY158" s="368"/>
      <c r="AFZ158" s="368"/>
      <c r="AGA158" s="368"/>
      <c r="AGB158" s="368"/>
      <c r="AGC158" s="368"/>
      <c r="AGD158" s="368"/>
      <c r="AGE158" s="368"/>
      <c r="AGF158" s="368"/>
      <c r="AGG158" s="368"/>
      <c r="AGH158" s="368"/>
      <c r="AGI158" s="368"/>
      <c r="AGJ158" s="368"/>
      <c r="AGK158" s="368"/>
      <c r="AGL158" s="368"/>
      <c r="AGM158" s="368"/>
      <c r="AGN158" s="368"/>
      <c r="AGO158" s="368"/>
      <c r="AGP158" s="368"/>
      <c r="AGQ158" s="368"/>
      <c r="AGR158" s="368"/>
      <c r="AGS158" s="368"/>
      <c r="AGT158" s="368"/>
      <c r="AGU158" s="368"/>
      <c r="AGV158" s="368"/>
      <c r="AGW158" s="368"/>
      <c r="AGX158" s="368"/>
      <c r="AGY158" s="368"/>
      <c r="AGZ158" s="368"/>
      <c r="AHA158" s="368"/>
      <c r="AHB158" s="368"/>
      <c r="AHC158" s="368"/>
      <c r="AHD158" s="368"/>
      <c r="AHE158" s="368"/>
      <c r="AHF158" s="368"/>
      <c r="AHG158" s="368"/>
      <c r="AHH158" s="368"/>
      <c r="AHI158" s="368"/>
      <c r="AHJ158" s="368"/>
      <c r="AHK158" s="368"/>
      <c r="AHL158" s="368"/>
      <c r="AHM158" s="368"/>
      <c r="AHN158" s="368"/>
      <c r="AHO158" s="368"/>
      <c r="AHP158" s="368"/>
      <c r="AHQ158" s="368"/>
      <c r="AHR158" s="368"/>
      <c r="AHS158" s="368"/>
      <c r="AHT158" s="368"/>
      <c r="AHU158" s="368"/>
      <c r="AHV158" s="368"/>
      <c r="AHW158" s="368"/>
      <c r="AHX158" s="368"/>
      <c r="AHY158" s="368"/>
      <c r="AHZ158" s="368"/>
      <c r="AIA158" s="368"/>
      <c r="AIB158" s="368"/>
      <c r="AIC158" s="368"/>
      <c r="AID158" s="368"/>
      <c r="AIE158" s="368"/>
      <c r="AIF158" s="368"/>
      <c r="AIG158" s="368"/>
      <c r="AIH158" s="368"/>
      <c r="AII158" s="368"/>
      <c r="AIJ158" s="368"/>
      <c r="AIK158" s="368"/>
      <c r="AIL158" s="368"/>
      <c r="AIM158" s="368"/>
      <c r="AIN158" s="368"/>
      <c r="AIO158" s="368"/>
      <c r="AIP158" s="368"/>
      <c r="AIQ158" s="368"/>
      <c r="AIR158" s="368"/>
      <c r="AIS158" s="368"/>
      <c r="AIT158" s="368"/>
      <c r="AIU158" s="368"/>
      <c r="AIV158" s="368"/>
      <c r="AIW158" s="368"/>
      <c r="AIX158" s="368"/>
      <c r="AIY158" s="368"/>
      <c r="AIZ158" s="368"/>
      <c r="AJA158" s="368"/>
      <c r="AJB158" s="368"/>
      <c r="AJC158" s="368"/>
      <c r="AJD158" s="368"/>
      <c r="AJE158" s="368"/>
      <c r="AJF158" s="368"/>
      <c r="AJG158" s="368"/>
      <c r="AJH158" s="368"/>
      <c r="AJI158" s="368"/>
      <c r="AJJ158" s="368"/>
      <c r="AJK158" s="368"/>
      <c r="AJL158" s="368"/>
      <c r="AJM158" s="368"/>
      <c r="AJN158" s="368"/>
      <c r="AJO158" s="368"/>
      <c r="AJP158" s="368"/>
      <c r="AJQ158" s="368"/>
      <c r="AJR158" s="368"/>
      <c r="AJS158" s="368"/>
      <c r="AJT158" s="368"/>
      <c r="AJU158" s="368"/>
      <c r="AJV158" s="368"/>
      <c r="AJW158" s="368"/>
      <c r="AJX158" s="368"/>
      <c r="AJY158" s="368"/>
      <c r="AJZ158" s="368"/>
      <c r="AKA158" s="368"/>
      <c r="AKB158" s="368"/>
      <c r="AKC158" s="368"/>
      <c r="AKD158" s="368"/>
      <c r="AKE158" s="368"/>
      <c r="AKF158" s="368"/>
      <c r="AKG158" s="368"/>
      <c r="AKH158" s="368"/>
      <c r="AKI158" s="368"/>
      <c r="AKJ158" s="368"/>
      <c r="AKK158" s="368"/>
      <c r="AKL158" s="368"/>
      <c r="AKM158" s="368"/>
      <c r="AKN158" s="368"/>
    </row>
    <row r="159" spans="1:976" ht="22.5" customHeight="1" x14ac:dyDescent="0.2">
      <c r="A159" s="347" t="s">
        <v>262</v>
      </c>
      <c r="B159" s="347"/>
      <c r="C159" s="347" t="s">
        <v>221</v>
      </c>
      <c r="D159" s="347" t="s">
        <v>222</v>
      </c>
      <c r="E159" s="348">
        <v>414781</v>
      </c>
      <c r="F159" s="348">
        <v>1911</v>
      </c>
      <c r="G159" s="348">
        <v>304</v>
      </c>
      <c r="H159" s="348">
        <v>0</v>
      </c>
      <c r="I159" s="349">
        <v>45902</v>
      </c>
      <c r="J159" s="347" t="s">
        <v>656</v>
      </c>
      <c r="K159" s="347" t="s">
        <v>717</v>
      </c>
      <c r="L159" s="344">
        <v>26.62</v>
      </c>
      <c r="M159" s="344">
        <v>1.46</v>
      </c>
      <c r="N159" s="447">
        <v>28.08</v>
      </c>
      <c r="O159" s="347"/>
      <c r="P159" s="350">
        <v>45904</v>
      </c>
      <c r="Q159" s="344">
        <v>28.08</v>
      </c>
      <c r="R159" s="347" t="s">
        <v>307</v>
      </c>
      <c r="S159" s="344">
        <v>0</v>
      </c>
      <c r="T159" s="344">
        <v>0</v>
      </c>
      <c r="U159" s="344">
        <v>0</v>
      </c>
      <c r="V159" s="344">
        <v>0</v>
      </c>
      <c r="W159" s="347"/>
      <c r="X159" s="347" t="s">
        <v>308</v>
      </c>
      <c r="Y159" s="347" t="s">
        <v>309</v>
      </c>
      <c r="Z159" s="347" t="s">
        <v>46</v>
      </c>
      <c r="AA159" s="347" t="s">
        <v>228</v>
      </c>
      <c r="AB159" s="347" t="s">
        <v>34</v>
      </c>
      <c r="AC159" s="347" t="s">
        <v>47</v>
      </c>
      <c r="AD159" s="347" t="s">
        <v>231</v>
      </c>
      <c r="AE159" s="347" t="s">
        <v>232</v>
      </c>
      <c r="AF159" s="347" t="s">
        <v>231</v>
      </c>
      <c r="AG159" s="347" t="s">
        <v>232</v>
      </c>
      <c r="AH159" s="347"/>
      <c r="AI159" s="347"/>
      <c r="AJ159" s="347"/>
      <c r="AK159" s="347" t="s">
        <v>718</v>
      </c>
      <c r="AL159" s="348">
        <v>1</v>
      </c>
      <c r="AM159" s="348">
        <v>0</v>
      </c>
      <c r="AN159" s="349">
        <v>45904</v>
      </c>
      <c r="AO159" s="349">
        <v>45904</v>
      </c>
      <c r="AP159" s="344">
        <v>28.08</v>
      </c>
      <c r="AQ159" s="349">
        <v>45903</v>
      </c>
    </row>
    <row r="160" spans="1:976" ht="22.5" customHeight="1" x14ac:dyDescent="0.2">
      <c r="A160" s="352" t="s">
        <v>262</v>
      </c>
      <c r="B160" s="352"/>
      <c r="C160" s="352" t="s">
        <v>221</v>
      </c>
      <c r="D160" s="352" t="s">
        <v>222</v>
      </c>
      <c r="E160" s="353">
        <v>414782</v>
      </c>
      <c r="F160" s="353">
        <v>1912</v>
      </c>
      <c r="G160" s="353">
        <v>304</v>
      </c>
      <c r="H160" s="353">
        <v>0</v>
      </c>
      <c r="I160" s="354">
        <v>45902</v>
      </c>
      <c r="J160" s="352" t="s">
        <v>656</v>
      </c>
      <c r="K160" s="352" t="s">
        <v>719</v>
      </c>
      <c r="L160" s="355">
        <v>15.53</v>
      </c>
      <c r="M160" s="355">
        <v>0.85</v>
      </c>
      <c r="N160" s="449">
        <v>16.38</v>
      </c>
      <c r="O160" s="352"/>
      <c r="P160" s="356">
        <v>45904</v>
      </c>
      <c r="Q160" s="355">
        <v>16.38</v>
      </c>
      <c r="R160" s="352" t="s">
        <v>312</v>
      </c>
      <c r="S160" s="355">
        <v>0</v>
      </c>
      <c r="T160" s="355">
        <v>0</v>
      </c>
      <c r="U160" s="355">
        <v>0</v>
      </c>
      <c r="V160" s="355">
        <v>0</v>
      </c>
      <c r="W160" s="352"/>
      <c r="X160" s="352" t="s">
        <v>308</v>
      </c>
      <c r="Y160" s="352" t="s">
        <v>309</v>
      </c>
      <c r="Z160" s="352" t="s">
        <v>42</v>
      </c>
      <c r="AA160" s="352" t="s">
        <v>228</v>
      </c>
      <c r="AB160" s="352" t="s">
        <v>34</v>
      </c>
      <c r="AC160" s="352" t="s">
        <v>43</v>
      </c>
      <c r="AD160" s="352" t="s">
        <v>231</v>
      </c>
      <c r="AE160" s="352" t="s">
        <v>232</v>
      </c>
      <c r="AF160" s="352" t="s">
        <v>231</v>
      </c>
      <c r="AG160" s="352" t="s">
        <v>232</v>
      </c>
      <c r="AH160" s="352"/>
      <c r="AI160" s="352"/>
      <c r="AJ160" s="352"/>
      <c r="AK160" s="352" t="s">
        <v>720</v>
      </c>
      <c r="AL160" s="353">
        <v>1</v>
      </c>
      <c r="AM160" s="353">
        <v>0</v>
      </c>
      <c r="AN160" s="354">
        <v>45904</v>
      </c>
      <c r="AO160" s="354">
        <v>45904</v>
      </c>
      <c r="AP160" s="355">
        <v>16.38</v>
      </c>
      <c r="AQ160" s="354">
        <v>45903</v>
      </c>
    </row>
    <row r="161" spans="1:976" ht="22.5" customHeight="1" x14ac:dyDescent="0.2">
      <c r="A161" s="418" t="s">
        <v>262</v>
      </c>
      <c r="B161" s="418"/>
      <c r="C161" s="418" t="s">
        <v>221</v>
      </c>
      <c r="D161" s="418" t="s">
        <v>222</v>
      </c>
      <c r="E161" s="419">
        <v>414783</v>
      </c>
      <c r="F161" s="419">
        <v>1913</v>
      </c>
      <c r="G161" s="419">
        <v>304</v>
      </c>
      <c r="H161" s="419">
        <v>0</v>
      </c>
      <c r="I161" s="420">
        <v>45902</v>
      </c>
      <c r="J161" s="418" t="s">
        <v>656</v>
      </c>
      <c r="K161" s="418" t="s">
        <v>721</v>
      </c>
      <c r="L161" s="421">
        <v>8.8699999999999992</v>
      </c>
      <c r="M161" s="421">
        <v>0.49</v>
      </c>
      <c r="N161" s="443">
        <v>9.36</v>
      </c>
      <c r="O161" s="418"/>
      <c r="P161" s="422">
        <v>45904</v>
      </c>
      <c r="Q161" s="421">
        <v>9.36</v>
      </c>
      <c r="R161" s="418" t="s">
        <v>318</v>
      </c>
      <c r="S161" s="421">
        <v>0</v>
      </c>
      <c r="T161" s="421">
        <v>0</v>
      </c>
      <c r="U161" s="421">
        <v>0</v>
      </c>
      <c r="V161" s="421">
        <v>0</v>
      </c>
      <c r="W161" s="418"/>
      <c r="X161" s="418" t="s">
        <v>308</v>
      </c>
      <c r="Y161" s="418" t="s">
        <v>309</v>
      </c>
      <c r="Z161" s="418" t="s">
        <v>42</v>
      </c>
      <c r="AA161" s="418" t="s">
        <v>228</v>
      </c>
      <c r="AB161" s="418" t="s">
        <v>34</v>
      </c>
      <c r="AC161" s="418" t="s">
        <v>250</v>
      </c>
      <c r="AD161" s="418" t="s">
        <v>231</v>
      </c>
      <c r="AE161" s="418" t="s">
        <v>232</v>
      </c>
      <c r="AF161" s="418" t="s">
        <v>231</v>
      </c>
      <c r="AG161" s="418" t="s">
        <v>232</v>
      </c>
      <c r="AH161" s="418"/>
      <c r="AI161" s="418"/>
      <c r="AJ161" s="418"/>
      <c r="AK161" s="418" t="s">
        <v>722</v>
      </c>
      <c r="AL161" s="419">
        <v>1</v>
      </c>
      <c r="AM161" s="419">
        <v>0</v>
      </c>
      <c r="AN161" s="420">
        <v>45904</v>
      </c>
      <c r="AO161" s="420">
        <v>45904</v>
      </c>
      <c r="AP161" s="421">
        <v>9.36</v>
      </c>
      <c r="AQ161" s="420">
        <v>45903</v>
      </c>
    </row>
    <row r="162" spans="1:976" ht="22.5" customHeight="1" x14ac:dyDescent="0.2">
      <c r="A162" s="370" t="s">
        <v>262</v>
      </c>
      <c r="B162" s="370"/>
      <c r="C162" s="370" t="s">
        <v>221</v>
      </c>
      <c r="D162" s="370" t="s">
        <v>222</v>
      </c>
      <c r="E162" s="371">
        <v>414789</v>
      </c>
      <c r="F162" s="371">
        <v>1910</v>
      </c>
      <c r="G162" s="371">
        <v>304</v>
      </c>
      <c r="H162" s="371">
        <v>0</v>
      </c>
      <c r="I162" s="372">
        <v>45902</v>
      </c>
      <c r="J162" s="370" t="s">
        <v>656</v>
      </c>
      <c r="K162" s="370" t="s">
        <v>723</v>
      </c>
      <c r="L162" s="373">
        <v>94.75</v>
      </c>
      <c r="M162" s="373">
        <v>5.21</v>
      </c>
      <c r="N162" s="444">
        <v>99.96</v>
      </c>
      <c r="O162" s="370"/>
      <c r="P162" s="374">
        <v>45904</v>
      </c>
      <c r="Q162" s="373">
        <v>99.96</v>
      </c>
      <c r="R162" s="370" t="s">
        <v>724</v>
      </c>
      <c r="S162" s="373">
        <v>0</v>
      </c>
      <c r="T162" s="373">
        <v>0</v>
      </c>
      <c r="U162" s="373">
        <v>0</v>
      </c>
      <c r="V162" s="373">
        <v>0</v>
      </c>
      <c r="W162" s="370"/>
      <c r="X162" s="370" t="s">
        <v>293</v>
      </c>
      <c r="Y162" s="370" t="s">
        <v>294</v>
      </c>
      <c r="Z162" s="370" t="s">
        <v>42</v>
      </c>
      <c r="AA162" s="370" t="s">
        <v>228</v>
      </c>
      <c r="AB162" s="370" t="s">
        <v>235</v>
      </c>
      <c r="AC162" s="370" t="s">
        <v>331</v>
      </c>
      <c r="AD162" s="370" t="s">
        <v>231</v>
      </c>
      <c r="AE162" s="370" t="s">
        <v>232</v>
      </c>
      <c r="AF162" s="370" t="s">
        <v>231</v>
      </c>
      <c r="AG162" s="370" t="s">
        <v>232</v>
      </c>
      <c r="AH162" s="370"/>
      <c r="AI162" s="370"/>
      <c r="AJ162" s="370"/>
      <c r="AK162" s="370" t="s">
        <v>725</v>
      </c>
      <c r="AL162" s="371">
        <v>1</v>
      </c>
      <c r="AM162" s="371">
        <v>0</v>
      </c>
      <c r="AN162" s="372">
        <v>45904</v>
      </c>
      <c r="AO162" s="372">
        <v>45904</v>
      </c>
      <c r="AP162" s="373">
        <v>99.96</v>
      </c>
      <c r="AQ162" s="372">
        <v>45903</v>
      </c>
    </row>
    <row r="163" spans="1:976" ht="22.5" customHeight="1" x14ac:dyDescent="0.2">
      <c r="A163" s="413" t="s">
        <v>262</v>
      </c>
      <c r="B163" s="413"/>
      <c r="C163" s="413" t="s">
        <v>221</v>
      </c>
      <c r="D163" s="413" t="s">
        <v>222</v>
      </c>
      <c r="E163" s="414">
        <v>414797</v>
      </c>
      <c r="F163" s="414">
        <v>1924</v>
      </c>
      <c r="G163" s="414">
        <v>306</v>
      </c>
      <c r="H163" s="414">
        <v>0</v>
      </c>
      <c r="I163" s="415">
        <v>45902</v>
      </c>
      <c r="J163" s="413" t="s">
        <v>263</v>
      </c>
      <c r="K163" s="413" t="s">
        <v>726</v>
      </c>
      <c r="L163" s="416">
        <v>8.8699999999999992</v>
      </c>
      <c r="M163" s="416">
        <v>0.49</v>
      </c>
      <c r="N163" s="446">
        <v>9.36</v>
      </c>
      <c r="O163" s="413"/>
      <c r="P163" s="417">
        <v>45904</v>
      </c>
      <c r="Q163" s="416">
        <v>9.36</v>
      </c>
      <c r="R163" s="413" t="s">
        <v>315</v>
      </c>
      <c r="S163" s="416">
        <v>0</v>
      </c>
      <c r="T163" s="416">
        <v>0</v>
      </c>
      <c r="U163" s="416">
        <v>0</v>
      </c>
      <c r="V163" s="416">
        <v>0</v>
      </c>
      <c r="W163" s="413"/>
      <c r="X163" s="413" t="s">
        <v>308</v>
      </c>
      <c r="Y163" s="413" t="s">
        <v>309</v>
      </c>
      <c r="Z163" s="413" t="s">
        <v>42</v>
      </c>
      <c r="AA163" s="413" t="s">
        <v>228</v>
      </c>
      <c r="AB163" s="413" t="s">
        <v>34</v>
      </c>
      <c r="AC163" s="413" t="s">
        <v>50</v>
      </c>
      <c r="AD163" s="413" t="s">
        <v>231</v>
      </c>
      <c r="AE163" s="413" t="s">
        <v>232</v>
      </c>
      <c r="AF163" s="413" t="s">
        <v>231</v>
      </c>
      <c r="AG163" s="413" t="s">
        <v>232</v>
      </c>
      <c r="AH163" s="413"/>
      <c r="AI163" s="413"/>
      <c r="AJ163" s="413"/>
      <c r="AK163" s="413" t="s">
        <v>727</v>
      </c>
      <c r="AL163" s="414">
        <v>1</v>
      </c>
      <c r="AM163" s="414">
        <v>0</v>
      </c>
      <c r="AN163" s="415">
        <v>45904</v>
      </c>
      <c r="AO163" s="415">
        <v>45904</v>
      </c>
      <c r="AP163" s="416">
        <v>9.36</v>
      </c>
      <c r="AQ163" s="415">
        <v>45903</v>
      </c>
    </row>
    <row r="164" spans="1:976" s="363" customFormat="1" ht="22.5" customHeight="1" x14ac:dyDescent="0.2">
      <c r="A164" s="358" t="s">
        <v>262</v>
      </c>
      <c r="B164" s="358"/>
      <c r="C164" s="358" t="s">
        <v>221</v>
      </c>
      <c r="D164" s="358" t="s">
        <v>222</v>
      </c>
      <c r="E164" s="359">
        <v>414798</v>
      </c>
      <c r="F164" s="359">
        <v>1925</v>
      </c>
      <c r="G164" s="359">
        <v>306</v>
      </c>
      <c r="H164" s="359">
        <v>0</v>
      </c>
      <c r="I164" s="360">
        <v>45902</v>
      </c>
      <c r="J164" s="358" t="s">
        <v>263</v>
      </c>
      <c r="K164" s="358" t="s">
        <v>728</v>
      </c>
      <c r="L164" s="361">
        <v>238.44</v>
      </c>
      <c r="M164" s="361">
        <v>13.11</v>
      </c>
      <c r="N164" s="448">
        <v>251.55</v>
      </c>
      <c r="O164" s="358"/>
      <c r="P164" s="362">
        <v>45904</v>
      </c>
      <c r="Q164" s="361">
        <v>251.55</v>
      </c>
      <c r="R164" s="358" t="s">
        <v>321</v>
      </c>
      <c r="S164" s="361">
        <v>0</v>
      </c>
      <c r="T164" s="361">
        <v>0</v>
      </c>
      <c r="U164" s="361">
        <v>0</v>
      </c>
      <c r="V164" s="361">
        <v>0</v>
      </c>
      <c r="W164" s="358"/>
      <c r="X164" s="358" t="s">
        <v>308</v>
      </c>
      <c r="Y164" s="358" t="s">
        <v>309</v>
      </c>
      <c r="Z164" s="358" t="s">
        <v>32</v>
      </c>
      <c r="AA164" s="358" t="s">
        <v>228</v>
      </c>
      <c r="AB164" s="358" t="s">
        <v>34</v>
      </c>
      <c r="AC164" s="358" t="s">
        <v>31</v>
      </c>
      <c r="AD164" s="358" t="s">
        <v>231</v>
      </c>
      <c r="AE164" s="358" t="s">
        <v>232</v>
      </c>
      <c r="AF164" s="358" t="s">
        <v>231</v>
      </c>
      <c r="AG164" s="358" t="s">
        <v>232</v>
      </c>
      <c r="AH164" s="358"/>
      <c r="AI164" s="358"/>
      <c r="AJ164" s="358"/>
      <c r="AK164" s="358" t="s">
        <v>729</v>
      </c>
      <c r="AL164" s="359">
        <v>1</v>
      </c>
      <c r="AM164" s="359">
        <v>0</v>
      </c>
      <c r="AN164" s="360">
        <v>45904</v>
      </c>
      <c r="AO164" s="360">
        <v>45904</v>
      </c>
      <c r="AP164" s="361">
        <v>251.55</v>
      </c>
      <c r="AQ164" s="360">
        <v>45903</v>
      </c>
      <c r="AR164" s="368"/>
      <c r="AS164" s="368"/>
      <c r="AT164" s="368"/>
      <c r="AU164" s="368"/>
      <c r="AV164" s="368"/>
      <c r="AW164" s="368"/>
      <c r="AX164" s="368"/>
      <c r="AY164" s="368"/>
      <c r="AZ164" s="368"/>
      <c r="BA164" s="368"/>
      <c r="BB164" s="368"/>
      <c r="BC164" s="368"/>
      <c r="BD164" s="368"/>
      <c r="BE164" s="368"/>
      <c r="BF164" s="368"/>
      <c r="BG164" s="368"/>
      <c r="BH164" s="368"/>
      <c r="BI164" s="368"/>
      <c r="BJ164" s="368"/>
      <c r="BK164" s="368"/>
      <c r="BL164" s="368"/>
      <c r="BM164" s="368"/>
      <c r="BN164" s="368"/>
      <c r="BO164" s="368"/>
      <c r="BP164" s="368"/>
      <c r="BQ164" s="368"/>
      <c r="BR164" s="368"/>
      <c r="BS164" s="368"/>
      <c r="BT164" s="368"/>
      <c r="BU164" s="368"/>
      <c r="BV164" s="368"/>
      <c r="BW164" s="368"/>
      <c r="BX164" s="368"/>
      <c r="BY164" s="368"/>
      <c r="BZ164" s="368"/>
      <c r="CA164" s="368"/>
      <c r="CB164" s="368"/>
      <c r="CC164" s="368"/>
      <c r="CD164" s="368"/>
      <c r="CE164" s="368"/>
      <c r="CF164" s="368"/>
      <c r="CG164" s="368"/>
      <c r="CH164" s="368"/>
      <c r="CI164" s="368"/>
      <c r="CJ164" s="368"/>
      <c r="CK164" s="368"/>
      <c r="CL164" s="368"/>
      <c r="CM164" s="368"/>
      <c r="CN164" s="368"/>
      <c r="CO164" s="368"/>
      <c r="CP164" s="368"/>
      <c r="CQ164" s="368"/>
      <c r="CR164" s="368"/>
      <c r="CS164" s="368"/>
      <c r="CT164" s="368"/>
      <c r="CU164" s="368"/>
      <c r="CV164" s="368"/>
      <c r="CW164" s="368"/>
      <c r="CX164" s="368"/>
      <c r="CY164" s="368"/>
      <c r="CZ164" s="368"/>
      <c r="DA164" s="368"/>
      <c r="DB164" s="368"/>
      <c r="DC164" s="368"/>
      <c r="DD164" s="368"/>
      <c r="DE164" s="368"/>
      <c r="DF164" s="368"/>
      <c r="DG164" s="368"/>
      <c r="DH164" s="368"/>
      <c r="DI164" s="368"/>
      <c r="DJ164" s="368"/>
      <c r="DK164" s="368"/>
      <c r="DL164" s="368"/>
      <c r="DM164" s="368"/>
      <c r="DN164" s="368"/>
      <c r="DO164" s="368"/>
      <c r="DP164" s="368"/>
      <c r="DQ164" s="368"/>
      <c r="DR164" s="368"/>
      <c r="DS164" s="368"/>
      <c r="DT164" s="368"/>
      <c r="DU164" s="368"/>
      <c r="DV164" s="368"/>
      <c r="DW164" s="368"/>
      <c r="DX164" s="368"/>
      <c r="DY164" s="368"/>
      <c r="DZ164" s="368"/>
      <c r="EA164" s="368"/>
      <c r="EB164" s="368"/>
      <c r="EC164" s="368"/>
      <c r="ED164" s="368"/>
      <c r="EE164" s="368"/>
      <c r="EF164" s="368"/>
      <c r="EG164" s="368"/>
      <c r="EH164" s="368"/>
      <c r="EI164" s="368"/>
      <c r="EJ164" s="368"/>
      <c r="EK164" s="368"/>
      <c r="EL164" s="368"/>
      <c r="EM164" s="368"/>
      <c r="EN164" s="368"/>
      <c r="EO164" s="368"/>
      <c r="EP164" s="368"/>
      <c r="EQ164" s="368"/>
      <c r="ER164" s="368"/>
      <c r="ES164" s="368"/>
      <c r="ET164" s="368"/>
      <c r="EU164" s="368"/>
      <c r="EV164" s="368"/>
      <c r="EW164" s="368"/>
      <c r="EX164" s="368"/>
      <c r="EY164" s="368"/>
      <c r="EZ164" s="368"/>
      <c r="FA164" s="368"/>
      <c r="FB164" s="368"/>
      <c r="FC164" s="368"/>
      <c r="FD164" s="368"/>
      <c r="FE164" s="368"/>
      <c r="FF164" s="368"/>
      <c r="FG164" s="368"/>
      <c r="FH164" s="368"/>
      <c r="FI164" s="368"/>
      <c r="FJ164" s="368"/>
      <c r="FK164" s="368"/>
      <c r="FL164" s="368"/>
      <c r="FM164" s="368"/>
      <c r="FN164" s="368"/>
      <c r="FO164" s="368"/>
      <c r="FP164" s="368"/>
      <c r="FQ164" s="368"/>
      <c r="FR164" s="368"/>
      <c r="FS164" s="368"/>
      <c r="FT164" s="368"/>
      <c r="FU164" s="368"/>
      <c r="FV164" s="368"/>
      <c r="FW164" s="368"/>
      <c r="FX164" s="368"/>
      <c r="FY164" s="368"/>
      <c r="FZ164" s="368"/>
      <c r="GA164" s="368"/>
      <c r="GB164" s="368"/>
      <c r="GC164" s="368"/>
      <c r="GD164" s="368"/>
      <c r="GE164" s="368"/>
      <c r="GF164" s="368"/>
      <c r="GG164" s="368"/>
      <c r="GH164" s="368"/>
      <c r="GI164" s="368"/>
      <c r="GJ164" s="368"/>
      <c r="GK164" s="368"/>
      <c r="GL164" s="368"/>
      <c r="GM164" s="368"/>
      <c r="GN164" s="368"/>
      <c r="GO164" s="368"/>
      <c r="GP164" s="368"/>
      <c r="GQ164" s="368"/>
      <c r="GR164" s="368"/>
      <c r="GS164" s="368"/>
      <c r="GT164" s="368"/>
      <c r="GU164" s="368"/>
      <c r="GV164" s="368"/>
      <c r="GW164" s="368"/>
      <c r="GX164" s="368"/>
      <c r="GY164" s="368"/>
      <c r="GZ164" s="368"/>
      <c r="HA164" s="368"/>
      <c r="HB164" s="368"/>
      <c r="HC164" s="368"/>
      <c r="HD164" s="368"/>
      <c r="HE164" s="368"/>
      <c r="HF164" s="368"/>
      <c r="HG164" s="368"/>
      <c r="HH164" s="368"/>
      <c r="HI164" s="368"/>
      <c r="HJ164" s="368"/>
      <c r="HK164" s="368"/>
      <c r="HL164" s="368"/>
      <c r="HM164" s="368"/>
      <c r="HN164" s="368"/>
      <c r="HO164" s="368"/>
      <c r="HP164" s="368"/>
      <c r="HQ164" s="368"/>
      <c r="HR164" s="368"/>
      <c r="HS164" s="368"/>
      <c r="HT164" s="368"/>
      <c r="HU164" s="368"/>
      <c r="HV164" s="368"/>
      <c r="HW164" s="368"/>
      <c r="HX164" s="368"/>
      <c r="HY164" s="368"/>
      <c r="HZ164" s="368"/>
      <c r="IA164" s="368"/>
      <c r="IB164" s="368"/>
      <c r="IC164" s="368"/>
      <c r="ID164" s="368"/>
      <c r="IE164" s="368"/>
      <c r="IF164" s="368"/>
      <c r="IG164" s="368"/>
      <c r="IH164" s="368"/>
      <c r="II164" s="368"/>
      <c r="IJ164" s="368"/>
      <c r="IK164" s="368"/>
      <c r="IL164" s="368"/>
      <c r="IM164" s="368"/>
      <c r="IN164" s="368"/>
      <c r="IO164" s="368"/>
      <c r="IP164" s="368"/>
      <c r="IQ164" s="368"/>
      <c r="IR164" s="368"/>
      <c r="IS164" s="368"/>
      <c r="IT164" s="368"/>
      <c r="IU164" s="368"/>
      <c r="IV164" s="368"/>
      <c r="IW164" s="368"/>
      <c r="IX164" s="368"/>
      <c r="IY164" s="368"/>
      <c r="IZ164" s="368"/>
      <c r="JA164" s="368"/>
      <c r="JB164" s="368"/>
      <c r="JC164" s="368"/>
      <c r="JD164" s="368"/>
      <c r="JE164" s="368"/>
      <c r="JF164" s="368"/>
      <c r="JG164" s="368"/>
      <c r="JH164" s="368"/>
      <c r="JI164" s="368"/>
      <c r="JJ164" s="368"/>
      <c r="JK164" s="368"/>
      <c r="JL164" s="368"/>
      <c r="JM164" s="368"/>
      <c r="JN164" s="368"/>
      <c r="JO164" s="368"/>
      <c r="JP164" s="368"/>
      <c r="JQ164" s="368"/>
      <c r="JR164" s="368"/>
      <c r="JS164" s="368"/>
      <c r="JT164" s="368"/>
      <c r="JU164" s="368"/>
      <c r="JV164" s="368"/>
      <c r="JW164" s="368"/>
      <c r="JX164" s="368"/>
      <c r="JY164" s="368"/>
      <c r="JZ164" s="368"/>
      <c r="KA164" s="368"/>
      <c r="KB164" s="368"/>
      <c r="KC164" s="368"/>
      <c r="KD164" s="368"/>
      <c r="KE164" s="368"/>
      <c r="KF164" s="368"/>
      <c r="KG164" s="368"/>
      <c r="KH164" s="368"/>
      <c r="KI164" s="368"/>
      <c r="KJ164" s="368"/>
      <c r="KK164" s="368"/>
      <c r="KL164" s="368"/>
      <c r="KM164" s="368"/>
      <c r="KN164" s="368"/>
      <c r="KO164" s="368"/>
      <c r="KP164" s="368"/>
      <c r="KQ164" s="368"/>
      <c r="KR164" s="368"/>
      <c r="KS164" s="368"/>
      <c r="KT164" s="368"/>
      <c r="KU164" s="368"/>
      <c r="KV164" s="368"/>
      <c r="KW164" s="368"/>
      <c r="KX164" s="368"/>
      <c r="KY164" s="368"/>
      <c r="KZ164" s="368"/>
      <c r="LA164" s="368"/>
      <c r="LB164" s="368"/>
      <c r="LC164" s="368"/>
      <c r="LD164" s="368"/>
      <c r="LE164" s="368"/>
      <c r="LF164" s="368"/>
      <c r="LG164" s="368"/>
      <c r="LH164" s="368"/>
      <c r="LI164" s="368"/>
      <c r="LJ164" s="368"/>
      <c r="LK164" s="368"/>
      <c r="LL164" s="368"/>
      <c r="LM164" s="368"/>
      <c r="LN164" s="368"/>
      <c r="LO164" s="368"/>
      <c r="LP164" s="368"/>
      <c r="LQ164" s="368"/>
      <c r="LR164" s="368"/>
      <c r="LS164" s="368"/>
      <c r="LT164" s="368"/>
      <c r="LU164" s="368"/>
      <c r="LV164" s="368"/>
      <c r="LW164" s="368"/>
      <c r="LX164" s="368"/>
      <c r="LY164" s="368"/>
      <c r="LZ164" s="368"/>
      <c r="MA164" s="368"/>
      <c r="MB164" s="368"/>
      <c r="MC164" s="368"/>
      <c r="MD164" s="368"/>
      <c r="ME164" s="368"/>
      <c r="MF164" s="368"/>
      <c r="MG164" s="368"/>
      <c r="MH164" s="368"/>
      <c r="MI164" s="368"/>
      <c r="MJ164" s="368"/>
      <c r="MK164" s="368"/>
      <c r="ML164" s="368"/>
      <c r="MM164" s="368"/>
      <c r="MN164" s="368"/>
      <c r="MO164" s="368"/>
      <c r="MP164" s="368"/>
      <c r="MQ164" s="368"/>
      <c r="MR164" s="368"/>
      <c r="MS164" s="368"/>
      <c r="MT164" s="368"/>
      <c r="MU164" s="368"/>
      <c r="MV164" s="368"/>
      <c r="MW164" s="368"/>
      <c r="MX164" s="368"/>
      <c r="MY164" s="368"/>
      <c r="MZ164" s="368"/>
      <c r="NA164" s="368"/>
      <c r="NB164" s="368"/>
      <c r="NC164" s="368"/>
      <c r="ND164" s="368"/>
      <c r="NE164" s="368"/>
      <c r="NF164" s="368"/>
      <c r="NG164" s="368"/>
      <c r="NH164" s="368"/>
      <c r="NI164" s="368"/>
      <c r="NJ164" s="368"/>
      <c r="NK164" s="368"/>
      <c r="NL164" s="368"/>
      <c r="NM164" s="368"/>
      <c r="NN164" s="368"/>
      <c r="NO164" s="368"/>
      <c r="NP164" s="368"/>
      <c r="NQ164" s="368"/>
      <c r="NR164" s="368"/>
      <c r="NS164" s="368"/>
      <c r="NT164" s="368"/>
      <c r="NU164" s="368"/>
      <c r="NV164" s="368"/>
      <c r="NW164" s="368"/>
      <c r="NX164" s="368"/>
      <c r="NY164" s="368"/>
      <c r="NZ164" s="368"/>
      <c r="OA164" s="368"/>
      <c r="OB164" s="368"/>
      <c r="OC164" s="368"/>
      <c r="OD164" s="368"/>
      <c r="OE164" s="368"/>
      <c r="OF164" s="368"/>
      <c r="OG164" s="368"/>
      <c r="OH164" s="368"/>
      <c r="OI164" s="368"/>
      <c r="OJ164" s="368"/>
      <c r="OK164" s="368"/>
      <c r="OL164" s="368"/>
      <c r="OM164" s="368"/>
      <c r="ON164" s="368"/>
      <c r="OO164" s="368"/>
      <c r="OP164" s="368"/>
      <c r="OQ164" s="368"/>
      <c r="OR164" s="368"/>
      <c r="OS164" s="368"/>
      <c r="OT164" s="368"/>
      <c r="OU164" s="368"/>
      <c r="OV164" s="368"/>
      <c r="OW164" s="368"/>
      <c r="OX164" s="368"/>
      <c r="OY164" s="368"/>
      <c r="OZ164" s="368"/>
      <c r="PA164" s="368"/>
      <c r="PB164" s="368"/>
      <c r="PC164" s="368"/>
      <c r="PD164" s="368"/>
      <c r="PE164" s="368"/>
      <c r="PF164" s="368"/>
      <c r="PG164" s="368"/>
      <c r="PH164" s="368"/>
      <c r="PI164" s="368"/>
      <c r="PJ164" s="368"/>
      <c r="PK164" s="368"/>
      <c r="PL164" s="368"/>
      <c r="PM164" s="368"/>
      <c r="PN164" s="368"/>
      <c r="PO164" s="368"/>
      <c r="PP164" s="368"/>
      <c r="PQ164" s="368"/>
      <c r="PR164" s="368"/>
      <c r="PS164" s="368"/>
      <c r="PT164" s="368"/>
      <c r="PU164" s="368"/>
      <c r="PV164" s="368"/>
      <c r="PW164" s="368"/>
      <c r="PX164" s="368"/>
      <c r="PY164" s="368"/>
      <c r="PZ164" s="368"/>
      <c r="QA164" s="368"/>
      <c r="QB164" s="368"/>
      <c r="QC164" s="368"/>
      <c r="QD164" s="368"/>
      <c r="QE164" s="368"/>
      <c r="QF164" s="368"/>
      <c r="QG164" s="368"/>
      <c r="QH164" s="368"/>
      <c r="QI164" s="368"/>
      <c r="QJ164" s="368"/>
      <c r="QK164" s="368"/>
      <c r="QL164" s="368"/>
      <c r="QM164" s="368"/>
      <c r="QN164" s="368"/>
      <c r="QO164" s="368"/>
      <c r="QP164" s="368"/>
      <c r="QQ164" s="368"/>
      <c r="QR164" s="368"/>
      <c r="QS164" s="368"/>
      <c r="QT164" s="368"/>
      <c r="QU164" s="368"/>
      <c r="QV164" s="368"/>
      <c r="QW164" s="368"/>
      <c r="QX164" s="368"/>
      <c r="QY164" s="368"/>
      <c r="QZ164" s="368"/>
      <c r="RA164" s="368"/>
      <c r="RB164" s="368"/>
      <c r="RC164" s="368"/>
      <c r="RD164" s="368"/>
      <c r="RE164" s="368"/>
      <c r="RF164" s="368"/>
      <c r="RG164" s="368"/>
      <c r="RH164" s="368"/>
      <c r="RI164" s="368"/>
      <c r="RJ164" s="368"/>
      <c r="RK164" s="368"/>
      <c r="RL164" s="368"/>
      <c r="RM164" s="368"/>
      <c r="RN164" s="368"/>
      <c r="RO164" s="368"/>
      <c r="RP164" s="368"/>
      <c r="RQ164" s="368"/>
      <c r="RR164" s="368"/>
      <c r="RS164" s="368"/>
      <c r="RT164" s="368"/>
      <c r="RU164" s="368"/>
      <c r="RV164" s="368"/>
      <c r="RW164" s="368"/>
      <c r="RX164" s="368"/>
      <c r="RY164" s="368"/>
      <c r="RZ164" s="368"/>
      <c r="SA164" s="368"/>
      <c r="SB164" s="368"/>
      <c r="SC164" s="368"/>
      <c r="SD164" s="368"/>
      <c r="SE164" s="368"/>
      <c r="SF164" s="368"/>
      <c r="SG164" s="368"/>
      <c r="SH164" s="368"/>
      <c r="SI164" s="368"/>
      <c r="SJ164" s="368"/>
      <c r="SK164" s="368"/>
      <c r="SL164" s="368"/>
      <c r="SM164" s="368"/>
      <c r="SN164" s="368"/>
      <c r="SO164" s="368"/>
      <c r="SP164" s="368"/>
      <c r="SQ164" s="368"/>
      <c r="SR164" s="368"/>
      <c r="SS164" s="368"/>
      <c r="ST164" s="368"/>
      <c r="SU164" s="368"/>
      <c r="SV164" s="368"/>
      <c r="SW164" s="368"/>
      <c r="SX164" s="368"/>
      <c r="SY164" s="368"/>
      <c r="SZ164" s="368"/>
      <c r="TA164" s="368"/>
      <c r="TB164" s="368"/>
      <c r="TC164" s="368"/>
      <c r="TD164" s="368"/>
      <c r="TE164" s="368"/>
      <c r="TF164" s="368"/>
      <c r="TG164" s="368"/>
      <c r="TH164" s="368"/>
      <c r="TI164" s="368"/>
      <c r="TJ164" s="368"/>
      <c r="TK164" s="368"/>
      <c r="TL164" s="368"/>
      <c r="TM164" s="368"/>
      <c r="TN164" s="368"/>
      <c r="TO164" s="368"/>
      <c r="TP164" s="368"/>
      <c r="TQ164" s="368"/>
      <c r="TR164" s="368"/>
      <c r="TS164" s="368"/>
      <c r="TT164" s="368"/>
      <c r="TU164" s="368"/>
      <c r="TV164" s="368"/>
      <c r="TW164" s="368"/>
      <c r="TX164" s="368"/>
      <c r="TY164" s="368"/>
      <c r="TZ164" s="368"/>
      <c r="UA164" s="368"/>
      <c r="UB164" s="368"/>
      <c r="UC164" s="368"/>
      <c r="UD164" s="368"/>
      <c r="UE164" s="368"/>
      <c r="UF164" s="368"/>
      <c r="UG164" s="368"/>
      <c r="UH164" s="368"/>
      <c r="UI164" s="368"/>
      <c r="UJ164" s="368"/>
      <c r="UK164" s="368"/>
      <c r="UL164" s="368"/>
      <c r="UM164" s="368"/>
      <c r="UN164" s="368"/>
      <c r="UO164" s="368"/>
      <c r="UP164" s="368"/>
      <c r="UQ164" s="368"/>
      <c r="UR164" s="368"/>
      <c r="US164" s="368"/>
      <c r="UT164" s="368"/>
      <c r="UU164" s="368"/>
      <c r="UV164" s="368"/>
      <c r="UW164" s="368"/>
      <c r="UX164" s="368"/>
      <c r="UY164" s="368"/>
      <c r="UZ164" s="368"/>
      <c r="VA164" s="368"/>
      <c r="VB164" s="368"/>
      <c r="VC164" s="368"/>
      <c r="VD164" s="368"/>
      <c r="VE164" s="368"/>
      <c r="VF164" s="368"/>
      <c r="VG164" s="368"/>
      <c r="VH164" s="368"/>
      <c r="VI164" s="368"/>
      <c r="VJ164" s="368"/>
      <c r="VK164" s="368"/>
      <c r="VL164" s="368"/>
      <c r="VM164" s="368"/>
      <c r="VN164" s="368"/>
      <c r="VO164" s="368"/>
      <c r="VP164" s="368"/>
      <c r="VQ164" s="368"/>
      <c r="VR164" s="368"/>
      <c r="VS164" s="368"/>
      <c r="VT164" s="368"/>
      <c r="VU164" s="368"/>
      <c r="VV164" s="368"/>
      <c r="VW164" s="368"/>
      <c r="VX164" s="368"/>
      <c r="VY164" s="368"/>
      <c r="VZ164" s="368"/>
      <c r="WA164" s="368"/>
      <c r="WB164" s="368"/>
      <c r="WC164" s="368"/>
      <c r="WD164" s="368"/>
      <c r="WE164" s="368"/>
      <c r="WF164" s="368"/>
      <c r="WG164" s="368"/>
      <c r="WH164" s="368"/>
      <c r="WI164" s="368"/>
      <c r="WJ164" s="368"/>
      <c r="WK164" s="368"/>
      <c r="WL164" s="368"/>
      <c r="WM164" s="368"/>
      <c r="WN164" s="368"/>
      <c r="WO164" s="368"/>
      <c r="WP164" s="368"/>
      <c r="WQ164" s="368"/>
      <c r="WR164" s="368"/>
      <c r="WS164" s="368"/>
      <c r="WT164" s="368"/>
      <c r="WU164" s="368"/>
      <c r="WV164" s="368"/>
      <c r="WW164" s="368"/>
      <c r="WX164" s="368"/>
      <c r="WY164" s="368"/>
      <c r="WZ164" s="368"/>
      <c r="XA164" s="368"/>
      <c r="XB164" s="368"/>
      <c r="XC164" s="368"/>
      <c r="XD164" s="368"/>
      <c r="XE164" s="368"/>
      <c r="XF164" s="368"/>
      <c r="XG164" s="368"/>
      <c r="XH164" s="368"/>
      <c r="XI164" s="368"/>
      <c r="XJ164" s="368"/>
      <c r="XK164" s="368"/>
      <c r="XL164" s="368"/>
      <c r="XM164" s="368"/>
      <c r="XN164" s="368"/>
      <c r="XO164" s="368"/>
      <c r="XP164" s="368"/>
      <c r="XQ164" s="368"/>
      <c r="XR164" s="368"/>
      <c r="XS164" s="368"/>
      <c r="XT164" s="368"/>
      <c r="XU164" s="368"/>
      <c r="XV164" s="368"/>
      <c r="XW164" s="368"/>
      <c r="XX164" s="368"/>
      <c r="XY164" s="368"/>
      <c r="XZ164" s="368"/>
      <c r="YA164" s="368"/>
      <c r="YB164" s="368"/>
      <c r="YC164" s="368"/>
      <c r="YD164" s="368"/>
      <c r="YE164" s="368"/>
      <c r="YF164" s="368"/>
      <c r="YG164" s="368"/>
      <c r="YH164" s="368"/>
      <c r="YI164" s="368"/>
      <c r="YJ164" s="368"/>
      <c r="YK164" s="368"/>
      <c r="YL164" s="368"/>
      <c r="YM164" s="368"/>
      <c r="YN164" s="368"/>
      <c r="YO164" s="368"/>
      <c r="YP164" s="368"/>
      <c r="YQ164" s="368"/>
      <c r="YR164" s="368"/>
      <c r="YS164" s="368"/>
      <c r="YT164" s="368"/>
      <c r="YU164" s="368"/>
      <c r="YV164" s="368"/>
      <c r="YW164" s="368"/>
      <c r="YX164" s="368"/>
      <c r="YY164" s="368"/>
      <c r="YZ164" s="368"/>
      <c r="ZA164" s="368"/>
      <c r="ZB164" s="368"/>
      <c r="ZC164" s="368"/>
      <c r="ZD164" s="368"/>
      <c r="ZE164" s="368"/>
      <c r="ZF164" s="368"/>
      <c r="ZG164" s="368"/>
      <c r="ZH164" s="368"/>
      <c r="ZI164" s="368"/>
      <c r="ZJ164" s="368"/>
      <c r="ZK164" s="368"/>
      <c r="ZL164" s="368"/>
      <c r="ZM164" s="368"/>
      <c r="ZN164" s="368"/>
      <c r="ZO164" s="368"/>
      <c r="ZP164" s="368"/>
      <c r="ZQ164" s="368"/>
      <c r="ZR164" s="368"/>
      <c r="ZS164" s="368"/>
      <c r="ZT164" s="368"/>
      <c r="ZU164" s="368"/>
      <c r="ZV164" s="368"/>
      <c r="ZW164" s="368"/>
      <c r="ZX164" s="368"/>
      <c r="ZY164" s="368"/>
      <c r="ZZ164" s="368"/>
      <c r="AAA164" s="368"/>
      <c r="AAB164" s="368"/>
      <c r="AAC164" s="368"/>
      <c r="AAD164" s="368"/>
      <c r="AAE164" s="368"/>
      <c r="AAF164" s="368"/>
      <c r="AAG164" s="368"/>
      <c r="AAH164" s="368"/>
      <c r="AAI164" s="368"/>
      <c r="AAJ164" s="368"/>
      <c r="AAK164" s="368"/>
      <c r="AAL164" s="368"/>
      <c r="AAM164" s="368"/>
      <c r="AAN164" s="368"/>
      <c r="AAO164" s="368"/>
      <c r="AAP164" s="368"/>
      <c r="AAQ164" s="368"/>
      <c r="AAR164" s="368"/>
      <c r="AAS164" s="368"/>
      <c r="AAT164" s="368"/>
      <c r="AAU164" s="368"/>
      <c r="AAV164" s="368"/>
      <c r="AAW164" s="368"/>
      <c r="AAX164" s="368"/>
      <c r="AAY164" s="368"/>
      <c r="AAZ164" s="368"/>
      <c r="ABA164" s="368"/>
      <c r="ABB164" s="368"/>
      <c r="ABC164" s="368"/>
      <c r="ABD164" s="368"/>
      <c r="ABE164" s="368"/>
      <c r="ABF164" s="368"/>
      <c r="ABG164" s="368"/>
      <c r="ABH164" s="368"/>
      <c r="ABI164" s="368"/>
      <c r="ABJ164" s="368"/>
      <c r="ABK164" s="368"/>
      <c r="ABL164" s="368"/>
      <c r="ABM164" s="368"/>
      <c r="ABN164" s="368"/>
      <c r="ABO164" s="368"/>
      <c r="ABP164" s="368"/>
      <c r="ABQ164" s="368"/>
      <c r="ABR164" s="368"/>
      <c r="ABS164" s="368"/>
      <c r="ABT164" s="368"/>
      <c r="ABU164" s="368"/>
      <c r="ABV164" s="368"/>
      <c r="ABW164" s="368"/>
      <c r="ABX164" s="368"/>
      <c r="ABY164" s="368"/>
      <c r="ABZ164" s="368"/>
      <c r="ACA164" s="368"/>
      <c r="ACB164" s="368"/>
      <c r="ACC164" s="368"/>
      <c r="ACD164" s="368"/>
      <c r="ACE164" s="368"/>
      <c r="ACF164" s="368"/>
      <c r="ACG164" s="368"/>
      <c r="ACH164" s="368"/>
      <c r="ACI164" s="368"/>
      <c r="ACJ164" s="368"/>
      <c r="ACK164" s="368"/>
      <c r="ACL164" s="368"/>
      <c r="ACM164" s="368"/>
      <c r="ACN164" s="368"/>
      <c r="ACO164" s="368"/>
      <c r="ACP164" s="368"/>
      <c r="ACQ164" s="368"/>
      <c r="ACR164" s="368"/>
      <c r="ACS164" s="368"/>
      <c r="ACT164" s="368"/>
      <c r="ACU164" s="368"/>
      <c r="ACV164" s="368"/>
      <c r="ACW164" s="368"/>
      <c r="ACX164" s="368"/>
      <c r="ACY164" s="368"/>
      <c r="ACZ164" s="368"/>
      <c r="ADA164" s="368"/>
      <c r="ADB164" s="368"/>
      <c r="ADC164" s="368"/>
      <c r="ADD164" s="368"/>
      <c r="ADE164" s="368"/>
      <c r="ADF164" s="368"/>
      <c r="ADG164" s="368"/>
      <c r="ADH164" s="368"/>
      <c r="ADI164" s="368"/>
      <c r="ADJ164" s="368"/>
      <c r="ADK164" s="368"/>
      <c r="ADL164" s="368"/>
      <c r="ADM164" s="368"/>
      <c r="ADN164" s="368"/>
      <c r="ADO164" s="368"/>
      <c r="ADP164" s="368"/>
      <c r="ADQ164" s="368"/>
      <c r="ADR164" s="368"/>
      <c r="ADS164" s="368"/>
      <c r="ADT164" s="368"/>
      <c r="ADU164" s="368"/>
      <c r="ADV164" s="368"/>
      <c r="ADW164" s="368"/>
      <c r="ADX164" s="368"/>
      <c r="ADY164" s="368"/>
      <c r="ADZ164" s="368"/>
      <c r="AEA164" s="368"/>
      <c r="AEB164" s="368"/>
      <c r="AEC164" s="368"/>
      <c r="AED164" s="368"/>
      <c r="AEE164" s="368"/>
      <c r="AEF164" s="368"/>
      <c r="AEG164" s="368"/>
      <c r="AEH164" s="368"/>
      <c r="AEI164" s="368"/>
      <c r="AEJ164" s="368"/>
      <c r="AEK164" s="368"/>
      <c r="AEL164" s="368"/>
      <c r="AEM164" s="368"/>
      <c r="AEN164" s="368"/>
      <c r="AEO164" s="368"/>
      <c r="AEP164" s="368"/>
      <c r="AEQ164" s="368"/>
      <c r="AER164" s="368"/>
      <c r="AES164" s="368"/>
      <c r="AET164" s="368"/>
      <c r="AEU164" s="368"/>
      <c r="AEV164" s="368"/>
      <c r="AEW164" s="368"/>
      <c r="AEX164" s="368"/>
      <c r="AEY164" s="368"/>
      <c r="AEZ164" s="368"/>
      <c r="AFA164" s="368"/>
      <c r="AFB164" s="368"/>
      <c r="AFC164" s="368"/>
      <c r="AFD164" s="368"/>
      <c r="AFE164" s="368"/>
      <c r="AFF164" s="368"/>
      <c r="AFG164" s="368"/>
      <c r="AFH164" s="368"/>
      <c r="AFI164" s="368"/>
      <c r="AFJ164" s="368"/>
      <c r="AFK164" s="368"/>
      <c r="AFL164" s="368"/>
      <c r="AFM164" s="368"/>
      <c r="AFN164" s="368"/>
      <c r="AFO164" s="368"/>
      <c r="AFP164" s="368"/>
      <c r="AFQ164" s="368"/>
      <c r="AFR164" s="368"/>
      <c r="AFS164" s="368"/>
      <c r="AFT164" s="368"/>
      <c r="AFU164" s="368"/>
      <c r="AFV164" s="368"/>
      <c r="AFW164" s="368"/>
      <c r="AFX164" s="368"/>
      <c r="AFY164" s="368"/>
      <c r="AFZ164" s="368"/>
      <c r="AGA164" s="368"/>
      <c r="AGB164" s="368"/>
      <c r="AGC164" s="368"/>
      <c r="AGD164" s="368"/>
      <c r="AGE164" s="368"/>
      <c r="AGF164" s="368"/>
      <c r="AGG164" s="368"/>
      <c r="AGH164" s="368"/>
      <c r="AGI164" s="368"/>
      <c r="AGJ164" s="368"/>
      <c r="AGK164" s="368"/>
      <c r="AGL164" s="368"/>
      <c r="AGM164" s="368"/>
      <c r="AGN164" s="368"/>
      <c r="AGO164" s="368"/>
      <c r="AGP164" s="368"/>
      <c r="AGQ164" s="368"/>
      <c r="AGR164" s="368"/>
      <c r="AGS164" s="368"/>
      <c r="AGT164" s="368"/>
      <c r="AGU164" s="368"/>
      <c r="AGV164" s="368"/>
      <c r="AGW164" s="368"/>
      <c r="AGX164" s="368"/>
      <c r="AGY164" s="368"/>
      <c r="AGZ164" s="368"/>
      <c r="AHA164" s="368"/>
      <c r="AHB164" s="368"/>
      <c r="AHC164" s="368"/>
      <c r="AHD164" s="368"/>
      <c r="AHE164" s="368"/>
      <c r="AHF164" s="368"/>
      <c r="AHG164" s="368"/>
      <c r="AHH164" s="368"/>
      <c r="AHI164" s="368"/>
      <c r="AHJ164" s="368"/>
      <c r="AHK164" s="368"/>
      <c r="AHL164" s="368"/>
      <c r="AHM164" s="368"/>
      <c r="AHN164" s="368"/>
      <c r="AHO164" s="368"/>
      <c r="AHP164" s="368"/>
      <c r="AHQ164" s="368"/>
      <c r="AHR164" s="368"/>
      <c r="AHS164" s="368"/>
      <c r="AHT164" s="368"/>
      <c r="AHU164" s="368"/>
      <c r="AHV164" s="368"/>
      <c r="AHW164" s="368"/>
      <c r="AHX164" s="368"/>
      <c r="AHY164" s="368"/>
      <c r="AHZ164" s="368"/>
      <c r="AIA164" s="368"/>
      <c r="AIB164" s="368"/>
      <c r="AIC164" s="368"/>
      <c r="AID164" s="368"/>
      <c r="AIE164" s="368"/>
      <c r="AIF164" s="368"/>
      <c r="AIG164" s="368"/>
      <c r="AIH164" s="368"/>
      <c r="AII164" s="368"/>
      <c r="AIJ164" s="368"/>
      <c r="AIK164" s="368"/>
      <c r="AIL164" s="368"/>
      <c r="AIM164" s="368"/>
      <c r="AIN164" s="368"/>
      <c r="AIO164" s="368"/>
      <c r="AIP164" s="368"/>
      <c r="AIQ164" s="368"/>
      <c r="AIR164" s="368"/>
      <c r="AIS164" s="368"/>
      <c r="AIT164" s="368"/>
      <c r="AIU164" s="368"/>
      <c r="AIV164" s="368"/>
      <c r="AIW164" s="368"/>
      <c r="AIX164" s="368"/>
      <c r="AIY164" s="368"/>
      <c r="AIZ164" s="368"/>
      <c r="AJA164" s="368"/>
      <c r="AJB164" s="368"/>
      <c r="AJC164" s="368"/>
      <c r="AJD164" s="368"/>
      <c r="AJE164" s="368"/>
      <c r="AJF164" s="368"/>
      <c r="AJG164" s="368"/>
      <c r="AJH164" s="368"/>
      <c r="AJI164" s="368"/>
      <c r="AJJ164" s="368"/>
      <c r="AJK164" s="368"/>
      <c r="AJL164" s="368"/>
      <c r="AJM164" s="368"/>
      <c r="AJN164" s="368"/>
      <c r="AJO164" s="368"/>
      <c r="AJP164" s="368"/>
      <c r="AJQ164" s="368"/>
      <c r="AJR164" s="368"/>
      <c r="AJS164" s="368"/>
      <c r="AJT164" s="368"/>
      <c r="AJU164" s="368"/>
      <c r="AJV164" s="368"/>
      <c r="AJW164" s="368"/>
      <c r="AJX164" s="368"/>
      <c r="AJY164" s="368"/>
      <c r="AJZ164" s="368"/>
      <c r="AKA164" s="368"/>
      <c r="AKB164" s="368"/>
      <c r="AKC164" s="368"/>
      <c r="AKD164" s="368"/>
      <c r="AKE164" s="368"/>
      <c r="AKF164" s="368"/>
      <c r="AKG164" s="368"/>
      <c r="AKH164" s="368"/>
      <c r="AKI164" s="368"/>
      <c r="AKJ164" s="368"/>
      <c r="AKK164" s="368"/>
      <c r="AKL164" s="368"/>
      <c r="AKM164" s="368"/>
      <c r="AKN164" s="368"/>
    </row>
    <row r="165" spans="1:976" ht="22.5" customHeight="1" x14ac:dyDescent="0.2">
      <c r="A165" s="413" t="s">
        <v>262</v>
      </c>
      <c r="B165" s="413"/>
      <c r="C165" s="413" t="s">
        <v>221</v>
      </c>
      <c r="D165" s="413" t="s">
        <v>222</v>
      </c>
      <c r="E165" s="414">
        <v>414799</v>
      </c>
      <c r="F165" s="414">
        <v>1926</v>
      </c>
      <c r="G165" s="414">
        <v>306</v>
      </c>
      <c r="H165" s="414">
        <v>0</v>
      </c>
      <c r="I165" s="415">
        <v>45902</v>
      </c>
      <c r="J165" s="413" t="s">
        <v>263</v>
      </c>
      <c r="K165" s="413" t="s">
        <v>730</v>
      </c>
      <c r="L165" s="416">
        <v>39.92</v>
      </c>
      <c r="M165" s="416">
        <v>2.2000000000000002</v>
      </c>
      <c r="N165" s="446">
        <v>42.12</v>
      </c>
      <c r="O165" s="413"/>
      <c r="P165" s="417">
        <v>45904</v>
      </c>
      <c r="Q165" s="416">
        <v>42.12</v>
      </c>
      <c r="R165" s="413" t="s">
        <v>315</v>
      </c>
      <c r="S165" s="416">
        <v>0</v>
      </c>
      <c r="T165" s="416">
        <v>0</v>
      </c>
      <c r="U165" s="416">
        <v>0</v>
      </c>
      <c r="V165" s="416">
        <v>0</v>
      </c>
      <c r="W165" s="413"/>
      <c r="X165" s="413" t="s">
        <v>308</v>
      </c>
      <c r="Y165" s="413" t="s">
        <v>309</v>
      </c>
      <c r="Z165" s="413" t="s">
        <v>42</v>
      </c>
      <c r="AA165" s="413" t="s">
        <v>228</v>
      </c>
      <c r="AB165" s="413" t="s">
        <v>34</v>
      </c>
      <c r="AC165" s="413" t="s">
        <v>50</v>
      </c>
      <c r="AD165" s="413" t="s">
        <v>231</v>
      </c>
      <c r="AE165" s="413" t="s">
        <v>232</v>
      </c>
      <c r="AF165" s="413" t="s">
        <v>231</v>
      </c>
      <c r="AG165" s="413" t="s">
        <v>232</v>
      </c>
      <c r="AH165" s="413"/>
      <c r="AI165" s="413"/>
      <c r="AJ165" s="413"/>
      <c r="AK165" s="413" t="s">
        <v>731</v>
      </c>
      <c r="AL165" s="414">
        <v>1</v>
      </c>
      <c r="AM165" s="414">
        <v>0</v>
      </c>
      <c r="AN165" s="415">
        <v>45904</v>
      </c>
      <c r="AO165" s="415">
        <v>45904</v>
      </c>
      <c r="AP165" s="416">
        <v>42.12</v>
      </c>
      <c r="AQ165" s="415">
        <v>45903</v>
      </c>
    </row>
    <row r="166" spans="1:976" s="14" customFormat="1" ht="22.5" customHeight="1" x14ac:dyDescent="0.2">
      <c r="A166" s="408" t="s">
        <v>262</v>
      </c>
      <c r="B166" s="408"/>
      <c r="C166" s="408" t="s">
        <v>221</v>
      </c>
      <c r="D166" s="408" t="s">
        <v>222</v>
      </c>
      <c r="E166" s="409">
        <v>414856</v>
      </c>
      <c r="F166" s="409">
        <v>1957</v>
      </c>
      <c r="G166" s="409">
        <v>313</v>
      </c>
      <c r="H166" s="409">
        <v>0</v>
      </c>
      <c r="I166" s="410">
        <v>45908</v>
      </c>
      <c r="J166" s="408" t="s">
        <v>263</v>
      </c>
      <c r="K166" s="408" t="s">
        <v>732</v>
      </c>
      <c r="L166" s="411">
        <v>141.34</v>
      </c>
      <c r="M166" s="411">
        <v>8.33</v>
      </c>
      <c r="N166" s="450">
        <v>149.66999999999999</v>
      </c>
      <c r="O166" s="408"/>
      <c r="P166" s="412">
        <v>45912</v>
      </c>
      <c r="Q166" s="411">
        <v>149.66999999999999</v>
      </c>
      <c r="R166" s="408" t="s">
        <v>733</v>
      </c>
      <c r="S166" s="411">
        <v>0</v>
      </c>
      <c r="T166" s="411">
        <v>0</v>
      </c>
      <c r="U166" s="411">
        <v>0</v>
      </c>
      <c r="V166" s="411">
        <v>0</v>
      </c>
      <c r="W166" s="408"/>
      <c r="X166" s="408" t="s">
        <v>293</v>
      </c>
      <c r="Y166" s="408" t="s">
        <v>294</v>
      </c>
      <c r="Z166" s="408" t="s">
        <v>53</v>
      </c>
      <c r="AA166" s="408" t="s">
        <v>228</v>
      </c>
      <c r="AB166" s="408" t="s">
        <v>239</v>
      </c>
      <c r="AC166" s="408" t="s">
        <v>240</v>
      </c>
      <c r="AD166" s="408" t="s">
        <v>231</v>
      </c>
      <c r="AE166" s="408" t="s">
        <v>232</v>
      </c>
      <c r="AF166" s="408" t="s">
        <v>231</v>
      </c>
      <c r="AG166" s="408" t="s">
        <v>232</v>
      </c>
      <c r="AH166" s="408"/>
      <c r="AI166" s="408"/>
      <c r="AJ166" s="408"/>
      <c r="AK166" s="408" t="s">
        <v>734</v>
      </c>
      <c r="AL166" s="409">
        <v>1</v>
      </c>
      <c r="AM166" s="409">
        <v>0</v>
      </c>
      <c r="AN166" s="410">
        <v>45912</v>
      </c>
      <c r="AO166" s="410">
        <v>45912</v>
      </c>
      <c r="AP166" s="411">
        <v>149.66999999999999</v>
      </c>
      <c r="AQ166" s="410">
        <v>45911</v>
      </c>
    </row>
    <row r="167" spans="1:976" s="14" customFormat="1" ht="22.5" customHeight="1" x14ac:dyDescent="0.2">
      <c r="A167" s="408" t="s">
        <v>262</v>
      </c>
      <c r="B167" s="408"/>
      <c r="C167" s="408" t="s">
        <v>221</v>
      </c>
      <c r="D167" s="408" t="s">
        <v>222</v>
      </c>
      <c r="E167" s="409">
        <v>414865</v>
      </c>
      <c r="F167" s="409">
        <v>1958</v>
      </c>
      <c r="G167" s="409">
        <v>313</v>
      </c>
      <c r="H167" s="409">
        <v>0</v>
      </c>
      <c r="I167" s="410">
        <v>45908</v>
      </c>
      <c r="J167" s="408" t="s">
        <v>263</v>
      </c>
      <c r="K167" s="408" t="s">
        <v>735</v>
      </c>
      <c r="L167" s="411">
        <v>46.45</v>
      </c>
      <c r="M167" s="411">
        <v>3.03</v>
      </c>
      <c r="N167" s="450">
        <v>49.48</v>
      </c>
      <c r="O167" s="408"/>
      <c r="P167" s="412">
        <v>45912</v>
      </c>
      <c r="Q167" s="411">
        <v>49.48</v>
      </c>
      <c r="R167" s="408" t="s">
        <v>736</v>
      </c>
      <c r="S167" s="411">
        <v>0</v>
      </c>
      <c r="T167" s="411">
        <v>0</v>
      </c>
      <c r="U167" s="411">
        <v>0</v>
      </c>
      <c r="V167" s="411">
        <v>0</v>
      </c>
      <c r="W167" s="408"/>
      <c r="X167" s="408" t="s">
        <v>293</v>
      </c>
      <c r="Y167" s="408" t="s">
        <v>294</v>
      </c>
      <c r="Z167" s="408" t="s">
        <v>53</v>
      </c>
      <c r="AA167" s="408" t="s">
        <v>228</v>
      </c>
      <c r="AB167" s="408" t="s">
        <v>239</v>
      </c>
      <c r="AC167" s="408" t="s">
        <v>240</v>
      </c>
      <c r="AD167" s="408" t="s">
        <v>231</v>
      </c>
      <c r="AE167" s="408" t="s">
        <v>232</v>
      </c>
      <c r="AF167" s="408" t="s">
        <v>231</v>
      </c>
      <c r="AG167" s="408" t="s">
        <v>232</v>
      </c>
      <c r="AH167" s="408"/>
      <c r="AI167" s="408"/>
      <c r="AJ167" s="408"/>
      <c r="AK167" s="408" t="s">
        <v>737</v>
      </c>
      <c r="AL167" s="409">
        <v>1</v>
      </c>
      <c r="AM167" s="409">
        <v>0</v>
      </c>
      <c r="AN167" s="410">
        <v>45912</v>
      </c>
      <c r="AO167" s="410">
        <v>45912</v>
      </c>
      <c r="AP167" s="411">
        <v>49.48</v>
      </c>
      <c r="AQ167" s="410">
        <v>45911</v>
      </c>
    </row>
    <row r="168" spans="1:976" s="14" customFormat="1" ht="22.5" customHeight="1" x14ac:dyDescent="0.2">
      <c r="A168" s="408" t="s">
        <v>262</v>
      </c>
      <c r="B168" s="408"/>
      <c r="C168" s="408" t="s">
        <v>221</v>
      </c>
      <c r="D168" s="408" t="s">
        <v>222</v>
      </c>
      <c r="E168" s="409">
        <v>414866</v>
      </c>
      <c r="F168" s="409">
        <v>1959</v>
      </c>
      <c r="G168" s="409">
        <v>313</v>
      </c>
      <c r="H168" s="409">
        <v>0</v>
      </c>
      <c r="I168" s="410">
        <v>45908</v>
      </c>
      <c r="J168" s="408" t="s">
        <v>263</v>
      </c>
      <c r="K168" s="408" t="s">
        <v>738</v>
      </c>
      <c r="L168" s="411">
        <v>142.18</v>
      </c>
      <c r="M168" s="411">
        <v>7.82</v>
      </c>
      <c r="N168" s="450">
        <v>150</v>
      </c>
      <c r="O168" s="408"/>
      <c r="P168" s="412">
        <v>45912</v>
      </c>
      <c r="Q168" s="411">
        <v>150</v>
      </c>
      <c r="R168" s="408" t="s">
        <v>739</v>
      </c>
      <c r="S168" s="411">
        <v>0</v>
      </c>
      <c r="T168" s="411">
        <v>0</v>
      </c>
      <c r="U168" s="411">
        <v>0</v>
      </c>
      <c r="V168" s="411">
        <v>0</v>
      </c>
      <c r="W168" s="408"/>
      <c r="X168" s="408" t="s">
        <v>293</v>
      </c>
      <c r="Y168" s="408" t="s">
        <v>294</v>
      </c>
      <c r="Z168" s="408" t="s">
        <v>53</v>
      </c>
      <c r="AA168" s="408" t="s">
        <v>228</v>
      </c>
      <c r="AB168" s="408" t="s">
        <v>239</v>
      </c>
      <c r="AC168" s="408" t="s">
        <v>240</v>
      </c>
      <c r="AD168" s="408" t="s">
        <v>231</v>
      </c>
      <c r="AE168" s="408" t="s">
        <v>232</v>
      </c>
      <c r="AF168" s="408" t="s">
        <v>231</v>
      </c>
      <c r="AG168" s="408" t="s">
        <v>232</v>
      </c>
      <c r="AH168" s="408"/>
      <c r="AI168" s="408"/>
      <c r="AJ168" s="408"/>
      <c r="AK168" s="408" t="s">
        <v>740</v>
      </c>
      <c r="AL168" s="409">
        <v>1</v>
      </c>
      <c r="AM168" s="409">
        <v>0</v>
      </c>
      <c r="AN168" s="410">
        <v>45912</v>
      </c>
      <c r="AO168" s="410">
        <v>45912</v>
      </c>
      <c r="AP168" s="411">
        <v>150</v>
      </c>
      <c r="AQ168" s="410">
        <v>45911</v>
      </c>
    </row>
    <row r="169" spans="1:976" s="14" customFormat="1" ht="22.5" customHeight="1" x14ac:dyDescent="0.2">
      <c r="A169" s="408" t="s">
        <v>262</v>
      </c>
      <c r="B169" s="408"/>
      <c r="C169" s="408" t="s">
        <v>221</v>
      </c>
      <c r="D169" s="408" t="s">
        <v>222</v>
      </c>
      <c r="E169" s="409">
        <v>414867</v>
      </c>
      <c r="F169" s="409">
        <v>1960</v>
      </c>
      <c r="G169" s="409">
        <v>313</v>
      </c>
      <c r="H169" s="409">
        <v>0</v>
      </c>
      <c r="I169" s="410">
        <v>45908</v>
      </c>
      <c r="J169" s="408" t="s">
        <v>263</v>
      </c>
      <c r="K169" s="408" t="s">
        <v>741</v>
      </c>
      <c r="L169" s="411">
        <v>93.68</v>
      </c>
      <c r="M169" s="411">
        <v>5.15</v>
      </c>
      <c r="N169" s="450">
        <v>98.83</v>
      </c>
      <c r="O169" s="408"/>
      <c r="P169" s="412">
        <v>45912</v>
      </c>
      <c r="Q169" s="411">
        <v>98.83</v>
      </c>
      <c r="R169" s="408" t="s">
        <v>742</v>
      </c>
      <c r="S169" s="411">
        <v>0</v>
      </c>
      <c r="T169" s="411">
        <v>0</v>
      </c>
      <c r="U169" s="411">
        <v>0</v>
      </c>
      <c r="V169" s="411">
        <v>0</v>
      </c>
      <c r="W169" s="408"/>
      <c r="X169" s="408" t="s">
        <v>293</v>
      </c>
      <c r="Y169" s="408" t="s">
        <v>294</v>
      </c>
      <c r="Z169" s="408" t="s">
        <v>53</v>
      </c>
      <c r="AA169" s="408" t="s">
        <v>228</v>
      </c>
      <c r="AB169" s="408" t="s">
        <v>239</v>
      </c>
      <c r="AC169" s="408" t="s">
        <v>240</v>
      </c>
      <c r="AD169" s="408" t="s">
        <v>231</v>
      </c>
      <c r="AE169" s="408" t="s">
        <v>232</v>
      </c>
      <c r="AF169" s="408" t="s">
        <v>231</v>
      </c>
      <c r="AG169" s="408" t="s">
        <v>232</v>
      </c>
      <c r="AH169" s="408"/>
      <c r="AI169" s="408"/>
      <c r="AJ169" s="408"/>
      <c r="AK169" s="408" t="s">
        <v>743</v>
      </c>
      <c r="AL169" s="409">
        <v>1</v>
      </c>
      <c r="AM169" s="409">
        <v>0</v>
      </c>
      <c r="AN169" s="410">
        <v>45912</v>
      </c>
      <c r="AO169" s="410">
        <v>45912</v>
      </c>
      <c r="AP169" s="411">
        <v>98.83</v>
      </c>
      <c r="AQ169" s="410">
        <v>45911</v>
      </c>
    </row>
    <row r="170" spans="1:976" s="14" customFormat="1" ht="22.5" customHeight="1" x14ac:dyDescent="0.2">
      <c r="A170" s="408" t="s">
        <v>262</v>
      </c>
      <c r="B170" s="408"/>
      <c r="C170" s="408" t="s">
        <v>221</v>
      </c>
      <c r="D170" s="408" t="s">
        <v>222</v>
      </c>
      <c r="E170" s="409">
        <v>414870</v>
      </c>
      <c r="F170" s="409">
        <v>1967</v>
      </c>
      <c r="G170" s="409">
        <v>314</v>
      </c>
      <c r="H170" s="409">
        <v>0</v>
      </c>
      <c r="I170" s="410">
        <v>45908</v>
      </c>
      <c r="J170" s="408" t="s">
        <v>656</v>
      </c>
      <c r="K170" s="408" t="s">
        <v>744</v>
      </c>
      <c r="L170" s="411">
        <v>45.24</v>
      </c>
      <c r="M170" s="411">
        <v>3.2</v>
      </c>
      <c r="N170" s="450">
        <v>48.44</v>
      </c>
      <c r="O170" s="408"/>
      <c r="P170" s="412">
        <v>45912</v>
      </c>
      <c r="Q170" s="411">
        <v>48.44</v>
      </c>
      <c r="R170" s="408" t="s">
        <v>745</v>
      </c>
      <c r="S170" s="411">
        <v>0</v>
      </c>
      <c r="T170" s="411">
        <v>0</v>
      </c>
      <c r="U170" s="411">
        <v>0</v>
      </c>
      <c r="V170" s="411">
        <v>0</v>
      </c>
      <c r="W170" s="408"/>
      <c r="X170" s="408" t="s">
        <v>293</v>
      </c>
      <c r="Y170" s="408" t="s">
        <v>294</v>
      </c>
      <c r="Z170" s="408" t="s">
        <v>53</v>
      </c>
      <c r="AA170" s="408" t="s">
        <v>228</v>
      </c>
      <c r="AB170" s="408" t="s">
        <v>239</v>
      </c>
      <c r="AC170" s="408" t="s">
        <v>240</v>
      </c>
      <c r="AD170" s="408" t="s">
        <v>231</v>
      </c>
      <c r="AE170" s="408" t="s">
        <v>232</v>
      </c>
      <c r="AF170" s="408" t="s">
        <v>231</v>
      </c>
      <c r="AG170" s="408" t="s">
        <v>232</v>
      </c>
      <c r="AH170" s="408"/>
      <c r="AI170" s="408"/>
      <c r="AJ170" s="408"/>
      <c r="AK170" s="408" t="s">
        <v>746</v>
      </c>
      <c r="AL170" s="409">
        <v>1</v>
      </c>
      <c r="AM170" s="409">
        <v>0</v>
      </c>
      <c r="AN170" s="410">
        <v>45912</v>
      </c>
      <c r="AO170" s="410">
        <v>45912</v>
      </c>
      <c r="AP170" s="411">
        <v>48.44</v>
      </c>
      <c r="AQ170" s="410">
        <v>45911</v>
      </c>
    </row>
    <row r="171" spans="1:976" s="14" customFormat="1" ht="22.5" customHeight="1" x14ac:dyDescent="0.2">
      <c r="A171" s="408" t="s">
        <v>262</v>
      </c>
      <c r="B171" s="408"/>
      <c r="C171" s="408" t="s">
        <v>221</v>
      </c>
      <c r="D171" s="408" t="s">
        <v>222</v>
      </c>
      <c r="E171" s="409">
        <v>414884</v>
      </c>
      <c r="F171" s="409">
        <v>1969</v>
      </c>
      <c r="G171" s="409">
        <v>315</v>
      </c>
      <c r="H171" s="409">
        <v>0</v>
      </c>
      <c r="I171" s="410">
        <v>45910</v>
      </c>
      <c r="J171" s="408" t="s">
        <v>656</v>
      </c>
      <c r="K171" s="408" t="s">
        <v>747</v>
      </c>
      <c r="L171" s="411">
        <v>140.57</v>
      </c>
      <c r="M171" s="411">
        <v>9.43</v>
      </c>
      <c r="N171" s="450">
        <v>150</v>
      </c>
      <c r="O171" s="408"/>
      <c r="P171" s="412">
        <v>45912</v>
      </c>
      <c r="Q171" s="411">
        <v>150</v>
      </c>
      <c r="R171" s="408" t="s">
        <v>748</v>
      </c>
      <c r="S171" s="411">
        <v>0</v>
      </c>
      <c r="T171" s="411">
        <v>0</v>
      </c>
      <c r="U171" s="411">
        <v>0</v>
      </c>
      <c r="V171" s="411">
        <v>0</v>
      </c>
      <c r="W171" s="408"/>
      <c r="X171" s="408" t="s">
        <v>293</v>
      </c>
      <c r="Y171" s="408" t="s">
        <v>294</v>
      </c>
      <c r="Z171" s="408" t="s">
        <v>53</v>
      </c>
      <c r="AA171" s="408" t="s">
        <v>228</v>
      </c>
      <c r="AB171" s="408" t="s">
        <v>239</v>
      </c>
      <c r="AC171" s="408" t="s">
        <v>240</v>
      </c>
      <c r="AD171" s="408" t="s">
        <v>231</v>
      </c>
      <c r="AE171" s="408" t="s">
        <v>232</v>
      </c>
      <c r="AF171" s="408" t="s">
        <v>231</v>
      </c>
      <c r="AG171" s="408" t="s">
        <v>232</v>
      </c>
      <c r="AH171" s="408"/>
      <c r="AI171" s="408"/>
      <c r="AJ171" s="408"/>
      <c r="AK171" s="408" t="s">
        <v>749</v>
      </c>
      <c r="AL171" s="409">
        <v>1</v>
      </c>
      <c r="AM171" s="409">
        <v>0</v>
      </c>
      <c r="AN171" s="410">
        <v>45912</v>
      </c>
      <c r="AO171" s="410">
        <v>45912</v>
      </c>
      <c r="AP171" s="411">
        <v>150</v>
      </c>
      <c r="AQ171" s="410">
        <v>45911</v>
      </c>
    </row>
    <row r="172" spans="1:976" s="14" customFormat="1" ht="22.5" customHeight="1" x14ac:dyDescent="0.2">
      <c r="A172" s="408" t="s">
        <v>262</v>
      </c>
      <c r="B172" s="408"/>
      <c r="C172" s="408" t="s">
        <v>221</v>
      </c>
      <c r="D172" s="408" t="s">
        <v>222</v>
      </c>
      <c r="E172" s="409">
        <v>414885</v>
      </c>
      <c r="F172" s="409">
        <v>1973</v>
      </c>
      <c r="G172" s="409">
        <v>315</v>
      </c>
      <c r="H172" s="409">
        <v>0</v>
      </c>
      <c r="I172" s="410">
        <v>45910</v>
      </c>
      <c r="J172" s="408" t="s">
        <v>656</v>
      </c>
      <c r="K172" s="408" t="s">
        <v>750</v>
      </c>
      <c r="L172" s="411">
        <v>27.73</v>
      </c>
      <c r="M172" s="411">
        <v>2.86</v>
      </c>
      <c r="N172" s="450">
        <v>30.59</v>
      </c>
      <c r="O172" s="408"/>
      <c r="P172" s="412">
        <v>45912</v>
      </c>
      <c r="Q172" s="411">
        <v>30.59</v>
      </c>
      <c r="R172" s="408" t="s">
        <v>751</v>
      </c>
      <c r="S172" s="411">
        <v>0</v>
      </c>
      <c r="T172" s="411">
        <v>0</v>
      </c>
      <c r="U172" s="411">
        <v>0</v>
      </c>
      <c r="V172" s="411">
        <v>0</v>
      </c>
      <c r="W172" s="408"/>
      <c r="X172" s="408" t="s">
        <v>365</v>
      </c>
      <c r="Y172" s="408" t="s">
        <v>366</v>
      </c>
      <c r="Z172" s="408" t="s">
        <v>53</v>
      </c>
      <c r="AA172" s="408" t="s">
        <v>228</v>
      </c>
      <c r="AB172" s="408" t="s">
        <v>239</v>
      </c>
      <c r="AC172" s="408" t="s">
        <v>240</v>
      </c>
      <c r="AD172" s="408" t="s">
        <v>231</v>
      </c>
      <c r="AE172" s="408" t="s">
        <v>232</v>
      </c>
      <c r="AF172" s="408" t="s">
        <v>231</v>
      </c>
      <c r="AG172" s="408" t="s">
        <v>232</v>
      </c>
      <c r="AH172" s="408"/>
      <c r="AI172" s="408"/>
      <c r="AJ172" s="408"/>
      <c r="AK172" s="408" t="s">
        <v>752</v>
      </c>
      <c r="AL172" s="409">
        <v>1</v>
      </c>
      <c r="AM172" s="409">
        <v>0</v>
      </c>
      <c r="AN172" s="410">
        <v>45912</v>
      </c>
      <c r="AO172" s="410">
        <v>45912</v>
      </c>
      <c r="AP172" s="411">
        <v>30.59</v>
      </c>
      <c r="AQ172" s="410">
        <v>45911</v>
      </c>
    </row>
    <row r="173" spans="1:976" s="14" customFormat="1" ht="22.5" customHeight="1" x14ac:dyDescent="0.2">
      <c r="A173" s="408" t="s">
        <v>262</v>
      </c>
      <c r="B173" s="408"/>
      <c r="C173" s="408" t="s">
        <v>221</v>
      </c>
      <c r="D173" s="408" t="s">
        <v>222</v>
      </c>
      <c r="E173" s="409">
        <v>414886</v>
      </c>
      <c r="F173" s="409">
        <v>1971</v>
      </c>
      <c r="G173" s="409">
        <v>315</v>
      </c>
      <c r="H173" s="409">
        <v>0</v>
      </c>
      <c r="I173" s="410">
        <v>45910</v>
      </c>
      <c r="J173" s="408" t="s">
        <v>656</v>
      </c>
      <c r="K173" s="408" t="s">
        <v>753</v>
      </c>
      <c r="L173" s="411">
        <v>74.400000000000006</v>
      </c>
      <c r="M173" s="411">
        <v>4.09</v>
      </c>
      <c r="N173" s="450">
        <v>78.489999999999995</v>
      </c>
      <c r="O173" s="408"/>
      <c r="P173" s="412">
        <v>45912</v>
      </c>
      <c r="Q173" s="411">
        <v>78.489999999999995</v>
      </c>
      <c r="R173" s="408" t="s">
        <v>754</v>
      </c>
      <c r="S173" s="411">
        <v>0</v>
      </c>
      <c r="T173" s="411">
        <v>0</v>
      </c>
      <c r="U173" s="411">
        <v>0</v>
      </c>
      <c r="V173" s="411">
        <v>0</v>
      </c>
      <c r="W173" s="408"/>
      <c r="X173" s="408" t="s">
        <v>293</v>
      </c>
      <c r="Y173" s="408" t="s">
        <v>294</v>
      </c>
      <c r="Z173" s="408" t="s">
        <v>53</v>
      </c>
      <c r="AA173" s="408" t="s">
        <v>228</v>
      </c>
      <c r="AB173" s="408" t="s">
        <v>239</v>
      </c>
      <c r="AC173" s="408" t="s">
        <v>240</v>
      </c>
      <c r="AD173" s="408" t="s">
        <v>231</v>
      </c>
      <c r="AE173" s="408" t="s">
        <v>232</v>
      </c>
      <c r="AF173" s="408" t="s">
        <v>231</v>
      </c>
      <c r="AG173" s="408" t="s">
        <v>232</v>
      </c>
      <c r="AH173" s="408"/>
      <c r="AI173" s="408"/>
      <c r="AJ173" s="408"/>
      <c r="AK173" s="408" t="s">
        <v>755</v>
      </c>
      <c r="AL173" s="409">
        <v>1</v>
      </c>
      <c r="AM173" s="409">
        <v>0</v>
      </c>
      <c r="AN173" s="410">
        <v>45912</v>
      </c>
      <c r="AO173" s="410">
        <v>45912</v>
      </c>
      <c r="AP173" s="411">
        <v>78.489999999999995</v>
      </c>
      <c r="AQ173" s="410">
        <v>45911</v>
      </c>
    </row>
    <row r="174" spans="1:976" ht="22.5" customHeight="1" x14ac:dyDescent="0.2">
      <c r="A174" s="370" t="s">
        <v>262</v>
      </c>
      <c r="B174" s="370"/>
      <c r="C174" s="370" t="s">
        <v>221</v>
      </c>
      <c r="D174" s="370" t="s">
        <v>222</v>
      </c>
      <c r="E174" s="371">
        <v>414887</v>
      </c>
      <c r="F174" s="371">
        <v>1972</v>
      </c>
      <c r="G174" s="371">
        <v>315</v>
      </c>
      <c r="H174" s="371">
        <v>0</v>
      </c>
      <c r="I174" s="372">
        <v>45910</v>
      </c>
      <c r="J174" s="370" t="s">
        <v>656</v>
      </c>
      <c r="K174" s="370" t="s">
        <v>756</v>
      </c>
      <c r="L174" s="373">
        <v>87.42</v>
      </c>
      <c r="M174" s="373">
        <v>5.34</v>
      </c>
      <c r="N174" s="444">
        <v>92.76</v>
      </c>
      <c r="O174" s="370"/>
      <c r="P174" s="374">
        <v>45912</v>
      </c>
      <c r="Q174" s="373">
        <v>92.76</v>
      </c>
      <c r="R174" s="370" t="s">
        <v>757</v>
      </c>
      <c r="S174" s="373">
        <v>0</v>
      </c>
      <c r="T174" s="373">
        <v>0</v>
      </c>
      <c r="U174" s="373">
        <v>0</v>
      </c>
      <c r="V174" s="373">
        <v>0</v>
      </c>
      <c r="W174" s="370"/>
      <c r="X174" s="370" t="s">
        <v>293</v>
      </c>
      <c r="Y174" s="370" t="s">
        <v>294</v>
      </c>
      <c r="Z174" s="370" t="s">
        <v>42</v>
      </c>
      <c r="AA174" s="370" t="s">
        <v>228</v>
      </c>
      <c r="AB174" s="370" t="s">
        <v>235</v>
      </c>
      <c r="AC174" s="370" t="s">
        <v>331</v>
      </c>
      <c r="AD174" s="370" t="s">
        <v>231</v>
      </c>
      <c r="AE174" s="370" t="s">
        <v>232</v>
      </c>
      <c r="AF174" s="370" t="s">
        <v>231</v>
      </c>
      <c r="AG174" s="370" t="s">
        <v>232</v>
      </c>
      <c r="AH174" s="370"/>
      <c r="AI174" s="370"/>
      <c r="AJ174" s="370"/>
      <c r="AK174" s="370" t="s">
        <v>758</v>
      </c>
      <c r="AL174" s="371">
        <v>1</v>
      </c>
      <c r="AM174" s="371">
        <v>0</v>
      </c>
      <c r="AN174" s="372">
        <v>45912</v>
      </c>
      <c r="AO174" s="372">
        <v>45912</v>
      </c>
      <c r="AP174" s="373">
        <v>92.76</v>
      </c>
      <c r="AQ174" s="372">
        <v>45911</v>
      </c>
    </row>
    <row r="175" spans="1:976" s="14" customFormat="1" ht="22.5" customHeight="1" x14ac:dyDescent="0.2">
      <c r="A175" s="408" t="s">
        <v>262</v>
      </c>
      <c r="B175" s="408"/>
      <c r="C175" s="408" t="s">
        <v>221</v>
      </c>
      <c r="D175" s="408" t="s">
        <v>222</v>
      </c>
      <c r="E175" s="409">
        <v>414897</v>
      </c>
      <c r="F175" s="409">
        <v>1974</v>
      </c>
      <c r="G175" s="409">
        <v>315</v>
      </c>
      <c r="H175" s="409">
        <v>0</v>
      </c>
      <c r="I175" s="410">
        <v>45910</v>
      </c>
      <c r="J175" s="408" t="s">
        <v>656</v>
      </c>
      <c r="K175" s="408" t="s">
        <v>759</v>
      </c>
      <c r="L175" s="411">
        <v>27.68</v>
      </c>
      <c r="M175" s="411">
        <v>2.2799999999999998</v>
      </c>
      <c r="N175" s="450">
        <v>29.96</v>
      </c>
      <c r="O175" s="408"/>
      <c r="P175" s="412">
        <v>45912</v>
      </c>
      <c r="Q175" s="411">
        <v>29.96</v>
      </c>
      <c r="R175" s="408" t="s">
        <v>760</v>
      </c>
      <c r="S175" s="411">
        <v>0</v>
      </c>
      <c r="T175" s="411">
        <v>0</v>
      </c>
      <c r="U175" s="411">
        <v>0</v>
      </c>
      <c r="V175" s="411">
        <v>0</v>
      </c>
      <c r="W175" s="408"/>
      <c r="X175" s="408" t="s">
        <v>365</v>
      </c>
      <c r="Y175" s="408" t="s">
        <v>366</v>
      </c>
      <c r="Z175" s="408" t="s">
        <v>53</v>
      </c>
      <c r="AA175" s="408" t="s">
        <v>228</v>
      </c>
      <c r="AB175" s="408" t="s">
        <v>239</v>
      </c>
      <c r="AC175" s="408" t="s">
        <v>240</v>
      </c>
      <c r="AD175" s="408" t="s">
        <v>231</v>
      </c>
      <c r="AE175" s="408" t="s">
        <v>232</v>
      </c>
      <c r="AF175" s="408" t="s">
        <v>231</v>
      </c>
      <c r="AG175" s="408" t="s">
        <v>232</v>
      </c>
      <c r="AH175" s="408"/>
      <c r="AI175" s="408"/>
      <c r="AJ175" s="408"/>
      <c r="AK175" s="408" t="s">
        <v>761</v>
      </c>
      <c r="AL175" s="409">
        <v>1</v>
      </c>
      <c r="AM175" s="409">
        <v>0</v>
      </c>
      <c r="AN175" s="410">
        <v>45912</v>
      </c>
      <c r="AO175" s="410">
        <v>45912</v>
      </c>
      <c r="AP175" s="411">
        <v>29.96</v>
      </c>
      <c r="AQ175" s="410">
        <v>45911</v>
      </c>
    </row>
    <row r="176" spans="1:976" s="14" customFormat="1" ht="22.5" customHeight="1" x14ac:dyDescent="0.2">
      <c r="A176" s="408" t="s">
        <v>262</v>
      </c>
      <c r="B176" s="408"/>
      <c r="C176" s="408" t="s">
        <v>221</v>
      </c>
      <c r="D176" s="408" t="s">
        <v>222</v>
      </c>
      <c r="E176" s="409">
        <v>414899</v>
      </c>
      <c r="F176" s="409">
        <v>1970</v>
      </c>
      <c r="G176" s="409">
        <v>315</v>
      </c>
      <c r="H176" s="409">
        <v>0</v>
      </c>
      <c r="I176" s="410">
        <v>45910</v>
      </c>
      <c r="J176" s="408" t="s">
        <v>656</v>
      </c>
      <c r="K176" s="408" t="s">
        <v>762</v>
      </c>
      <c r="L176" s="411">
        <v>42.89</v>
      </c>
      <c r="M176" s="411">
        <v>2.36</v>
      </c>
      <c r="N176" s="450">
        <v>45.25</v>
      </c>
      <c r="O176" s="408"/>
      <c r="P176" s="412">
        <v>45912</v>
      </c>
      <c r="Q176" s="411">
        <v>45.25</v>
      </c>
      <c r="R176" s="408" t="s">
        <v>763</v>
      </c>
      <c r="S176" s="411">
        <v>0</v>
      </c>
      <c r="T176" s="411">
        <v>0</v>
      </c>
      <c r="U176" s="411">
        <v>0</v>
      </c>
      <c r="V176" s="411">
        <v>0</v>
      </c>
      <c r="W176" s="408"/>
      <c r="X176" s="408" t="s">
        <v>293</v>
      </c>
      <c r="Y176" s="408" t="s">
        <v>294</v>
      </c>
      <c r="Z176" s="408" t="s">
        <v>53</v>
      </c>
      <c r="AA176" s="408" t="s">
        <v>228</v>
      </c>
      <c r="AB176" s="408" t="s">
        <v>239</v>
      </c>
      <c r="AC176" s="408" t="s">
        <v>240</v>
      </c>
      <c r="AD176" s="408" t="s">
        <v>231</v>
      </c>
      <c r="AE176" s="408" t="s">
        <v>232</v>
      </c>
      <c r="AF176" s="408" t="s">
        <v>231</v>
      </c>
      <c r="AG176" s="408" t="s">
        <v>232</v>
      </c>
      <c r="AH176" s="408"/>
      <c r="AI176" s="408"/>
      <c r="AJ176" s="408"/>
      <c r="AK176" s="408" t="s">
        <v>764</v>
      </c>
      <c r="AL176" s="409">
        <v>1</v>
      </c>
      <c r="AM176" s="409">
        <v>0</v>
      </c>
      <c r="AN176" s="410">
        <v>45912</v>
      </c>
      <c r="AO176" s="410">
        <v>45912</v>
      </c>
      <c r="AP176" s="411">
        <v>45.25</v>
      </c>
      <c r="AQ176" s="410">
        <v>45911</v>
      </c>
    </row>
    <row r="177" spans="1:43" ht="22.5" customHeight="1" x14ac:dyDescent="0.2">
      <c r="A177" s="423" t="s">
        <v>262</v>
      </c>
      <c r="B177" s="423"/>
      <c r="C177" s="423" t="s">
        <v>221</v>
      </c>
      <c r="D177" s="423" t="s">
        <v>222</v>
      </c>
      <c r="E177" s="424">
        <v>415706</v>
      </c>
      <c r="F177" s="424">
        <v>2008</v>
      </c>
      <c r="G177" s="424">
        <v>319</v>
      </c>
      <c r="H177" s="424">
        <v>0</v>
      </c>
      <c r="I177" s="425">
        <v>45916</v>
      </c>
      <c r="J177" s="423" t="s">
        <v>263</v>
      </c>
      <c r="K177" s="423" t="s">
        <v>765</v>
      </c>
      <c r="L177" s="426">
        <v>68.78</v>
      </c>
      <c r="M177" s="426">
        <v>7.27</v>
      </c>
      <c r="N177" s="451">
        <v>76.05</v>
      </c>
      <c r="O177" s="423"/>
      <c r="P177" s="427">
        <v>45945</v>
      </c>
      <c r="Q177" s="426">
        <v>76.05</v>
      </c>
      <c r="R177" s="423" t="s">
        <v>766</v>
      </c>
      <c r="S177" s="426">
        <v>0</v>
      </c>
      <c r="T177" s="426">
        <v>0</v>
      </c>
      <c r="U177" s="426">
        <v>0</v>
      </c>
      <c r="V177" s="426">
        <v>0</v>
      </c>
      <c r="W177" s="423"/>
      <c r="X177" s="423" t="s">
        <v>293</v>
      </c>
      <c r="Y177" s="423" t="s">
        <v>294</v>
      </c>
      <c r="Z177" s="423" t="s">
        <v>53</v>
      </c>
      <c r="AA177" s="423" t="s">
        <v>228</v>
      </c>
      <c r="AB177" s="423" t="s">
        <v>239</v>
      </c>
      <c r="AC177" s="423" t="s">
        <v>243</v>
      </c>
      <c r="AD177" s="423" t="s">
        <v>231</v>
      </c>
      <c r="AE177" s="423" t="s">
        <v>232</v>
      </c>
      <c r="AF177" s="423" t="s">
        <v>231</v>
      </c>
      <c r="AG177" s="423" t="s">
        <v>232</v>
      </c>
      <c r="AH177" s="423"/>
      <c r="AI177" s="423"/>
      <c r="AJ177" s="423"/>
      <c r="AK177" s="423" t="s">
        <v>767</v>
      </c>
      <c r="AL177" s="424">
        <v>1</v>
      </c>
      <c r="AM177" s="424">
        <v>0</v>
      </c>
      <c r="AN177" s="425">
        <v>45945</v>
      </c>
      <c r="AO177" s="425">
        <v>45945</v>
      </c>
      <c r="AP177" s="426">
        <v>76.05</v>
      </c>
      <c r="AQ177" s="425">
        <v>45944</v>
      </c>
    </row>
    <row r="178" spans="1:43" ht="22.5" customHeight="1" x14ac:dyDescent="0.2">
      <c r="A178" s="423" t="s">
        <v>262</v>
      </c>
      <c r="B178" s="423"/>
      <c r="C178" s="423" t="s">
        <v>221</v>
      </c>
      <c r="D178" s="423" t="s">
        <v>222</v>
      </c>
      <c r="E178" s="424">
        <v>415707</v>
      </c>
      <c r="F178" s="424">
        <v>2009</v>
      </c>
      <c r="G178" s="424">
        <v>319</v>
      </c>
      <c r="H178" s="424">
        <v>0</v>
      </c>
      <c r="I178" s="425">
        <v>45916</v>
      </c>
      <c r="J178" s="423" t="s">
        <v>263</v>
      </c>
      <c r="K178" s="423" t="s">
        <v>768</v>
      </c>
      <c r="L178" s="426">
        <v>131.15</v>
      </c>
      <c r="M178" s="426">
        <v>11.7</v>
      </c>
      <c r="N178" s="451">
        <v>142.85</v>
      </c>
      <c r="O178" s="423"/>
      <c r="P178" s="427">
        <v>45945</v>
      </c>
      <c r="Q178" s="426">
        <v>142.85</v>
      </c>
      <c r="R178" s="423" t="s">
        <v>769</v>
      </c>
      <c r="S178" s="426">
        <v>0</v>
      </c>
      <c r="T178" s="426">
        <v>0</v>
      </c>
      <c r="U178" s="426">
        <v>0</v>
      </c>
      <c r="V178" s="426">
        <v>0</v>
      </c>
      <c r="W178" s="423"/>
      <c r="X178" s="423" t="s">
        <v>293</v>
      </c>
      <c r="Y178" s="423" t="s">
        <v>294</v>
      </c>
      <c r="Z178" s="423" t="s">
        <v>53</v>
      </c>
      <c r="AA178" s="423" t="s">
        <v>228</v>
      </c>
      <c r="AB178" s="423" t="s">
        <v>239</v>
      </c>
      <c r="AC178" s="423" t="s">
        <v>243</v>
      </c>
      <c r="AD178" s="423" t="s">
        <v>231</v>
      </c>
      <c r="AE178" s="423" t="s">
        <v>232</v>
      </c>
      <c r="AF178" s="423" t="s">
        <v>231</v>
      </c>
      <c r="AG178" s="423" t="s">
        <v>232</v>
      </c>
      <c r="AH178" s="423"/>
      <c r="AI178" s="423"/>
      <c r="AJ178" s="423"/>
      <c r="AK178" s="423" t="s">
        <v>770</v>
      </c>
      <c r="AL178" s="424">
        <v>1</v>
      </c>
      <c r="AM178" s="424">
        <v>0</v>
      </c>
      <c r="AN178" s="425">
        <v>45945</v>
      </c>
      <c r="AO178" s="425">
        <v>45945</v>
      </c>
      <c r="AP178" s="426">
        <v>142.85</v>
      </c>
      <c r="AQ178" s="425">
        <v>45944</v>
      </c>
    </row>
    <row r="179" spans="1:43" ht="22.5" customHeight="1" x14ac:dyDescent="0.2">
      <c r="A179" s="423" t="s">
        <v>262</v>
      </c>
      <c r="B179" s="423"/>
      <c r="C179" s="423" t="s">
        <v>221</v>
      </c>
      <c r="D179" s="423" t="s">
        <v>222</v>
      </c>
      <c r="E179" s="424">
        <v>415708</v>
      </c>
      <c r="F179" s="424">
        <v>2010</v>
      </c>
      <c r="G179" s="424">
        <v>319</v>
      </c>
      <c r="H179" s="424">
        <v>0</v>
      </c>
      <c r="I179" s="425">
        <v>45916</v>
      </c>
      <c r="J179" s="423" t="s">
        <v>263</v>
      </c>
      <c r="K179" s="423" t="s">
        <v>771</v>
      </c>
      <c r="L179" s="426">
        <v>117.07</v>
      </c>
      <c r="M179" s="426">
        <v>13.26</v>
      </c>
      <c r="N179" s="451">
        <v>130.33000000000001</v>
      </c>
      <c r="O179" s="423"/>
      <c r="P179" s="427">
        <v>45945</v>
      </c>
      <c r="Q179" s="426">
        <v>130.33000000000001</v>
      </c>
      <c r="R179" s="423" t="s">
        <v>772</v>
      </c>
      <c r="S179" s="426">
        <v>0</v>
      </c>
      <c r="T179" s="426">
        <v>0</v>
      </c>
      <c r="U179" s="426">
        <v>0</v>
      </c>
      <c r="V179" s="426">
        <v>0</v>
      </c>
      <c r="W179" s="423"/>
      <c r="X179" s="423" t="s">
        <v>293</v>
      </c>
      <c r="Y179" s="423" t="s">
        <v>294</v>
      </c>
      <c r="Z179" s="423" t="s">
        <v>53</v>
      </c>
      <c r="AA179" s="423" t="s">
        <v>228</v>
      </c>
      <c r="AB179" s="423" t="s">
        <v>239</v>
      </c>
      <c r="AC179" s="423" t="s">
        <v>243</v>
      </c>
      <c r="AD179" s="423" t="s">
        <v>231</v>
      </c>
      <c r="AE179" s="423" t="s">
        <v>232</v>
      </c>
      <c r="AF179" s="423" t="s">
        <v>231</v>
      </c>
      <c r="AG179" s="423" t="s">
        <v>232</v>
      </c>
      <c r="AH179" s="423"/>
      <c r="AI179" s="423"/>
      <c r="AJ179" s="423"/>
      <c r="AK179" s="423" t="s">
        <v>773</v>
      </c>
      <c r="AL179" s="424">
        <v>1</v>
      </c>
      <c r="AM179" s="424">
        <v>0</v>
      </c>
      <c r="AN179" s="425">
        <v>45945</v>
      </c>
      <c r="AO179" s="425">
        <v>45945</v>
      </c>
      <c r="AP179" s="426">
        <v>130.33000000000001</v>
      </c>
      <c r="AQ179" s="425">
        <v>45944</v>
      </c>
    </row>
    <row r="180" spans="1:43" ht="22.5" customHeight="1" x14ac:dyDescent="0.2">
      <c r="A180" s="423" t="s">
        <v>262</v>
      </c>
      <c r="B180" s="423"/>
      <c r="C180" s="423" t="s">
        <v>221</v>
      </c>
      <c r="D180" s="423" t="s">
        <v>222</v>
      </c>
      <c r="E180" s="424">
        <v>415713</v>
      </c>
      <c r="F180" s="424">
        <v>2042</v>
      </c>
      <c r="G180" s="424">
        <v>322</v>
      </c>
      <c r="H180" s="424">
        <v>0</v>
      </c>
      <c r="I180" s="425">
        <v>45919</v>
      </c>
      <c r="J180" s="423" t="s">
        <v>656</v>
      </c>
      <c r="K180" s="423" t="s">
        <v>774</v>
      </c>
      <c r="L180" s="426">
        <v>174</v>
      </c>
      <c r="M180" s="426">
        <v>16.57</v>
      </c>
      <c r="N180" s="451">
        <v>190.57</v>
      </c>
      <c r="O180" s="423"/>
      <c r="P180" s="427">
        <v>45945</v>
      </c>
      <c r="Q180" s="426">
        <v>190.57</v>
      </c>
      <c r="R180" s="423" t="s">
        <v>775</v>
      </c>
      <c r="S180" s="426">
        <v>0</v>
      </c>
      <c r="T180" s="426">
        <v>0</v>
      </c>
      <c r="U180" s="426">
        <v>0</v>
      </c>
      <c r="V180" s="426">
        <v>0</v>
      </c>
      <c r="W180" s="423"/>
      <c r="X180" s="423" t="s">
        <v>293</v>
      </c>
      <c r="Y180" s="423" t="s">
        <v>294</v>
      </c>
      <c r="Z180" s="423" t="s">
        <v>53</v>
      </c>
      <c r="AA180" s="423" t="s">
        <v>228</v>
      </c>
      <c r="AB180" s="423" t="s">
        <v>239</v>
      </c>
      <c r="AC180" s="423" t="s">
        <v>243</v>
      </c>
      <c r="AD180" s="423" t="s">
        <v>231</v>
      </c>
      <c r="AE180" s="423" t="s">
        <v>232</v>
      </c>
      <c r="AF180" s="423" t="s">
        <v>231</v>
      </c>
      <c r="AG180" s="423" t="s">
        <v>232</v>
      </c>
      <c r="AH180" s="423"/>
      <c r="AI180" s="423"/>
      <c r="AJ180" s="423"/>
      <c r="AK180" s="423" t="s">
        <v>776</v>
      </c>
      <c r="AL180" s="424">
        <v>1</v>
      </c>
      <c r="AM180" s="424">
        <v>0</v>
      </c>
      <c r="AN180" s="425">
        <v>45945</v>
      </c>
      <c r="AO180" s="425">
        <v>45945</v>
      </c>
      <c r="AP180" s="426">
        <v>190.57</v>
      </c>
      <c r="AQ180" s="425">
        <v>45944</v>
      </c>
    </row>
    <row r="181" spans="1:43" ht="22.5" customHeight="1" x14ac:dyDescent="0.2">
      <c r="A181" s="428" t="s">
        <v>262</v>
      </c>
      <c r="B181" s="428"/>
      <c r="C181" s="428" t="s">
        <v>221</v>
      </c>
      <c r="D181" s="428" t="s">
        <v>222</v>
      </c>
      <c r="E181" s="429">
        <v>415737</v>
      </c>
      <c r="F181" s="429">
        <v>2059</v>
      </c>
      <c r="G181" s="429">
        <v>324</v>
      </c>
      <c r="H181" s="429">
        <v>0</v>
      </c>
      <c r="I181" s="430">
        <v>45919</v>
      </c>
      <c r="J181" s="428" t="s">
        <v>263</v>
      </c>
      <c r="K181" s="428" t="s">
        <v>777</v>
      </c>
      <c r="L181" s="431">
        <v>125.36</v>
      </c>
      <c r="M181" s="431">
        <v>10.23</v>
      </c>
      <c r="N181" s="441">
        <v>135.59</v>
      </c>
      <c r="O181" s="428"/>
      <c r="P181" s="432">
        <v>45932</v>
      </c>
      <c r="Q181" s="431">
        <v>135.59</v>
      </c>
      <c r="R181" s="428" t="s">
        <v>778</v>
      </c>
      <c r="S181" s="431">
        <v>0</v>
      </c>
      <c r="T181" s="431">
        <v>0</v>
      </c>
      <c r="U181" s="431">
        <v>0</v>
      </c>
      <c r="V181" s="431">
        <v>0</v>
      </c>
      <c r="W181" s="428"/>
      <c r="X181" s="428" t="s">
        <v>293</v>
      </c>
      <c r="Y181" s="428" t="s">
        <v>294</v>
      </c>
      <c r="Z181" s="428" t="s">
        <v>42</v>
      </c>
      <c r="AA181" s="428" t="s">
        <v>228</v>
      </c>
      <c r="AB181" s="428" t="s">
        <v>235</v>
      </c>
      <c r="AC181" s="428" t="s">
        <v>236</v>
      </c>
      <c r="AD181" s="428" t="s">
        <v>231</v>
      </c>
      <c r="AE181" s="428" t="s">
        <v>232</v>
      </c>
      <c r="AF181" s="428" t="s">
        <v>231</v>
      </c>
      <c r="AG181" s="428" t="s">
        <v>232</v>
      </c>
      <c r="AH181" s="428"/>
      <c r="AI181" s="428"/>
      <c r="AJ181" s="428"/>
      <c r="AK181" s="428" t="s">
        <v>779</v>
      </c>
      <c r="AL181" s="429">
        <v>1</v>
      </c>
      <c r="AM181" s="429">
        <v>0</v>
      </c>
      <c r="AN181" s="430">
        <v>45932</v>
      </c>
      <c r="AO181" s="430">
        <v>45932</v>
      </c>
      <c r="AP181" s="431">
        <v>135.59</v>
      </c>
      <c r="AQ181" s="430">
        <v>45931</v>
      </c>
    </row>
    <row r="182" spans="1:43" ht="22.5" customHeight="1" x14ac:dyDescent="0.2">
      <c r="A182" s="358" t="s">
        <v>262</v>
      </c>
      <c r="B182" s="358"/>
      <c r="C182" s="358" t="s">
        <v>221</v>
      </c>
      <c r="D182" s="358" t="s">
        <v>222</v>
      </c>
      <c r="E182" s="359">
        <v>415766</v>
      </c>
      <c r="F182" s="359">
        <v>2081</v>
      </c>
      <c r="G182" s="359">
        <v>325</v>
      </c>
      <c r="H182" s="359">
        <v>0</v>
      </c>
      <c r="I182" s="360">
        <v>45923</v>
      </c>
      <c r="J182" s="358" t="s">
        <v>263</v>
      </c>
      <c r="K182" s="358" t="s">
        <v>780</v>
      </c>
      <c r="L182" s="361">
        <v>56.87</v>
      </c>
      <c r="M182" s="361">
        <v>3.13</v>
      </c>
      <c r="N182" s="448">
        <v>60</v>
      </c>
      <c r="O182" s="358"/>
      <c r="P182" s="362">
        <v>45945</v>
      </c>
      <c r="Q182" s="361">
        <v>60</v>
      </c>
      <c r="R182" s="358" t="s">
        <v>781</v>
      </c>
      <c r="S182" s="361">
        <v>0</v>
      </c>
      <c r="T182" s="361">
        <v>0</v>
      </c>
      <c r="U182" s="361">
        <v>0</v>
      </c>
      <c r="V182" s="361">
        <v>0</v>
      </c>
      <c r="W182" s="358"/>
      <c r="X182" s="358" t="s">
        <v>308</v>
      </c>
      <c r="Y182" s="358" t="s">
        <v>309</v>
      </c>
      <c r="Z182" s="358" t="s">
        <v>32</v>
      </c>
      <c r="AA182" s="358" t="s">
        <v>228</v>
      </c>
      <c r="AB182" s="358" t="s">
        <v>34</v>
      </c>
      <c r="AC182" s="358" t="s">
        <v>31</v>
      </c>
      <c r="AD182" s="358" t="s">
        <v>231</v>
      </c>
      <c r="AE182" s="358" t="s">
        <v>232</v>
      </c>
      <c r="AF182" s="358" t="s">
        <v>231</v>
      </c>
      <c r="AG182" s="358" t="s">
        <v>232</v>
      </c>
      <c r="AH182" s="358"/>
      <c r="AI182" s="358"/>
      <c r="AJ182" s="358"/>
      <c r="AK182" s="358" t="s">
        <v>782</v>
      </c>
      <c r="AL182" s="359">
        <v>1</v>
      </c>
      <c r="AM182" s="359">
        <v>0</v>
      </c>
      <c r="AN182" s="360">
        <v>45945</v>
      </c>
      <c r="AO182" s="360">
        <v>45945</v>
      </c>
      <c r="AP182" s="361">
        <v>60</v>
      </c>
      <c r="AQ182" s="360">
        <v>45944</v>
      </c>
    </row>
    <row r="183" spans="1:43" ht="22.5" customHeight="1" x14ac:dyDescent="0.2">
      <c r="A183" s="428" t="s">
        <v>262</v>
      </c>
      <c r="B183" s="428"/>
      <c r="C183" s="428" t="s">
        <v>221</v>
      </c>
      <c r="D183" s="428" t="s">
        <v>222</v>
      </c>
      <c r="E183" s="429">
        <v>415774</v>
      </c>
      <c r="F183" s="429">
        <v>2079</v>
      </c>
      <c r="G183" s="429">
        <v>325</v>
      </c>
      <c r="H183" s="429">
        <v>0</v>
      </c>
      <c r="I183" s="430">
        <v>45923</v>
      </c>
      <c r="J183" s="428" t="s">
        <v>263</v>
      </c>
      <c r="K183" s="428" t="s">
        <v>783</v>
      </c>
      <c r="L183" s="431">
        <v>98.14</v>
      </c>
      <c r="M183" s="431">
        <v>5.4</v>
      </c>
      <c r="N183" s="441">
        <v>103.54</v>
      </c>
      <c r="O183" s="428"/>
      <c r="P183" s="432">
        <v>45945</v>
      </c>
      <c r="Q183" s="431">
        <v>103.54</v>
      </c>
      <c r="R183" s="428" t="s">
        <v>784</v>
      </c>
      <c r="S183" s="431">
        <v>0</v>
      </c>
      <c r="T183" s="431">
        <v>0</v>
      </c>
      <c r="U183" s="431">
        <v>0</v>
      </c>
      <c r="V183" s="431">
        <v>0</v>
      </c>
      <c r="W183" s="428"/>
      <c r="X183" s="428" t="s">
        <v>293</v>
      </c>
      <c r="Y183" s="428" t="s">
        <v>294</v>
      </c>
      <c r="Z183" s="428" t="s">
        <v>42</v>
      </c>
      <c r="AA183" s="428" t="s">
        <v>228</v>
      </c>
      <c r="AB183" s="428" t="s">
        <v>235</v>
      </c>
      <c r="AC183" s="428" t="s">
        <v>236</v>
      </c>
      <c r="AD183" s="428" t="s">
        <v>231</v>
      </c>
      <c r="AE183" s="428" t="s">
        <v>232</v>
      </c>
      <c r="AF183" s="428" t="s">
        <v>231</v>
      </c>
      <c r="AG183" s="428" t="s">
        <v>232</v>
      </c>
      <c r="AH183" s="428"/>
      <c r="AI183" s="428"/>
      <c r="AJ183" s="428"/>
      <c r="AK183" s="428" t="s">
        <v>785</v>
      </c>
      <c r="AL183" s="429">
        <v>1</v>
      </c>
      <c r="AM183" s="429">
        <v>0</v>
      </c>
      <c r="AN183" s="430">
        <v>45945</v>
      </c>
      <c r="AO183" s="430">
        <v>45945</v>
      </c>
      <c r="AP183" s="431">
        <v>103.54</v>
      </c>
      <c r="AQ183" s="430">
        <v>45944</v>
      </c>
    </row>
    <row r="184" spans="1:43" ht="22.5" customHeight="1" x14ac:dyDescent="0.2">
      <c r="A184" s="428" t="s">
        <v>262</v>
      </c>
      <c r="B184" s="428"/>
      <c r="C184" s="428" t="s">
        <v>221</v>
      </c>
      <c r="D184" s="428" t="s">
        <v>222</v>
      </c>
      <c r="E184" s="429">
        <v>415775</v>
      </c>
      <c r="F184" s="429">
        <v>2080</v>
      </c>
      <c r="G184" s="429">
        <v>325</v>
      </c>
      <c r="H184" s="429">
        <v>0</v>
      </c>
      <c r="I184" s="430">
        <v>45923</v>
      </c>
      <c r="J184" s="428" t="s">
        <v>263</v>
      </c>
      <c r="K184" s="428" t="s">
        <v>786</v>
      </c>
      <c r="L184" s="431">
        <v>140.91</v>
      </c>
      <c r="M184" s="431">
        <v>8.0500000000000007</v>
      </c>
      <c r="N184" s="441">
        <v>148.96</v>
      </c>
      <c r="O184" s="428"/>
      <c r="P184" s="432">
        <v>45945</v>
      </c>
      <c r="Q184" s="431">
        <v>148.96</v>
      </c>
      <c r="R184" s="428" t="s">
        <v>787</v>
      </c>
      <c r="S184" s="431">
        <v>0</v>
      </c>
      <c r="T184" s="431">
        <v>0</v>
      </c>
      <c r="U184" s="431">
        <v>0</v>
      </c>
      <c r="V184" s="431">
        <v>0</v>
      </c>
      <c r="W184" s="428"/>
      <c r="X184" s="428" t="s">
        <v>293</v>
      </c>
      <c r="Y184" s="428" t="s">
        <v>294</v>
      </c>
      <c r="Z184" s="428" t="s">
        <v>42</v>
      </c>
      <c r="AA184" s="428" t="s">
        <v>228</v>
      </c>
      <c r="AB184" s="428" t="s">
        <v>235</v>
      </c>
      <c r="AC184" s="428" t="s">
        <v>236</v>
      </c>
      <c r="AD184" s="428" t="s">
        <v>231</v>
      </c>
      <c r="AE184" s="428" t="s">
        <v>232</v>
      </c>
      <c r="AF184" s="428" t="s">
        <v>231</v>
      </c>
      <c r="AG184" s="428" t="s">
        <v>232</v>
      </c>
      <c r="AH184" s="428"/>
      <c r="AI184" s="428"/>
      <c r="AJ184" s="428"/>
      <c r="AK184" s="428" t="s">
        <v>788</v>
      </c>
      <c r="AL184" s="429">
        <v>1</v>
      </c>
      <c r="AM184" s="429">
        <v>0</v>
      </c>
      <c r="AN184" s="430">
        <v>45945</v>
      </c>
      <c r="AO184" s="430">
        <v>45945</v>
      </c>
      <c r="AP184" s="431">
        <v>148.96</v>
      </c>
      <c r="AQ184" s="430">
        <v>45944</v>
      </c>
    </row>
    <row r="185" spans="1:43" s="14" customFormat="1" ht="22.5" customHeight="1" x14ac:dyDescent="0.2">
      <c r="A185" s="408" t="s">
        <v>408</v>
      </c>
      <c r="B185" s="408"/>
      <c r="C185" s="408" t="s">
        <v>221</v>
      </c>
      <c r="D185" s="408" t="s">
        <v>222</v>
      </c>
      <c r="E185" s="409">
        <v>415789</v>
      </c>
      <c r="F185" s="409">
        <v>2100</v>
      </c>
      <c r="G185" s="409">
        <v>326</v>
      </c>
      <c r="H185" s="409">
        <v>0</v>
      </c>
      <c r="I185" s="410">
        <v>45925</v>
      </c>
      <c r="J185" s="408" t="s">
        <v>395</v>
      </c>
      <c r="K185" s="408" t="s">
        <v>789</v>
      </c>
      <c r="L185" s="411">
        <v>56.92</v>
      </c>
      <c r="M185" s="411">
        <v>11.38</v>
      </c>
      <c r="N185" s="450">
        <v>68.3</v>
      </c>
      <c r="O185" s="408"/>
      <c r="P185" s="412">
        <v>45945</v>
      </c>
      <c r="Q185" s="411">
        <v>68.3</v>
      </c>
      <c r="R185" s="408"/>
      <c r="S185" s="411">
        <v>0</v>
      </c>
      <c r="T185" s="411">
        <v>0</v>
      </c>
      <c r="U185" s="411">
        <v>0</v>
      </c>
      <c r="V185" s="411">
        <v>0</v>
      </c>
      <c r="W185" s="408"/>
      <c r="X185" s="408" t="s">
        <v>410</v>
      </c>
      <c r="Y185" s="408" t="s">
        <v>411</v>
      </c>
      <c r="Z185" s="408" t="s">
        <v>46</v>
      </c>
      <c r="AA185" s="408" t="s">
        <v>228</v>
      </c>
      <c r="AB185" s="408" t="s">
        <v>239</v>
      </c>
      <c r="AC185" s="408" t="s">
        <v>790</v>
      </c>
      <c r="AD185" s="408" t="s">
        <v>231</v>
      </c>
      <c r="AE185" s="408" t="s">
        <v>232</v>
      </c>
      <c r="AF185" s="408" t="s">
        <v>231</v>
      </c>
      <c r="AG185" s="408" t="s">
        <v>232</v>
      </c>
      <c r="AH185" s="408"/>
      <c r="AI185" s="408"/>
      <c r="AJ185" s="408"/>
      <c r="AK185" s="408"/>
      <c r="AL185" s="409">
        <v>1</v>
      </c>
      <c r="AM185" s="409">
        <v>0</v>
      </c>
      <c r="AN185" s="410">
        <v>45945</v>
      </c>
      <c r="AO185" s="410">
        <v>45945</v>
      </c>
      <c r="AP185" s="411">
        <v>68.3</v>
      </c>
      <c r="AQ185" s="410">
        <v>45944</v>
      </c>
    </row>
    <row r="186" spans="1:43" s="14" customFormat="1" ht="22.5" customHeight="1" x14ac:dyDescent="0.2">
      <c r="A186" s="408" t="s">
        <v>408</v>
      </c>
      <c r="B186" s="408"/>
      <c r="C186" s="408" t="s">
        <v>221</v>
      </c>
      <c r="D186" s="408" t="s">
        <v>222</v>
      </c>
      <c r="E186" s="409">
        <v>415790</v>
      </c>
      <c r="F186" s="409">
        <v>2101</v>
      </c>
      <c r="G186" s="409">
        <v>326</v>
      </c>
      <c r="H186" s="409">
        <v>0</v>
      </c>
      <c r="I186" s="410">
        <v>45925</v>
      </c>
      <c r="J186" s="408" t="s">
        <v>395</v>
      </c>
      <c r="K186" s="408" t="s">
        <v>791</v>
      </c>
      <c r="L186" s="411">
        <v>75.83</v>
      </c>
      <c r="M186" s="411">
        <v>15.16</v>
      </c>
      <c r="N186" s="450">
        <v>90.99</v>
      </c>
      <c r="O186" s="408"/>
      <c r="P186" s="412">
        <v>45945</v>
      </c>
      <c r="Q186" s="411">
        <v>90.99</v>
      </c>
      <c r="R186" s="408"/>
      <c r="S186" s="411">
        <v>0</v>
      </c>
      <c r="T186" s="411">
        <v>0</v>
      </c>
      <c r="U186" s="411">
        <v>0</v>
      </c>
      <c r="V186" s="411">
        <v>0</v>
      </c>
      <c r="W186" s="408"/>
      <c r="X186" s="408" t="s">
        <v>410</v>
      </c>
      <c r="Y186" s="408" t="s">
        <v>411</v>
      </c>
      <c r="Z186" s="408" t="s">
        <v>46</v>
      </c>
      <c r="AA186" s="408" t="s">
        <v>228</v>
      </c>
      <c r="AB186" s="408" t="s">
        <v>239</v>
      </c>
      <c r="AC186" s="408" t="s">
        <v>790</v>
      </c>
      <c r="AD186" s="408" t="s">
        <v>231</v>
      </c>
      <c r="AE186" s="408" t="s">
        <v>232</v>
      </c>
      <c r="AF186" s="408" t="s">
        <v>231</v>
      </c>
      <c r="AG186" s="408" t="s">
        <v>232</v>
      </c>
      <c r="AH186" s="408"/>
      <c r="AI186" s="408"/>
      <c r="AJ186" s="408"/>
      <c r="AK186" s="408"/>
      <c r="AL186" s="409">
        <v>1</v>
      </c>
      <c r="AM186" s="409">
        <v>0</v>
      </c>
      <c r="AN186" s="410">
        <v>45945</v>
      </c>
      <c r="AO186" s="410">
        <v>45945</v>
      </c>
      <c r="AP186" s="411">
        <v>90.99</v>
      </c>
      <c r="AQ186" s="410">
        <v>45944</v>
      </c>
    </row>
    <row r="187" spans="1:43" s="14" customFormat="1" ht="22.5" customHeight="1" x14ac:dyDescent="0.2">
      <c r="A187" s="408" t="s">
        <v>408</v>
      </c>
      <c r="B187" s="408"/>
      <c r="C187" s="408" t="s">
        <v>221</v>
      </c>
      <c r="D187" s="408" t="s">
        <v>222</v>
      </c>
      <c r="E187" s="409">
        <v>415795</v>
      </c>
      <c r="F187" s="409">
        <v>2102</v>
      </c>
      <c r="G187" s="409">
        <v>326</v>
      </c>
      <c r="H187" s="409">
        <v>0</v>
      </c>
      <c r="I187" s="410">
        <v>45925</v>
      </c>
      <c r="J187" s="408" t="s">
        <v>395</v>
      </c>
      <c r="K187" s="408" t="s">
        <v>792</v>
      </c>
      <c r="L187" s="411">
        <v>22.48</v>
      </c>
      <c r="M187" s="411">
        <v>4.5</v>
      </c>
      <c r="N187" s="450">
        <v>26.98</v>
      </c>
      <c r="O187" s="408"/>
      <c r="P187" s="412">
        <v>45945</v>
      </c>
      <c r="Q187" s="411">
        <v>26.98</v>
      </c>
      <c r="R187" s="408"/>
      <c r="S187" s="411">
        <v>0</v>
      </c>
      <c r="T187" s="411">
        <v>0</v>
      </c>
      <c r="U187" s="411">
        <v>0</v>
      </c>
      <c r="V187" s="411">
        <v>0</v>
      </c>
      <c r="W187" s="408"/>
      <c r="X187" s="408" t="s">
        <v>410</v>
      </c>
      <c r="Y187" s="408" t="s">
        <v>411</v>
      </c>
      <c r="Z187" s="408" t="s">
        <v>46</v>
      </c>
      <c r="AA187" s="408" t="s">
        <v>228</v>
      </c>
      <c r="AB187" s="408" t="s">
        <v>239</v>
      </c>
      <c r="AC187" s="408" t="s">
        <v>790</v>
      </c>
      <c r="AD187" s="408" t="s">
        <v>231</v>
      </c>
      <c r="AE187" s="408" t="s">
        <v>232</v>
      </c>
      <c r="AF187" s="408" t="s">
        <v>231</v>
      </c>
      <c r="AG187" s="408" t="s">
        <v>232</v>
      </c>
      <c r="AH187" s="408"/>
      <c r="AI187" s="408"/>
      <c r="AJ187" s="408"/>
      <c r="AK187" s="408"/>
      <c r="AL187" s="409">
        <v>1</v>
      </c>
      <c r="AM187" s="409">
        <v>0</v>
      </c>
      <c r="AN187" s="410">
        <v>45945</v>
      </c>
      <c r="AO187" s="410">
        <v>45945</v>
      </c>
      <c r="AP187" s="411">
        <v>26.98</v>
      </c>
      <c r="AQ187" s="410">
        <v>45944</v>
      </c>
    </row>
    <row r="188" spans="1:43" s="14" customFormat="1" ht="22.5" customHeight="1" x14ac:dyDescent="0.2">
      <c r="A188" s="408" t="s">
        <v>408</v>
      </c>
      <c r="B188" s="408"/>
      <c r="C188" s="408" t="s">
        <v>221</v>
      </c>
      <c r="D188" s="408" t="s">
        <v>222</v>
      </c>
      <c r="E188" s="409">
        <v>415800</v>
      </c>
      <c r="F188" s="409">
        <v>2103</v>
      </c>
      <c r="G188" s="409">
        <v>326</v>
      </c>
      <c r="H188" s="409">
        <v>0</v>
      </c>
      <c r="I188" s="410">
        <v>45925</v>
      </c>
      <c r="J188" s="408" t="s">
        <v>395</v>
      </c>
      <c r="K188" s="408" t="s">
        <v>793</v>
      </c>
      <c r="L188" s="411">
        <v>28.79</v>
      </c>
      <c r="M188" s="411">
        <v>5.76</v>
      </c>
      <c r="N188" s="450">
        <v>34.549999999999997</v>
      </c>
      <c r="O188" s="408"/>
      <c r="P188" s="412">
        <v>45945</v>
      </c>
      <c r="Q188" s="411">
        <v>34.549999999999997</v>
      </c>
      <c r="R188" s="408"/>
      <c r="S188" s="411">
        <v>0</v>
      </c>
      <c r="T188" s="411">
        <v>0</v>
      </c>
      <c r="U188" s="411">
        <v>0</v>
      </c>
      <c r="V188" s="411">
        <v>0</v>
      </c>
      <c r="W188" s="408"/>
      <c r="X188" s="408" t="s">
        <v>410</v>
      </c>
      <c r="Y188" s="408" t="s">
        <v>411</v>
      </c>
      <c r="Z188" s="408" t="s">
        <v>46</v>
      </c>
      <c r="AA188" s="408" t="s">
        <v>228</v>
      </c>
      <c r="AB188" s="408" t="s">
        <v>239</v>
      </c>
      <c r="AC188" s="408" t="s">
        <v>790</v>
      </c>
      <c r="AD188" s="408" t="s">
        <v>231</v>
      </c>
      <c r="AE188" s="408" t="s">
        <v>232</v>
      </c>
      <c r="AF188" s="408" t="s">
        <v>231</v>
      </c>
      <c r="AG188" s="408" t="s">
        <v>232</v>
      </c>
      <c r="AH188" s="408"/>
      <c r="AI188" s="408"/>
      <c r="AJ188" s="408"/>
      <c r="AK188" s="408"/>
      <c r="AL188" s="409">
        <v>1</v>
      </c>
      <c r="AM188" s="409">
        <v>0</v>
      </c>
      <c r="AN188" s="410">
        <v>45945</v>
      </c>
      <c r="AO188" s="410">
        <v>45945</v>
      </c>
      <c r="AP188" s="411">
        <v>34.549999999999997</v>
      </c>
      <c r="AQ188" s="410">
        <v>45944</v>
      </c>
    </row>
    <row r="189" spans="1:43" s="14" customFormat="1" ht="22.5" customHeight="1" x14ac:dyDescent="0.2">
      <c r="A189" s="408" t="s">
        <v>408</v>
      </c>
      <c r="B189" s="408"/>
      <c r="C189" s="408" t="s">
        <v>221</v>
      </c>
      <c r="D189" s="408" t="s">
        <v>222</v>
      </c>
      <c r="E189" s="409">
        <v>415802</v>
      </c>
      <c r="F189" s="409">
        <v>2105</v>
      </c>
      <c r="G189" s="409">
        <v>326</v>
      </c>
      <c r="H189" s="409">
        <v>0</v>
      </c>
      <c r="I189" s="410">
        <v>45925</v>
      </c>
      <c r="J189" s="408" t="s">
        <v>395</v>
      </c>
      <c r="K189" s="408" t="s">
        <v>794</v>
      </c>
      <c r="L189" s="411">
        <v>3.38</v>
      </c>
      <c r="M189" s="411">
        <v>0.67</v>
      </c>
      <c r="N189" s="450">
        <v>4.05</v>
      </c>
      <c r="O189" s="408"/>
      <c r="P189" s="412">
        <v>45945</v>
      </c>
      <c r="Q189" s="411">
        <v>4.05</v>
      </c>
      <c r="R189" s="408"/>
      <c r="S189" s="411">
        <v>0</v>
      </c>
      <c r="T189" s="411">
        <v>0</v>
      </c>
      <c r="U189" s="411">
        <v>0</v>
      </c>
      <c r="V189" s="411">
        <v>0</v>
      </c>
      <c r="W189" s="408"/>
      <c r="X189" s="408" t="s">
        <v>410</v>
      </c>
      <c r="Y189" s="408" t="s">
        <v>411</v>
      </c>
      <c r="Z189" s="408" t="s">
        <v>53</v>
      </c>
      <c r="AA189" s="408" t="s">
        <v>228</v>
      </c>
      <c r="AB189" s="408" t="s">
        <v>239</v>
      </c>
      <c r="AC189" s="408" t="s">
        <v>240</v>
      </c>
      <c r="AD189" s="408" t="s">
        <v>231</v>
      </c>
      <c r="AE189" s="408" t="s">
        <v>232</v>
      </c>
      <c r="AF189" s="408" t="s">
        <v>231</v>
      </c>
      <c r="AG189" s="408" t="s">
        <v>232</v>
      </c>
      <c r="AH189" s="408"/>
      <c r="AI189" s="408"/>
      <c r="AJ189" s="408"/>
      <c r="AK189" s="408"/>
      <c r="AL189" s="409">
        <v>1</v>
      </c>
      <c r="AM189" s="409">
        <v>0</v>
      </c>
      <c r="AN189" s="410">
        <v>45945</v>
      </c>
      <c r="AO189" s="410">
        <v>45945</v>
      </c>
      <c r="AP189" s="411">
        <v>4.05</v>
      </c>
      <c r="AQ189" s="410">
        <v>45944</v>
      </c>
    </row>
    <row r="190" spans="1:43" s="14" customFormat="1" ht="22.5" customHeight="1" x14ac:dyDescent="0.2">
      <c r="A190" s="408" t="s">
        <v>408</v>
      </c>
      <c r="B190" s="408"/>
      <c r="C190" s="408" t="s">
        <v>221</v>
      </c>
      <c r="D190" s="408" t="s">
        <v>222</v>
      </c>
      <c r="E190" s="409">
        <v>415805</v>
      </c>
      <c r="F190" s="409">
        <v>2104</v>
      </c>
      <c r="G190" s="409">
        <v>326</v>
      </c>
      <c r="H190" s="409">
        <v>0</v>
      </c>
      <c r="I190" s="410">
        <v>45925</v>
      </c>
      <c r="J190" s="408" t="s">
        <v>395</v>
      </c>
      <c r="K190" s="408" t="s">
        <v>795</v>
      </c>
      <c r="L190" s="411">
        <v>19</v>
      </c>
      <c r="M190" s="411">
        <v>3.8</v>
      </c>
      <c r="N190" s="450">
        <v>22.8</v>
      </c>
      <c r="O190" s="408"/>
      <c r="P190" s="412">
        <v>45945</v>
      </c>
      <c r="Q190" s="411">
        <v>22.8</v>
      </c>
      <c r="R190" s="408"/>
      <c r="S190" s="411">
        <v>0</v>
      </c>
      <c r="T190" s="411">
        <v>0</v>
      </c>
      <c r="U190" s="411">
        <v>0</v>
      </c>
      <c r="V190" s="411">
        <v>0</v>
      </c>
      <c r="W190" s="408"/>
      <c r="X190" s="408" t="s">
        <v>410</v>
      </c>
      <c r="Y190" s="408" t="s">
        <v>411</v>
      </c>
      <c r="Z190" s="408" t="s">
        <v>46</v>
      </c>
      <c r="AA190" s="408" t="s">
        <v>228</v>
      </c>
      <c r="AB190" s="408" t="s">
        <v>239</v>
      </c>
      <c r="AC190" s="408" t="s">
        <v>790</v>
      </c>
      <c r="AD190" s="408" t="s">
        <v>231</v>
      </c>
      <c r="AE190" s="408" t="s">
        <v>232</v>
      </c>
      <c r="AF190" s="408" t="s">
        <v>231</v>
      </c>
      <c r="AG190" s="408" t="s">
        <v>232</v>
      </c>
      <c r="AH190" s="408"/>
      <c r="AI190" s="408"/>
      <c r="AJ190" s="408"/>
      <c r="AK190" s="408"/>
      <c r="AL190" s="409">
        <v>1</v>
      </c>
      <c r="AM190" s="409">
        <v>0</v>
      </c>
      <c r="AN190" s="410">
        <v>45945</v>
      </c>
      <c r="AO190" s="410">
        <v>45945</v>
      </c>
      <c r="AP190" s="411">
        <v>22.8</v>
      </c>
      <c r="AQ190" s="410">
        <v>45944</v>
      </c>
    </row>
    <row r="191" spans="1:43" ht="22.5" customHeight="1" x14ac:dyDescent="0.2">
      <c r="A191" s="358" t="s">
        <v>408</v>
      </c>
      <c r="B191" s="358"/>
      <c r="C191" s="358" t="s">
        <v>221</v>
      </c>
      <c r="D191" s="358" t="s">
        <v>222</v>
      </c>
      <c r="E191" s="359">
        <v>415807</v>
      </c>
      <c r="F191" s="359">
        <v>2119</v>
      </c>
      <c r="G191" s="359">
        <v>327</v>
      </c>
      <c r="H191" s="359">
        <v>0</v>
      </c>
      <c r="I191" s="360">
        <v>45925</v>
      </c>
      <c r="J191" s="358" t="s">
        <v>796</v>
      </c>
      <c r="K191" s="358" t="s">
        <v>797</v>
      </c>
      <c r="L191" s="361">
        <v>37.18</v>
      </c>
      <c r="M191" s="361">
        <v>3.22</v>
      </c>
      <c r="N191" s="448">
        <v>40.4</v>
      </c>
      <c r="O191" s="358"/>
      <c r="P191" s="362">
        <v>45945</v>
      </c>
      <c r="Q191" s="361">
        <v>40.4</v>
      </c>
      <c r="R191" s="358"/>
      <c r="S191" s="361">
        <v>0</v>
      </c>
      <c r="T191" s="361">
        <v>0</v>
      </c>
      <c r="U191" s="361">
        <v>0</v>
      </c>
      <c r="V191" s="361">
        <v>0</v>
      </c>
      <c r="W191" s="358"/>
      <c r="X191" s="358" t="s">
        <v>283</v>
      </c>
      <c r="Y191" s="358" t="s">
        <v>284</v>
      </c>
      <c r="Z191" s="358" t="s">
        <v>32</v>
      </c>
      <c r="AA191" s="358" t="s">
        <v>228</v>
      </c>
      <c r="AB191" s="358" t="s">
        <v>34</v>
      </c>
      <c r="AC191" s="358" t="s">
        <v>31</v>
      </c>
      <c r="AD191" s="358" t="s">
        <v>231</v>
      </c>
      <c r="AE191" s="358" t="s">
        <v>232</v>
      </c>
      <c r="AF191" s="358" t="s">
        <v>231</v>
      </c>
      <c r="AG191" s="358" t="s">
        <v>232</v>
      </c>
      <c r="AH191" s="358"/>
      <c r="AI191" s="358"/>
      <c r="AJ191" s="358"/>
      <c r="AK191" s="358"/>
      <c r="AL191" s="359">
        <v>1</v>
      </c>
      <c r="AM191" s="359">
        <v>0</v>
      </c>
      <c r="AN191" s="360">
        <v>45945</v>
      </c>
      <c r="AO191" s="360">
        <v>45945</v>
      </c>
      <c r="AP191" s="361">
        <v>40.4</v>
      </c>
      <c r="AQ191" s="360">
        <v>45944</v>
      </c>
    </row>
    <row r="192" spans="1:43" s="14" customFormat="1" ht="22.5" customHeight="1" x14ac:dyDescent="0.2">
      <c r="A192" s="408" t="s">
        <v>408</v>
      </c>
      <c r="B192" s="408"/>
      <c r="C192" s="408" t="s">
        <v>221</v>
      </c>
      <c r="D192" s="408" t="s">
        <v>222</v>
      </c>
      <c r="E192" s="409">
        <v>415814</v>
      </c>
      <c r="F192" s="409">
        <v>2117</v>
      </c>
      <c r="G192" s="409">
        <v>327</v>
      </c>
      <c r="H192" s="409">
        <v>0</v>
      </c>
      <c r="I192" s="410">
        <v>45925</v>
      </c>
      <c r="J192" s="408" t="s">
        <v>796</v>
      </c>
      <c r="K192" s="408" t="s">
        <v>798</v>
      </c>
      <c r="L192" s="411">
        <v>140</v>
      </c>
      <c r="M192" s="411">
        <v>14</v>
      </c>
      <c r="N192" s="450">
        <v>154</v>
      </c>
      <c r="O192" s="408"/>
      <c r="P192" s="412">
        <v>45945</v>
      </c>
      <c r="Q192" s="411">
        <v>154</v>
      </c>
      <c r="R192" s="408"/>
      <c r="S192" s="411">
        <v>0</v>
      </c>
      <c r="T192" s="411">
        <v>0</v>
      </c>
      <c r="U192" s="411">
        <v>0</v>
      </c>
      <c r="V192" s="411">
        <v>0</v>
      </c>
      <c r="W192" s="408"/>
      <c r="X192" s="408" t="s">
        <v>283</v>
      </c>
      <c r="Y192" s="408" t="s">
        <v>284</v>
      </c>
      <c r="Z192" s="408" t="s">
        <v>46</v>
      </c>
      <c r="AA192" s="408" t="s">
        <v>228</v>
      </c>
      <c r="AB192" s="408" t="s">
        <v>799</v>
      </c>
      <c r="AC192" s="408" t="s">
        <v>223</v>
      </c>
      <c r="AD192" s="408" t="s">
        <v>231</v>
      </c>
      <c r="AE192" s="408" t="s">
        <v>232</v>
      </c>
      <c r="AF192" s="408" t="s">
        <v>231</v>
      </c>
      <c r="AG192" s="408" t="s">
        <v>232</v>
      </c>
      <c r="AH192" s="408"/>
      <c r="AI192" s="408"/>
      <c r="AJ192" s="408"/>
      <c r="AK192" s="408"/>
      <c r="AL192" s="409">
        <v>1</v>
      </c>
      <c r="AM192" s="409">
        <v>0</v>
      </c>
      <c r="AN192" s="410">
        <v>45945</v>
      </c>
      <c r="AO192" s="410">
        <v>45945</v>
      </c>
      <c r="AP192" s="411">
        <v>154</v>
      </c>
      <c r="AQ192" s="410">
        <v>45944</v>
      </c>
    </row>
    <row r="193" spans="1:43" s="14" customFormat="1" ht="22.5" customHeight="1" x14ac:dyDescent="0.2">
      <c r="A193" s="408" t="s">
        <v>408</v>
      </c>
      <c r="B193" s="408"/>
      <c r="C193" s="408" t="s">
        <v>221</v>
      </c>
      <c r="D193" s="408" t="s">
        <v>222</v>
      </c>
      <c r="E193" s="409">
        <v>415816</v>
      </c>
      <c r="F193" s="409">
        <v>2118</v>
      </c>
      <c r="G193" s="409">
        <v>327</v>
      </c>
      <c r="H193" s="409">
        <v>0</v>
      </c>
      <c r="I193" s="410">
        <v>45925</v>
      </c>
      <c r="J193" s="408" t="s">
        <v>796</v>
      </c>
      <c r="K193" s="408" t="s">
        <v>800</v>
      </c>
      <c r="L193" s="411">
        <v>14.83</v>
      </c>
      <c r="M193" s="411">
        <v>0.82</v>
      </c>
      <c r="N193" s="450">
        <v>15.65</v>
      </c>
      <c r="O193" s="408"/>
      <c r="P193" s="412">
        <v>45945</v>
      </c>
      <c r="Q193" s="411">
        <v>15.65</v>
      </c>
      <c r="R193" s="408"/>
      <c r="S193" s="411">
        <v>0</v>
      </c>
      <c r="T193" s="411">
        <v>0</v>
      </c>
      <c r="U193" s="411">
        <v>0</v>
      </c>
      <c r="V193" s="411">
        <v>0</v>
      </c>
      <c r="W193" s="408"/>
      <c r="X193" s="408" t="s">
        <v>283</v>
      </c>
      <c r="Y193" s="408" t="s">
        <v>284</v>
      </c>
      <c r="Z193" s="408" t="s">
        <v>46</v>
      </c>
      <c r="AA193" s="408" t="s">
        <v>228</v>
      </c>
      <c r="AB193" s="408" t="s">
        <v>285</v>
      </c>
      <c r="AC193" s="408" t="s">
        <v>286</v>
      </c>
      <c r="AD193" s="408" t="s">
        <v>231</v>
      </c>
      <c r="AE193" s="408" t="s">
        <v>232</v>
      </c>
      <c r="AF193" s="408" t="s">
        <v>231</v>
      </c>
      <c r="AG193" s="408" t="s">
        <v>232</v>
      </c>
      <c r="AH193" s="408"/>
      <c r="AI193" s="408"/>
      <c r="AJ193" s="408"/>
      <c r="AK193" s="408"/>
      <c r="AL193" s="409">
        <v>1</v>
      </c>
      <c r="AM193" s="409">
        <v>0</v>
      </c>
      <c r="AN193" s="410">
        <v>45945</v>
      </c>
      <c r="AO193" s="410">
        <v>45945</v>
      </c>
      <c r="AP193" s="411">
        <v>15.65</v>
      </c>
      <c r="AQ193" s="410">
        <v>45944</v>
      </c>
    </row>
    <row r="194" spans="1:43" s="14" customFormat="1" ht="22.5" customHeight="1" x14ac:dyDescent="0.2">
      <c r="A194" s="408" t="s">
        <v>262</v>
      </c>
      <c r="B194" s="408"/>
      <c r="C194" s="408" t="s">
        <v>221</v>
      </c>
      <c r="D194" s="408" t="s">
        <v>222</v>
      </c>
      <c r="E194" s="409">
        <v>415829</v>
      </c>
      <c r="F194" s="409">
        <v>2137</v>
      </c>
      <c r="G194" s="409">
        <v>330</v>
      </c>
      <c r="H194" s="409">
        <v>0</v>
      </c>
      <c r="I194" s="410">
        <v>45930</v>
      </c>
      <c r="J194" s="408" t="s">
        <v>656</v>
      </c>
      <c r="K194" s="408" t="s">
        <v>801</v>
      </c>
      <c r="L194" s="411">
        <v>564.12</v>
      </c>
      <c r="M194" s="411">
        <v>35.65</v>
      </c>
      <c r="N194" s="450">
        <v>599.77</v>
      </c>
      <c r="O194" s="408"/>
      <c r="P194" s="412">
        <v>45945</v>
      </c>
      <c r="Q194" s="411">
        <v>599.77</v>
      </c>
      <c r="R194" s="408" t="s">
        <v>802</v>
      </c>
      <c r="S194" s="411">
        <v>0</v>
      </c>
      <c r="T194" s="411">
        <v>0</v>
      </c>
      <c r="U194" s="411">
        <v>0</v>
      </c>
      <c r="V194" s="411">
        <v>0</v>
      </c>
      <c r="W194" s="408"/>
      <c r="X194" s="408" t="s">
        <v>293</v>
      </c>
      <c r="Y194" s="408" t="s">
        <v>294</v>
      </c>
      <c r="Z194" s="408" t="s">
        <v>46</v>
      </c>
      <c r="AA194" s="408" t="s">
        <v>228</v>
      </c>
      <c r="AB194" s="408" t="s">
        <v>239</v>
      </c>
      <c r="AC194" s="408" t="s">
        <v>790</v>
      </c>
      <c r="AD194" s="408" t="s">
        <v>231</v>
      </c>
      <c r="AE194" s="408" t="s">
        <v>232</v>
      </c>
      <c r="AF194" s="408" t="s">
        <v>231</v>
      </c>
      <c r="AG194" s="408" t="s">
        <v>232</v>
      </c>
      <c r="AH194" s="408"/>
      <c r="AI194" s="408"/>
      <c r="AJ194" s="408"/>
      <c r="AK194" s="408" t="s">
        <v>803</v>
      </c>
      <c r="AL194" s="409">
        <v>1</v>
      </c>
      <c r="AM194" s="409">
        <v>0</v>
      </c>
      <c r="AN194" s="410">
        <v>45945</v>
      </c>
      <c r="AO194" s="410">
        <v>45946</v>
      </c>
      <c r="AP194" s="411">
        <v>599.77</v>
      </c>
      <c r="AQ194" s="410">
        <v>45945</v>
      </c>
    </row>
    <row r="195" spans="1:43" s="14" customFormat="1" ht="22.5" customHeight="1" x14ac:dyDescent="0.2">
      <c r="A195" s="408" t="s">
        <v>262</v>
      </c>
      <c r="B195" s="408"/>
      <c r="C195" s="408" t="s">
        <v>221</v>
      </c>
      <c r="D195" s="408" t="s">
        <v>222</v>
      </c>
      <c r="E195" s="409">
        <v>415830</v>
      </c>
      <c r="F195" s="409">
        <v>2138</v>
      </c>
      <c r="G195" s="409">
        <v>330</v>
      </c>
      <c r="H195" s="409">
        <v>0</v>
      </c>
      <c r="I195" s="410">
        <v>45930</v>
      </c>
      <c r="J195" s="408" t="s">
        <v>656</v>
      </c>
      <c r="K195" s="408" t="s">
        <v>804</v>
      </c>
      <c r="L195" s="411">
        <v>137.08000000000001</v>
      </c>
      <c r="M195" s="411">
        <v>9.2200000000000006</v>
      </c>
      <c r="N195" s="450">
        <v>146.30000000000001</v>
      </c>
      <c r="O195" s="408"/>
      <c r="P195" s="412">
        <v>45945</v>
      </c>
      <c r="Q195" s="411">
        <v>146.30000000000001</v>
      </c>
      <c r="R195" s="408" t="s">
        <v>805</v>
      </c>
      <c r="S195" s="411">
        <v>0</v>
      </c>
      <c r="T195" s="411">
        <v>0</v>
      </c>
      <c r="U195" s="411">
        <v>0</v>
      </c>
      <c r="V195" s="411">
        <v>0</v>
      </c>
      <c r="W195" s="408"/>
      <c r="X195" s="408" t="s">
        <v>293</v>
      </c>
      <c r="Y195" s="408" t="s">
        <v>294</v>
      </c>
      <c r="Z195" s="408" t="s">
        <v>53</v>
      </c>
      <c r="AA195" s="408" t="s">
        <v>228</v>
      </c>
      <c r="AB195" s="408" t="s">
        <v>239</v>
      </c>
      <c r="AC195" s="408" t="s">
        <v>457</v>
      </c>
      <c r="AD195" s="408" t="s">
        <v>231</v>
      </c>
      <c r="AE195" s="408" t="s">
        <v>232</v>
      </c>
      <c r="AF195" s="408" t="s">
        <v>231</v>
      </c>
      <c r="AG195" s="408" t="s">
        <v>232</v>
      </c>
      <c r="AH195" s="408"/>
      <c r="AI195" s="408"/>
      <c r="AJ195" s="408"/>
      <c r="AK195" s="408" t="s">
        <v>806</v>
      </c>
      <c r="AL195" s="409">
        <v>1</v>
      </c>
      <c r="AM195" s="409">
        <v>0</v>
      </c>
      <c r="AN195" s="410">
        <v>45945</v>
      </c>
      <c r="AO195" s="410">
        <v>45946</v>
      </c>
      <c r="AP195" s="411">
        <v>146.30000000000001</v>
      </c>
      <c r="AQ195" s="410">
        <v>45945</v>
      </c>
    </row>
    <row r="196" spans="1:43" ht="22.5" customHeight="1" x14ac:dyDescent="0.2">
      <c r="A196" s="358" t="s">
        <v>262</v>
      </c>
      <c r="B196" s="358"/>
      <c r="C196" s="358" t="s">
        <v>221</v>
      </c>
      <c r="D196" s="358" t="s">
        <v>222</v>
      </c>
      <c r="E196" s="359">
        <v>415832</v>
      </c>
      <c r="F196" s="359">
        <v>2139</v>
      </c>
      <c r="G196" s="359">
        <v>330</v>
      </c>
      <c r="H196" s="359">
        <v>0</v>
      </c>
      <c r="I196" s="360">
        <v>45930</v>
      </c>
      <c r="J196" s="358" t="s">
        <v>656</v>
      </c>
      <c r="K196" s="358" t="s">
        <v>807</v>
      </c>
      <c r="L196" s="361">
        <v>26.57</v>
      </c>
      <c r="M196" s="361">
        <v>2</v>
      </c>
      <c r="N196" s="448">
        <v>28.57</v>
      </c>
      <c r="O196" s="358"/>
      <c r="P196" s="362">
        <v>45945</v>
      </c>
      <c r="Q196" s="361">
        <v>28.57</v>
      </c>
      <c r="R196" s="358" t="s">
        <v>808</v>
      </c>
      <c r="S196" s="361">
        <v>0</v>
      </c>
      <c r="T196" s="361">
        <v>0</v>
      </c>
      <c r="U196" s="361">
        <v>0</v>
      </c>
      <c r="V196" s="361">
        <v>0</v>
      </c>
      <c r="W196" s="358"/>
      <c r="X196" s="358" t="s">
        <v>293</v>
      </c>
      <c r="Y196" s="358" t="s">
        <v>294</v>
      </c>
      <c r="Z196" s="358" t="s">
        <v>591</v>
      </c>
      <c r="AA196" s="358" t="s">
        <v>228</v>
      </c>
      <c r="AB196" s="358" t="s">
        <v>235</v>
      </c>
      <c r="AC196" s="358" t="s">
        <v>31</v>
      </c>
      <c r="AD196" s="358" t="s">
        <v>231</v>
      </c>
      <c r="AE196" s="358" t="s">
        <v>232</v>
      </c>
      <c r="AF196" s="358" t="s">
        <v>231</v>
      </c>
      <c r="AG196" s="358" t="s">
        <v>232</v>
      </c>
      <c r="AH196" s="358"/>
      <c r="AI196" s="358"/>
      <c r="AJ196" s="358"/>
      <c r="AK196" s="358" t="s">
        <v>809</v>
      </c>
      <c r="AL196" s="359">
        <v>1</v>
      </c>
      <c r="AM196" s="359">
        <v>0</v>
      </c>
      <c r="AN196" s="360">
        <v>45945</v>
      </c>
      <c r="AO196" s="360">
        <v>45946</v>
      </c>
      <c r="AP196" s="361">
        <v>28.57</v>
      </c>
      <c r="AQ196" s="360">
        <v>45945</v>
      </c>
    </row>
    <row r="197" spans="1:43" ht="22.5" customHeight="1" x14ac:dyDescent="0.2">
      <c r="A197" s="358" t="s">
        <v>262</v>
      </c>
      <c r="B197" s="358"/>
      <c r="C197" s="358" t="s">
        <v>221</v>
      </c>
      <c r="D197" s="358" t="s">
        <v>222</v>
      </c>
      <c r="E197" s="359">
        <v>415833</v>
      </c>
      <c r="F197" s="359">
        <v>2140</v>
      </c>
      <c r="G197" s="359">
        <v>330</v>
      </c>
      <c r="H197" s="359">
        <v>0</v>
      </c>
      <c r="I197" s="360">
        <v>45930</v>
      </c>
      <c r="J197" s="358" t="s">
        <v>656</v>
      </c>
      <c r="K197" s="358" t="s">
        <v>810</v>
      </c>
      <c r="L197" s="361">
        <v>26.88</v>
      </c>
      <c r="M197" s="361">
        <v>1.74</v>
      </c>
      <c r="N197" s="448">
        <v>28.62</v>
      </c>
      <c r="O197" s="358"/>
      <c r="P197" s="362">
        <v>45945</v>
      </c>
      <c r="Q197" s="361">
        <v>28.62</v>
      </c>
      <c r="R197" s="358" t="s">
        <v>811</v>
      </c>
      <c r="S197" s="361">
        <v>0</v>
      </c>
      <c r="T197" s="361">
        <v>0</v>
      </c>
      <c r="U197" s="361">
        <v>0</v>
      </c>
      <c r="V197" s="361">
        <v>0</v>
      </c>
      <c r="W197" s="358"/>
      <c r="X197" s="358" t="s">
        <v>293</v>
      </c>
      <c r="Y197" s="358" t="s">
        <v>294</v>
      </c>
      <c r="Z197" s="358" t="s">
        <v>591</v>
      </c>
      <c r="AA197" s="358" t="s">
        <v>228</v>
      </c>
      <c r="AB197" s="358" t="s">
        <v>235</v>
      </c>
      <c r="AC197" s="358" t="s">
        <v>31</v>
      </c>
      <c r="AD197" s="358" t="s">
        <v>231</v>
      </c>
      <c r="AE197" s="358" t="s">
        <v>232</v>
      </c>
      <c r="AF197" s="358" t="s">
        <v>231</v>
      </c>
      <c r="AG197" s="358" t="s">
        <v>232</v>
      </c>
      <c r="AH197" s="358"/>
      <c r="AI197" s="358"/>
      <c r="AJ197" s="358"/>
      <c r="AK197" s="358" t="s">
        <v>812</v>
      </c>
      <c r="AL197" s="359">
        <v>1</v>
      </c>
      <c r="AM197" s="359">
        <v>0</v>
      </c>
      <c r="AN197" s="360">
        <v>45945</v>
      </c>
      <c r="AO197" s="360">
        <v>45946</v>
      </c>
      <c r="AP197" s="361">
        <v>28.62</v>
      </c>
      <c r="AQ197" s="360">
        <v>45945</v>
      </c>
    </row>
    <row r="198" spans="1:43" ht="22.5" customHeight="1" x14ac:dyDescent="0.2">
      <c r="A198" s="358" t="s">
        <v>262</v>
      </c>
      <c r="B198" s="358"/>
      <c r="C198" s="358" t="s">
        <v>221</v>
      </c>
      <c r="D198" s="358" t="s">
        <v>222</v>
      </c>
      <c r="E198" s="359">
        <v>415834</v>
      </c>
      <c r="F198" s="359">
        <v>2141</v>
      </c>
      <c r="G198" s="359">
        <v>330</v>
      </c>
      <c r="H198" s="359">
        <v>0</v>
      </c>
      <c r="I198" s="360">
        <v>45930</v>
      </c>
      <c r="J198" s="358" t="s">
        <v>656</v>
      </c>
      <c r="K198" s="358" t="s">
        <v>813</v>
      </c>
      <c r="L198" s="361">
        <v>27.39</v>
      </c>
      <c r="M198" s="361">
        <v>2.59</v>
      </c>
      <c r="N198" s="448">
        <v>29.98</v>
      </c>
      <c r="O198" s="358"/>
      <c r="P198" s="362">
        <v>45945</v>
      </c>
      <c r="Q198" s="361">
        <v>29.98</v>
      </c>
      <c r="R198" s="358" t="s">
        <v>814</v>
      </c>
      <c r="S198" s="361">
        <v>0</v>
      </c>
      <c r="T198" s="361">
        <v>0</v>
      </c>
      <c r="U198" s="361">
        <v>0</v>
      </c>
      <c r="V198" s="361">
        <v>0</v>
      </c>
      <c r="W198" s="358"/>
      <c r="X198" s="358" t="s">
        <v>293</v>
      </c>
      <c r="Y198" s="358" t="s">
        <v>294</v>
      </c>
      <c r="Z198" s="358" t="s">
        <v>591</v>
      </c>
      <c r="AA198" s="358" t="s">
        <v>228</v>
      </c>
      <c r="AB198" s="358" t="s">
        <v>235</v>
      </c>
      <c r="AC198" s="358" t="s">
        <v>31</v>
      </c>
      <c r="AD198" s="358" t="s">
        <v>231</v>
      </c>
      <c r="AE198" s="358" t="s">
        <v>232</v>
      </c>
      <c r="AF198" s="358" t="s">
        <v>231</v>
      </c>
      <c r="AG198" s="358" t="s">
        <v>232</v>
      </c>
      <c r="AH198" s="358"/>
      <c r="AI198" s="358"/>
      <c r="AJ198" s="358"/>
      <c r="AK198" s="358" t="s">
        <v>815</v>
      </c>
      <c r="AL198" s="359">
        <v>1</v>
      </c>
      <c r="AM198" s="359">
        <v>0</v>
      </c>
      <c r="AN198" s="360">
        <v>45945</v>
      </c>
      <c r="AO198" s="360">
        <v>45946</v>
      </c>
      <c r="AP198" s="361">
        <v>29.98</v>
      </c>
      <c r="AQ198" s="360">
        <v>45945</v>
      </c>
    </row>
    <row r="199" spans="1:43" ht="22.5" customHeight="1" x14ac:dyDescent="0.2">
      <c r="A199" s="418" t="s">
        <v>262</v>
      </c>
      <c r="B199" s="418"/>
      <c r="C199" s="418" t="s">
        <v>221</v>
      </c>
      <c r="D199" s="418" t="s">
        <v>222</v>
      </c>
      <c r="E199" s="419">
        <v>415897</v>
      </c>
      <c r="F199" s="419">
        <v>2201</v>
      </c>
      <c r="G199" s="419">
        <v>335</v>
      </c>
      <c r="H199" s="419">
        <v>0</v>
      </c>
      <c r="I199" s="420">
        <v>45936</v>
      </c>
      <c r="J199" s="418" t="s">
        <v>656</v>
      </c>
      <c r="K199" s="418" t="s">
        <v>816</v>
      </c>
      <c r="L199" s="421">
        <v>139.18</v>
      </c>
      <c r="M199" s="421">
        <v>8.5500000000000007</v>
      </c>
      <c r="N199" s="443">
        <v>147.72999999999999</v>
      </c>
      <c r="O199" s="418"/>
      <c r="P199" s="422">
        <v>45959</v>
      </c>
      <c r="Q199" s="421">
        <v>147.72999999999999</v>
      </c>
      <c r="R199" s="418" t="s">
        <v>817</v>
      </c>
      <c r="S199" s="421">
        <v>0</v>
      </c>
      <c r="T199" s="421">
        <v>0</v>
      </c>
      <c r="U199" s="421">
        <v>0</v>
      </c>
      <c r="V199" s="421">
        <v>0</v>
      </c>
      <c r="W199" s="418"/>
      <c r="X199" s="418" t="s">
        <v>365</v>
      </c>
      <c r="Y199" s="418" t="s">
        <v>366</v>
      </c>
      <c r="Z199" s="418" t="s">
        <v>42</v>
      </c>
      <c r="AA199" s="418" t="s">
        <v>228</v>
      </c>
      <c r="AB199" s="418" t="s">
        <v>235</v>
      </c>
      <c r="AC199" s="418" t="s">
        <v>250</v>
      </c>
      <c r="AD199" s="418" t="s">
        <v>231</v>
      </c>
      <c r="AE199" s="418" t="s">
        <v>232</v>
      </c>
      <c r="AF199" s="418" t="s">
        <v>231</v>
      </c>
      <c r="AG199" s="418" t="s">
        <v>232</v>
      </c>
      <c r="AH199" s="418"/>
      <c r="AI199" s="418"/>
      <c r="AJ199" s="418"/>
      <c r="AK199" s="418" t="s">
        <v>818</v>
      </c>
      <c r="AL199" s="419">
        <v>1</v>
      </c>
      <c r="AM199" s="419">
        <v>0</v>
      </c>
      <c r="AN199" s="420">
        <v>45959</v>
      </c>
      <c r="AO199" s="420">
        <v>45959</v>
      </c>
      <c r="AP199" s="421">
        <v>147.72999999999999</v>
      </c>
      <c r="AQ199" s="420">
        <v>45958</v>
      </c>
    </row>
    <row r="200" spans="1:43" s="14" customFormat="1" ht="22.5" customHeight="1" x14ac:dyDescent="0.2">
      <c r="A200" s="408" t="s">
        <v>262</v>
      </c>
      <c r="B200" s="408"/>
      <c r="C200" s="408" t="s">
        <v>221</v>
      </c>
      <c r="D200" s="408" t="s">
        <v>222</v>
      </c>
      <c r="E200" s="409">
        <v>415898</v>
      </c>
      <c r="F200" s="409">
        <v>2202</v>
      </c>
      <c r="G200" s="409">
        <v>335</v>
      </c>
      <c r="H200" s="409">
        <v>0</v>
      </c>
      <c r="I200" s="410">
        <v>45936</v>
      </c>
      <c r="J200" s="408" t="s">
        <v>656</v>
      </c>
      <c r="K200" s="408" t="s">
        <v>819</v>
      </c>
      <c r="L200" s="411">
        <v>27.01</v>
      </c>
      <c r="M200" s="411">
        <v>1.49</v>
      </c>
      <c r="N200" s="450">
        <v>28.5</v>
      </c>
      <c r="O200" s="408"/>
      <c r="P200" s="412">
        <v>45959</v>
      </c>
      <c r="Q200" s="411">
        <v>28.5</v>
      </c>
      <c r="R200" s="408" t="s">
        <v>820</v>
      </c>
      <c r="S200" s="411">
        <v>0</v>
      </c>
      <c r="T200" s="411">
        <v>0</v>
      </c>
      <c r="U200" s="411">
        <v>0</v>
      </c>
      <c r="V200" s="411">
        <v>0</v>
      </c>
      <c r="W200" s="408"/>
      <c r="X200" s="408" t="s">
        <v>365</v>
      </c>
      <c r="Y200" s="408" t="s">
        <v>366</v>
      </c>
      <c r="Z200" s="408" t="s">
        <v>53</v>
      </c>
      <c r="AA200" s="408" t="s">
        <v>228</v>
      </c>
      <c r="AB200" s="408" t="s">
        <v>239</v>
      </c>
      <c r="AC200" s="408" t="s">
        <v>240</v>
      </c>
      <c r="AD200" s="408" t="s">
        <v>231</v>
      </c>
      <c r="AE200" s="408" t="s">
        <v>232</v>
      </c>
      <c r="AF200" s="408" t="s">
        <v>231</v>
      </c>
      <c r="AG200" s="408" t="s">
        <v>232</v>
      </c>
      <c r="AH200" s="408"/>
      <c r="AI200" s="408"/>
      <c r="AJ200" s="408"/>
      <c r="AK200" s="408" t="s">
        <v>821</v>
      </c>
      <c r="AL200" s="409">
        <v>1</v>
      </c>
      <c r="AM200" s="409">
        <v>0</v>
      </c>
      <c r="AN200" s="410">
        <v>45959</v>
      </c>
      <c r="AO200" s="410">
        <v>45959</v>
      </c>
      <c r="AP200" s="411">
        <v>28.5</v>
      </c>
      <c r="AQ200" s="410">
        <v>45958</v>
      </c>
    </row>
    <row r="201" spans="1:43" s="14" customFormat="1" ht="22.5" customHeight="1" x14ac:dyDescent="0.2">
      <c r="A201" s="408" t="s">
        <v>262</v>
      </c>
      <c r="B201" s="408"/>
      <c r="C201" s="408" t="s">
        <v>221</v>
      </c>
      <c r="D201" s="408" t="s">
        <v>222</v>
      </c>
      <c r="E201" s="409">
        <v>415899</v>
      </c>
      <c r="F201" s="409">
        <v>2193</v>
      </c>
      <c r="G201" s="409">
        <v>335</v>
      </c>
      <c r="H201" s="409">
        <v>0</v>
      </c>
      <c r="I201" s="410">
        <v>45936</v>
      </c>
      <c r="J201" s="408" t="s">
        <v>656</v>
      </c>
      <c r="K201" s="408" t="s">
        <v>822</v>
      </c>
      <c r="L201" s="411">
        <v>46.74</v>
      </c>
      <c r="M201" s="411">
        <v>3.04</v>
      </c>
      <c r="N201" s="450">
        <v>49.78</v>
      </c>
      <c r="O201" s="408"/>
      <c r="P201" s="412">
        <v>45959</v>
      </c>
      <c r="Q201" s="411">
        <v>49.78</v>
      </c>
      <c r="R201" s="408" t="s">
        <v>823</v>
      </c>
      <c r="S201" s="411">
        <v>0</v>
      </c>
      <c r="T201" s="411">
        <v>0</v>
      </c>
      <c r="U201" s="411">
        <v>0</v>
      </c>
      <c r="V201" s="411">
        <v>0</v>
      </c>
      <c r="W201" s="408"/>
      <c r="X201" s="408" t="s">
        <v>293</v>
      </c>
      <c r="Y201" s="408" t="s">
        <v>294</v>
      </c>
      <c r="Z201" s="408" t="s">
        <v>53</v>
      </c>
      <c r="AA201" s="408" t="s">
        <v>228</v>
      </c>
      <c r="AB201" s="408" t="s">
        <v>239</v>
      </c>
      <c r="AC201" s="408" t="s">
        <v>240</v>
      </c>
      <c r="AD201" s="408" t="s">
        <v>231</v>
      </c>
      <c r="AE201" s="408" t="s">
        <v>232</v>
      </c>
      <c r="AF201" s="408" t="s">
        <v>231</v>
      </c>
      <c r="AG201" s="408" t="s">
        <v>232</v>
      </c>
      <c r="AH201" s="408"/>
      <c r="AI201" s="408"/>
      <c r="AJ201" s="408"/>
      <c r="AK201" s="408" t="s">
        <v>824</v>
      </c>
      <c r="AL201" s="409">
        <v>1</v>
      </c>
      <c r="AM201" s="409">
        <v>0</v>
      </c>
      <c r="AN201" s="410">
        <v>45959</v>
      </c>
      <c r="AO201" s="410">
        <v>45959</v>
      </c>
      <c r="AP201" s="411">
        <v>49.78</v>
      </c>
      <c r="AQ201" s="410">
        <v>45958</v>
      </c>
    </row>
    <row r="202" spans="1:43" s="14" customFormat="1" ht="22.5" customHeight="1" x14ac:dyDescent="0.2">
      <c r="A202" s="408" t="s">
        <v>262</v>
      </c>
      <c r="B202" s="408"/>
      <c r="C202" s="408" t="s">
        <v>221</v>
      </c>
      <c r="D202" s="408" t="s">
        <v>222</v>
      </c>
      <c r="E202" s="409">
        <v>415900</v>
      </c>
      <c r="F202" s="409">
        <v>2194</v>
      </c>
      <c r="G202" s="409">
        <v>335</v>
      </c>
      <c r="H202" s="409">
        <v>0</v>
      </c>
      <c r="I202" s="410">
        <v>45936</v>
      </c>
      <c r="J202" s="408" t="s">
        <v>656</v>
      </c>
      <c r="K202" s="408" t="s">
        <v>825</v>
      </c>
      <c r="L202" s="411">
        <v>47.28</v>
      </c>
      <c r="M202" s="411">
        <v>2.6</v>
      </c>
      <c r="N202" s="450">
        <v>49.88</v>
      </c>
      <c r="O202" s="408"/>
      <c r="P202" s="412">
        <v>45959</v>
      </c>
      <c r="Q202" s="411">
        <v>49.88</v>
      </c>
      <c r="R202" s="408" t="s">
        <v>826</v>
      </c>
      <c r="S202" s="411">
        <v>0</v>
      </c>
      <c r="T202" s="411">
        <v>0</v>
      </c>
      <c r="U202" s="411">
        <v>0</v>
      </c>
      <c r="V202" s="411">
        <v>0</v>
      </c>
      <c r="W202" s="408"/>
      <c r="X202" s="408" t="s">
        <v>293</v>
      </c>
      <c r="Y202" s="408" t="s">
        <v>294</v>
      </c>
      <c r="Z202" s="408" t="s">
        <v>53</v>
      </c>
      <c r="AA202" s="408" t="s">
        <v>228</v>
      </c>
      <c r="AB202" s="408" t="s">
        <v>239</v>
      </c>
      <c r="AC202" s="408" t="s">
        <v>240</v>
      </c>
      <c r="AD202" s="408" t="s">
        <v>231</v>
      </c>
      <c r="AE202" s="408" t="s">
        <v>232</v>
      </c>
      <c r="AF202" s="408" t="s">
        <v>231</v>
      </c>
      <c r="AG202" s="408" t="s">
        <v>232</v>
      </c>
      <c r="AH202" s="408"/>
      <c r="AI202" s="408"/>
      <c r="AJ202" s="408"/>
      <c r="AK202" s="408" t="s">
        <v>827</v>
      </c>
      <c r="AL202" s="409">
        <v>1</v>
      </c>
      <c r="AM202" s="409">
        <v>0</v>
      </c>
      <c r="AN202" s="410">
        <v>45959</v>
      </c>
      <c r="AO202" s="410">
        <v>45959</v>
      </c>
      <c r="AP202" s="411">
        <v>49.88</v>
      </c>
      <c r="AQ202" s="410">
        <v>45958</v>
      </c>
    </row>
    <row r="203" spans="1:43" s="14" customFormat="1" ht="22.5" customHeight="1" x14ac:dyDescent="0.2">
      <c r="A203" s="408" t="s">
        <v>262</v>
      </c>
      <c r="B203" s="408"/>
      <c r="C203" s="408" t="s">
        <v>221</v>
      </c>
      <c r="D203" s="408" t="s">
        <v>222</v>
      </c>
      <c r="E203" s="409">
        <v>415901</v>
      </c>
      <c r="F203" s="409">
        <v>2195</v>
      </c>
      <c r="G203" s="409">
        <v>335</v>
      </c>
      <c r="H203" s="409">
        <v>0</v>
      </c>
      <c r="I203" s="410">
        <v>45936</v>
      </c>
      <c r="J203" s="408" t="s">
        <v>656</v>
      </c>
      <c r="K203" s="408" t="s">
        <v>828</v>
      </c>
      <c r="L203" s="411">
        <v>75.239999999999995</v>
      </c>
      <c r="M203" s="411">
        <v>4.1399999999999997</v>
      </c>
      <c r="N203" s="450">
        <v>79.38</v>
      </c>
      <c r="O203" s="408"/>
      <c r="P203" s="412">
        <v>45959</v>
      </c>
      <c r="Q203" s="411">
        <v>79.38</v>
      </c>
      <c r="R203" s="408" t="s">
        <v>829</v>
      </c>
      <c r="S203" s="411">
        <v>0</v>
      </c>
      <c r="T203" s="411">
        <v>0</v>
      </c>
      <c r="U203" s="411">
        <v>0</v>
      </c>
      <c r="V203" s="411">
        <v>0</v>
      </c>
      <c r="W203" s="408"/>
      <c r="X203" s="408" t="s">
        <v>293</v>
      </c>
      <c r="Y203" s="408" t="s">
        <v>294</v>
      </c>
      <c r="Z203" s="408" t="s">
        <v>53</v>
      </c>
      <c r="AA203" s="408" t="s">
        <v>228</v>
      </c>
      <c r="AB203" s="408" t="s">
        <v>239</v>
      </c>
      <c r="AC203" s="408" t="s">
        <v>240</v>
      </c>
      <c r="AD203" s="408" t="s">
        <v>231</v>
      </c>
      <c r="AE203" s="408" t="s">
        <v>232</v>
      </c>
      <c r="AF203" s="408" t="s">
        <v>231</v>
      </c>
      <c r="AG203" s="408" t="s">
        <v>232</v>
      </c>
      <c r="AH203" s="408"/>
      <c r="AI203" s="408"/>
      <c r="AJ203" s="408"/>
      <c r="AK203" s="408" t="s">
        <v>830</v>
      </c>
      <c r="AL203" s="409">
        <v>1</v>
      </c>
      <c r="AM203" s="409">
        <v>0</v>
      </c>
      <c r="AN203" s="410">
        <v>45959</v>
      </c>
      <c r="AO203" s="410">
        <v>45959</v>
      </c>
      <c r="AP203" s="411">
        <v>79.38</v>
      </c>
      <c r="AQ203" s="410">
        <v>45958</v>
      </c>
    </row>
    <row r="204" spans="1:43" s="14" customFormat="1" ht="22.5" customHeight="1" x14ac:dyDescent="0.2">
      <c r="A204" s="408" t="s">
        <v>262</v>
      </c>
      <c r="B204" s="408"/>
      <c r="C204" s="408" t="s">
        <v>221</v>
      </c>
      <c r="D204" s="408" t="s">
        <v>222</v>
      </c>
      <c r="E204" s="409">
        <v>415902</v>
      </c>
      <c r="F204" s="409">
        <v>2196</v>
      </c>
      <c r="G204" s="409">
        <v>335</v>
      </c>
      <c r="H204" s="409">
        <v>0</v>
      </c>
      <c r="I204" s="410">
        <v>45936</v>
      </c>
      <c r="J204" s="408" t="s">
        <v>656</v>
      </c>
      <c r="K204" s="408" t="s">
        <v>831</v>
      </c>
      <c r="L204" s="411">
        <v>46.03</v>
      </c>
      <c r="M204" s="411">
        <v>3</v>
      </c>
      <c r="N204" s="450">
        <v>49.03</v>
      </c>
      <c r="O204" s="408"/>
      <c r="P204" s="412">
        <v>45959</v>
      </c>
      <c r="Q204" s="411">
        <v>49.03</v>
      </c>
      <c r="R204" s="408" t="s">
        <v>832</v>
      </c>
      <c r="S204" s="411">
        <v>0</v>
      </c>
      <c r="T204" s="411">
        <v>0</v>
      </c>
      <c r="U204" s="411">
        <v>0</v>
      </c>
      <c r="V204" s="411">
        <v>0</v>
      </c>
      <c r="W204" s="408"/>
      <c r="X204" s="408" t="s">
        <v>293</v>
      </c>
      <c r="Y204" s="408" t="s">
        <v>294</v>
      </c>
      <c r="Z204" s="408" t="s">
        <v>53</v>
      </c>
      <c r="AA204" s="408" t="s">
        <v>228</v>
      </c>
      <c r="AB204" s="408" t="s">
        <v>239</v>
      </c>
      <c r="AC204" s="408" t="s">
        <v>240</v>
      </c>
      <c r="AD204" s="408" t="s">
        <v>231</v>
      </c>
      <c r="AE204" s="408" t="s">
        <v>232</v>
      </c>
      <c r="AF204" s="408" t="s">
        <v>231</v>
      </c>
      <c r="AG204" s="408" t="s">
        <v>232</v>
      </c>
      <c r="AH204" s="408"/>
      <c r="AI204" s="408"/>
      <c r="AJ204" s="408"/>
      <c r="AK204" s="408" t="s">
        <v>833</v>
      </c>
      <c r="AL204" s="409">
        <v>1</v>
      </c>
      <c r="AM204" s="409">
        <v>0</v>
      </c>
      <c r="AN204" s="410">
        <v>45959</v>
      </c>
      <c r="AO204" s="410">
        <v>45959</v>
      </c>
      <c r="AP204" s="411">
        <v>49.03</v>
      </c>
      <c r="AQ204" s="410">
        <v>45958</v>
      </c>
    </row>
    <row r="205" spans="1:43" s="14" customFormat="1" ht="22.5" customHeight="1" x14ac:dyDescent="0.2">
      <c r="A205" s="408" t="s">
        <v>262</v>
      </c>
      <c r="B205" s="408"/>
      <c r="C205" s="408" t="s">
        <v>221</v>
      </c>
      <c r="D205" s="408" t="s">
        <v>222</v>
      </c>
      <c r="E205" s="409">
        <v>415903</v>
      </c>
      <c r="F205" s="409">
        <v>2197</v>
      </c>
      <c r="G205" s="409">
        <v>335</v>
      </c>
      <c r="H205" s="409">
        <v>0</v>
      </c>
      <c r="I205" s="410">
        <v>45936</v>
      </c>
      <c r="J205" s="408" t="s">
        <v>656</v>
      </c>
      <c r="K205" s="408" t="s">
        <v>834</v>
      </c>
      <c r="L205" s="411">
        <v>46.69</v>
      </c>
      <c r="M205" s="411">
        <v>3.13</v>
      </c>
      <c r="N205" s="450">
        <v>49.82</v>
      </c>
      <c r="O205" s="408"/>
      <c r="P205" s="412">
        <v>45959</v>
      </c>
      <c r="Q205" s="411">
        <v>49.82</v>
      </c>
      <c r="R205" s="408" t="s">
        <v>835</v>
      </c>
      <c r="S205" s="411">
        <v>0</v>
      </c>
      <c r="T205" s="411">
        <v>0</v>
      </c>
      <c r="U205" s="411">
        <v>0</v>
      </c>
      <c r="V205" s="411">
        <v>0</v>
      </c>
      <c r="W205" s="408"/>
      <c r="X205" s="408" t="s">
        <v>293</v>
      </c>
      <c r="Y205" s="408" t="s">
        <v>294</v>
      </c>
      <c r="Z205" s="408" t="s">
        <v>53</v>
      </c>
      <c r="AA205" s="408" t="s">
        <v>228</v>
      </c>
      <c r="AB205" s="408" t="s">
        <v>239</v>
      </c>
      <c r="AC205" s="408" t="s">
        <v>240</v>
      </c>
      <c r="AD205" s="408" t="s">
        <v>231</v>
      </c>
      <c r="AE205" s="408" t="s">
        <v>232</v>
      </c>
      <c r="AF205" s="408" t="s">
        <v>231</v>
      </c>
      <c r="AG205" s="408" t="s">
        <v>232</v>
      </c>
      <c r="AH205" s="408"/>
      <c r="AI205" s="408"/>
      <c r="AJ205" s="408"/>
      <c r="AK205" s="408" t="s">
        <v>836</v>
      </c>
      <c r="AL205" s="409">
        <v>1</v>
      </c>
      <c r="AM205" s="409">
        <v>0</v>
      </c>
      <c r="AN205" s="410">
        <v>45959</v>
      </c>
      <c r="AO205" s="410">
        <v>45959</v>
      </c>
      <c r="AP205" s="411">
        <v>49.82</v>
      </c>
      <c r="AQ205" s="410">
        <v>45958</v>
      </c>
    </row>
    <row r="206" spans="1:43" s="14" customFormat="1" ht="22.5" customHeight="1" x14ac:dyDescent="0.2">
      <c r="A206" s="408" t="s">
        <v>262</v>
      </c>
      <c r="B206" s="408"/>
      <c r="C206" s="408" t="s">
        <v>221</v>
      </c>
      <c r="D206" s="408" t="s">
        <v>222</v>
      </c>
      <c r="E206" s="409">
        <v>415904</v>
      </c>
      <c r="F206" s="409">
        <v>2198</v>
      </c>
      <c r="G206" s="409">
        <v>335</v>
      </c>
      <c r="H206" s="409">
        <v>0</v>
      </c>
      <c r="I206" s="410">
        <v>45936</v>
      </c>
      <c r="J206" s="408" t="s">
        <v>656</v>
      </c>
      <c r="K206" s="408" t="s">
        <v>837</v>
      </c>
      <c r="L206" s="411">
        <v>140.28</v>
      </c>
      <c r="M206" s="411">
        <v>8.8699999999999992</v>
      </c>
      <c r="N206" s="450">
        <v>149.15</v>
      </c>
      <c r="O206" s="408"/>
      <c r="P206" s="412">
        <v>45959</v>
      </c>
      <c r="Q206" s="411">
        <v>149.15</v>
      </c>
      <c r="R206" s="408" t="s">
        <v>838</v>
      </c>
      <c r="S206" s="411">
        <v>0</v>
      </c>
      <c r="T206" s="411">
        <v>0</v>
      </c>
      <c r="U206" s="411">
        <v>0</v>
      </c>
      <c r="V206" s="411">
        <v>0</v>
      </c>
      <c r="W206" s="408"/>
      <c r="X206" s="408" t="s">
        <v>293</v>
      </c>
      <c r="Y206" s="408" t="s">
        <v>294</v>
      </c>
      <c r="Z206" s="408" t="s">
        <v>53</v>
      </c>
      <c r="AA206" s="408" t="s">
        <v>228</v>
      </c>
      <c r="AB206" s="408" t="s">
        <v>239</v>
      </c>
      <c r="AC206" s="408" t="s">
        <v>240</v>
      </c>
      <c r="AD206" s="408" t="s">
        <v>231</v>
      </c>
      <c r="AE206" s="408" t="s">
        <v>232</v>
      </c>
      <c r="AF206" s="408" t="s">
        <v>231</v>
      </c>
      <c r="AG206" s="408" t="s">
        <v>232</v>
      </c>
      <c r="AH206" s="408"/>
      <c r="AI206" s="408"/>
      <c r="AJ206" s="408"/>
      <c r="AK206" s="408" t="s">
        <v>839</v>
      </c>
      <c r="AL206" s="409">
        <v>1</v>
      </c>
      <c r="AM206" s="409">
        <v>0</v>
      </c>
      <c r="AN206" s="410">
        <v>45959</v>
      </c>
      <c r="AO206" s="410">
        <v>45959</v>
      </c>
      <c r="AP206" s="411">
        <v>149.15</v>
      </c>
      <c r="AQ206" s="410">
        <v>45958</v>
      </c>
    </row>
    <row r="207" spans="1:43" s="14" customFormat="1" ht="22.5" customHeight="1" x14ac:dyDescent="0.2">
      <c r="A207" s="408" t="s">
        <v>262</v>
      </c>
      <c r="B207" s="408"/>
      <c r="C207" s="408" t="s">
        <v>221</v>
      </c>
      <c r="D207" s="408" t="s">
        <v>222</v>
      </c>
      <c r="E207" s="409">
        <v>415905</v>
      </c>
      <c r="F207" s="409">
        <v>2200</v>
      </c>
      <c r="G207" s="409">
        <v>335</v>
      </c>
      <c r="H207" s="409">
        <v>0</v>
      </c>
      <c r="I207" s="410">
        <v>45936</v>
      </c>
      <c r="J207" s="408" t="s">
        <v>656</v>
      </c>
      <c r="K207" s="408" t="s">
        <v>840</v>
      </c>
      <c r="L207" s="411">
        <v>74.75</v>
      </c>
      <c r="M207" s="411">
        <v>4.1100000000000003</v>
      </c>
      <c r="N207" s="450">
        <v>78.86</v>
      </c>
      <c r="O207" s="408"/>
      <c r="P207" s="412">
        <v>45959</v>
      </c>
      <c r="Q207" s="411">
        <v>78.86</v>
      </c>
      <c r="R207" s="408" t="s">
        <v>841</v>
      </c>
      <c r="S207" s="411">
        <v>0</v>
      </c>
      <c r="T207" s="411">
        <v>0</v>
      </c>
      <c r="U207" s="411">
        <v>0</v>
      </c>
      <c r="V207" s="411">
        <v>0</v>
      </c>
      <c r="W207" s="408"/>
      <c r="X207" s="408" t="s">
        <v>293</v>
      </c>
      <c r="Y207" s="408" t="s">
        <v>294</v>
      </c>
      <c r="Z207" s="408" t="s">
        <v>53</v>
      </c>
      <c r="AA207" s="408" t="s">
        <v>228</v>
      </c>
      <c r="AB207" s="408" t="s">
        <v>239</v>
      </c>
      <c r="AC207" s="408" t="s">
        <v>240</v>
      </c>
      <c r="AD207" s="408" t="s">
        <v>231</v>
      </c>
      <c r="AE207" s="408" t="s">
        <v>232</v>
      </c>
      <c r="AF207" s="408" t="s">
        <v>231</v>
      </c>
      <c r="AG207" s="408" t="s">
        <v>232</v>
      </c>
      <c r="AH207" s="408"/>
      <c r="AI207" s="408"/>
      <c r="AJ207" s="408"/>
      <c r="AK207" s="408" t="s">
        <v>842</v>
      </c>
      <c r="AL207" s="409">
        <v>1</v>
      </c>
      <c r="AM207" s="409">
        <v>0</v>
      </c>
      <c r="AN207" s="410">
        <v>45959</v>
      </c>
      <c r="AO207" s="410">
        <v>45959</v>
      </c>
      <c r="AP207" s="411">
        <v>78.86</v>
      </c>
      <c r="AQ207" s="410">
        <v>45958</v>
      </c>
    </row>
    <row r="208" spans="1:43" s="14" customFormat="1" ht="22.5" customHeight="1" x14ac:dyDescent="0.2">
      <c r="A208" s="408" t="s">
        <v>262</v>
      </c>
      <c r="B208" s="408"/>
      <c r="C208" s="408" t="s">
        <v>221</v>
      </c>
      <c r="D208" s="408" t="s">
        <v>222</v>
      </c>
      <c r="E208" s="409">
        <v>415912</v>
      </c>
      <c r="F208" s="409">
        <v>2199</v>
      </c>
      <c r="G208" s="409">
        <v>335</v>
      </c>
      <c r="H208" s="409">
        <v>0</v>
      </c>
      <c r="I208" s="410">
        <v>45936</v>
      </c>
      <c r="J208" s="408" t="s">
        <v>656</v>
      </c>
      <c r="K208" s="408" t="s">
        <v>843</v>
      </c>
      <c r="L208" s="411">
        <v>142.13</v>
      </c>
      <c r="M208" s="411">
        <v>7.87</v>
      </c>
      <c r="N208" s="450">
        <v>150</v>
      </c>
      <c r="O208" s="408"/>
      <c r="P208" s="412">
        <v>45959</v>
      </c>
      <c r="Q208" s="411">
        <v>150</v>
      </c>
      <c r="R208" s="408" t="s">
        <v>844</v>
      </c>
      <c r="S208" s="411">
        <v>0</v>
      </c>
      <c r="T208" s="411">
        <v>0</v>
      </c>
      <c r="U208" s="411">
        <v>0</v>
      </c>
      <c r="V208" s="411">
        <v>0</v>
      </c>
      <c r="W208" s="408"/>
      <c r="X208" s="408" t="s">
        <v>293</v>
      </c>
      <c r="Y208" s="408" t="s">
        <v>294</v>
      </c>
      <c r="Z208" s="408" t="s">
        <v>53</v>
      </c>
      <c r="AA208" s="408" t="s">
        <v>228</v>
      </c>
      <c r="AB208" s="408" t="s">
        <v>239</v>
      </c>
      <c r="AC208" s="408" t="s">
        <v>240</v>
      </c>
      <c r="AD208" s="408" t="s">
        <v>231</v>
      </c>
      <c r="AE208" s="408" t="s">
        <v>232</v>
      </c>
      <c r="AF208" s="408" t="s">
        <v>231</v>
      </c>
      <c r="AG208" s="408" t="s">
        <v>232</v>
      </c>
      <c r="AH208" s="408"/>
      <c r="AI208" s="408"/>
      <c r="AJ208" s="408"/>
      <c r="AK208" s="408" t="s">
        <v>845</v>
      </c>
      <c r="AL208" s="409">
        <v>1</v>
      </c>
      <c r="AM208" s="409">
        <v>0</v>
      </c>
      <c r="AN208" s="410">
        <v>45959</v>
      </c>
      <c r="AO208" s="410">
        <v>45959</v>
      </c>
      <c r="AP208" s="411">
        <v>150</v>
      </c>
      <c r="AQ208" s="410">
        <v>45958</v>
      </c>
    </row>
    <row r="209" spans="1:43" ht="22.5" customHeight="1" x14ac:dyDescent="0.2">
      <c r="A209" s="358" t="s">
        <v>262</v>
      </c>
      <c r="B209" s="358"/>
      <c r="C209" s="358" t="s">
        <v>221</v>
      </c>
      <c r="D209" s="358" t="s">
        <v>222</v>
      </c>
      <c r="E209" s="359">
        <v>415939</v>
      </c>
      <c r="F209" s="359">
        <v>2226</v>
      </c>
      <c r="G209" s="359">
        <v>336</v>
      </c>
      <c r="H209" s="359">
        <v>0</v>
      </c>
      <c r="I209" s="360">
        <v>45937</v>
      </c>
      <c r="J209" s="358" t="s">
        <v>656</v>
      </c>
      <c r="K209" s="358" t="s">
        <v>846</v>
      </c>
      <c r="L209" s="361">
        <v>68.709999999999994</v>
      </c>
      <c r="M209" s="361">
        <v>6</v>
      </c>
      <c r="N209" s="448">
        <v>74.709999999999994</v>
      </c>
      <c r="O209" s="358"/>
      <c r="P209" s="362">
        <v>45959</v>
      </c>
      <c r="Q209" s="361">
        <v>74.709999999999994</v>
      </c>
      <c r="R209" s="358" t="s">
        <v>397</v>
      </c>
      <c r="S209" s="361">
        <v>0</v>
      </c>
      <c r="T209" s="361">
        <v>0</v>
      </c>
      <c r="U209" s="361">
        <v>0</v>
      </c>
      <c r="V209" s="361">
        <v>0</v>
      </c>
      <c r="W209" s="358"/>
      <c r="X209" s="358" t="s">
        <v>365</v>
      </c>
      <c r="Y209" s="358" t="s">
        <v>366</v>
      </c>
      <c r="Z209" s="358" t="s">
        <v>46</v>
      </c>
      <c r="AA209" s="358" t="s">
        <v>228</v>
      </c>
      <c r="AB209" s="358" t="s">
        <v>289</v>
      </c>
      <c r="AC209" s="358" t="s">
        <v>31</v>
      </c>
      <c r="AD209" s="358" t="s">
        <v>231</v>
      </c>
      <c r="AE209" s="358" t="s">
        <v>232</v>
      </c>
      <c r="AF209" s="358" t="s">
        <v>231</v>
      </c>
      <c r="AG209" s="358" t="s">
        <v>232</v>
      </c>
      <c r="AH209" s="358"/>
      <c r="AI209" s="358"/>
      <c r="AJ209" s="358"/>
      <c r="AK209" s="358" t="s">
        <v>847</v>
      </c>
      <c r="AL209" s="359">
        <v>1</v>
      </c>
      <c r="AM209" s="359">
        <v>0</v>
      </c>
      <c r="AN209" s="360">
        <v>45959</v>
      </c>
      <c r="AO209" s="360">
        <v>45959</v>
      </c>
      <c r="AP209" s="361">
        <v>74.709999999999994</v>
      </c>
      <c r="AQ209" s="360">
        <v>45958</v>
      </c>
    </row>
    <row r="210" spans="1:43" s="14" customFormat="1" ht="22.5" customHeight="1" x14ac:dyDescent="0.2">
      <c r="A210" s="408" t="s">
        <v>262</v>
      </c>
      <c r="B210" s="408"/>
      <c r="C210" s="408" t="s">
        <v>221</v>
      </c>
      <c r="D210" s="408" t="s">
        <v>222</v>
      </c>
      <c r="E210" s="409">
        <v>415940</v>
      </c>
      <c r="F210" s="409">
        <v>2223</v>
      </c>
      <c r="G210" s="409">
        <v>336</v>
      </c>
      <c r="H210" s="409">
        <v>0</v>
      </c>
      <c r="I210" s="410">
        <v>45937</v>
      </c>
      <c r="J210" s="408" t="s">
        <v>656</v>
      </c>
      <c r="K210" s="408" t="s">
        <v>848</v>
      </c>
      <c r="L210" s="411">
        <v>39.35</v>
      </c>
      <c r="M210" s="411">
        <v>10.65</v>
      </c>
      <c r="N210" s="450">
        <v>50</v>
      </c>
      <c r="O210" s="408"/>
      <c r="P210" s="412">
        <v>45959</v>
      </c>
      <c r="Q210" s="411">
        <v>50</v>
      </c>
      <c r="R210" s="408" t="s">
        <v>849</v>
      </c>
      <c r="S210" s="411">
        <v>0</v>
      </c>
      <c r="T210" s="411">
        <v>0</v>
      </c>
      <c r="U210" s="411">
        <v>0</v>
      </c>
      <c r="V210" s="411">
        <v>0</v>
      </c>
      <c r="W210" s="408"/>
      <c r="X210" s="408" t="s">
        <v>293</v>
      </c>
      <c r="Y210" s="408" t="s">
        <v>294</v>
      </c>
      <c r="Z210" s="408" t="s">
        <v>53</v>
      </c>
      <c r="AA210" s="408" t="s">
        <v>228</v>
      </c>
      <c r="AB210" s="408" t="s">
        <v>239</v>
      </c>
      <c r="AC210" s="408" t="s">
        <v>240</v>
      </c>
      <c r="AD210" s="408" t="s">
        <v>231</v>
      </c>
      <c r="AE210" s="408" t="s">
        <v>232</v>
      </c>
      <c r="AF210" s="408" t="s">
        <v>231</v>
      </c>
      <c r="AG210" s="408" t="s">
        <v>232</v>
      </c>
      <c r="AH210" s="408"/>
      <c r="AI210" s="408"/>
      <c r="AJ210" s="408"/>
      <c r="AK210" s="408" t="s">
        <v>850</v>
      </c>
      <c r="AL210" s="409">
        <v>1</v>
      </c>
      <c r="AM210" s="409">
        <v>0</v>
      </c>
      <c r="AN210" s="410">
        <v>45959</v>
      </c>
      <c r="AO210" s="410">
        <v>45959</v>
      </c>
      <c r="AP210" s="411">
        <v>50</v>
      </c>
      <c r="AQ210" s="410">
        <v>45958</v>
      </c>
    </row>
    <row r="211" spans="1:43" s="14" customFormat="1" ht="22.5" customHeight="1" x14ac:dyDescent="0.2">
      <c r="A211" s="408" t="s">
        <v>262</v>
      </c>
      <c r="B211" s="408"/>
      <c r="C211" s="408" t="s">
        <v>221</v>
      </c>
      <c r="D211" s="408" t="s">
        <v>222</v>
      </c>
      <c r="E211" s="409">
        <v>415942</v>
      </c>
      <c r="F211" s="409">
        <v>2224</v>
      </c>
      <c r="G211" s="409">
        <v>336</v>
      </c>
      <c r="H211" s="409">
        <v>0</v>
      </c>
      <c r="I211" s="410">
        <v>45937</v>
      </c>
      <c r="J211" s="408" t="s">
        <v>656</v>
      </c>
      <c r="K211" s="408" t="s">
        <v>851</v>
      </c>
      <c r="L211" s="411">
        <v>136.68</v>
      </c>
      <c r="M211" s="411">
        <v>10.65</v>
      </c>
      <c r="N211" s="450">
        <v>147.33000000000001</v>
      </c>
      <c r="O211" s="408"/>
      <c r="P211" s="412">
        <v>45959</v>
      </c>
      <c r="Q211" s="411">
        <v>147.33000000000001</v>
      </c>
      <c r="R211" s="408" t="s">
        <v>852</v>
      </c>
      <c r="S211" s="411">
        <v>0</v>
      </c>
      <c r="T211" s="411">
        <v>0</v>
      </c>
      <c r="U211" s="411">
        <v>0</v>
      </c>
      <c r="V211" s="411">
        <v>0</v>
      </c>
      <c r="W211" s="408"/>
      <c r="X211" s="408" t="s">
        <v>293</v>
      </c>
      <c r="Y211" s="408" t="s">
        <v>294</v>
      </c>
      <c r="Z211" s="408" t="s">
        <v>53</v>
      </c>
      <c r="AA211" s="408" t="s">
        <v>228</v>
      </c>
      <c r="AB211" s="408" t="s">
        <v>239</v>
      </c>
      <c r="AC211" s="408" t="s">
        <v>240</v>
      </c>
      <c r="AD211" s="408" t="s">
        <v>231</v>
      </c>
      <c r="AE211" s="408" t="s">
        <v>232</v>
      </c>
      <c r="AF211" s="408" t="s">
        <v>231</v>
      </c>
      <c r="AG211" s="408" t="s">
        <v>232</v>
      </c>
      <c r="AH211" s="408"/>
      <c r="AI211" s="408"/>
      <c r="AJ211" s="408"/>
      <c r="AK211" s="408" t="s">
        <v>850</v>
      </c>
      <c r="AL211" s="409">
        <v>1</v>
      </c>
      <c r="AM211" s="409">
        <v>0</v>
      </c>
      <c r="AN211" s="410">
        <v>45959</v>
      </c>
      <c r="AO211" s="410">
        <v>45959</v>
      </c>
      <c r="AP211" s="411">
        <v>147.33000000000001</v>
      </c>
      <c r="AQ211" s="410">
        <v>45958</v>
      </c>
    </row>
    <row r="212" spans="1:43" s="14" customFormat="1" ht="22.5" customHeight="1" x14ac:dyDescent="0.2">
      <c r="A212" s="408" t="s">
        <v>262</v>
      </c>
      <c r="B212" s="408"/>
      <c r="C212" s="408" t="s">
        <v>221</v>
      </c>
      <c r="D212" s="408" t="s">
        <v>222</v>
      </c>
      <c r="E212" s="409">
        <v>415943</v>
      </c>
      <c r="F212" s="409">
        <v>2225</v>
      </c>
      <c r="G212" s="409">
        <v>336</v>
      </c>
      <c r="H212" s="409">
        <v>0</v>
      </c>
      <c r="I212" s="410">
        <v>45937</v>
      </c>
      <c r="J212" s="408" t="s">
        <v>656</v>
      </c>
      <c r="K212" s="408" t="s">
        <v>853</v>
      </c>
      <c r="L212" s="411">
        <v>46.43</v>
      </c>
      <c r="M212" s="411">
        <v>3.43</v>
      </c>
      <c r="N212" s="450">
        <v>49.86</v>
      </c>
      <c r="O212" s="408"/>
      <c r="P212" s="412">
        <v>45959</v>
      </c>
      <c r="Q212" s="411">
        <v>49.86</v>
      </c>
      <c r="R212" s="408" t="s">
        <v>854</v>
      </c>
      <c r="S212" s="411">
        <v>0</v>
      </c>
      <c r="T212" s="411">
        <v>0</v>
      </c>
      <c r="U212" s="411">
        <v>0</v>
      </c>
      <c r="V212" s="411">
        <v>0</v>
      </c>
      <c r="W212" s="408"/>
      <c r="X212" s="408" t="s">
        <v>293</v>
      </c>
      <c r="Y212" s="408" t="s">
        <v>294</v>
      </c>
      <c r="Z212" s="408" t="s">
        <v>53</v>
      </c>
      <c r="AA212" s="408" t="s">
        <v>228</v>
      </c>
      <c r="AB212" s="408" t="s">
        <v>239</v>
      </c>
      <c r="AC212" s="408" t="s">
        <v>240</v>
      </c>
      <c r="AD212" s="408" t="s">
        <v>231</v>
      </c>
      <c r="AE212" s="408" t="s">
        <v>232</v>
      </c>
      <c r="AF212" s="408" t="s">
        <v>231</v>
      </c>
      <c r="AG212" s="408" t="s">
        <v>232</v>
      </c>
      <c r="AH212" s="408"/>
      <c r="AI212" s="408"/>
      <c r="AJ212" s="408"/>
      <c r="AK212" s="408" t="s">
        <v>855</v>
      </c>
      <c r="AL212" s="409">
        <v>1</v>
      </c>
      <c r="AM212" s="409">
        <v>0</v>
      </c>
      <c r="AN212" s="410">
        <v>45959</v>
      </c>
      <c r="AO212" s="410">
        <v>45959</v>
      </c>
      <c r="AP212" s="411">
        <v>49.86</v>
      </c>
      <c r="AQ212" s="410">
        <v>45958</v>
      </c>
    </row>
    <row r="213" spans="1:43" s="14" customFormat="1" ht="22.5" customHeight="1" x14ac:dyDescent="0.2">
      <c r="A213" s="408" t="s">
        <v>262</v>
      </c>
      <c r="B213" s="408"/>
      <c r="C213" s="408" t="s">
        <v>221</v>
      </c>
      <c r="D213" s="408" t="s">
        <v>222</v>
      </c>
      <c r="E213" s="409">
        <v>415995</v>
      </c>
      <c r="F213" s="409">
        <v>2232</v>
      </c>
      <c r="G213" s="409">
        <v>337</v>
      </c>
      <c r="H213" s="409">
        <v>0</v>
      </c>
      <c r="I213" s="410">
        <v>45943</v>
      </c>
      <c r="J213" s="408" t="s">
        <v>656</v>
      </c>
      <c r="K213" s="408" t="s">
        <v>856</v>
      </c>
      <c r="L213" s="411">
        <v>180.91</v>
      </c>
      <c r="M213" s="411">
        <v>18.16</v>
      </c>
      <c r="N213" s="450">
        <v>199.07</v>
      </c>
      <c r="O213" s="408"/>
      <c r="P213" s="412">
        <v>45978</v>
      </c>
      <c r="Q213" s="411">
        <v>199.07</v>
      </c>
      <c r="R213" s="408" t="s">
        <v>857</v>
      </c>
      <c r="S213" s="411">
        <v>0</v>
      </c>
      <c r="T213" s="411">
        <v>0</v>
      </c>
      <c r="U213" s="411">
        <v>0</v>
      </c>
      <c r="V213" s="411">
        <v>0</v>
      </c>
      <c r="W213" s="408"/>
      <c r="X213" s="408" t="s">
        <v>293</v>
      </c>
      <c r="Y213" s="408" t="s">
        <v>294</v>
      </c>
      <c r="Z213" s="408" t="s">
        <v>53</v>
      </c>
      <c r="AA213" s="408" t="s">
        <v>228</v>
      </c>
      <c r="AB213" s="408" t="s">
        <v>239</v>
      </c>
      <c r="AC213" s="408" t="s">
        <v>240</v>
      </c>
      <c r="AD213" s="408" t="s">
        <v>231</v>
      </c>
      <c r="AE213" s="408" t="s">
        <v>232</v>
      </c>
      <c r="AF213" s="408" t="s">
        <v>231</v>
      </c>
      <c r="AG213" s="408" t="s">
        <v>232</v>
      </c>
      <c r="AH213" s="408"/>
      <c r="AI213" s="408"/>
      <c r="AJ213" s="408"/>
      <c r="AK213" s="408" t="s">
        <v>858</v>
      </c>
      <c r="AL213" s="409">
        <v>1</v>
      </c>
      <c r="AM213" s="409">
        <v>0</v>
      </c>
      <c r="AN213" s="410">
        <v>45978</v>
      </c>
      <c r="AO213" s="410">
        <v>45980</v>
      </c>
      <c r="AP213" s="411">
        <v>199.07</v>
      </c>
      <c r="AQ213" s="410">
        <v>45979</v>
      </c>
    </row>
    <row r="214" spans="1:43" s="14" customFormat="1" ht="22.5" customHeight="1" x14ac:dyDescent="0.2">
      <c r="A214" s="408" t="s">
        <v>262</v>
      </c>
      <c r="B214" s="408"/>
      <c r="C214" s="408" t="s">
        <v>221</v>
      </c>
      <c r="D214" s="408" t="s">
        <v>222</v>
      </c>
      <c r="E214" s="409">
        <v>416018</v>
      </c>
      <c r="F214" s="409">
        <v>2255</v>
      </c>
      <c r="G214" s="409">
        <v>338</v>
      </c>
      <c r="H214" s="409">
        <v>0</v>
      </c>
      <c r="I214" s="410">
        <v>45943</v>
      </c>
      <c r="J214" s="408" t="s">
        <v>656</v>
      </c>
      <c r="K214" s="408" t="s">
        <v>859</v>
      </c>
      <c r="L214" s="411">
        <v>123.91</v>
      </c>
      <c r="M214" s="411">
        <v>9.75</v>
      </c>
      <c r="N214" s="450">
        <v>133.66</v>
      </c>
      <c r="O214" s="408"/>
      <c r="P214" s="412">
        <v>45992</v>
      </c>
      <c r="Q214" s="411">
        <v>133.66</v>
      </c>
      <c r="R214" s="408" t="s">
        <v>860</v>
      </c>
      <c r="S214" s="411">
        <v>0</v>
      </c>
      <c r="T214" s="411">
        <v>0</v>
      </c>
      <c r="U214" s="411">
        <v>0</v>
      </c>
      <c r="V214" s="411">
        <v>0</v>
      </c>
      <c r="W214" s="408"/>
      <c r="X214" s="408" t="s">
        <v>293</v>
      </c>
      <c r="Y214" s="408" t="s">
        <v>294</v>
      </c>
      <c r="Z214" s="408" t="s">
        <v>53</v>
      </c>
      <c r="AA214" s="408" t="s">
        <v>228</v>
      </c>
      <c r="AB214" s="408" t="s">
        <v>239</v>
      </c>
      <c r="AC214" s="408" t="s">
        <v>240</v>
      </c>
      <c r="AD214" s="408" t="s">
        <v>231</v>
      </c>
      <c r="AE214" s="408" t="s">
        <v>232</v>
      </c>
      <c r="AF214" s="408" t="s">
        <v>231</v>
      </c>
      <c r="AG214" s="408" t="s">
        <v>232</v>
      </c>
      <c r="AH214" s="408"/>
      <c r="AI214" s="408"/>
      <c r="AJ214" s="408"/>
      <c r="AK214" s="408" t="s">
        <v>861</v>
      </c>
      <c r="AL214" s="409">
        <v>1</v>
      </c>
      <c r="AM214" s="409">
        <v>0</v>
      </c>
      <c r="AN214" s="410">
        <v>45992</v>
      </c>
      <c r="AO214" s="410">
        <v>45989</v>
      </c>
      <c r="AP214" s="411">
        <v>133.66</v>
      </c>
      <c r="AQ214" s="410">
        <v>45988</v>
      </c>
    </row>
    <row r="215" spans="1:43" ht="22.5" customHeight="1" x14ac:dyDescent="0.2">
      <c r="A215" s="370" t="s">
        <v>262</v>
      </c>
      <c r="B215" s="370"/>
      <c r="C215" s="370" t="s">
        <v>221</v>
      </c>
      <c r="D215" s="370" t="s">
        <v>222</v>
      </c>
      <c r="E215" s="371">
        <v>416023</v>
      </c>
      <c r="F215" s="371">
        <v>2251</v>
      </c>
      <c r="G215" s="371">
        <v>338</v>
      </c>
      <c r="H215" s="371">
        <v>0</v>
      </c>
      <c r="I215" s="372">
        <v>45943</v>
      </c>
      <c r="J215" s="370" t="s">
        <v>656</v>
      </c>
      <c r="K215" s="370" t="s">
        <v>862</v>
      </c>
      <c r="L215" s="373">
        <v>22.52</v>
      </c>
      <c r="M215" s="373">
        <v>1.24</v>
      </c>
      <c r="N215" s="444">
        <v>23.76</v>
      </c>
      <c r="O215" s="370"/>
      <c r="P215" s="374">
        <v>45992</v>
      </c>
      <c r="Q215" s="373">
        <v>23.76</v>
      </c>
      <c r="R215" s="370" t="s">
        <v>863</v>
      </c>
      <c r="S215" s="373">
        <v>0</v>
      </c>
      <c r="T215" s="373">
        <v>0</v>
      </c>
      <c r="U215" s="373">
        <v>0</v>
      </c>
      <c r="V215" s="373">
        <v>0</v>
      </c>
      <c r="W215" s="370"/>
      <c r="X215" s="370" t="s">
        <v>293</v>
      </c>
      <c r="Y215" s="370" t="s">
        <v>294</v>
      </c>
      <c r="Z215" s="370" t="s">
        <v>42</v>
      </c>
      <c r="AA215" s="370" t="s">
        <v>228</v>
      </c>
      <c r="AB215" s="370" t="s">
        <v>235</v>
      </c>
      <c r="AC215" s="370" t="s">
        <v>331</v>
      </c>
      <c r="AD215" s="370" t="s">
        <v>231</v>
      </c>
      <c r="AE215" s="370" t="s">
        <v>232</v>
      </c>
      <c r="AF215" s="370" t="s">
        <v>231</v>
      </c>
      <c r="AG215" s="370" t="s">
        <v>232</v>
      </c>
      <c r="AH215" s="370"/>
      <c r="AI215" s="370"/>
      <c r="AJ215" s="370"/>
      <c r="AK215" s="370" t="s">
        <v>864</v>
      </c>
      <c r="AL215" s="371">
        <v>1</v>
      </c>
      <c r="AM215" s="371">
        <v>0</v>
      </c>
      <c r="AN215" s="372">
        <v>45992</v>
      </c>
      <c r="AO215" s="372">
        <v>45989</v>
      </c>
      <c r="AP215" s="373">
        <v>23.76</v>
      </c>
      <c r="AQ215" s="372">
        <v>45988</v>
      </c>
    </row>
    <row r="216" spans="1:43" ht="22.5" customHeight="1" x14ac:dyDescent="0.2">
      <c r="A216" s="370" t="s">
        <v>262</v>
      </c>
      <c r="B216" s="370"/>
      <c r="C216" s="370" t="s">
        <v>221</v>
      </c>
      <c r="D216" s="370" t="s">
        <v>222</v>
      </c>
      <c r="E216" s="371">
        <v>416024</v>
      </c>
      <c r="F216" s="371">
        <v>2252</v>
      </c>
      <c r="G216" s="371">
        <v>338</v>
      </c>
      <c r="H216" s="371">
        <v>0</v>
      </c>
      <c r="I216" s="372">
        <v>45943</v>
      </c>
      <c r="J216" s="370" t="s">
        <v>656</v>
      </c>
      <c r="K216" s="370" t="s">
        <v>865</v>
      </c>
      <c r="L216" s="373">
        <v>71.489999999999995</v>
      </c>
      <c r="M216" s="373">
        <v>8.0399999999999991</v>
      </c>
      <c r="N216" s="444">
        <v>79.53</v>
      </c>
      <c r="O216" s="370"/>
      <c r="P216" s="374">
        <v>45992</v>
      </c>
      <c r="Q216" s="373">
        <v>79.53</v>
      </c>
      <c r="R216" s="370" t="s">
        <v>866</v>
      </c>
      <c r="S216" s="373">
        <v>0</v>
      </c>
      <c r="T216" s="373">
        <v>0</v>
      </c>
      <c r="U216" s="373">
        <v>0</v>
      </c>
      <c r="V216" s="373">
        <v>0</v>
      </c>
      <c r="W216" s="370"/>
      <c r="X216" s="370" t="s">
        <v>293</v>
      </c>
      <c r="Y216" s="370" t="s">
        <v>294</v>
      </c>
      <c r="Z216" s="370" t="s">
        <v>42</v>
      </c>
      <c r="AA216" s="370" t="s">
        <v>228</v>
      </c>
      <c r="AB216" s="370" t="s">
        <v>235</v>
      </c>
      <c r="AC216" s="370" t="s">
        <v>331</v>
      </c>
      <c r="AD216" s="370" t="s">
        <v>231</v>
      </c>
      <c r="AE216" s="370" t="s">
        <v>232</v>
      </c>
      <c r="AF216" s="370" t="s">
        <v>231</v>
      </c>
      <c r="AG216" s="370" t="s">
        <v>232</v>
      </c>
      <c r="AH216" s="370"/>
      <c r="AI216" s="370"/>
      <c r="AJ216" s="370"/>
      <c r="AK216" s="370" t="s">
        <v>867</v>
      </c>
      <c r="AL216" s="371">
        <v>1</v>
      </c>
      <c r="AM216" s="371">
        <v>0</v>
      </c>
      <c r="AN216" s="372">
        <v>45992</v>
      </c>
      <c r="AO216" s="372">
        <v>45989</v>
      </c>
      <c r="AP216" s="373">
        <v>79.53</v>
      </c>
      <c r="AQ216" s="372">
        <v>45988</v>
      </c>
    </row>
    <row r="217" spans="1:43" ht="22.5" customHeight="1" x14ac:dyDescent="0.2">
      <c r="A217" s="370" t="s">
        <v>262</v>
      </c>
      <c r="B217" s="370"/>
      <c r="C217" s="370" t="s">
        <v>221</v>
      </c>
      <c r="D217" s="370" t="s">
        <v>222</v>
      </c>
      <c r="E217" s="371">
        <v>416025</v>
      </c>
      <c r="F217" s="371">
        <v>2253</v>
      </c>
      <c r="G217" s="371">
        <v>338</v>
      </c>
      <c r="H217" s="371">
        <v>0</v>
      </c>
      <c r="I217" s="372">
        <v>45943</v>
      </c>
      <c r="J217" s="370" t="s">
        <v>656</v>
      </c>
      <c r="K217" s="370" t="s">
        <v>868</v>
      </c>
      <c r="L217" s="373">
        <v>28.28</v>
      </c>
      <c r="M217" s="373">
        <v>1.71</v>
      </c>
      <c r="N217" s="444">
        <v>29.99</v>
      </c>
      <c r="O217" s="370"/>
      <c r="P217" s="374">
        <v>45992</v>
      </c>
      <c r="Q217" s="373">
        <v>29.99</v>
      </c>
      <c r="R217" s="370" t="s">
        <v>869</v>
      </c>
      <c r="S217" s="373">
        <v>0</v>
      </c>
      <c r="T217" s="373">
        <v>0</v>
      </c>
      <c r="U217" s="373">
        <v>0</v>
      </c>
      <c r="V217" s="373">
        <v>0</v>
      </c>
      <c r="W217" s="370"/>
      <c r="X217" s="370" t="s">
        <v>293</v>
      </c>
      <c r="Y217" s="370" t="s">
        <v>294</v>
      </c>
      <c r="Z217" s="370" t="s">
        <v>42</v>
      </c>
      <c r="AA217" s="370" t="s">
        <v>228</v>
      </c>
      <c r="AB217" s="370" t="s">
        <v>235</v>
      </c>
      <c r="AC217" s="370" t="s">
        <v>331</v>
      </c>
      <c r="AD217" s="370" t="s">
        <v>231</v>
      </c>
      <c r="AE217" s="370" t="s">
        <v>232</v>
      </c>
      <c r="AF217" s="370" t="s">
        <v>231</v>
      </c>
      <c r="AG217" s="370" t="s">
        <v>232</v>
      </c>
      <c r="AH217" s="370"/>
      <c r="AI217" s="370"/>
      <c r="AJ217" s="370"/>
      <c r="AK217" s="370" t="s">
        <v>870</v>
      </c>
      <c r="AL217" s="371">
        <v>1</v>
      </c>
      <c r="AM217" s="371">
        <v>0</v>
      </c>
      <c r="AN217" s="372">
        <v>45992</v>
      </c>
      <c r="AO217" s="372">
        <v>45989</v>
      </c>
      <c r="AP217" s="373">
        <v>29.99</v>
      </c>
      <c r="AQ217" s="372">
        <v>45988</v>
      </c>
    </row>
    <row r="218" spans="1:43" ht="22.5" customHeight="1" x14ac:dyDescent="0.2">
      <c r="A218" s="370" t="s">
        <v>262</v>
      </c>
      <c r="B218" s="370"/>
      <c r="C218" s="370" t="s">
        <v>221</v>
      </c>
      <c r="D218" s="370" t="s">
        <v>222</v>
      </c>
      <c r="E218" s="371">
        <v>416029</v>
      </c>
      <c r="F218" s="371">
        <v>2254</v>
      </c>
      <c r="G218" s="371">
        <v>338</v>
      </c>
      <c r="H218" s="371">
        <v>0</v>
      </c>
      <c r="I218" s="372">
        <v>45943</v>
      </c>
      <c r="J218" s="370" t="s">
        <v>656</v>
      </c>
      <c r="K218" s="370" t="s">
        <v>871</v>
      </c>
      <c r="L218" s="373">
        <v>21.25</v>
      </c>
      <c r="M218" s="373">
        <v>2.58</v>
      </c>
      <c r="N218" s="444">
        <v>23.83</v>
      </c>
      <c r="O218" s="370"/>
      <c r="P218" s="374">
        <v>45992</v>
      </c>
      <c r="Q218" s="373">
        <v>23.83</v>
      </c>
      <c r="R218" s="370" t="s">
        <v>872</v>
      </c>
      <c r="S218" s="373">
        <v>0</v>
      </c>
      <c r="T218" s="373">
        <v>0</v>
      </c>
      <c r="U218" s="373">
        <v>0</v>
      </c>
      <c r="V218" s="373">
        <v>0</v>
      </c>
      <c r="W218" s="370"/>
      <c r="X218" s="370" t="s">
        <v>293</v>
      </c>
      <c r="Y218" s="370" t="s">
        <v>294</v>
      </c>
      <c r="Z218" s="370" t="s">
        <v>42</v>
      </c>
      <c r="AA218" s="370" t="s">
        <v>228</v>
      </c>
      <c r="AB218" s="370" t="s">
        <v>235</v>
      </c>
      <c r="AC218" s="370" t="s">
        <v>331</v>
      </c>
      <c r="AD218" s="370" t="s">
        <v>231</v>
      </c>
      <c r="AE218" s="370" t="s">
        <v>232</v>
      </c>
      <c r="AF218" s="370" t="s">
        <v>231</v>
      </c>
      <c r="AG218" s="370" t="s">
        <v>232</v>
      </c>
      <c r="AH218" s="370"/>
      <c r="AI218" s="370"/>
      <c r="AJ218" s="370"/>
      <c r="AK218" s="370" t="s">
        <v>873</v>
      </c>
      <c r="AL218" s="371">
        <v>1</v>
      </c>
      <c r="AM218" s="371">
        <v>0</v>
      </c>
      <c r="AN218" s="372">
        <v>45992</v>
      </c>
      <c r="AO218" s="372">
        <v>45989</v>
      </c>
      <c r="AP218" s="373">
        <v>23.83</v>
      </c>
      <c r="AQ218" s="372">
        <v>45988</v>
      </c>
    </row>
    <row r="219" spans="1:43" ht="22.5" customHeight="1" x14ac:dyDescent="0.2">
      <c r="A219" s="370" t="s">
        <v>262</v>
      </c>
      <c r="B219" s="370"/>
      <c r="C219" s="370" t="s">
        <v>221</v>
      </c>
      <c r="D219" s="370" t="s">
        <v>222</v>
      </c>
      <c r="E219" s="371">
        <v>416041</v>
      </c>
      <c r="F219" s="371">
        <v>2256</v>
      </c>
      <c r="G219" s="371">
        <v>338</v>
      </c>
      <c r="H219" s="371">
        <v>0</v>
      </c>
      <c r="I219" s="372">
        <v>45943</v>
      </c>
      <c r="J219" s="370" t="s">
        <v>656</v>
      </c>
      <c r="K219" s="370" t="s">
        <v>874</v>
      </c>
      <c r="L219" s="373">
        <v>93.58</v>
      </c>
      <c r="M219" s="373">
        <v>5.31</v>
      </c>
      <c r="N219" s="444">
        <v>98.89</v>
      </c>
      <c r="O219" s="370"/>
      <c r="P219" s="374">
        <v>45992</v>
      </c>
      <c r="Q219" s="373">
        <v>98.89</v>
      </c>
      <c r="R219" s="370" t="s">
        <v>875</v>
      </c>
      <c r="S219" s="373">
        <v>0</v>
      </c>
      <c r="T219" s="373">
        <v>0</v>
      </c>
      <c r="U219" s="373">
        <v>0</v>
      </c>
      <c r="V219" s="373">
        <v>0</v>
      </c>
      <c r="W219" s="370"/>
      <c r="X219" s="370" t="s">
        <v>293</v>
      </c>
      <c r="Y219" s="370" t="s">
        <v>294</v>
      </c>
      <c r="Z219" s="370" t="s">
        <v>42</v>
      </c>
      <c r="AA219" s="370" t="s">
        <v>228</v>
      </c>
      <c r="AB219" s="370" t="s">
        <v>235</v>
      </c>
      <c r="AC219" s="370" t="s">
        <v>331</v>
      </c>
      <c r="AD219" s="370" t="s">
        <v>231</v>
      </c>
      <c r="AE219" s="370" t="s">
        <v>232</v>
      </c>
      <c r="AF219" s="370" t="s">
        <v>231</v>
      </c>
      <c r="AG219" s="370" t="s">
        <v>232</v>
      </c>
      <c r="AH219" s="370"/>
      <c r="AI219" s="370"/>
      <c r="AJ219" s="370"/>
      <c r="AK219" s="370" t="s">
        <v>876</v>
      </c>
      <c r="AL219" s="371">
        <v>1</v>
      </c>
      <c r="AM219" s="371">
        <v>0</v>
      </c>
      <c r="AN219" s="372">
        <v>45992</v>
      </c>
      <c r="AO219" s="372">
        <v>45989</v>
      </c>
      <c r="AP219" s="373">
        <v>98.89</v>
      </c>
      <c r="AQ219" s="372">
        <v>45988</v>
      </c>
    </row>
    <row r="220" spans="1:43" s="14" customFormat="1" ht="22.5" customHeight="1" x14ac:dyDescent="0.2">
      <c r="A220" s="408" t="s">
        <v>262</v>
      </c>
      <c r="B220" s="408"/>
      <c r="C220" s="408" t="s">
        <v>221</v>
      </c>
      <c r="D220" s="408" t="s">
        <v>222</v>
      </c>
      <c r="E220" s="409">
        <v>416049</v>
      </c>
      <c r="F220" s="409">
        <v>2257</v>
      </c>
      <c r="G220" s="409">
        <v>338</v>
      </c>
      <c r="H220" s="409">
        <v>0</v>
      </c>
      <c r="I220" s="410">
        <v>45943</v>
      </c>
      <c r="J220" s="408" t="s">
        <v>656</v>
      </c>
      <c r="K220" s="408" t="s">
        <v>877</v>
      </c>
      <c r="L220" s="411">
        <v>25.34</v>
      </c>
      <c r="M220" s="411">
        <v>3.16</v>
      </c>
      <c r="N220" s="450">
        <v>28.5</v>
      </c>
      <c r="O220" s="408"/>
      <c r="P220" s="412">
        <v>45992</v>
      </c>
      <c r="Q220" s="411">
        <v>28.5</v>
      </c>
      <c r="R220" s="408" t="s">
        <v>878</v>
      </c>
      <c r="S220" s="411">
        <v>0</v>
      </c>
      <c r="T220" s="411">
        <v>0</v>
      </c>
      <c r="U220" s="411">
        <v>0</v>
      </c>
      <c r="V220" s="411">
        <v>0</v>
      </c>
      <c r="W220" s="408"/>
      <c r="X220" s="408" t="s">
        <v>365</v>
      </c>
      <c r="Y220" s="408" t="s">
        <v>366</v>
      </c>
      <c r="Z220" s="408" t="s">
        <v>53</v>
      </c>
      <c r="AA220" s="408" t="s">
        <v>228</v>
      </c>
      <c r="AB220" s="408" t="s">
        <v>239</v>
      </c>
      <c r="AC220" s="408" t="s">
        <v>240</v>
      </c>
      <c r="AD220" s="408" t="s">
        <v>231</v>
      </c>
      <c r="AE220" s="408" t="s">
        <v>232</v>
      </c>
      <c r="AF220" s="408" t="s">
        <v>231</v>
      </c>
      <c r="AG220" s="408" t="s">
        <v>232</v>
      </c>
      <c r="AH220" s="408"/>
      <c r="AI220" s="408"/>
      <c r="AJ220" s="408"/>
      <c r="AK220" s="408" t="s">
        <v>879</v>
      </c>
      <c r="AL220" s="409">
        <v>1</v>
      </c>
      <c r="AM220" s="409">
        <v>0</v>
      </c>
      <c r="AN220" s="410">
        <v>45992</v>
      </c>
      <c r="AO220" s="410">
        <v>45989</v>
      </c>
      <c r="AP220" s="411">
        <v>28.5</v>
      </c>
      <c r="AQ220" s="410">
        <v>45988</v>
      </c>
    </row>
    <row r="221" spans="1:43" ht="22.5" customHeight="1" x14ac:dyDescent="0.2">
      <c r="A221" s="358" t="s">
        <v>262</v>
      </c>
      <c r="B221" s="358"/>
      <c r="C221" s="358" t="s">
        <v>221</v>
      </c>
      <c r="D221" s="358" t="s">
        <v>222</v>
      </c>
      <c r="E221" s="359">
        <v>416053</v>
      </c>
      <c r="F221" s="359">
        <v>2280</v>
      </c>
      <c r="G221" s="359">
        <v>339</v>
      </c>
      <c r="H221" s="359">
        <v>0</v>
      </c>
      <c r="I221" s="360">
        <v>45943</v>
      </c>
      <c r="J221" s="358" t="s">
        <v>656</v>
      </c>
      <c r="K221" s="358" t="s">
        <v>880</v>
      </c>
      <c r="L221" s="361">
        <v>141.55000000000001</v>
      </c>
      <c r="M221" s="361">
        <v>11.43</v>
      </c>
      <c r="N221" s="448">
        <v>152.97999999999999</v>
      </c>
      <c r="O221" s="358"/>
      <c r="P221" s="362">
        <v>45973</v>
      </c>
      <c r="Q221" s="361">
        <v>152.97999999999999</v>
      </c>
      <c r="R221" s="358" t="s">
        <v>881</v>
      </c>
      <c r="S221" s="361">
        <v>0</v>
      </c>
      <c r="T221" s="361">
        <v>0</v>
      </c>
      <c r="U221" s="361">
        <v>0</v>
      </c>
      <c r="V221" s="361">
        <v>0</v>
      </c>
      <c r="W221" s="358"/>
      <c r="X221" s="358" t="s">
        <v>365</v>
      </c>
      <c r="Y221" s="358" t="s">
        <v>366</v>
      </c>
      <c r="Z221" s="358" t="s">
        <v>46</v>
      </c>
      <c r="AA221" s="358" t="s">
        <v>228</v>
      </c>
      <c r="AB221" s="358" t="s">
        <v>289</v>
      </c>
      <c r="AC221" s="358" t="s">
        <v>31</v>
      </c>
      <c r="AD221" s="358" t="s">
        <v>231</v>
      </c>
      <c r="AE221" s="358" t="s">
        <v>232</v>
      </c>
      <c r="AF221" s="358" t="s">
        <v>231</v>
      </c>
      <c r="AG221" s="358" t="s">
        <v>232</v>
      </c>
      <c r="AH221" s="358"/>
      <c r="AI221" s="358"/>
      <c r="AJ221" s="358"/>
      <c r="AK221" s="358" t="s">
        <v>882</v>
      </c>
      <c r="AL221" s="359">
        <v>1</v>
      </c>
      <c r="AM221" s="359">
        <v>0</v>
      </c>
      <c r="AN221" s="360">
        <v>45973</v>
      </c>
      <c r="AO221" s="360">
        <v>45973</v>
      </c>
      <c r="AP221" s="361">
        <v>152.97999999999999</v>
      </c>
      <c r="AQ221" s="360">
        <v>45972</v>
      </c>
    </row>
    <row r="222" spans="1:43" ht="22.5" customHeight="1" x14ac:dyDescent="0.2">
      <c r="A222" s="352" t="s">
        <v>262</v>
      </c>
      <c r="B222" s="352"/>
      <c r="C222" s="352" t="s">
        <v>221</v>
      </c>
      <c r="D222" s="352" t="s">
        <v>222</v>
      </c>
      <c r="E222" s="353">
        <v>416066</v>
      </c>
      <c r="F222" s="353">
        <v>2279</v>
      </c>
      <c r="G222" s="353">
        <v>339</v>
      </c>
      <c r="H222" s="353">
        <v>0</v>
      </c>
      <c r="I222" s="354">
        <v>45943</v>
      </c>
      <c r="J222" s="352" t="s">
        <v>656</v>
      </c>
      <c r="K222" s="352" t="s">
        <v>883</v>
      </c>
      <c r="L222" s="355">
        <v>52.8</v>
      </c>
      <c r="M222" s="355">
        <v>2.9</v>
      </c>
      <c r="N222" s="449">
        <v>55.7</v>
      </c>
      <c r="O222" s="352"/>
      <c r="P222" s="356">
        <v>45973</v>
      </c>
      <c r="Q222" s="355">
        <v>55.7</v>
      </c>
      <c r="R222" s="352" t="s">
        <v>469</v>
      </c>
      <c r="S222" s="355">
        <v>0</v>
      </c>
      <c r="T222" s="355">
        <v>0</v>
      </c>
      <c r="U222" s="355">
        <v>0</v>
      </c>
      <c r="V222" s="355">
        <v>0</v>
      </c>
      <c r="W222" s="352"/>
      <c r="X222" s="352" t="s">
        <v>266</v>
      </c>
      <c r="Y222" s="352" t="s">
        <v>267</v>
      </c>
      <c r="Z222" s="352" t="s">
        <v>42</v>
      </c>
      <c r="AA222" s="352" t="s">
        <v>228</v>
      </c>
      <c r="AB222" s="352" t="s">
        <v>34</v>
      </c>
      <c r="AC222" s="352" t="s">
        <v>43</v>
      </c>
      <c r="AD222" s="352" t="s">
        <v>231</v>
      </c>
      <c r="AE222" s="352" t="s">
        <v>232</v>
      </c>
      <c r="AF222" s="352" t="s">
        <v>231</v>
      </c>
      <c r="AG222" s="352" t="s">
        <v>232</v>
      </c>
      <c r="AH222" s="352"/>
      <c r="AI222" s="352"/>
      <c r="AJ222" s="352"/>
      <c r="AK222" s="352" t="s">
        <v>884</v>
      </c>
      <c r="AL222" s="353">
        <v>1</v>
      </c>
      <c r="AM222" s="353">
        <v>0</v>
      </c>
      <c r="AN222" s="354">
        <v>45973</v>
      </c>
      <c r="AO222" s="354">
        <v>45973</v>
      </c>
      <c r="AP222" s="355">
        <v>55.7</v>
      </c>
      <c r="AQ222" s="354">
        <v>45972</v>
      </c>
    </row>
    <row r="223" spans="1:43" ht="22.5" customHeight="1" x14ac:dyDescent="0.2">
      <c r="A223" s="358" t="s">
        <v>262</v>
      </c>
      <c r="B223" s="358"/>
      <c r="C223" s="358" t="s">
        <v>221</v>
      </c>
      <c r="D223" s="358" t="s">
        <v>222</v>
      </c>
      <c r="E223" s="359">
        <v>416068</v>
      </c>
      <c r="F223" s="359">
        <v>2275</v>
      </c>
      <c r="G223" s="359">
        <v>339</v>
      </c>
      <c r="H223" s="359">
        <v>0</v>
      </c>
      <c r="I223" s="360">
        <v>45943</v>
      </c>
      <c r="J223" s="358" t="s">
        <v>656</v>
      </c>
      <c r="K223" s="358" t="s">
        <v>885</v>
      </c>
      <c r="L223" s="361">
        <v>110</v>
      </c>
      <c r="M223" s="361">
        <v>0</v>
      </c>
      <c r="N223" s="448">
        <v>110</v>
      </c>
      <c r="O223" s="358"/>
      <c r="P223" s="362">
        <v>45973</v>
      </c>
      <c r="Q223" s="361">
        <v>110</v>
      </c>
      <c r="R223" s="358" t="s">
        <v>886</v>
      </c>
      <c r="S223" s="361">
        <v>0</v>
      </c>
      <c r="T223" s="361">
        <v>0</v>
      </c>
      <c r="U223" s="361">
        <v>0</v>
      </c>
      <c r="V223" s="361">
        <v>0</v>
      </c>
      <c r="W223" s="358"/>
      <c r="X223" s="358" t="s">
        <v>887</v>
      </c>
      <c r="Y223" s="358" t="s">
        <v>888</v>
      </c>
      <c r="Z223" s="358" t="s">
        <v>288</v>
      </c>
      <c r="AA223" s="358" t="s">
        <v>228</v>
      </c>
      <c r="AB223" s="358" t="s">
        <v>289</v>
      </c>
      <c r="AC223" s="358" t="s">
        <v>31</v>
      </c>
      <c r="AD223" s="358" t="s">
        <v>231</v>
      </c>
      <c r="AE223" s="358" t="s">
        <v>232</v>
      </c>
      <c r="AF223" s="358" t="s">
        <v>231</v>
      </c>
      <c r="AG223" s="358" t="s">
        <v>232</v>
      </c>
      <c r="AH223" s="358"/>
      <c r="AI223" s="358"/>
      <c r="AJ223" s="358"/>
      <c r="AK223" s="358" t="s">
        <v>889</v>
      </c>
      <c r="AL223" s="359">
        <v>1</v>
      </c>
      <c r="AM223" s="359">
        <v>0</v>
      </c>
      <c r="AN223" s="360">
        <v>45973</v>
      </c>
      <c r="AO223" s="360">
        <v>45973</v>
      </c>
      <c r="AP223" s="361">
        <v>110</v>
      </c>
      <c r="AQ223" s="360">
        <v>45972</v>
      </c>
    </row>
    <row r="224" spans="1:43" ht="22.5" customHeight="1" x14ac:dyDescent="0.2">
      <c r="A224" s="358" t="s">
        <v>262</v>
      </c>
      <c r="B224" s="358"/>
      <c r="C224" s="358" t="s">
        <v>221</v>
      </c>
      <c r="D224" s="358" t="s">
        <v>222</v>
      </c>
      <c r="E224" s="359">
        <v>416069</v>
      </c>
      <c r="F224" s="359">
        <v>2276</v>
      </c>
      <c r="G224" s="359">
        <v>339</v>
      </c>
      <c r="H224" s="359">
        <v>0</v>
      </c>
      <c r="I224" s="360">
        <v>45943</v>
      </c>
      <c r="J224" s="358" t="s">
        <v>656</v>
      </c>
      <c r="K224" s="358" t="s">
        <v>890</v>
      </c>
      <c r="L224" s="361">
        <v>40</v>
      </c>
      <c r="M224" s="361">
        <v>0</v>
      </c>
      <c r="N224" s="448">
        <v>40</v>
      </c>
      <c r="O224" s="358"/>
      <c r="P224" s="362">
        <v>45973</v>
      </c>
      <c r="Q224" s="361">
        <v>40</v>
      </c>
      <c r="R224" s="358" t="s">
        <v>886</v>
      </c>
      <c r="S224" s="361">
        <v>0</v>
      </c>
      <c r="T224" s="361">
        <v>0</v>
      </c>
      <c r="U224" s="361">
        <v>0</v>
      </c>
      <c r="V224" s="361">
        <v>0</v>
      </c>
      <c r="W224" s="358"/>
      <c r="X224" s="358" t="s">
        <v>887</v>
      </c>
      <c r="Y224" s="358" t="s">
        <v>888</v>
      </c>
      <c r="Z224" s="358" t="s">
        <v>288</v>
      </c>
      <c r="AA224" s="358" t="s">
        <v>228</v>
      </c>
      <c r="AB224" s="358" t="s">
        <v>289</v>
      </c>
      <c r="AC224" s="358" t="s">
        <v>31</v>
      </c>
      <c r="AD224" s="358" t="s">
        <v>231</v>
      </c>
      <c r="AE224" s="358" t="s">
        <v>232</v>
      </c>
      <c r="AF224" s="358" t="s">
        <v>231</v>
      </c>
      <c r="AG224" s="358" t="s">
        <v>232</v>
      </c>
      <c r="AH224" s="358"/>
      <c r="AI224" s="358"/>
      <c r="AJ224" s="358"/>
      <c r="AK224" s="358" t="s">
        <v>891</v>
      </c>
      <c r="AL224" s="359">
        <v>1</v>
      </c>
      <c r="AM224" s="359">
        <v>0</v>
      </c>
      <c r="AN224" s="360">
        <v>45973</v>
      </c>
      <c r="AO224" s="360">
        <v>45973</v>
      </c>
      <c r="AP224" s="361">
        <v>40</v>
      </c>
      <c r="AQ224" s="360">
        <v>45972</v>
      </c>
    </row>
    <row r="225" spans="1:43" s="14" customFormat="1" ht="22.5" customHeight="1" x14ac:dyDescent="0.2">
      <c r="A225" s="408" t="s">
        <v>262</v>
      </c>
      <c r="B225" s="408"/>
      <c r="C225" s="408" t="s">
        <v>221</v>
      </c>
      <c r="D225" s="408" t="s">
        <v>222</v>
      </c>
      <c r="E225" s="409">
        <v>416070</v>
      </c>
      <c r="F225" s="409">
        <v>2277</v>
      </c>
      <c r="G225" s="409">
        <v>339</v>
      </c>
      <c r="H225" s="409">
        <v>0</v>
      </c>
      <c r="I225" s="410">
        <v>45943</v>
      </c>
      <c r="J225" s="408" t="s">
        <v>656</v>
      </c>
      <c r="K225" s="408" t="s">
        <v>892</v>
      </c>
      <c r="L225" s="411">
        <v>81.14</v>
      </c>
      <c r="M225" s="411">
        <v>4.46</v>
      </c>
      <c r="N225" s="450">
        <v>85.6</v>
      </c>
      <c r="O225" s="408"/>
      <c r="P225" s="412">
        <v>45973</v>
      </c>
      <c r="Q225" s="411">
        <v>85.6</v>
      </c>
      <c r="R225" s="408" t="s">
        <v>893</v>
      </c>
      <c r="S225" s="411">
        <v>0</v>
      </c>
      <c r="T225" s="411">
        <v>0</v>
      </c>
      <c r="U225" s="411">
        <v>0</v>
      </c>
      <c r="V225" s="411">
        <v>0</v>
      </c>
      <c r="W225" s="408"/>
      <c r="X225" s="408" t="s">
        <v>293</v>
      </c>
      <c r="Y225" s="408" t="s">
        <v>294</v>
      </c>
      <c r="Z225" s="408" t="s">
        <v>53</v>
      </c>
      <c r="AA225" s="408" t="s">
        <v>228</v>
      </c>
      <c r="AB225" s="408" t="s">
        <v>239</v>
      </c>
      <c r="AC225" s="408" t="s">
        <v>240</v>
      </c>
      <c r="AD225" s="408" t="s">
        <v>231</v>
      </c>
      <c r="AE225" s="408" t="s">
        <v>232</v>
      </c>
      <c r="AF225" s="408" t="s">
        <v>231</v>
      </c>
      <c r="AG225" s="408" t="s">
        <v>232</v>
      </c>
      <c r="AH225" s="408"/>
      <c r="AI225" s="408"/>
      <c r="AJ225" s="408"/>
      <c r="AK225" s="408" t="s">
        <v>894</v>
      </c>
      <c r="AL225" s="409">
        <v>1</v>
      </c>
      <c r="AM225" s="409">
        <v>0</v>
      </c>
      <c r="AN225" s="410">
        <v>45973</v>
      </c>
      <c r="AO225" s="410">
        <v>45973</v>
      </c>
      <c r="AP225" s="411">
        <v>85.6</v>
      </c>
      <c r="AQ225" s="410">
        <v>45972</v>
      </c>
    </row>
    <row r="226" spans="1:43" s="14" customFormat="1" ht="22.5" customHeight="1" x14ac:dyDescent="0.2">
      <c r="A226" s="408" t="s">
        <v>262</v>
      </c>
      <c r="B226" s="408"/>
      <c r="C226" s="408" t="s">
        <v>221</v>
      </c>
      <c r="D226" s="408" t="s">
        <v>222</v>
      </c>
      <c r="E226" s="409">
        <v>416079</v>
      </c>
      <c r="F226" s="409">
        <v>2278</v>
      </c>
      <c r="G226" s="409">
        <v>339</v>
      </c>
      <c r="H226" s="409">
        <v>0</v>
      </c>
      <c r="I226" s="410">
        <v>45943</v>
      </c>
      <c r="J226" s="408" t="s">
        <v>656</v>
      </c>
      <c r="K226" s="408" t="s">
        <v>895</v>
      </c>
      <c r="L226" s="411">
        <v>37.229999999999997</v>
      </c>
      <c r="M226" s="411">
        <v>2.37</v>
      </c>
      <c r="N226" s="450">
        <v>39.6</v>
      </c>
      <c r="O226" s="408"/>
      <c r="P226" s="412">
        <v>45973</v>
      </c>
      <c r="Q226" s="411">
        <v>39.6</v>
      </c>
      <c r="R226" s="408" t="s">
        <v>896</v>
      </c>
      <c r="S226" s="411">
        <v>0</v>
      </c>
      <c r="T226" s="411">
        <v>0</v>
      </c>
      <c r="U226" s="411">
        <v>0</v>
      </c>
      <c r="V226" s="411">
        <v>0</v>
      </c>
      <c r="W226" s="408"/>
      <c r="X226" s="408" t="s">
        <v>293</v>
      </c>
      <c r="Y226" s="408" t="s">
        <v>294</v>
      </c>
      <c r="Z226" s="408" t="s">
        <v>57</v>
      </c>
      <c r="AA226" s="408" t="s">
        <v>228</v>
      </c>
      <c r="AB226" s="408" t="s">
        <v>58</v>
      </c>
      <c r="AC226" s="408" t="s">
        <v>897</v>
      </c>
      <c r="AD226" s="408" t="s">
        <v>231</v>
      </c>
      <c r="AE226" s="408" t="s">
        <v>232</v>
      </c>
      <c r="AF226" s="408" t="s">
        <v>231</v>
      </c>
      <c r="AG226" s="408" t="s">
        <v>232</v>
      </c>
      <c r="AH226" s="408"/>
      <c r="AI226" s="408"/>
      <c r="AJ226" s="408"/>
      <c r="AK226" s="408" t="s">
        <v>898</v>
      </c>
      <c r="AL226" s="409">
        <v>1</v>
      </c>
      <c r="AM226" s="409">
        <v>0</v>
      </c>
      <c r="AN226" s="410">
        <v>45973</v>
      </c>
      <c r="AO226" s="410">
        <v>45973</v>
      </c>
      <c r="AP226" s="411">
        <v>39.6</v>
      </c>
      <c r="AQ226" s="410">
        <v>45972</v>
      </c>
    </row>
    <row r="227" spans="1:43" ht="22.5" customHeight="1" x14ac:dyDescent="0.2">
      <c r="A227" s="358" t="s">
        <v>262</v>
      </c>
      <c r="B227" s="358"/>
      <c r="C227" s="358" t="s">
        <v>221</v>
      </c>
      <c r="D227" s="358" t="s">
        <v>222</v>
      </c>
      <c r="E227" s="359">
        <v>416125</v>
      </c>
      <c r="F227" s="359">
        <v>2318</v>
      </c>
      <c r="G227" s="359">
        <v>343</v>
      </c>
      <c r="H227" s="359">
        <v>0</v>
      </c>
      <c r="I227" s="360">
        <v>45947</v>
      </c>
      <c r="J227" s="358" t="s">
        <v>656</v>
      </c>
      <c r="K227" s="358" t="s">
        <v>899</v>
      </c>
      <c r="L227" s="361">
        <v>85.31</v>
      </c>
      <c r="M227" s="361">
        <v>4.6900000000000004</v>
      </c>
      <c r="N227" s="448">
        <v>90</v>
      </c>
      <c r="O227" s="358"/>
      <c r="P227" s="362">
        <v>45954</v>
      </c>
      <c r="Q227" s="361">
        <v>90</v>
      </c>
      <c r="R227" s="358" t="s">
        <v>900</v>
      </c>
      <c r="S227" s="361">
        <v>0</v>
      </c>
      <c r="T227" s="361">
        <v>0</v>
      </c>
      <c r="U227" s="361">
        <v>0</v>
      </c>
      <c r="V227" s="361">
        <v>0</v>
      </c>
      <c r="W227" s="358"/>
      <c r="X227" s="358" t="s">
        <v>308</v>
      </c>
      <c r="Y227" s="358" t="s">
        <v>309</v>
      </c>
      <c r="Z227" s="358" t="s">
        <v>288</v>
      </c>
      <c r="AA227" s="358" t="s">
        <v>228</v>
      </c>
      <c r="AB227" s="358" t="s">
        <v>289</v>
      </c>
      <c r="AC227" s="358" t="s">
        <v>31</v>
      </c>
      <c r="AD227" s="358" t="s">
        <v>231</v>
      </c>
      <c r="AE227" s="358" t="s">
        <v>232</v>
      </c>
      <c r="AF227" s="358" t="s">
        <v>231</v>
      </c>
      <c r="AG227" s="358" t="s">
        <v>232</v>
      </c>
      <c r="AH227" s="358"/>
      <c r="AI227" s="358"/>
      <c r="AJ227" s="358"/>
      <c r="AK227" s="358" t="s">
        <v>901</v>
      </c>
      <c r="AL227" s="359">
        <v>1</v>
      </c>
      <c r="AM227" s="359">
        <v>0</v>
      </c>
      <c r="AN227" s="360">
        <v>45954</v>
      </c>
      <c r="AO227" s="360">
        <v>45953</v>
      </c>
      <c r="AP227" s="361">
        <v>90</v>
      </c>
      <c r="AQ227" s="360">
        <v>45952</v>
      </c>
    </row>
    <row r="228" spans="1:43" ht="22.5" customHeight="1" x14ac:dyDescent="0.2">
      <c r="A228" s="428" t="s">
        <v>262</v>
      </c>
      <c r="B228" s="428"/>
      <c r="C228" s="428" t="s">
        <v>221</v>
      </c>
      <c r="D228" s="428" t="s">
        <v>222</v>
      </c>
      <c r="E228" s="429">
        <v>417671</v>
      </c>
      <c r="F228" s="429">
        <v>2358</v>
      </c>
      <c r="G228" s="429">
        <v>352</v>
      </c>
      <c r="H228" s="429">
        <v>0</v>
      </c>
      <c r="I228" s="430">
        <v>45954</v>
      </c>
      <c r="J228" s="428" t="s">
        <v>656</v>
      </c>
      <c r="K228" s="428" t="s">
        <v>902</v>
      </c>
      <c r="L228" s="431">
        <v>195.85</v>
      </c>
      <c r="M228" s="431">
        <v>10.77</v>
      </c>
      <c r="N228" s="441">
        <v>206.62</v>
      </c>
      <c r="O228" s="428"/>
      <c r="P228" s="432">
        <v>45959</v>
      </c>
      <c r="Q228" s="431">
        <v>206.62</v>
      </c>
      <c r="R228" s="428" t="s">
        <v>903</v>
      </c>
      <c r="S228" s="431">
        <v>0</v>
      </c>
      <c r="T228" s="431">
        <v>0</v>
      </c>
      <c r="U228" s="431">
        <v>0</v>
      </c>
      <c r="V228" s="431">
        <v>0</v>
      </c>
      <c r="W228" s="428"/>
      <c r="X228" s="428" t="s">
        <v>308</v>
      </c>
      <c r="Y228" s="428" t="s">
        <v>309</v>
      </c>
      <c r="Z228" s="428" t="s">
        <v>42</v>
      </c>
      <c r="AA228" s="428" t="s">
        <v>228</v>
      </c>
      <c r="AB228" s="428" t="s">
        <v>235</v>
      </c>
      <c r="AC228" s="428" t="s">
        <v>236</v>
      </c>
      <c r="AD228" s="428" t="s">
        <v>231</v>
      </c>
      <c r="AE228" s="428" t="s">
        <v>232</v>
      </c>
      <c r="AF228" s="428" t="s">
        <v>231</v>
      </c>
      <c r="AG228" s="428" t="s">
        <v>232</v>
      </c>
      <c r="AH228" s="428"/>
      <c r="AI228" s="428"/>
      <c r="AJ228" s="428"/>
      <c r="AK228" s="428" t="s">
        <v>904</v>
      </c>
      <c r="AL228" s="429">
        <v>1</v>
      </c>
      <c r="AM228" s="429">
        <v>0</v>
      </c>
      <c r="AN228" s="430">
        <v>45959</v>
      </c>
      <c r="AO228" s="430">
        <v>45959</v>
      </c>
      <c r="AP228" s="431">
        <v>206.62</v>
      </c>
      <c r="AQ228" s="430">
        <v>45958</v>
      </c>
    </row>
    <row r="229" spans="1:43" s="14" customFormat="1" ht="22.5" customHeight="1" x14ac:dyDescent="0.2">
      <c r="A229" s="408" t="s">
        <v>408</v>
      </c>
      <c r="B229" s="408"/>
      <c r="C229" s="408" t="s">
        <v>221</v>
      </c>
      <c r="D229" s="408" t="s">
        <v>222</v>
      </c>
      <c r="E229" s="409">
        <v>417737</v>
      </c>
      <c r="F229" s="409">
        <v>2344</v>
      </c>
      <c r="G229" s="409">
        <v>350</v>
      </c>
      <c r="H229" s="409">
        <v>0</v>
      </c>
      <c r="I229" s="410">
        <v>45954</v>
      </c>
      <c r="J229" s="408" t="s">
        <v>395</v>
      </c>
      <c r="K229" s="408" t="s">
        <v>905</v>
      </c>
      <c r="L229" s="411">
        <v>18.75</v>
      </c>
      <c r="M229" s="411">
        <v>0</v>
      </c>
      <c r="N229" s="450">
        <v>18.75</v>
      </c>
      <c r="O229" s="408"/>
      <c r="P229" s="412">
        <v>45959</v>
      </c>
      <c r="Q229" s="411">
        <v>18.75</v>
      </c>
      <c r="R229" s="408"/>
      <c r="S229" s="411">
        <v>0</v>
      </c>
      <c r="T229" s="411">
        <v>0</v>
      </c>
      <c r="U229" s="411">
        <v>0</v>
      </c>
      <c r="V229" s="411">
        <v>0</v>
      </c>
      <c r="W229" s="408"/>
      <c r="X229" s="408" t="s">
        <v>283</v>
      </c>
      <c r="Y229" s="408" t="s">
        <v>284</v>
      </c>
      <c r="Z229" s="408" t="s">
        <v>46</v>
      </c>
      <c r="AA229" s="408" t="s">
        <v>228</v>
      </c>
      <c r="AB229" s="408" t="s">
        <v>285</v>
      </c>
      <c r="AC229" s="408" t="s">
        <v>286</v>
      </c>
      <c r="AD229" s="408" t="s">
        <v>231</v>
      </c>
      <c r="AE229" s="408" t="s">
        <v>232</v>
      </c>
      <c r="AF229" s="408" t="s">
        <v>231</v>
      </c>
      <c r="AG229" s="408" t="s">
        <v>232</v>
      </c>
      <c r="AH229" s="408"/>
      <c r="AI229" s="408"/>
      <c r="AJ229" s="408"/>
      <c r="AK229" s="408"/>
      <c r="AL229" s="409">
        <v>1</v>
      </c>
      <c r="AM229" s="409">
        <v>0</v>
      </c>
      <c r="AN229" s="410">
        <v>45959</v>
      </c>
      <c r="AO229" s="410">
        <v>45959</v>
      </c>
      <c r="AP229" s="411">
        <v>18.75</v>
      </c>
      <c r="AQ229" s="410">
        <v>45958</v>
      </c>
    </row>
    <row r="230" spans="1:43" ht="22.5" customHeight="1" x14ac:dyDescent="0.2">
      <c r="A230" s="370" t="s">
        <v>262</v>
      </c>
      <c r="B230" s="370"/>
      <c r="C230" s="370" t="s">
        <v>221</v>
      </c>
      <c r="D230" s="370" t="s">
        <v>222</v>
      </c>
      <c r="E230" s="371">
        <v>417775</v>
      </c>
      <c r="F230" s="371">
        <v>2454</v>
      </c>
      <c r="G230" s="371">
        <v>360</v>
      </c>
      <c r="H230" s="371">
        <v>0</v>
      </c>
      <c r="I230" s="372">
        <v>45959</v>
      </c>
      <c r="J230" s="370" t="s">
        <v>656</v>
      </c>
      <c r="K230" s="370" t="s">
        <v>906</v>
      </c>
      <c r="L230" s="373">
        <v>27.82</v>
      </c>
      <c r="M230" s="373">
        <v>1.53</v>
      </c>
      <c r="N230" s="444">
        <v>29.35</v>
      </c>
      <c r="O230" s="370"/>
      <c r="P230" s="374">
        <v>45978</v>
      </c>
      <c r="Q230" s="373">
        <v>29.35</v>
      </c>
      <c r="R230" s="370" t="s">
        <v>907</v>
      </c>
      <c r="S230" s="373">
        <v>0</v>
      </c>
      <c r="T230" s="373">
        <v>0</v>
      </c>
      <c r="U230" s="373">
        <v>0</v>
      </c>
      <c r="V230" s="373">
        <v>0</v>
      </c>
      <c r="W230" s="370"/>
      <c r="X230" s="370" t="s">
        <v>293</v>
      </c>
      <c r="Y230" s="370" t="s">
        <v>294</v>
      </c>
      <c r="Z230" s="370" t="s">
        <v>42</v>
      </c>
      <c r="AA230" s="370" t="s">
        <v>228</v>
      </c>
      <c r="AB230" s="370" t="s">
        <v>235</v>
      </c>
      <c r="AC230" s="370" t="s">
        <v>331</v>
      </c>
      <c r="AD230" s="370" t="s">
        <v>231</v>
      </c>
      <c r="AE230" s="370" t="s">
        <v>232</v>
      </c>
      <c r="AF230" s="370" t="s">
        <v>231</v>
      </c>
      <c r="AG230" s="370" t="s">
        <v>232</v>
      </c>
      <c r="AH230" s="370"/>
      <c r="AI230" s="370"/>
      <c r="AJ230" s="370"/>
      <c r="AK230" s="370" t="s">
        <v>908</v>
      </c>
      <c r="AL230" s="371">
        <v>1</v>
      </c>
      <c r="AM230" s="371">
        <v>0</v>
      </c>
      <c r="AN230" s="372">
        <v>45978</v>
      </c>
      <c r="AO230" s="372">
        <v>45975</v>
      </c>
      <c r="AP230" s="373">
        <v>29.35</v>
      </c>
      <c r="AQ230" s="372">
        <v>45974</v>
      </c>
    </row>
    <row r="231" spans="1:43" ht="22.5" customHeight="1" x14ac:dyDescent="0.2">
      <c r="A231" s="370" t="s">
        <v>262</v>
      </c>
      <c r="B231" s="370"/>
      <c r="C231" s="370" t="s">
        <v>221</v>
      </c>
      <c r="D231" s="370" t="s">
        <v>222</v>
      </c>
      <c r="E231" s="371">
        <v>417776</v>
      </c>
      <c r="F231" s="371">
        <v>2455</v>
      </c>
      <c r="G231" s="371">
        <v>360</v>
      </c>
      <c r="H231" s="371">
        <v>0</v>
      </c>
      <c r="I231" s="372">
        <v>45959</v>
      </c>
      <c r="J231" s="370" t="s">
        <v>656</v>
      </c>
      <c r="K231" s="370" t="s">
        <v>909</v>
      </c>
      <c r="L231" s="373">
        <v>27.73</v>
      </c>
      <c r="M231" s="373">
        <v>1.53</v>
      </c>
      <c r="N231" s="444">
        <v>29.26</v>
      </c>
      <c r="O231" s="370"/>
      <c r="P231" s="374">
        <v>45978</v>
      </c>
      <c r="Q231" s="373">
        <v>29.26</v>
      </c>
      <c r="R231" s="370" t="s">
        <v>910</v>
      </c>
      <c r="S231" s="373">
        <v>0</v>
      </c>
      <c r="T231" s="373">
        <v>0</v>
      </c>
      <c r="U231" s="373">
        <v>0</v>
      </c>
      <c r="V231" s="373">
        <v>0</v>
      </c>
      <c r="W231" s="370"/>
      <c r="X231" s="370" t="s">
        <v>293</v>
      </c>
      <c r="Y231" s="370" t="s">
        <v>294</v>
      </c>
      <c r="Z231" s="370" t="s">
        <v>42</v>
      </c>
      <c r="AA231" s="370" t="s">
        <v>228</v>
      </c>
      <c r="AB231" s="370" t="s">
        <v>235</v>
      </c>
      <c r="AC231" s="370" t="s">
        <v>331</v>
      </c>
      <c r="AD231" s="370" t="s">
        <v>231</v>
      </c>
      <c r="AE231" s="370" t="s">
        <v>232</v>
      </c>
      <c r="AF231" s="370" t="s">
        <v>231</v>
      </c>
      <c r="AG231" s="370" t="s">
        <v>232</v>
      </c>
      <c r="AH231" s="370"/>
      <c r="AI231" s="370"/>
      <c r="AJ231" s="370"/>
      <c r="AK231" s="370" t="s">
        <v>911</v>
      </c>
      <c r="AL231" s="371">
        <v>1</v>
      </c>
      <c r="AM231" s="371">
        <v>0</v>
      </c>
      <c r="AN231" s="372">
        <v>45978</v>
      </c>
      <c r="AO231" s="372">
        <v>45975</v>
      </c>
      <c r="AP231" s="373">
        <v>29.26</v>
      </c>
      <c r="AQ231" s="372">
        <v>45974</v>
      </c>
    </row>
    <row r="232" spans="1:43" ht="22.5" customHeight="1" x14ac:dyDescent="0.2">
      <c r="A232" s="370" t="s">
        <v>262</v>
      </c>
      <c r="B232" s="370"/>
      <c r="C232" s="370" t="s">
        <v>221</v>
      </c>
      <c r="D232" s="370" t="s">
        <v>222</v>
      </c>
      <c r="E232" s="371">
        <v>417777</v>
      </c>
      <c r="F232" s="371">
        <v>2456</v>
      </c>
      <c r="G232" s="371">
        <v>360</v>
      </c>
      <c r="H232" s="371">
        <v>0</v>
      </c>
      <c r="I232" s="372">
        <v>45959</v>
      </c>
      <c r="J232" s="370" t="s">
        <v>656</v>
      </c>
      <c r="K232" s="370" t="s">
        <v>912</v>
      </c>
      <c r="L232" s="373">
        <v>27.61</v>
      </c>
      <c r="M232" s="373">
        <v>1.7</v>
      </c>
      <c r="N232" s="444">
        <v>29.31</v>
      </c>
      <c r="O232" s="370"/>
      <c r="P232" s="374">
        <v>45978</v>
      </c>
      <c r="Q232" s="373">
        <v>29.31</v>
      </c>
      <c r="R232" s="370" t="s">
        <v>913</v>
      </c>
      <c r="S232" s="373">
        <v>0</v>
      </c>
      <c r="T232" s="373">
        <v>0</v>
      </c>
      <c r="U232" s="373">
        <v>0</v>
      </c>
      <c r="V232" s="373">
        <v>0</v>
      </c>
      <c r="W232" s="370"/>
      <c r="X232" s="370" t="s">
        <v>293</v>
      </c>
      <c r="Y232" s="370" t="s">
        <v>294</v>
      </c>
      <c r="Z232" s="370" t="s">
        <v>42</v>
      </c>
      <c r="AA232" s="370" t="s">
        <v>228</v>
      </c>
      <c r="AB232" s="370" t="s">
        <v>235</v>
      </c>
      <c r="AC232" s="370" t="s">
        <v>331</v>
      </c>
      <c r="AD232" s="370" t="s">
        <v>231</v>
      </c>
      <c r="AE232" s="370" t="s">
        <v>232</v>
      </c>
      <c r="AF232" s="370" t="s">
        <v>231</v>
      </c>
      <c r="AG232" s="370" t="s">
        <v>232</v>
      </c>
      <c r="AH232" s="370"/>
      <c r="AI232" s="370"/>
      <c r="AJ232" s="370"/>
      <c r="AK232" s="370" t="s">
        <v>914</v>
      </c>
      <c r="AL232" s="371">
        <v>1</v>
      </c>
      <c r="AM232" s="371">
        <v>0</v>
      </c>
      <c r="AN232" s="372">
        <v>45978</v>
      </c>
      <c r="AO232" s="372">
        <v>45975</v>
      </c>
      <c r="AP232" s="373">
        <v>29.31</v>
      </c>
      <c r="AQ232" s="372">
        <v>45974</v>
      </c>
    </row>
    <row r="233" spans="1:43" ht="22.5" customHeight="1" x14ac:dyDescent="0.2">
      <c r="A233" s="370" t="s">
        <v>262</v>
      </c>
      <c r="B233" s="370"/>
      <c r="C233" s="370" t="s">
        <v>221</v>
      </c>
      <c r="D233" s="370" t="s">
        <v>222</v>
      </c>
      <c r="E233" s="371">
        <v>417778</v>
      </c>
      <c r="F233" s="371">
        <v>2457</v>
      </c>
      <c r="G233" s="371">
        <v>360</v>
      </c>
      <c r="H233" s="371">
        <v>0</v>
      </c>
      <c r="I233" s="372">
        <v>45959</v>
      </c>
      <c r="J233" s="370" t="s">
        <v>656</v>
      </c>
      <c r="K233" s="370" t="s">
        <v>915</v>
      </c>
      <c r="L233" s="373">
        <v>27.18</v>
      </c>
      <c r="M233" s="373">
        <v>2.1</v>
      </c>
      <c r="N233" s="444">
        <v>29.28</v>
      </c>
      <c r="O233" s="370"/>
      <c r="P233" s="374">
        <v>45978</v>
      </c>
      <c r="Q233" s="373">
        <v>29.28</v>
      </c>
      <c r="R233" s="370" t="s">
        <v>916</v>
      </c>
      <c r="S233" s="373">
        <v>0</v>
      </c>
      <c r="T233" s="373">
        <v>0</v>
      </c>
      <c r="U233" s="373">
        <v>0</v>
      </c>
      <c r="V233" s="373">
        <v>0</v>
      </c>
      <c r="W233" s="370"/>
      <c r="X233" s="370" t="s">
        <v>293</v>
      </c>
      <c r="Y233" s="370" t="s">
        <v>294</v>
      </c>
      <c r="Z233" s="370" t="s">
        <v>42</v>
      </c>
      <c r="AA233" s="370" t="s">
        <v>228</v>
      </c>
      <c r="AB233" s="370" t="s">
        <v>235</v>
      </c>
      <c r="AC233" s="370" t="s">
        <v>331</v>
      </c>
      <c r="AD233" s="370" t="s">
        <v>231</v>
      </c>
      <c r="AE233" s="370" t="s">
        <v>232</v>
      </c>
      <c r="AF233" s="370" t="s">
        <v>231</v>
      </c>
      <c r="AG233" s="370" t="s">
        <v>232</v>
      </c>
      <c r="AH233" s="370"/>
      <c r="AI233" s="370"/>
      <c r="AJ233" s="370"/>
      <c r="AK233" s="370" t="s">
        <v>917</v>
      </c>
      <c r="AL233" s="371">
        <v>1</v>
      </c>
      <c r="AM233" s="371">
        <v>0</v>
      </c>
      <c r="AN233" s="372">
        <v>45978</v>
      </c>
      <c r="AO233" s="372">
        <v>45975</v>
      </c>
      <c r="AP233" s="373">
        <v>29.28</v>
      </c>
      <c r="AQ233" s="372">
        <v>45974</v>
      </c>
    </row>
    <row r="234" spans="1:43" ht="22.5" customHeight="1" x14ac:dyDescent="0.2">
      <c r="A234" s="370" t="s">
        <v>262</v>
      </c>
      <c r="B234" s="370"/>
      <c r="C234" s="370" t="s">
        <v>221</v>
      </c>
      <c r="D234" s="370" t="s">
        <v>222</v>
      </c>
      <c r="E234" s="371">
        <v>417779</v>
      </c>
      <c r="F234" s="371">
        <v>2458</v>
      </c>
      <c r="G234" s="371">
        <v>360</v>
      </c>
      <c r="H234" s="371">
        <v>0</v>
      </c>
      <c r="I234" s="372">
        <v>45959</v>
      </c>
      <c r="J234" s="370" t="s">
        <v>656</v>
      </c>
      <c r="K234" s="370" t="s">
        <v>918</v>
      </c>
      <c r="L234" s="373">
        <v>28.09</v>
      </c>
      <c r="M234" s="373">
        <v>1.54</v>
      </c>
      <c r="N234" s="444">
        <v>29.63</v>
      </c>
      <c r="O234" s="370"/>
      <c r="P234" s="374">
        <v>45978</v>
      </c>
      <c r="Q234" s="373">
        <v>29.63</v>
      </c>
      <c r="R234" s="370" t="s">
        <v>919</v>
      </c>
      <c r="S234" s="373">
        <v>0</v>
      </c>
      <c r="T234" s="373">
        <v>0</v>
      </c>
      <c r="U234" s="373">
        <v>0</v>
      </c>
      <c r="V234" s="373">
        <v>0</v>
      </c>
      <c r="W234" s="370"/>
      <c r="X234" s="370" t="s">
        <v>293</v>
      </c>
      <c r="Y234" s="370" t="s">
        <v>294</v>
      </c>
      <c r="Z234" s="370" t="s">
        <v>42</v>
      </c>
      <c r="AA234" s="370" t="s">
        <v>228</v>
      </c>
      <c r="AB234" s="370" t="s">
        <v>235</v>
      </c>
      <c r="AC234" s="370" t="s">
        <v>331</v>
      </c>
      <c r="AD234" s="370" t="s">
        <v>231</v>
      </c>
      <c r="AE234" s="370" t="s">
        <v>232</v>
      </c>
      <c r="AF234" s="370" t="s">
        <v>231</v>
      </c>
      <c r="AG234" s="370" t="s">
        <v>232</v>
      </c>
      <c r="AH234" s="370"/>
      <c r="AI234" s="370"/>
      <c r="AJ234" s="370"/>
      <c r="AK234" s="370" t="s">
        <v>920</v>
      </c>
      <c r="AL234" s="371">
        <v>1</v>
      </c>
      <c r="AM234" s="371">
        <v>0</v>
      </c>
      <c r="AN234" s="372">
        <v>45978</v>
      </c>
      <c r="AO234" s="372">
        <v>45975</v>
      </c>
      <c r="AP234" s="373">
        <v>29.63</v>
      </c>
      <c r="AQ234" s="372">
        <v>45974</v>
      </c>
    </row>
    <row r="235" spans="1:43" s="14" customFormat="1" ht="22.5" customHeight="1" x14ac:dyDescent="0.2">
      <c r="A235" s="408" t="s">
        <v>408</v>
      </c>
      <c r="B235" s="408"/>
      <c r="C235" s="408" t="s">
        <v>221</v>
      </c>
      <c r="D235" s="408" t="s">
        <v>222</v>
      </c>
      <c r="E235" s="409">
        <v>417796</v>
      </c>
      <c r="F235" s="409">
        <v>2386</v>
      </c>
      <c r="G235" s="409">
        <v>353</v>
      </c>
      <c r="H235" s="409">
        <v>0</v>
      </c>
      <c r="I235" s="410">
        <v>45957</v>
      </c>
      <c r="J235" s="408" t="s">
        <v>281</v>
      </c>
      <c r="K235" s="408" t="s">
        <v>921</v>
      </c>
      <c r="L235" s="411">
        <v>100</v>
      </c>
      <c r="M235" s="411">
        <v>20</v>
      </c>
      <c r="N235" s="450">
        <v>120</v>
      </c>
      <c r="O235" s="408"/>
      <c r="P235" s="412">
        <v>45959</v>
      </c>
      <c r="Q235" s="411">
        <v>120</v>
      </c>
      <c r="R235" s="408"/>
      <c r="S235" s="411">
        <v>0</v>
      </c>
      <c r="T235" s="411">
        <v>0</v>
      </c>
      <c r="U235" s="411">
        <v>0</v>
      </c>
      <c r="V235" s="411">
        <v>0</v>
      </c>
      <c r="W235" s="408"/>
      <c r="X235" s="408" t="s">
        <v>283</v>
      </c>
      <c r="Y235" s="408" t="s">
        <v>284</v>
      </c>
      <c r="Z235" s="408" t="s">
        <v>57</v>
      </c>
      <c r="AA235" s="408" t="s">
        <v>228</v>
      </c>
      <c r="AB235" s="408" t="s">
        <v>58</v>
      </c>
      <c r="AC235" s="408" t="s">
        <v>59</v>
      </c>
      <c r="AD235" s="408" t="s">
        <v>231</v>
      </c>
      <c r="AE235" s="408" t="s">
        <v>232</v>
      </c>
      <c r="AF235" s="408" t="s">
        <v>231</v>
      </c>
      <c r="AG235" s="408" t="s">
        <v>232</v>
      </c>
      <c r="AH235" s="408"/>
      <c r="AI235" s="408"/>
      <c r="AJ235" s="408"/>
      <c r="AK235" s="408"/>
      <c r="AL235" s="409">
        <v>1</v>
      </c>
      <c r="AM235" s="409">
        <v>0</v>
      </c>
      <c r="AN235" s="410">
        <v>45959</v>
      </c>
      <c r="AO235" s="410">
        <v>45959</v>
      </c>
      <c r="AP235" s="411">
        <v>120</v>
      </c>
      <c r="AQ235" s="410">
        <v>45958</v>
      </c>
    </row>
    <row r="236" spans="1:43" s="14" customFormat="1" ht="22.5" customHeight="1" x14ac:dyDescent="0.2">
      <c r="A236" s="408" t="s">
        <v>408</v>
      </c>
      <c r="B236" s="408"/>
      <c r="C236" s="408" t="s">
        <v>221</v>
      </c>
      <c r="D236" s="408" t="s">
        <v>222</v>
      </c>
      <c r="E236" s="409">
        <v>417806</v>
      </c>
      <c r="F236" s="409">
        <v>2392</v>
      </c>
      <c r="G236" s="409">
        <v>353</v>
      </c>
      <c r="H236" s="409">
        <v>0</v>
      </c>
      <c r="I236" s="410">
        <v>45957</v>
      </c>
      <c r="J236" s="408" t="s">
        <v>281</v>
      </c>
      <c r="K236" s="408" t="s">
        <v>922</v>
      </c>
      <c r="L236" s="411">
        <v>10.79</v>
      </c>
      <c r="M236" s="411">
        <v>2.16</v>
      </c>
      <c r="N236" s="450">
        <v>12.95</v>
      </c>
      <c r="O236" s="408"/>
      <c r="P236" s="412">
        <v>45959</v>
      </c>
      <c r="Q236" s="411">
        <v>12.95</v>
      </c>
      <c r="R236" s="408"/>
      <c r="S236" s="411">
        <v>0</v>
      </c>
      <c r="T236" s="411">
        <v>0</v>
      </c>
      <c r="U236" s="411">
        <v>0</v>
      </c>
      <c r="V236" s="411">
        <v>0</v>
      </c>
      <c r="W236" s="408"/>
      <c r="X236" s="408" t="s">
        <v>283</v>
      </c>
      <c r="Y236" s="408" t="s">
        <v>284</v>
      </c>
      <c r="Z236" s="408" t="s">
        <v>46</v>
      </c>
      <c r="AA236" s="408" t="s">
        <v>228</v>
      </c>
      <c r="AB236" s="408" t="s">
        <v>285</v>
      </c>
      <c r="AC236" s="408" t="s">
        <v>286</v>
      </c>
      <c r="AD236" s="408" t="s">
        <v>231</v>
      </c>
      <c r="AE236" s="408" t="s">
        <v>232</v>
      </c>
      <c r="AF236" s="408" t="s">
        <v>231</v>
      </c>
      <c r="AG236" s="408" t="s">
        <v>232</v>
      </c>
      <c r="AH236" s="408"/>
      <c r="AI236" s="408"/>
      <c r="AJ236" s="408"/>
      <c r="AK236" s="408"/>
      <c r="AL236" s="409">
        <v>1</v>
      </c>
      <c r="AM236" s="409">
        <v>0</v>
      </c>
      <c r="AN236" s="410">
        <v>45959</v>
      </c>
      <c r="AO236" s="410">
        <v>45959</v>
      </c>
      <c r="AP236" s="411">
        <v>12.95</v>
      </c>
      <c r="AQ236" s="410">
        <v>45958</v>
      </c>
    </row>
    <row r="237" spans="1:43" ht="22.5" customHeight="1" x14ac:dyDescent="0.2">
      <c r="A237" s="358" t="s">
        <v>262</v>
      </c>
      <c r="B237" s="358"/>
      <c r="C237" s="358" t="s">
        <v>221</v>
      </c>
      <c r="D237" s="358" t="s">
        <v>222</v>
      </c>
      <c r="E237" s="359">
        <v>417810</v>
      </c>
      <c r="F237" s="359">
        <v>2399</v>
      </c>
      <c r="G237" s="359">
        <v>355</v>
      </c>
      <c r="H237" s="359">
        <v>0</v>
      </c>
      <c r="I237" s="360">
        <v>45958</v>
      </c>
      <c r="J237" s="358" t="s">
        <v>263</v>
      </c>
      <c r="K237" s="358" t="s">
        <v>923</v>
      </c>
      <c r="L237" s="361">
        <v>202.18</v>
      </c>
      <c r="M237" s="361">
        <v>12.89</v>
      </c>
      <c r="N237" s="448">
        <v>215.07</v>
      </c>
      <c r="O237" s="358"/>
      <c r="P237" s="362">
        <v>45959</v>
      </c>
      <c r="Q237" s="361">
        <v>215.07</v>
      </c>
      <c r="R237" s="358" t="s">
        <v>924</v>
      </c>
      <c r="S237" s="361">
        <v>0</v>
      </c>
      <c r="T237" s="361">
        <v>0</v>
      </c>
      <c r="U237" s="361">
        <v>0</v>
      </c>
      <c r="V237" s="361">
        <v>0</v>
      </c>
      <c r="W237" s="358"/>
      <c r="X237" s="358" t="s">
        <v>365</v>
      </c>
      <c r="Y237" s="358" t="s">
        <v>366</v>
      </c>
      <c r="Z237" s="358" t="s">
        <v>46</v>
      </c>
      <c r="AA237" s="358" t="s">
        <v>228</v>
      </c>
      <c r="AB237" s="358" t="s">
        <v>289</v>
      </c>
      <c r="AC237" s="358" t="s">
        <v>31</v>
      </c>
      <c r="AD237" s="358" t="s">
        <v>231</v>
      </c>
      <c r="AE237" s="358" t="s">
        <v>232</v>
      </c>
      <c r="AF237" s="358" t="s">
        <v>231</v>
      </c>
      <c r="AG237" s="358" t="s">
        <v>232</v>
      </c>
      <c r="AH237" s="358"/>
      <c r="AI237" s="358"/>
      <c r="AJ237" s="358"/>
      <c r="AK237" s="358" t="s">
        <v>925</v>
      </c>
      <c r="AL237" s="359">
        <v>1</v>
      </c>
      <c r="AM237" s="359">
        <v>0</v>
      </c>
      <c r="AN237" s="360">
        <v>45959</v>
      </c>
      <c r="AO237" s="360">
        <v>45959</v>
      </c>
      <c r="AP237" s="361">
        <v>215.07</v>
      </c>
      <c r="AQ237" s="360">
        <v>45958</v>
      </c>
    </row>
    <row r="238" spans="1:43" ht="22.5" customHeight="1" x14ac:dyDescent="0.2">
      <c r="A238" s="352" t="s">
        <v>262</v>
      </c>
      <c r="B238" s="352"/>
      <c r="C238" s="352" t="s">
        <v>221</v>
      </c>
      <c r="D238" s="352" t="s">
        <v>222</v>
      </c>
      <c r="E238" s="353">
        <v>417829</v>
      </c>
      <c r="F238" s="353">
        <v>2397</v>
      </c>
      <c r="G238" s="353">
        <v>355</v>
      </c>
      <c r="H238" s="353">
        <v>0</v>
      </c>
      <c r="I238" s="354">
        <v>45958</v>
      </c>
      <c r="J238" s="352" t="s">
        <v>263</v>
      </c>
      <c r="K238" s="352" t="s">
        <v>926</v>
      </c>
      <c r="L238" s="355">
        <v>47</v>
      </c>
      <c r="M238" s="355">
        <v>2.59</v>
      </c>
      <c r="N238" s="449">
        <v>49.59</v>
      </c>
      <c r="O238" s="352"/>
      <c r="P238" s="356">
        <v>45959</v>
      </c>
      <c r="Q238" s="355">
        <v>49.59</v>
      </c>
      <c r="R238" s="352" t="s">
        <v>927</v>
      </c>
      <c r="S238" s="355">
        <v>0</v>
      </c>
      <c r="T238" s="355">
        <v>0</v>
      </c>
      <c r="U238" s="355">
        <v>0</v>
      </c>
      <c r="V238" s="355">
        <v>0</v>
      </c>
      <c r="W238" s="352"/>
      <c r="X238" s="352" t="s">
        <v>308</v>
      </c>
      <c r="Y238" s="352" t="s">
        <v>309</v>
      </c>
      <c r="Z238" s="352" t="s">
        <v>42</v>
      </c>
      <c r="AA238" s="352" t="s">
        <v>228</v>
      </c>
      <c r="AB238" s="352" t="s">
        <v>34</v>
      </c>
      <c r="AC238" s="352" t="s">
        <v>43</v>
      </c>
      <c r="AD238" s="352" t="s">
        <v>231</v>
      </c>
      <c r="AE238" s="352" t="s">
        <v>232</v>
      </c>
      <c r="AF238" s="352" t="s">
        <v>231</v>
      </c>
      <c r="AG238" s="352" t="s">
        <v>232</v>
      </c>
      <c r="AH238" s="352"/>
      <c r="AI238" s="352"/>
      <c r="AJ238" s="352"/>
      <c r="AK238" s="352" t="s">
        <v>928</v>
      </c>
      <c r="AL238" s="353">
        <v>1</v>
      </c>
      <c r="AM238" s="353">
        <v>0</v>
      </c>
      <c r="AN238" s="354">
        <v>45959</v>
      </c>
      <c r="AO238" s="354">
        <v>45959</v>
      </c>
      <c r="AP238" s="355">
        <v>49.59</v>
      </c>
      <c r="AQ238" s="354">
        <v>45958</v>
      </c>
    </row>
    <row r="239" spans="1:43" ht="22.5" customHeight="1" x14ac:dyDescent="0.2">
      <c r="A239" s="347" t="s">
        <v>262</v>
      </c>
      <c r="B239" s="347"/>
      <c r="C239" s="347" t="s">
        <v>221</v>
      </c>
      <c r="D239" s="347" t="s">
        <v>222</v>
      </c>
      <c r="E239" s="348">
        <v>417830</v>
      </c>
      <c r="F239" s="348">
        <v>2398</v>
      </c>
      <c r="G239" s="348">
        <v>355</v>
      </c>
      <c r="H239" s="348">
        <v>0</v>
      </c>
      <c r="I239" s="349">
        <v>45958</v>
      </c>
      <c r="J239" s="347" t="s">
        <v>263</v>
      </c>
      <c r="K239" s="347" t="s">
        <v>929</v>
      </c>
      <c r="L239" s="344">
        <v>34.380000000000003</v>
      </c>
      <c r="M239" s="344">
        <v>1.89</v>
      </c>
      <c r="N239" s="447">
        <v>36.270000000000003</v>
      </c>
      <c r="O239" s="347"/>
      <c r="P239" s="350">
        <v>45959</v>
      </c>
      <c r="Q239" s="344">
        <v>36.270000000000003</v>
      </c>
      <c r="R239" s="347" t="s">
        <v>930</v>
      </c>
      <c r="S239" s="344">
        <v>0</v>
      </c>
      <c r="T239" s="344">
        <v>0</v>
      </c>
      <c r="U239" s="344">
        <v>0</v>
      </c>
      <c r="V239" s="344">
        <v>0</v>
      </c>
      <c r="W239" s="347"/>
      <c r="X239" s="347" t="s">
        <v>308</v>
      </c>
      <c r="Y239" s="347" t="s">
        <v>309</v>
      </c>
      <c r="Z239" s="347" t="s">
        <v>46</v>
      </c>
      <c r="AA239" s="347" t="s">
        <v>228</v>
      </c>
      <c r="AB239" s="347" t="s">
        <v>34</v>
      </c>
      <c r="AC239" s="347" t="s">
        <v>47</v>
      </c>
      <c r="AD239" s="347" t="s">
        <v>231</v>
      </c>
      <c r="AE239" s="347" t="s">
        <v>232</v>
      </c>
      <c r="AF239" s="347" t="s">
        <v>231</v>
      </c>
      <c r="AG239" s="347" t="s">
        <v>232</v>
      </c>
      <c r="AH239" s="347"/>
      <c r="AI239" s="347"/>
      <c r="AJ239" s="347"/>
      <c r="AK239" s="347" t="s">
        <v>931</v>
      </c>
      <c r="AL239" s="348">
        <v>1</v>
      </c>
      <c r="AM239" s="348">
        <v>0</v>
      </c>
      <c r="AN239" s="349">
        <v>45959</v>
      </c>
      <c r="AO239" s="349">
        <v>45959</v>
      </c>
      <c r="AP239" s="344">
        <v>36.270000000000003</v>
      </c>
      <c r="AQ239" s="349">
        <v>45958</v>
      </c>
    </row>
    <row r="240" spans="1:43" ht="22.5" customHeight="1" x14ac:dyDescent="0.2">
      <c r="A240" s="352" t="s">
        <v>262</v>
      </c>
      <c r="B240" s="352"/>
      <c r="C240" s="352" t="s">
        <v>221</v>
      </c>
      <c r="D240" s="352" t="s">
        <v>222</v>
      </c>
      <c r="E240" s="353">
        <v>417891</v>
      </c>
      <c r="F240" s="353">
        <v>2467</v>
      </c>
      <c r="G240" s="353">
        <v>361</v>
      </c>
      <c r="H240" s="353">
        <v>0</v>
      </c>
      <c r="I240" s="354">
        <v>45959</v>
      </c>
      <c r="J240" s="352" t="s">
        <v>263</v>
      </c>
      <c r="K240" s="352" t="s">
        <v>932</v>
      </c>
      <c r="L240" s="355">
        <v>77.63</v>
      </c>
      <c r="M240" s="355">
        <v>4.2699999999999996</v>
      </c>
      <c r="N240" s="449">
        <v>81.900000000000006</v>
      </c>
      <c r="O240" s="352"/>
      <c r="P240" s="356">
        <v>45978</v>
      </c>
      <c r="Q240" s="355">
        <v>81.900000000000006</v>
      </c>
      <c r="R240" s="352" t="s">
        <v>312</v>
      </c>
      <c r="S240" s="355">
        <v>0</v>
      </c>
      <c r="T240" s="355">
        <v>0</v>
      </c>
      <c r="U240" s="355">
        <v>0</v>
      </c>
      <c r="V240" s="355">
        <v>0</v>
      </c>
      <c r="W240" s="352"/>
      <c r="X240" s="352" t="s">
        <v>308</v>
      </c>
      <c r="Y240" s="352" t="s">
        <v>309</v>
      </c>
      <c r="Z240" s="352" t="s">
        <v>42</v>
      </c>
      <c r="AA240" s="352" t="s">
        <v>228</v>
      </c>
      <c r="AB240" s="352" t="s">
        <v>34</v>
      </c>
      <c r="AC240" s="352" t="s">
        <v>43</v>
      </c>
      <c r="AD240" s="352" t="s">
        <v>231</v>
      </c>
      <c r="AE240" s="352" t="s">
        <v>232</v>
      </c>
      <c r="AF240" s="352" t="s">
        <v>231</v>
      </c>
      <c r="AG240" s="352" t="s">
        <v>232</v>
      </c>
      <c r="AH240" s="352"/>
      <c r="AI240" s="352"/>
      <c r="AJ240" s="352"/>
      <c r="AK240" s="352" t="s">
        <v>933</v>
      </c>
      <c r="AL240" s="353">
        <v>1</v>
      </c>
      <c r="AM240" s="353">
        <v>0</v>
      </c>
      <c r="AN240" s="354">
        <v>45978</v>
      </c>
      <c r="AO240" s="354">
        <v>45975</v>
      </c>
      <c r="AP240" s="355">
        <v>81.900000000000006</v>
      </c>
      <c r="AQ240" s="354">
        <v>45974</v>
      </c>
    </row>
    <row r="241" spans="1:43" ht="22.5" customHeight="1" x14ac:dyDescent="0.2">
      <c r="A241" s="413" t="s">
        <v>262</v>
      </c>
      <c r="B241" s="413"/>
      <c r="C241" s="413" t="s">
        <v>221</v>
      </c>
      <c r="D241" s="413" t="s">
        <v>222</v>
      </c>
      <c r="E241" s="414">
        <v>417892</v>
      </c>
      <c r="F241" s="414">
        <v>2468</v>
      </c>
      <c r="G241" s="414">
        <v>361</v>
      </c>
      <c r="H241" s="414">
        <v>0</v>
      </c>
      <c r="I241" s="415">
        <v>45959</v>
      </c>
      <c r="J241" s="413" t="s">
        <v>263</v>
      </c>
      <c r="K241" s="413" t="s">
        <v>934</v>
      </c>
      <c r="L241" s="416">
        <v>62.1</v>
      </c>
      <c r="M241" s="416">
        <v>3.42</v>
      </c>
      <c r="N241" s="446">
        <v>65.52</v>
      </c>
      <c r="O241" s="413"/>
      <c r="P241" s="417">
        <v>45978</v>
      </c>
      <c r="Q241" s="416">
        <v>65.52</v>
      </c>
      <c r="R241" s="413" t="s">
        <v>315</v>
      </c>
      <c r="S241" s="416">
        <v>0</v>
      </c>
      <c r="T241" s="416">
        <v>0</v>
      </c>
      <c r="U241" s="416">
        <v>0</v>
      </c>
      <c r="V241" s="416">
        <v>0</v>
      </c>
      <c r="W241" s="413"/>
      <c r="X241" s="413" t="s">
        <v>308</v>
      </c>
      <c r="Y241" s="413" t="s">
        <v>309</v>
      </c>
      <c r="Z241" s="413" t="s">
        <v>42</v>
      </c>
      <c r="AA241" s="413" t="s">
        <v>228</v>
      </c>
      <c r="AB241" s="413" t="s">
        <v>34</v>
      </c>
      <c r="AC241" s="413" t="s">
        <v>50</v>
      </c>
      <c r="AD241" s="413" t="s">
        <v>231</v>
      </c>
      <c r="AE241" s="413" t="s">
        <v>232</v>
      </c>
      <c r="AF241" s="413" t="s">
        <v>231</v>
      </c>
      <c r="AG241" s="413" t="s">
        <v>232</v>
      </c>
      <c r="AH241" s="413"/>
      <c r="AI241" s="413"/>
      <c r="AJ241" s="413"/>
      <c r="AK241" s="413" t="s">
        <v>935</v>
      </c>
      <c r="AL241" s="414">
        <v>1</v>
      </c>
      <c r="AM241" s="414">
        <v>0</v>
      </c>
      <c r="AN241" s="415">
        <v>45978</v>
      </c>
      <c r="AO241" s="415">
        <v>45975</v>
      </c>
      <c r="AP241" s="416">
        <v>65.52</v>
      </c>
      <c r="AQ241" s="415">
        <v>45974</v>
      </c>
    </row>
    <row r="242" spans="1:43" ht="22.5" customHeight="1" x14ac:dyDescent="0.2">
      <c r="A242" s="418" t="s">
        <v>262</v>
      </c>
      <c r="B242" s="418"/>
      <c r="C242" s="418" t="s">
        <v>221</v>
      </c>
      <c r="D242" s="418" t="s">
        <v>222</v>
      </c>
      <c r="E242" s="419">
        <v>417893</v>
      </c>
      <c r="F242" s="419">
        <v>2469</v>
      </c>
      <c r="G242" s="419">
        <v>361</v>
      </c>
      <c r="H242" s="419">
        <v>0</v>
      </c>
      <c r="I242" s="420">
        <v>45959</v>
      </c>
      <c r="J242" s="418" t="s">
        <v>263</v>
      </c>
      <c r="K242" s="418" t="s">
        <v>936</v>
      </c>
      <c r="L242" s="421">
        <v>62.1</v>
      </c>
      <c r="M242" s="421">
        <v>3.42</v>
      </c>
      <c r="N242" s="443">
        <v>65.52</v>
      </c>
      <c r="O242" s="418"/>
      <c r="P242" s="422">
        <v>45978</v>
      </c>
      <c r="Q242" s="421">
        <v>65.52</v>
      </c>
      <c r="R242" s="418" t="s">
        <v>318</v>
      </c>
      <c r="S242" s="421">
        <v>0</v>
      </c>
      <c r="T242" s="421">
        <v>0</v>
      </c>
      <c r="U242" s="421">
        <v>0</v>
      </c>
      <c r="V242" s="421">
        <v>0</v>
      </c>
      <c r="W242" s="418"/>
      <c r="X242" s="418" t="s">
        <v>308</v>
      </c>
      <c r="Y242" s="418" t="s">
        <v>309</v>
      </c>
      <c r="Z242" s="418" t="s">
        <v>42</v>
      </c>
      <c r="AA242" s="418" t="s">
        <v>228</v>
      </c>
      <c r="AB242" s="418" t="s">
        <v>34</v>
      </c>
      <c r="AC242" s="418" t="s">
        <v>250</v>
      </c>
      <c r="AD242" s="418" t="s">
        <v>231</v>
      </c>
      <c r="AE242" s="418" t="s">
        <v>232</v>
      </c>
      <c r="AF242" s="418" t="s">
        <v>231</v>
      </c>
      <c r="AG242" s="418" t="s">
        <v>232</v>
      </c>
      <c r="AH242" s="418"/>
      <c r="AI242" s="418"/>
      <c r="AJ242" s="418"/>
      <c r="AK242" s="418" t="s">
        <v>937</v>
      </c>
      <c r="AL242" s="419">
        <v>1</v>
      </c>
      <c r="AM242" s="419">
        <v>0</v>
      </c>
      <c r="AN242" s="420">
        <v>45978</v>
      </c>
      <c r="AO242" s="420">
        <v>45975</v>
      </c>
      <c r="AP242" s="421">
        <v>65.52</v>
      </c>
      <c r="AQ242" s="420">
        <v>45974</v>
      </c>
    </row>
    <row r="243" spans="1:43" ht="22.5" customHeight="1" x14ac:dyDescent="0.2">
      <c r="A243" s="358" t="s">
        <v>262</v>
      </c>
      <c r="B243" s="358"/>
      <c r="C243" s="358" t="s">
        <v>221</v>
      </c>
      <c r="D243" s="358" t="s">
        <v>222</v>
      </c>
      <c r="E243" s="359">
        <v>417894</v>
      </c>
      <c r="F243" s="359">
        <v>2470</v>
      </c>
      <c r="G243" s="359">
        <v>361</v>
      </c>
      <c r="H243" s="359">
        <v>0</v>
      </c>
      <c r="I243" s="360">
        <v>45959</v>
      </c>
      <c r="J243" s="358" t="s">
        <v>263</v>
      </c>
      <c r="K243" s="358" t="s">
        <v>938</v>
      </c>
      <c r="L243" s="361">
        <v>1329.7</v>
      </c>
      <c r="M243" s="361">
        <v>73.13</v>
      </c>
      <c r="N243" s="448">
        <v>1402.83</v>
      </c>
      <c r="O243" s="358"/>
      <c r="P243" s="362">
        <v>45978</v>
      </c>
      <c r="Q243" s="361">
        <v>1402.83</v>
      </c>
      <c r="R243" s="358" t="s">
        <v>321</v>
      </c>
      <c r="S243" s="361">
        <v>0</v>
      </c>
      <c r="T243" s="361">
        <v>0</v>
      </c>
      <c r="U243" s="361">
        <v>0</v>
      </c>
      <c r="V243" s="361">
        <v>0</v>
      </c>
      <c r="W243" s="358"/>
      <c r="X243" s="358" t="s">
        <v>308</v>
      </c>
      <c r="Y243" s="358" t="s">
        <v>309</v>
      </c>
      <c r="Z243" s="358" t="s">
        <v>32</v>
      </c>
      <c r="AA243" s="358" t="s">
        <v>228</v>
      </c>
      <c r="AB243" s="358" t="s">
        <v>34</v>
      </c>
      <c r="AC243" s="358" t="s">
        <v>31</v>
      </c>
      <c r="AD243" s="358" t="s">
        <v>231</v>
      </c>
      <c r="AE243" s="358" t="s">
        <v>232</v>
      </c>
      <c r="AF243" s="358" t="s">
        <v>231</v>
      </c>
      <c r="AG243" s="358" t="s">
        <v>232</v>
      </c>
      <c r="AH243" s="358"/>
      <c r="AI243" s="358"/>
      <c r="AJ243" s="358"/>
      <c r="AK243" s="358" t="s">
        <v>939</v>
      </c>
      <c r="AL243" s="359">
        <v>1</v>
      </c>
      <c r="AM243" s="359">
        <v>0</v>
      </c>
      <c r="AN243" s="360">
        <v>45978</v>
      </c>
      <c r="AO243" s="360">
        <v>45975</v>
      </c>
      <c r="AP243" s="361">
        <v>1402.83</v>
      </c>
      <c r="AQ243" s="360">
        <v>45974</v>
      </c>
    </row>
    <row r="244" spans="1:43" ht="22.5" customHeight="1" x14ac:dyDescent="0.2">
      <c r="A244" s="358" t="s">
        <v>262</v>
      </c>
      <c r="B244" s="358"/>
      <c r="C244" s="358" t="s">
        <v>221</v>
      </c>
      <c r="D244" s="358" t="s">
        <v>222</v>
      </c>
      <c r="E244" s="359">
        <v>417920</v>
      </c>
      <c r="F244" s="359">
        <v>2471</v>
      </c>
      <c r="G244" s="359">
        <v>361</v>
      </c>
      <c r="H244" s="359">
        <v>0</v>
      </c>
      <c r="I244" s="360">
        <v>45959</v>
      </c>
      <c r="J244" s="358" t="s">
        <v>263</v>
      </c>
      <c r="K244" s="358" t="s">
        <v>940</v>
      </c>
      <c r="L244" s="361">
        <v>39.17</v>
      </c>
      <c r="M244" s="361">
        <v>2.15</v>
      </c>
      <c r="N244" s="448">
        <v>41.32</v>
      </c>
      <c r="O244" s="358"/>
      <c r="P244" s="362">
        <v>45978</v>
      </c>
      <c r="Q244" s="361">
        <v>41.32</v>
      </c>
      <c r="R244" s="358" t="s">
        <v>941</v>
      </c>
      <c r="S244" s="361">
        <v>0</v>
      </c>
      <c r="T244" s="361">
        <v>0</v>
      </c>
      <c r="U244" s="361">
        <v>0</v>
      </c>
      <c r="V244" s="361">
        <v>0</v>
      </c>
      <c r="W244" s="358"/>
      <c r="X244" s="358" t="s">
        <v>308</v>
      </c>
      <c r="Y244" s="358" t="s">
        <v>309</v>
      </c>
      <c r="Z244" s="358" t="s">
        <v>32</v>
      </c>
      <c r="AA244" s="358" t="s">
        <v>228</v>
      </c>
      <c r="AB244" s="358" t="s">
        <v>34</v>
      </c>
      <c r="AC244" s="358" t="s">
        <v>31</v>
      </c>
      <c r="AD244" s="358" t="s">
        <v>231</v>
      </c>
      <c r="AE244" s="358" t="s">
        <v>232</v>
      </c>
      <c r="AF244" s="358" t="s">
        <v>231</v>
      </c>
      <c r="AG244" s="358" t="s">
        <v>232</v>
      </c>
      <c r="AH244" s="358"/>
      <c r="AI244" s="358"/>
      <c r="AJ244" s="358"/>
      <c r="AK244" s="358" t="s">
        <v>942</v>
      </c>
      <c r="AL244" s="359">
        <v>1</v>
      </c>
      <c r="AM244" s="359">
        <v>0</v>
      </c>
      <c r="AN244" s="360">
        <v>45978</v>
      </c>
      <c r="AO244" s="360">
        <v>45975</v>
      </c>
      <c r="AP244" s="361">
        <v>41.32</v>
      </c>
      <c r="AQ244" s="360">
        <v>45974</v>
      </c>
    </row>
    <row r="245" spans="1:43" ht="22.5" customHeight="1" x14ac:dyDescent="0.2">
      <c r="A245" s="370" t="s">
        <v>262</v>
      </c>
      <c r="B245" s="370"/>
      <c r="C245" s="370" t="s">
        <v>221</v>
      </c>
      <c r="D245" s="370" t="s">
        <v>222</v>
      </c>
      <c r="E245" s="371">
        <v>417939</v>
      </c>
      <c r="F245" s="371">
        <v>2489</v>
      </c>
      <c r="G245" s="371">
        <v>363</v>
      </c>
      <c r="H245" s="371">
        <v>0</v>
      </c>
      <c r="I245" s="372">
        <v>45959</v>
      </c>
      <c r="J245" s="370" t="s">
        <v>656</v>
      </c>
      <c r="K245" s="370" t="s">
        <v>943</v>
      </c>
      <c r="L245" s="373">
        <v>140.82</v>
      </c>
      <c r="M245" s="373">
        <v>8.73</v>
      </c>
      <c r="N245" s="444">
        <v>149.55000000000001</v>
      </c>
      <c r="O245" s="370"/>
      <c r="P245" s="374">
        <v>45978</v>
      </c>
      <c r="Q245" s="373">
        <v>149.55000000000001</v>
      </c>
      <c r="R245" s="370" t="s">
        <v>944</v>
      </c>
      <c r="S245" s="373">
        <v>0</v>
      </c>
      <c r="T245" s="373">
        <v>0</v>
      </c>
      <c r="U245" s="373">
        <v>0</v>
      </c>
      <c r="V245" s="373">
        <v>0</v>
      </c>
      <c r="W245" s="370"/>
      <c r="X245" s="370" t="s">
        <v>293</v>
      </c>
      <c r="Y245" s="370" t="s">
        <v>294</v>
      </c>
      <c r="Z245" s="370" t="s">
        <v>42</v>
      </c>
      <c r="AA245" s="370" t="s">
        <v>228</v>
      </c>
      <c r="AB245" s="370" t="s">
        <v>235</v>
      </c>
      <c r="AC245" s="370" t="s">
        <v>331</v>
      </c>
      <c r="AD245" s="370" t="s">
        <v>231</v>
      </c>
      <c r="AE245" s="370" t="s">
        <v>232</v>
      </c>
      <c r="AF245" s="370" t="s">
        <v>231</v>
      </c>
      <c r="AG245" s="370" t="s">
        <v>232</v>
      </c>
      <c r="AH245" s="370"/>
      <c r="AI245" s="370"/>
      <c r="AJ245" s="370"/>
      <c r="AK245" s="370" t="s">
        <v>945</v>
      </c>
      <c r="AL245" s="371">
        <v>1</v>
      </c>
      <c r="AM245" s="371">
        <v>0</v>
      </c>
      <c r="AN245" s="372">
        <v>45978</v>
      </c>
      <c r="AO245" s="372">
        <v>45975</v>
      </c>
      <c r="AP245" s="373">
        <v>149.55000000000001</v>
      </c>
      <c r="AQ245" s="372">
        <v>45974</v>
      </c>
    </row>
    <row r="246" spans="1:43" ht="22.5" customHeight="1" x14ac:dyDescent="0.2">
      <c r="A246" s="370" t="s">
        <v>262</v>
      </c>
      <c r="B246" s="370"/>
      <c r="C246" s="370" t="s">
        <v>221</v>
      </c>
      <c r="D246" s="370" t="s">
        <v>222</v>
      </c>
      <c r="E246" s="371">
        <v>418040</v>
      </c>
      <c r="F246" s="371">
        <v>2550</v>
      </c>
      <c r="G246" s="371">
        <v>371</v>
      </c>
      <c r="H246" s="371">
        <v>0</v>
      </c>
      <c r="I246" s="372">
        <v>45966</v>
      </c>
      <c r="J246" s="370" t="s">
        <v>263</v>
      </c>
      <c r="K246" s="370" t="s">
        <v>946</v>
      </c>
      <c r="L246" s="373">
        <v>28.32</v>
      </c>
      <c r="M246" s="373">
        <v>1.56</v>
      </c>
      <c r="N246" s="444">
        <v>29.88</v>
      </c>
      <c r="O246" s="370"/>
      <c r="P246" s="374">
        <v>45978</v>
      </c>
      <c r="Q246" s="373">
        <v>29.88</v>
      </c>
      <c r="R246" s="370" t="s">
        <v>947</v>
      </c>
      <c r="S246" s="373">
        <v>0</v>
      </c>
      <c r="T246" s="373">
        <v>0</v>
      </c>
      <c r="U246" s="373">
        <v>0</v>
      </c>
      <c r="V246" s="373">
        <v>0</v>
      </c>
      <c r="W246" s="370"/>
      <c r="X246" s="370" t="s">
        <v>293</v>
      </c>
      <c r="Y246" s="370" t="s">
        <v>294</v>
      </c>
      <c r="Z246" s="370" t="s">
        <v>42</v>
      </c>
      <c r="AA246" s="370" t="s">
        <v>228</v>
      </c>
      <c r="AB246" s="370" t="s">
        <v>235</v>
      </c>
      <c r="AC246" s="370" t="s">
        <v>331</v>
      </c>
      <c r="AD246" s="370" t="s">
        <v>231</v>
      </c>
      <c r="AE246" s="370" t="s">
        <v>232</v>
      </c>
      <c r="AF246" s="370" t="s">
        <v>231</v>
      </c>
      <c r="AG246" s="370" t="s">
        <v>232</v>
      </c>
      <c r="AH246" s="370"/>
      <c r="AI246" s="370"/>
      <c r="AJ246" s="370"/>
      <c r="AK246" s="370" t="s">
        <v>948</v>
      </c>
      <c r="AL246" s="371">
        <v>1</v>
      </c>
      <c r="AM246" s="371">
        <v>0</v>
      </c>
      <c r="AN246" s="372">
        <v>45978</v>
      </c>
      <c r="AO246" s="372"/>
      <c r="AP246" s="373">
        <v>29.88</v>
      </c>
      <c r="AQ246" s="372">
        <v>45966</v>
      </c>
    </row>
    <row r="247" spans="1:43" ht="22.5" customHeight="1" x14ac:dyDescent="0.2">
      <c r="A247" s="370" t="s">
        <v>262</v>
      </c>
      <c r="B247" s="370"/>
      <c r="C247" s="370" t="s">
        <v>221</v>
      </c>
      <c r="D247" s="370" t="s">
        <v>222</v>
      </c>
      <c r="E247" s="371">
        <v>418041</v>
      </c>
      <c r="F247" s="371">
        <v>2551</v>
      </c>
      <c r="G247" s="371">
        <v>371</v>
      </c>
      <c r="H247" s="371">
        <v>0</v>
      </c>
      <c r="I247" s="372">
        <v>45966</v>
      </c>
      <c r="J247" s="370" t="s">
        <v>263</v>
      </c>
      <c r="K247" s="370" t="s">
        <v>949</v>
      </c>
      <c r="L247" s="373">
        <v>26.68</v>
      </c>
      <c r="M247" s="373">
        <v>3.02</v>
      </c>
      <c r="N247" s="444">
        <v>29.7</v>
      </c>
      <c r="O247" s="370"/>
      <c r="P247" s="374">
        <v>45978</v>
      </c>
      <c r="Q247" s="373">
        <v>29.7</v>
      </c>
      <c r="R247" s="370" t="s">
        <v>950</v>
      </c>
      <c r="S247" s="373">
        <v>0</v>
      </c>
      <c r="T247" s="373">
        <v>0</v>
      </c>
      <c r="U247" s="373">
        <v>0</v>
      </c>
      <c r="V247" s="373">
        <v>0</v>
      </c>
      <c r="W247" s="370"/>
      <c r="X247" s="370" t="s">
        <v>293</v>
      </c>
      <c r="Y247" s="370" t="s">
        <v>294</v>
      </c>
      <c r="Z247" s="370" t="s">
        <v>42</v>
      </c>
      <c r="AA247" s="370" t="s">
        <v>228</v>
      </c>
      <c r="AB247" s="370" t="s">
        <v>235</v>
      </c>
      <c r="AC247" s="370" t="s">
        <v>331</v>
      </c>
      <c r="AD247" s="370" t="s">
        <v>231</v>
      </c>
      <c r="AE247" s="370" t="s">
        <v>232</v>
      </c>
      <c r="AF247" s="370" t="s">
        <v>231</v>
      </c>
      <c r="AG247" s="370" t="s">
        <v>232</v>
      </c>
      <c r="AH247" s="370"/>
      <c r="AI247" s="370"/>
      <c r="AJ247" s="370"/>
      <c r="AK247" s="370" t="s">
        <v>951</v>
      </c>
      <c r="AL247" s="371">
        <v>1</v>
      </c>
      <c r="AM247" s="371">
        <v>0</v>
      </c>
      <c r="AN247" s="372">
        <v>45978</v>
      </c>
      <c r="AO247" s="372"/>
      <c r="AP247" s="373">
        <v>29.7</v>
      </c>
      <c r="AQ247" s="372">
        <v>45966</v>
      </c>
    </row>
    <row r="248" spans="1:43" ht="22.5" customHeight="1" x14ac:dyDescent="0.2">
      <c r="A248" s="370" t="s">
        <v>262</v>
      </c>
      <c r="B248" s="370"/>
      <c r="C248" s="370" t="s">
        <v>221</v>
      </c>
      <c r="D248" s="370" t="s">
        <v>222</v>
      </c>
      <c r="E248" s="371">
        <v>418042</v>
      </c>
      <c r="F248" s="371">
        <v>2552</v>
      </c>
      <c r="G248" s="371">
        <v>371</v>
      </c>
      <c r="H248" s="371">
        <v>0</v>
      </c>
      <c r="I248" s="372">
        <v>45966</v>
      </c>
      <c r="J248" s="370" t="s">
        <v>263</v>
      </c>
      <c r="K248" s="370" t="s">
        <v>952</v>
      </c>
      <c r="L248" s="373">
        <v>25.84</v>
      </c>
      <c r="M248" s="373">
        <v>3.73</v>
      </c>
      <c r="N248" s="444">
        <v>29.57</v>
      </c>
      <c r="O248" s="370"/>
      <c r="P248" s="374">
        <v>45978</v>
      </c>
      <c r="Q248" s="373">
        <v>29.57</v>
      </c>
      <c r="R248" s="370" t="s">
        <v>953</v>
      </c>
      <c r="S248" s="373">
        <v>0</v>
      </c>
      <c r="T248" s="373">
        <v>0</v>
      </c>
      <c r="U248" s="373">
        <v>0</v>
      </c>
      <c r="V248" s="373">
        <v>0</v>
      </c>
      <c r="W248" s="370"/>
      <c r="X248" s="370" t="s">
        <v>293</v>
      </c>
      <c r="Y248" s="370" t="s">
        <v>294</v>
      </c>
      <c r="Z248" s="370" t="s">
        <v>42</v>
      </c>
      <c r="AA248" s="370" t="s">
        <v>228</v>
      </c>
      <c r="AB248" s="370" t="s">
        <v>235</v>
      </c>
      <c r="AC248" s="370" t="s">
        <v>331</v>
      </c>
      <c r="AD248" s="370" t="s">
        <v>231</v>
      </c>
      <c r="AE248" s="370" t="s">
        <v>232</v>
      </c>
      <c r="AF248" s="370" t="s">
        <v>231</v>
      </c>
      <c r="AG248" s="370" t="s">
        <v>232</v>
      </c>
      <c r="AH248" s="370"/>
      <c r="AI248" s="370"/>
      <c r="AJ248" s="370"/>
      <c r="AK248" s="370" t="s">
        <v>954</v>
      </c>
      <c r="AL248" s="371">
        <v>1</v>
      </c>
      <c r="AM248" s="371">
        <v>0</v>
      </c>
      <c r="AN248" s="372">
        <v>45978</v>
      </c>
      <c r="AO248" s="372"/>
      <c r="AP248" s="373">
        <v>29.57</v>
      </c>
      <c r="AQ248" s="372">
        <v>45966</v>
      </c>
    </row>
    <row r="249" spans="1:43" ht="22.5" customHeight="1" x14ac:dyDescent="0.2">
      <c r="A249" s="370" t="s">
        <v>262</v>
      </c>
      <c r="B249" s="370"/>
      <c r="C249" s="370" t="s">
        <v>221</v>
      </c>
      <c r="D249" s="370" t="s">
        <v>222</v>
      </c>
      <c r="E249" s="371">
        <v>418043</v>
      </c>
      <c r="F249" s="371">
        <v>2553</v>
      </c>
      <c r="G249" s="371">
        <v>371</v>
      </c>
      <c r="H249" s="371">
        <v>0</v>
      </c>
      <c r="I249" s="372">
        <v>45966</v>
      </c>
      <c r="J249" s="370" t="s">
        <v>263</v>
      </c>
      <c r="K249" s="370" t="s">
        <v>955</v>
      </c>
      <c r="L249" s="373">
        <v>28.19</v>
      </c>
      <c r="M249" s="373">
        <v>1.55</v>
      </c>
      <c r="N249" s="444">
        <v>29.74</v>
      </c>
      <c r="O249" s="370"/>
      <c r="P249" s="374">
        <v>45978</v>
      </c>
      <c r="Q249" s="373">
        <v>29.74</v>
      </c>
      <c r="R249" s="370" t="s">
        <v>956</v>
      </c>
      <c r="S249" s="373">
        <v>0</v>
      </c>
      <c r="T249" s="373">
        <v>0</v>
      </c>
      <c r="U249" s="373">
        <v>0</v>
      </c>
      <c r="V249" s="373">
        <v>0</v>
      </c>
      <c r="W249" s="370"/>
      <c r="X249" s="370" t="s">
        <v>293</v>
      </c>
      <c r="Y249" s="370" t="s">
        <v>294</v>
      </c>
      <c r="Z249" s="370" t="s">
        <v>42</v>
      </c>
      <c r="AA249" s="370" t="s">
        <v>228</v>
      </c>
      <c r="AB249" s="370" t="s">
        <v>235</v>
      </c>
      <c r="AC249" s="370" t="s">
        <v>331</v>
      </c>
      <c r="AD249" s="370" t="s">
        <v>231</v>
      </c>
      <c r="AE249" s="370" t="s">
        <v>232</v>
      </c>
      <c r="AF249" s="370" t="s">
        <v>231</v>
      </c>
      <c r="AG249" s="370" t="s">
        <v>232</v>
      </c>
      <c r="AH249" s="370"/>
      <c r="AI249" s="370"/>
      <c r="AJ249" s="370"/>
      <c r="AK249" s="370" t="s">
        <v>957</v>
      </c>
      <c r="AL249" s="371">
        <v>1</v>
      </c>
      <c r="AM249" s="371">
        <v>0</v>
      </c>
      <c r="AN249" s="372">
        <v>45978</v>
      </c>
      <c r="AO249" s="372"/>
      <c r="AP249" s="373">
        <v>29.74</v>
      </c>
      <c r="AQ249" s="372">
        <v>45966</v>
      </c>
    </row>
    <row r="250" spans="1:43" ht="22.5" customHeight="1" x14ac:dyDescent="0.2">
      <c r="A250" s="370" t="s">
        <v>262</v>
      </c>
      <c r="B250" s="370"/>
      <c r="C250" s="370" t="s">
        <v>221</v>
      </c>
      <c r="D250" s="370" t="s">
        <v>222</v>
      </c>
      <c r="E250" s="371">
        <v>418044</v>
      </c>
      <c r="F250" s="371">
        <v>2554</v>
      </c>
      <c r="G250" s="371">
        <v>371</v>
      </c>
      <c r="H250" s="371">
        <v>0</v>
      </c>
      <c r="I250" s="372">
        <v>45966</v>
      </c>
      <c r="J250" s="370" t="s">
        <v>263</v>
      </c>
      <c r="K250" s="370" t="s">
        <v>958</v>
      </c>
      <c r="L250" s="373">
        <v>25.31</v>
      </c>
      <c r="M250" s="373">
        <v>2.2599999999999998</v>
      </c>
      <c r="N250" s="444">
        <v>27.57</v>
      </c>
      <c r="O250" s="370"/>
      <c r="P250" s="374">
        <v>45978</v>
      </c>
      <c r="Q250" s="373">
        <v>27.57</v>
      </c>
      <c r="R250" s="370" t="s">
        <v>959</v>
      </c>
      <c r="S250" s="373">
        <v>0</v>
      </c>
      <c r="T250" s="373">
        <v>0</v>
      </c>
      <c r="U250" s="373">
        <v>0</v>
      </c>
      <c r="V250" s="373">
        <v>0</v>
      </c>
      <c r="W250" s="370"/>
      <c r="X250" s="370" t="s">
        <v>293</v>
      </c>
      <c r="Y250" s="370" t="s">
        <v>294</v>
      </c>
      <c r="Z250" s="370" t="s">
        <v>42</v>
      </c>
      <c r="AA250" s="370" t="s">
        <v>228</v>
      </c>
      <c r="AB250" s="370" t="s">
        <v>235</v>
      </c>
      <c r="AC250" s="370" t="s">
        <v>331</v>
      </c>
      <c r="AD250" s="370" t="s">
        <v>231</v>
      </c>
      <c r="AE250" s="370" t="s">
        <v>232</v>
      </c>
      <c r="AF250" s="370" t="s">
        <v>231</v>
      </c>
      <c r="AG250" s="370" t="s">
        <v>232</v>
      </c>
      <c r="AH250" s="370"/>
      <c r="AI250" s="370"/>
      <c r="AJ250" s="370"/>
      <c r="AK250" s="370" t="s">
        <v>960</v>
      </c>
      <c r="AL250" s="371">
        <v>1</v>
      </c>
      <c r="AM250" s="371">
        <v>0</v>
      </c>
      <c r="AN250" s="372">
        <v>45978</v>
      </c>
      <c r="AO250" s="372"/>
      <c r="AP250" s="373">
        <v>27.57</v>
      </c>
      <c r="AQ250" s="372">
        <v>45966</v>
      </c>
    </row>
    <row r="251" spans="1:43" ht="22.5" customHeight="1" x14ac:dyDescent="0.2">
      <c r="A251" s="418" t="s">
        <v>262</v>
      </c>
      <c r="B251" s="418"/>
      <c r="C251" s="418" t="s">
        <v>221</v>
      </c>
      <c r="D251" s="418" t="s">
        <v>222</v>
      </c>
      <c r="E251" s="419">
        <v>418045</v>
      </c>
      <c r="F251" s="419">
        <v>2761</v>
      </c>
      <c r="G251" s="419">
        <v>396</v>
      </c>
      <c r="H251" s="419">
        <v>0</v>
      </c>
      <c r="I251" s="420">
        <v>45975</v>
      </c>
      <c r="J251" s="418" t="s">
        <v>395</v>
      </c>
      <c r="K251" s="418" t="s">
        <v>961</v>
      </c>
      <c r="L251" s="421">
        <v>183.46</v>
      </c>
      <c r="M251" s="421">
        <v>11.4</v>
      </c>
      <c r="N251" s="443">
        <v>194.86</v>
      </c>
      <c r="O251" s="418"/>
      <c r="P251" s="422">
        <v>45978</v>
      </c>
      <c r="Q251" s="421">
        <v>194.86</v>
      </c>
      <c r="R251" s="418" t="s">
        <v>962</v>
      </c>
      <c r="S251" s="421">
        <v>0</v>
      </c>
      <c r="T251" s="421">
        <v>0</v>
      </c>
      <c r="U251" s="421">
        <v>0</v>
      </c>
      <c r="V251" s="421">
        <v>0</v>
      </c>
      <c r="W251" s="418"/>
      <c r="X251" s="418" t="s">
        <v>365</v>
      </c>
      <c r="Y251" s="418" t="s">
        <v>366</v>
      </c>
      <c r="Z251" s="418" t="s">
        <v>42</v>
      </c>
      <c r="AA251" s="418" t="s">
        <v>228</v>
      </c>
      <c r="AB251" s="418" t="s">
        <v>235</v>
      </c>
      <c r="AC251" s="418" t="s">
        <v>250</v>
      </c>
      <c r="AD251" s="418" t="s">
        <v>231</v>
      </c>
      <c r="AE251" s="418" t="s">
        <v>232</v>
      </c>
      <c r="AF251" s="418" t="s">
        <v>231</v>
      </c>
      <c r="AG251" s="418" t="s">
        <v>232</v>
      </c>
      <c r="AH251" s="418"/>
      <c r="AI251" s="418"/>
      <c r="AJ251" s="418"/>
      <c r="AK251" s="418" t="s">
        <v>963</v>
      </c>
      <c r="AL251" s="419">
        <v>1</v>
      </c>
      <c r="AM251" s="419">
        <v>0</v>
      </c>
      <c r="AN251" s="420">
        <v>45978</v>
      </c>
      <c r="AO251" s="420">
        <v>45975</v>
      </c>
      <c r="AP251" s="421">
        <v>194.86</v>
      </c>
      <c r="AQ251" s="420">
        <v>45974</v>
      </c>
    </row>
    <row r="252" spans="1:43" ht="22.5" customHeight="1" x14ac:dyDescent="0.2">
      <c r="A252" s="370" t="s">
        <v>262</v>
      </c>
      <c r="B252" s="370"/>
      <c r="C252" s="370" t="s">
        <v>221</v>
      </c>
      <c r="D252" s="370" t="s">
        <v>222</v>
      </c>
      <c r="E252" s="371">
        <v>418050</v>
      </c>
      <c r="F252" s="371">
        <v>2555</v>
      </c>
      <c r="G252" s="371">
        <v>371</v>
      </c>
      <c r="H252" s="371">
        <v>0</v>
      </c>
      <c r="I252" s="372">
        <v>45966</v>
      </c>
      <c r="J252" s="370" t="s">
        <v>263</v>
      </c>
      <c r="K252" s="370" t="s">
        <v>964</v>
      </c>
      <c r="L252" s="373">
        <v>26.49</v>
      </c>
      <c r="M252" s="373">
        <v>2.2999999999999998</v>
      </c>
      <c r="N252" s="444">
        <v>28.79</v>
      </c>
      <c r="O252" s="370"/>
      <c r="P252" s="374">
        <v>45978</v>
      </c>
      <c r="Q252" s="373">
        <v>28.79</v>
      </c>
      <c r="R252" s="370" t="s">
        <v>965</v>
      </c>
      <c r="S252" s="373">
        <v>0</v>
      </c>
      <c r="T252" s="373">
        <v>0</v>
      </c>
      <c r="U252" s="373">
        <v>0</v>
      </c>
      <c r="V252" s="373">
        <v>0</v>
      </c>
      <c r="W252" s="370"/>
      <c r="X252" s="370" t="s">
        <v>293</v>
      </c>
      <c r="Y252" s="370" t="s">
        <v>294</v>
      </c>
      <c r="Z252" s="370" t="s">
        <v>42</v>
      </c>
      <c r="AA252" s="370" t="s">
        <v>228</v>
      </c>
      <c r="AB252" s="370" t="s">
        <v>235</v>
      </c>
      <c r="AC252" s="370" t="s">
        <v>331</v>
      </c>
      <c r="AD252" s="370" t="s">
        <v>231</v>
      </c>
      <c r="AE252" s="370" t="s">
        <v>232</v>
      </c>
      <c r="AF252" s="370" t="s">
        <v>231</v>
      </c>
      <c r="AG252" s="370" t="s">
        <v>232</v>
      </c>
      <c r="AH252" s="370"/>
      <c r="AI252" s="370"/>
      <c r="AJ252" s="370"/>
      <c r="AK252" s="370" t="s">
        <v>966</v>
      </c>
      <c r="AL252" s="371">
        <v>1</v>
      </c>
      <c r="AM252" s="371">
        <v>0</v>
      </c>
      <c r="AN252" s="372">
        <v>45978</v>
      </c>
      <c r="AO252" s="372"/>
      <c r="AP252" s="373">
        <v>28.79</v>
      </c>
      <c r="AQ252" s="372">
        <v>45966</v>
      </c>
    </row>
    <row r="253" spans="1:43" ht="22.5" customHeight="1" x14ac:dyDescent="0.2">
      <c r="A253" s="370" t="s">
        <v>262</v>
      </c>
      <c r="B253" s="370"/>
      <c r="C253" s="370" t="s">
        <v>221</v>
      </c>
      <c r="D253" s="370" t="s">
        <v>222</v>
      </c>
      <c r="E253" s="371">
        <v>418055</v>
      </c>
      <c r="F253" s="371">
        <v>2556</v>
      </c>
      <c r="G253" s="371">
        <v>371</v>
      </c>
      <c r="H253" s="371">
        <v>0</v>
      </c>
      <c r="I253" s="372">
        <v>45966</v>
      </c>
      <c r="J253" s="370" t="s">
        <v>263</v>
      </c>
      <c r="K253" s="370" t="s">
        <v>967</v>
      </c>
      <c r="L253" s="373">
        <v>45.87</v>
      </c>
      <c r="M253" s="373">
        <v>3.36</v>
      </c>
      <c r="N253" s="444">
        <v>49.23</v>
      </c>
      <c r="O253" s="370"/>
      <c r="P253" s="374">
        <v>45978</v>
      </c>
      <c r="Q253" s="373">
        <v>49.23</v>
      </c>
      <c r="R253" s="370" t="s">
        <v>968</v>
      </c>
      <c r="S253" s="373">
        <v>0</v>
      </c>
      <c r="T253" s="373">
        <v>0</v>
      </c>
      <c r="U253" s="373">
        <v>0</v>
      </c>
      <c r="V253" s="373">
        <v>0</v>
      </c>
      <c r="W253" s="370"/>
      <c r="X253" s="370" t="s">
        <v>293</v>
      </c>
      <c r="Y253" s="370" t="s">
        <v>294</v>
      </c>
      <c r="Z253" s="370" t="s">
        <v>42</v>
      </c>
      <c r="AA253" s="370" t="s">
        <v>228</v>
      </c>
      <c r="AB253" s="370" t="s">
        <v>235</v>
      </c>
      <c r="AC253" s="370" t="s">
        <v>331</v>
      </c>
      <c r="AD253" s="370" t="s">
        <v>231</v>
      </c>
      <c r="AE253" s="370" t="s">
        <v>232</v>
      </c>
      <c r="AF253" s="370" t="s">
        <v>231</v>
      </c>
      <c r="AG253" s="370" t="s">
        <v>232</v>
      </c>
      <c r="AH253" s="370"/>
      <c r="AI253" s="370"/>
      <c r="AJ253" s="370"/>
      <c r="AK253" s="370" t="s">
        <v>969</v>
      </c>
      <c r="AL253" s="371">
        <v>1</v>
      </c>
      <c r="AM253" s="371">
        <v>0</v>
      </c>
      <c r="AN253" s="372">
        <v>45978</v>
      </c>
      <c r="AO253" s="372"/>
      <c r="AP253" s="373">
        <v>49.23</v>
      </c>
      <c r="AQ253" s="372">
        <v>45966</v>
      </c>
    </row>
    <row r="254" spans="1:43" ht="22.5" customHeight="1" x14ac:dyDescent="0.2">
      <c r="A254" s="370" t="s">
        <v>262</v>
      </c>
      <c r="B254" s="370"/>
      <c r="C254" s="370" t="s">
        <v>221</v>
      </c>
      <c r="D254" s="370" t="s">
        <v>222</v>
      </c>
      <c r="E254" s="371">
        <v>418056</v>
      </c>
      <c r="F254" s="371">
        <v>2557</v>
      </c>
      <c r="G254" s="371">
        <v>371</v>
      </c>
      <c r="H254" s="371">
        <v>0</v>
      </c>
      <c r="I254" s="372">
        <v>45966</v>
      </c>
      <c r="J254" s="370" t="s">
        <v>263</v>
      </c>
      <c r="K254" s="370" t="s">
        <v>970</v>
      </c>
      <c r="L254" s="373">
        <v>79.069999999999993</v>
      </c>
      <c r="M254" s="373">
        <v>6.01</v>
      </c>
      <c r="N254" s="444">
        <v>85.08</v>
      </c>
      <c r="O254" s="370"/>
      <c r="P254" s="374">
        <v>45978</v>
      </c>
      <c r="Q254" s="373">
        <v>85.08</v>
      </c>
      <c r="R254" s="370" t="s">
        <v>971</v>
      </c>
      <c r="S254" s="373">
        <v>0</v>
      </c>
      <c r="T254" s="373">
        <v>0</v>
      </c>
      <c r="U254" s="373">
        <v>0</v>
      </c>
      <c r="V254" s="373">
        <v>0</v>
      </c>
      <c r="W254" s="370"/>
      <c r="X254" s="370" t="s">
        <v>293</v>
      </c>
      <c r="Y254" s="370" t="s">
        <v>294</v>
      </c>
      <c r="Z254" s="370" t="s">
        <v>42</v>
      </c>
      <c r="AA254" s="370" t="s">
        <v>228</v>
      </c>
      <c r="AB254" s="370" t="s">
        <v>235</v>
      </c>
      <c r="AC254" s="370" t="s">
        <v>331</v>
      </c>
      <c r="AD254" s="370" t="s">
        <v>231</v>
      </c>
      <c r="AE254" s="370" t="s">
        <v>232</v>
      </c>
      <c r="AF254" s="370" t="s">
        <v>231</v>
      </c>
      <c r="AG254" s="370" t="s">
        <v>232</v>
      </c>
      <c r="AH254" s="370"/>
      <c r="AI254" s="370"/>
      <c r="AJ254" s="370"/>
      <c r="AK254" s="370" t="s">
        <v>972</v>
      </c>
      <c r="AL254" s="371">
        <v>1</v>
      </c>
      <c r="AM254" s="371">
        <v>0</v>
      </c>
      <c r="AN254" s="372">
        <v>45978</v>
      </c>
      <c r="AO254" s="372"/>
      <c r="AP254" s="373">
        <v>85.08</v>
      </c>
      <c r="AQ254" s="372">
        <v>45966</v>
      </c>
    </row>
    <row r="255" spans="1:43" s="14" customFormat="1" ht="22.5" customHeight="1" x14ac:dyDescent="0.2">
      <c r="A255" s="408" t="s">
        <v>262</v>
      </c>
      <c r="B255" s="408"/>
      <c r="C255" s="408" t="s">
        <v>221</v>
      </c>
      <c r="D255" s="408" t="s">
        <v>222</v>
      </c>
      <c r="E255" s="409">
        <v>418091</v>
      </c>
      <c r="F255" s="409">
        <v>2597</v>
      </c>
      <c r="G255" s="409">
        <v>376</v>
      </c>
      <c r="H255" s="409">
        <v>0</v>
      </c>
      <c r="I255" s="410">
        <v>45967</v>
      </c>
      <c r="J255" s="408" t="s">
        <v>263</v>
      </c>
      <c r="K255" s="408" t="s">
        <v>973</v>
      </c>
      <c r="L255" s="411">
        <v>137.41999999999999</v>
      </c>
      <c r="M255" s="411">
        <v>8.6199999999999992</v>
      </c>
      <c r="N255" s="450">
        <v>146.04</v>
      </c>
      <c r="O255" s="408"/>
      <c r="P255" s="412">
        <v>45978</v>
      </c>
      <c r="Q255" s="411">
        <v>146.04</v>
      </c>
      <c r="R255" s="408" t="s">
        <v>974</v>
      </c>
      <c r="S255" s="411">
        <v>0</v>
      </c>
      <c r="T255" s="411">
        <v>0</v>
      </c>
      <c r="U255" s="411">
        <v>0</v>
      </c>
      <c r="V255" s="411">
        <v>0</v>
      </c>
      <c r="W255" s="408"/>
      <c r="X255" s="408" t="s">
        <v>293</v>
      </c>
      <c r="Y255" s="408" t="s">
        <v>294</v>
      </c>
      <c r="Z255" s="408" t="s">
        <v>53</v>
      </c>
      <c r="AA255" s="408" t="s">
        <v>228</v>
      </c>
      <c r="AB255" s="408" t="s">
        <v>239</v>
      </c>
      <c r="AC255" s="408" t="s">
        <v>240</v>
      </c>
      <c r="AD255" s="408" t="s">
        <v>231</v>
      </c>
      <c r="AE255" s="408" t="s">
        <v>232</v>
      </c>
      <c r="AF255" s="408" t="s">
        <v>231</v>
      </c>
      <c r="AG255" s="408" t="s">
        <v>232</v>
      </c>
      <c r="AH255" s="408"/>
      <c r="AI255" s="408"/>
      <c r="AJ255" s="408"/>
      <c r="AK255" s="408" t="s">
        <v>975</v>
      </c>
      <c r="AL255" s="409">
        <v>1</v>
      </c>
      <c r="AM255" s="409">
        <v>0</v>
      </c>
      <c r="AN255" s="410">
        <v>45978</v>
      </c>
      <c r="AO255" s="410">
        <v>45975</v>
      </c>
      <c r="AP255" s="411">
        <v>146.04</v>
      </c>
      <c r="AQ255" s="410">
        <v>45974</v>
      </c>
    </row>
    <row r="256" spans="1:43" ht="22.5" customHeight="1" x14ac:dyDescent="0.2">
      <c r="A256" s="428" t="s">
        <v>262</v>
      </c>
      <c r="B256" s="428"/>
      <c r="C256" s="428" t="s">
        <v>221</v>
      </c>
      <c r="D256" s="428" t="s">
        <v>222</v>
      </c>
      <c r="E256" s="429">
        <v>418097</v>
      </c>
      <c r="F256" s="429">
        <v>2598</v>
      </c>
      <c r="G256" s="429">
        <v>376</v>
      </c>
      <c r="H256" s="429">
        <v>0</v>
      </c>
      <c r="I256" s="430">
        <v>45967</v>
      </c>
      <c r="J256" s="428" t="s">
        <v>263</v>
      </c>
      <c r="K256" s="428" t="s">
        <v>976</v>
      </c>
      <c r="L256" s="431">
        <v>189.1</v>
      </c>
      <c r="M256" s="431">
        <v>10.7</v>
      </c>
      <c r="N256" s="441">
        <v>199.8</v>
      </c>
      <c r="O256" s="428"/>
      <c r="P256" s="432">
        <v>45978</v>
      </c>
      <c r="Q256" s="431">
        <v>199.8</v>
      </c>
      <c r="R256" s="428" t="s">
        <v>977</v>
      </c>
      <c r="S256" s="431">
        <v>0</v>
      </c>
      <c r="T256" s="431">
        <v>0</v>
      </c>
      <c r="U256" s="431">
        <v>0</v>
      </c>
      <c r="V256" s="431">
        <v>0</v>
      </c>
      <c r="W256" s="428"/>
      <c r="X256" s="428" t="s">
        <v>293</v>
      </c>
      <c r="Y256" s="428" t="s">
        <v>294</v>
      </c>
      <c r="Z256" s="428" t="s">
        <v>42</v>
      </c>
      <c r="AA256" s="428" t="s">
        <v>228</v>
      </c>
      <c r="AB256" s="428" t="s">
        <v>235</v>
      </c>
      <c r="AC256" s="428" t="s">
        <v>236</v>
      </c>
      <c r="AD256" s="428" t="s">
        <v>231</v>
      </c>
      <c r="AE256" s="428" t="s">
        <v>232</v>
      </c>
      <c r="AF256" s="428" t="s">
        <v>231</v>
      </c>
      <c r="AG256" s="428" t="s">
        <v>232</v>
      </c>
      <c r="AH256" s="428"/>
      <c r="AI256" s="428"/>
      <c r="AJ256" s="428"/>
      <c r="AK256" s="428" t="s">
        <v>978</v>
      </c>
      <c r="AL256" s="429">
        <v>1</v>
      </c>
      <c r="AM256" s="429">
        <v>0</v>
      </c>
      <c r="AN256" s="430">
        <v>45978</v>
      </c>
      <c r="AO256" s="430">
        <v>45975</v>
      </c>
      <c r="AP256" s="431">
        <v>199.8</v>
      </c>
      <c r="AQ256" s="430">
        <v>45974</v>
      </c>
    </row>
    <row r="257" spans="1:43" ht="22.5" customHeight="1" x14ac:dyDescent="0.2">
      <c r="A257" s="428" t="s">
        <v>262</v>
      </c>
      <c r="B257" s="428"/>
      <c r="C257" s="428" t="s">
        <v>221</v>
      </c>
      <c r="D257" s="428" t="s">
        <v>222</v>
      </c>
      <c r="E257" s="429">
        <v>418098</v>
      </c>
      <c r="F257" s="429">
        <v>2599</v>
      </c>
      <c r="G257" s="429">
        <v>376</v>
      </c>
      <c r="H257" s="429">
        <v>0</v>
      </c>
      <c r="I257" s="430">
        <v>45967</v>
      </c>
      <c r="J257" s="428" t="s">
        <v>263</v>
      </c>
      <c r="K257" s="428" t="s">
        <v>979</v>
      </c>
      <c r="L257" s="431">
        <v>11.99</v>
      </c>
      <c r="M257" s="431">
        <v>2.27</v>
      </c>
      <c r="N257" s="441">
        <v>14.26</v>
      </c>
      <c r="O257" s="428"/>
      <c r="P257" s="432">
        <v>45978</v>
      </c>
      <c r="Q257" s="431">
        <v>14.26</v>
      </c>
      <c r="R257" s="428" t="s">
        <v>980</v>
      </c>
      <c r="S257" s="431">
        <v>0</v>
      </c>
      <c r="T257" s="431">
        <v>0</v>
      </c>
      <c r="U257" s="431">
        <v>0</v>
      </c>
      <c r="V257" s="431">
        <v>0</v>
      </c>
      <c r="W257" s="428"/>
      <c r="X257" s="428" t="s">
        <v>293</v>
      </c>
      <c r="Y257" s="428" t="s">
        <v>294</v>
      </c>
      <c r="Z257" s="428" t="s">
        <v>42</v>
      </c>
      <c r="AA257" s="428" t="s">
        <v>228</v>
      </c>
      <c r="AB257" s="428" t="s">
        <v>235</v>
      </c>
      <c r="AC257" s="428" t="s">
        <v>236</v>
      </c>
      <c r="AD257" s="428" t="s">
        <v>231</v>
      </c>
      <c r="AE257" s="428" t="s">
        <v>232</v>
      </c>
      <c r="AF257" s="428" t="s">
        <v>231</v>
      </c>
      <c r="AG257" s="428" t="s">
        <v>232</v>
      </c>
      <c r="AH257" s="428"/>
      <c r="AI257" s="428"/>
      <c r="AJ257" s="428"/>
      <c r="AK257" s="428" t="s">
        <v>981</v>
      </c>
      <c r="AL257" s="429">
        <v>1</v>
      </c>
      <c r="AM257" s="429">
        <v>0</v>
      </c>
      <c r="AN257" s="430">
        <v>45978</v>
      </c>
      <c r="AO257" s="430">
        <v>45975</v>
      </c>
      <c r="AP257" s="431">
        <v>14.26</v>
      </c>
      <c r="AQ257" s="430">
        <v>45974</v>
      </c>
    </row>
    <row r="258" spans="1:43" ht="22.5" customHeight="1" x14ac:dyDescent="0.2">
      <c r="A258" s="428" t="s">
        <v>262</v>
      </c>
      <c r="B258" s="428"/>
      <c r="C258" s="428" t="s">
        <v>221</v>
      </c>
      <c r="D258" s="428" t="s">
        <v>222</v>
      </c>
      <c r="E258" s="429">
        <v>418099</v>
      </c>
      <c r="F258" s="429">
        <v>2600</v>
      </c>
      <c r="G258" s="429">
        <v>376</v>
      </c>
      <c r="H258" s="429">
        <v>0</v>
      </c>
      <c r="I258" s="430">
        <v>45967</v>
      </c>
      <c r="J258" s="428" t="s">
        <v>263</v>
      </c>
      <c r="K258" s="428" t="s">
        <v>982</v>
      </c>
      <c r="L258" s="431">
        <v>90.12</v>
      </c>
      <c r="M258" s="431">
        <v>9.69</v>
      </c>
      <c r="N258" s="441">
        <v>99.81</v>
      </c>
      <c r="O258" s="428"/>
      <c r="P258" s="432">
        <v>45978</v>
      </c>
      <c r="Q258" s="431">
        <v>99.81</v>
      </c>
      <c r="R258" s="428" t="s">
        <v>983</v>
      </c>
      <c r="S258" s="431">
        <v>0</v>
      </c>
      <c r="T258" s="431">
        <v>0</v>
      </c>
      <c r="U258" s="431">
        <v>0</v>
      </c>
      <c r="V258" s="431">
        <v>0</v>
      </c>
      <c r="W258" s="428"/>
      <c r="X258" s="428" t="s">
        <v>293</v>
      </c>
      <c r="Y258" s="428" t="s">
        <v>294</v>
      </c>
      <c r="Z258" s="428" t="s">
        <v>42</v>
      </c>
      <c r="AA258" s="428" t="s">
        <v>228</v>
      </c>
      <c r="AB258" s="428" t="s">
        <v>235</v>
      </c>
      <c r="AC258" s="428" t="s">
        <v>236</v>
      </c>
      <c r="AD258" s="428" t="s">
        <v>231</v>
      </c>
      <c r="AE258" s="428" t="s">
        <v>232</v>
      </c>
      <c r="AF258" s="428" t="s">
        <v>231</v>
      </c>
      <c r="AG258" s="428" t="s">
        <v>232</v>
      </c>
      <c r="AH258" s="428"/>
      <c r="AI258" s="428"/>
      <c r="AJ258" s="428"/>
      <c r="AK258" s="428" t="s">
        <v>984</v>
      </c>
      <c r="AL258" s="429">
        <v>1</v>
      </c>
      <c r="AM258" s="429">
        <v>0</v>
      </c>
      <c r="AN258" s="430">
        <v>45978</v>
      </c>
      <c r="AO258" s="430">
        <v>45975</v>
      </c>
      <c r="AP258" s="431">
        <v>99.81</v>
      </c>
      <c r="AQ258" s="430">
        <v>45974</v>
      </c>
    </row>
    <row r="259" spans="1:43" s="14" customFormat="1" ht="22.5" customHeight="1" x14ac:dyDescent="0.2">
      <c r="A259" s="408" t="s">
        <v>262</v>
      </c>
      <c r="B259" s="408"/>
      <c r="C259" s="408" t="s">
        <v>221</v>
      </c>
      <c r="D259" s="408" t="s">
        <v>222</v>
      </c>
      <c r="E259" s="409">
        <v>418108</v>
      </c>
      <c r="F259" s="409">
        <v>2603</v>
      </c>
      <c r="G259" s="409">
        <v>378</v>
      </c>
      <c r="H259" s="409">
        <v>0</v>
      </c>
      <c r="I259" s="410">
        <v>45967</v>
      </c>
      <c r="J259" s="408" t="s">
        <v>263</v>
      </c>
      <c r="K259" s="408" t="s">
        <v>985</v>
      </c>
      <c r="L259" s="411">
        <v>136.54</v>
      </c>
      <c r="M259" s="411">
        <v>10.28</v>
      </c>
      <c r="N259" s="450">
        <v>146.82</v>
      </c>
      <c r="O259" s="408"/>
      <c r="P259" s="412">
        <v>45978</v>
      </c>
      <c r="Q259" s="411">
        <v>146.82</v>
      </c>
      <c r="R259" s="408" t="s">
        <v>986</v>
      </c>
      <c r="S259" s="411">
        <v>0</v>
      </c>
      <c r="T259" s="411">
        <v>0</v>
      </c>
      <c r="U259" s="411">
        <v>0</v>
      </c>
      <c r="V259" s="411">
        <v>0</v>
      </c>
      <c r="W259" s="408"/>
      <c r="X259" s="408" t="s">
        <v>293</v>
      </c>
      <c r="Y259" s="408" t="s">
        <v>294</v>
      </c>
      <c r="Z259" s="408" t="s">
        <v>53</v>
      </c>
      <c r="AA259" s="408" t="s">
        <v>228</v>
      </c>
      <c r="AB259" s="408" t="s">
        <v>239</v>
      </c>
      <c r="AC259" s="408" t="s">
        <v>240</v>
      </c>
      <c r="AD259" s="408" t="s">
        <v>231</v>
      </c>
      <c r="AE259" s="408" t="s">
        <v>232</v>
      </c>
      <c r="AF259" s="408" t="s">
        <v>231</v>
      </c>
      <c r="AG259" s="408" t="s">
        <v>232</v>
      </c>
      <c r="AH259" s="408"/>
      <c r="AI259" s="408"/>
      <c r="AJ259" s="408"/>
      <c r="AK259" s="408" t="s">
        <v>987</v>
      </c>
      <c r="AL259" s="409">
        <v>1</v>
      </c>
      <c r="AM259" s="409">
        <v>0</v>
      </c>
      <c r="AN259" s="410">
        <v>45978</v>
      </c>
      <c r="AO259" s="410">
        <v>45975</v>
      </c>
      <c r="AP259" s="411">
        <v>146.82</v>
      </c>
      <c r="AQ259" s="410">
        <v>45974</v>
      </c>
    </row>
    <row r="260" spans="1:43" s="14" customFormat="1" ht="22.5" customHeight="1" x14ac:dyDescent="0.2">
      <c r="A260" s="408" t="s">
        <v>262</v>
      </c>
      <c r="B260" s="408"/>
      <c r="C260" s="408" t="s">
        <v>221</v>
      </c>
      <c r="D260" s="408" t="s">
        <v>222</v>
      </c>
      <c r="E260" s="409">
        <v>418110</v>
      </c>
      <c r="F260" s="409">
        <v>2604</v>
      </c>
      <c r="G260" s="409">
        <v>378</v>
      </c>
      <c r="H260" s="409">
        <v>0</v>
      </c>
      <c r="I260" s="410">
        <v>45967</v>
      </c>
      <c r="J260" s="408" t="s">
        <v>263</v>
      </c>
      <c r="K260" s="408" t="s">
        <v>988</v>
      </c>
      <c r="L260" s="411">
        <v>94</v>
      </c>
      <c r="M260" s="411">
        <v>5.17</v>
      </c>
      <c r="N260" s="450">
        <v>99.17</v>
      </c>
      <c r="O260" s="408"/>
      <c r="P260" s="412">
        <v>45978</v>
      </c>
      <c r="Q260" s="411">
        <v>99.17</v>
      </c>
      <c r="R260" s="408" t="s">
        <v>989</v>
      </c>
      <c r="S260" s="411">
        <v>0</v>
      </c>
      <c r="T260" s="411">
        <v>0</v>
      </c>
      <c r="U260" s="411">
        <v>0</v>
      </c>
      <c r="V260" s="411">
        <v>0</v>
      </c>
      <c r="W260" s="408"/>
      <c r="X260" s="408" t="s">
        <v>293</v>
      </c>
      <c r="Y260" s="408" t="s">
        <v>294</v>
      </c>
      <c r="Z260" s="408" t="s">
        <v>53</v>
      </c>
      <c r="AA260" s="408" t="s">
        <v>228</v>
      </c>
      <c r="AB260" s="408" t="s">
        <v>239</v>
      </c>
      <c r="AC260" s="408" t="s">
        <v>240</v>
      </c>
      <c r="AD260" s="408" t="s">
        <v>231</v>
      </c>
      <c r="AE260" s="408" t="s">
        <v>232</v>
      </c>
      <c r="AF260" s="408" t="s">
        <v>231</v>
      </c>
      <c r="AG260" s="408" t="s">
        <v>232</v>
      </c>
      <c r="AH260" s="408"/>
      <c r="AI260" s="408"/>
      <c r="AJ260" s="408"/>
      <c r="AK260" s="408" t="s">
        <v>990</v>
      </c>
      <c r="AL260" s="409">
        <v>1</v>
      </c>
      <c r="AM260" s="409">
        <v>0</v>
      </c>
      <c r="AN260" s="410">
        <v>45978</v>
      </c>
      <c r="AO260" s="410">
        <v>45975</v>
      </c>
      <c r="AP260" s="411">
        <v>99.17</v>
      </c>
      <c r="AQ260" s="410">
        <v>45974</v>
      </c>
    </row>
    <row r="261" spans="1:43" ht="22.5" customHeight="1" x14ac:dyDescent="0.2">
      <c r="A261" s="423" t="s">
        <v>262</v>
      </c>
      <c r="B261" s="423"/>
      <c r="C261" s="423" t="s">
        <v>221</v>
      </c>
      <c r="D261" s="423" t="s">
        <v>222</v>
      </c>
      <c r="E261" s="424">
        <v>418111</v>
      </c>
      <c r="F261" s="424">
        <v>2605</v>
      </c>
      <c r="G261" s="424">
        <v>378</v>
      </c>
      <c r="H261" s="424">
        <v>0</v>
      </c>
      <c r="I261" s="425">
        <v>45967</v>
      </c>
      <c r="J261" s="423" t="s">
        <v>263</v>
      </c>
      <c r="K261" s="423" t="s">
        <v>991</v>
      </c>
      <c r="L261" s="426">
        <v>88.98</v>
      </c>
      <c r="M261" s="426">
        <v>5.03</v>
      </c>
      <c r="N261" s="451">
        <v>94.01</v>
      </c>
      <c r="O261" s="423"/>
      <c r="P261" s="427">
        <v>45978</v>
      </c>
      <c r="Q261" s="426">
        <v>94.01</v>
      </c>
      <c r="R261" s="423" t="s">
        <v>992</v>
      </c>
      <c r="S261" s="426">
        <v>0</v>
      </c>
      <c r="T261" s="426">
        <v>0</v>
      </c>
      <c r="U261" s="426">
        <v>0</v>
      </c>
      <c r="V261" s="426">
        <v>0</v>
      </c>
      <c r="W261" s="423"/>
      <c r="X261" s="423" t="s">
        <v>293</v>
      </c>
      <c r="Y261" s="423" t="s">
        <v>294</v>
      </c>
      <c r="Z261" s="423" t="s">
        <v>53</v>
      </c>
      <c r="AA261" s="423" t="s">
        <v>228</v>
      </c>
      <c r="AB261" s="423" t="s">
        <v>239</v>
      </c>
      <c r="AC261" s="423" t="s">
        <v>243</v>
      </c>
      <c r="AD261" s="423" t="s">
        <v>231</v>
      </c>
      <c r="AE261" s="423" t="s">
        <v>232</v>
      </c>
      <c r="AF261" s="423" t="s">
        <v>231</v>
      </c>
      <c r="AG261" s="423" t="s">
        <v>232</v>
      </c>
      <c r="AH261" s="423"/>
      <c r="AI261" s="423"/>
      <c r="AJ261" s="423"/>
      <c r="AK261" s="423" t="s">
        <v>993</v>
      </c>
      <c r="AL261" s="424">
        <v>1</v>
      </c>
      <c r="AM261" s="424">
        <v>0</v>
      </c>
      <c r="AN261" s="425">
        <v>45978</v>
      </c>
      <c r="AO261" s="425">
        <v>45975</v>
      </c>
      <c r="AP261" s="426">
        <v>94.01</v>
      </c>
      <c r="AQ261" s="425">
        <v>45974</v>
      </c>
    </row>
    <row r="262" spans="1:43" ht="22.5" customHeight="1" x14ac:dyDescent="0.2">
      <c r="A262" s="423" t="s">
        <v>262</v>
      </c>
      <c r="B262" s="423"/>
      <c r="C262" s="423" t="s">
        <v>221</v>
      </c>
      <c r="D262" s="423" t="s">
        <v>222</v>
      </c>
      <c r="E262" s="424">
        <v>418112</v>
      </c>
      <c r="F262" s="424">
        <v>2606</v>
      </c>
      <c r="G262" s="424">
        <v>378</v>
      </c>
      <c r="H262" s="424">
        <v>0</v>
      </c>
      <c r="I262" s="425">
        <v>45967</v>
      </c>
      <c r="J262" s="423" t="s">
        <v>263</v>
      </c>
      <c r="K262" s="423" t="s">
        <v>994</v>
      </c>
      <c r="L262" s="426">
        <v>226.18</v>
      </c>
      <c r="M262" s="426">
        <v>18.46</v>
      </c>
      <c r="N262" s="451">
        <v>244.64</v>
      </c>
      <c r="O262" s="423"/>
      <c r="P262" s="427">
        <v>45978</v>
      </c>
      <c r="Q262" s="426">
        <v>244.64</v>
      </c>
      <c r="R262" s="423" t="s">
        <v>995</v>
      </c>
      <c r="S262" s="426">
        <v>0</v>
      </c>
      <c r="T262" s="426">
        <v>0</v>
      </c>
      <c r="U262" s="426">
        <v>0</v>
      </c>
      <c r="V262" s="426">
        <v>0</v>
      </c>
      <c r="W262" s="423"/>
      <c r="X262" s="423" t="s">
        <v>293</v>
      </c>
      <c r="Y262" s="423" t="s">
        <v>294</v>
      </c>
      <c r="Z262" s="423" t="s">
        <v>53</v>
      </c>
      <c r="AA262" s="423" t="s">
        <v>228</v>
      </c>
      <c r="AB262" s="423" t="s">
        <v>239</v>
      </c>
      <c r="AC262" s="423" t="s">
        <v>243</v>
      </c>
      <c r="AD262" s="423" t="s">
        <v>231</v>
      </c>
      <c r="AE262" s="423" t="s">
        <v>232</v>
      </c>
      <c r="AF262" s="423" t="s">
        <v>231</v>
      </c>
      <c r="AG262" s="423" t="s">
        <v>232</v>
      </c>
      <c r="AH262" s="423"/>
      <c r="AI262" s="423"/>
      <c r="AJ262" s="423"/>
      <c r="AK262" s="423" t="s">
        <v>996</v>
      </c>
      <c r="AL262" s="424">
        <v>1</v>
      </c>
      <c r="AM262" s="424">
        <v>0</v>
      </c>
      <c r="AN262" s="425">
        <v>45978</v>
      </c>
      <c r="AO262" s="425">
        <v>45975</v>
      </c>
      <c r="AP262" s="426">
        <v>244.64</v>
      </c>
      <c r="AQ262" s="425">
        <v>45974</v>
      </c>
    </row>
    <row r="263" spans="1:43" s="14" customFormat="1" ht="22.5" customHeight="1" x14ac:dyDescent="0.2">
      <c r="A263" s="408" t="s">
        <v>262</v>
      </c>
      <c r="B263" s="408"/>
      <c r="C263" s="408" t="s">
        <v>221</v>
      </c>
      <c r="D263" s="408" t="s">
        <v>222</v>
      </c>
      <c r="E263" s="409">
        <v>418114</v>
      </c>
      <c r="F263" s="409">
        <v>2607</v>
      </c>
      <c r="G263" s="409">
        <v>378</v>
      </c>
      <c r="H263" s="409">
        <v>0</v>
      </c>
      <c r="I263" s="410">
        <v>45967</v>
      </c>
      <c r="J263" s="408" t="s">
        <v>263</v>
      </c>
      <c r="K263" s="408" t="s">
        <v>997</v>
      </c>
      <c r="L263" s="411">
        <v>79.400000000000006</v>
      </c>
      <c r="M263" s="411">
        <v>13.23</v>
      </c>
      <c r="N263" s="450">
        <v>92.63</v>
      </c>
      <c r="O263" s="408"/>
      <c r="P263" s="412">
        <v>45978</v>
      </c>
      <c r="Q263" s="411">
        <v>92.63</v>
      </c>
      <c r="R263" s="408" t="s">
        <v>998</v>
      </c>
      <c r="S263" s="411">
        <v>0</v>
      </c>
      <c r="T263" s="411">
        <v>0</v>
      </c>
      <c r="U263" s="411">
        <v>0</v>
      </c>
      <c r="V263" s="411">
        <v>0</v>
      </c>
      <c r="W263" s="408"/>
      <c r="X263" s="408" t="s">
        <v>293</v>
      </c>
      <c r="Y263" s="408" t="s">
        <v>294</v>
      </c>
      <c r="Z263" s="408" t="s">
        <v>53</v>
      </c>
      <c r="AA263" s="408" t="s">
        <v>228</v>
      </c>
      <c r="AB263" s="408" t="s">
        <v>239</v>
      </c>
      <c r="AC263" s="408" t="s">
        <v>240</v>
      </c>
      <c r="AD263" s="408" t="s">
        <v>231</v>
      </c>
      <c r="AE263" s="408" t="s">
        <v>232</v>
      </c>
      <c r="AF263" s="408" t="s">
        <v>231</v>
      </c>
      <c r="AG263" s="408" t="s">
        <v>232</v>
      </c>
      <c r="AH263" s="408"/>
      <c r="AI263" s="408"/>
      <c r="AJ263" s="408"/>
      <c r="AK263" s="408" t="s">
        <v>999</v>
      </c>
      <c r="AL263" s="409">
        <v>1</v>
      </c>
      <c r="AM263" s="409">
        <v>0</v>
      </c>
      <c r="AN263" s="410">
        <v>45978</v>
      </c>
      <c r="AO263" s="410">
        <v>45975</v>
      </c>
      <c r="AP263" s="411">
        <v>92.63</v>
      </c>
      <c r="AQ263" s="410">
        <v>45974</v>
      </c>
    </row>
    <row r="264" spans="1:43" s="14" customFormat="1" ht="22.5" customHeight="1" x14ac:dyDescent="0.2">
      <c r="A264" s="408" t="s">
        <v>262</v>
      </c>
      <c r="B264" s="408"/>
      <c r="C264" s="408" t="s">
        <v>221</v>
      </c>
      <c r="D264" s="408" t="s">
        <v>222</v>
      </c>
      <c r="E264" s="409">
        <v>418115</v>
      </c>
      <c r="F264" s="409">
        <v>2608</v>
      </c>
      <c r="G264" s="409">
        <v>378</v>
      </c>
      <c r="H264" s="409">
        <v>0</v>
      </c>
      <c r="I264" s="410">
        <v>45967</v>
      </c>
      <c r="J264" s="408" t="s">
        <v>263</v>
      </c>
      <c r="K264" s="408" t="s">
        <v>1000</v>
      </c>
      <c r="L264" s="411">
        <v>141.66</v>
      </c>
      <c r="M264" s="411">
        <v>8.06</v>
      </c>
      <c r="N264" s="450">
        <v>149.72</v>
      </c>
      <c r="O264" s="408"/>
      <c r="P264" s="412">
        <v>45978</v>
      </c>
      <c r="Q264" s="411">
        <v>149.72</v>
      </c>
      <c r="R264" s="408" t="s">
        <v>1001</v>
      </c>
      <c r="S264" s="411">
        <v>0</v>
      </c>
      <c r="T264" s="411">
        <v>0</v>
      </c>
      <c r="U264" s="411">
        <v>0</v>
      </c>
      <c r="V264" s="411">
        <v>0</v>
      </c>
      <c r="W264" s="408"/>
      <c r="X264" s="408" t="s">
        <v>293</v>
      </c>
      <c r="Y264" s="408" t="s">
        <v>294</v>
      </c>
      <c r="Z264" s="408" t="s">
        <v>53</v>
      </c>
      <c r="AA264" s="408" t="s">
        <v>228</v>
      </c>
      <c r="AB264" s="408" t="s">
        <v>239</v>
      </c>
      <c r="AC264" s="408" t="s">
        <v>240</v>
      </c>
      <c r="AD264" s="408" t="s">
        <v>231</v>
      </c>
      <c r="AE264" s="408" t="s">
        <v>232</v>
      </c>
      <c r="AF264" s="408" t="s">
        <v>231</v>
      </c>
      <c r="AG264" s="408" t="s">
        <v>232</v>
      </c>
      <c r="AH264" s="408"/>
      <c r="AI264" s="408"/>
      <c r="AJ264" s="408"/>
      <c r="AK264" s="408" t="s">
        <v>1002</v>
      </c>
      <c r="AL264" s="409">
        <v>1</v>
      </c>
      <c r="AM264" s="409">
        <v>0</v>
      </c>
      <c r="AN264" s="410">
        <v>45978</v>
      </c>
      <c r="AO264" s="410">
        <v>45975</v>
      </c>
      <c r="AP264" s="411">
        <v>149.72</v>
      </c>
      <c r="AQ264" s="410">
        <v>45974</v>
      </c>
    </row>
    <row r="265" spans="1:43" ht="22.5" customHeight="1" x14ac:dyDescent="0.2">
      <c r="A265" s="428" t="s">
        <v>262</v>
      </c>
      <c r="B265" s="428"/>
      <c r="C265" s="428" t="s">
        <v>221</v>
      </c>
      <c r="D265" s="428" t="s">
        <v>222</v>
      </c>
      <c r="E265" s="429">
        <v>418116</v>
      </c>
      <c r="F265" s="429">
        <v>2609</v>
      </c>
      <c r="G265" s="429">
        <v>378</v>
      </c>
      <c r="H265" s="429">
        <v>0</v>
      </c>
      <c r="I265" s="430">
        <v>45967</v>
      </c>
      <c r="J265" s="428" t="s">
        <v>263</v>
      </c>
      <c r="K265" s="428" t="s">
        <v>1003</v>
      </c>
      <c r="L265" s="431">
        <v>51.91</v>
      </c>
      <c r="M265" s="431">
        <v>10.38</v>
      </c>
      <c r="N265" s="441">
        <v>62.29</v>
      </c>
      <c r="O265" s="428"/>
      <c r="P265" s="432">
        <v>45978</v>
      </c>
      <c r="Q265" s="431">
        <v>62.29</v>
      </c>
      <c r="R265" s="428" t="s">
        <v>1004</v>
      </c>
      <c r="S265" s="431">
        <v>0</v>
      </c>
      <c r="T265" s="431">
        <v>0</v>
      </c>
      <c r="U265" s="431">
        <v>0</v>
      </c>
      <c r="V265" s="431">
        <v>0</v>
      </c>
      <c r="W265" s="428"/>
      <c r="X265" s="428" t="s">
        <v>293</v>
      </c>
      <c r="Y265" s="428" t="s">
        <v>294</v>
      </c>
      <c r="Z265" s="428" t="s">
        <v>42</v>
      </c>
      <c r="AA265" s="428" t="s">
        <v>228</v>
      </c>
      <c r="AB265" s="428" t="s">
        <v>235</v>
      </c>
      <c r="AC265" s="428" t="s">
        <v>236</v>
      </c>
      <c r="AD265" s="428" t="s">
        <v>231</v>
      </c>
      <c r="AE265" s="428" t="s">
        <v>232</v>
      </c>
      <c r="AF265" s="428" t="s">
        <v>231</v>
      </c>
      <c r="AG265" s="428" t="s">
        <v>232</v>
      </c>
      <c r="AH265" s="428"/>
      <c r="AI265" s="428"/>
      <c r="AJ265" s="428"/>
      <c r="AK265" s="428" t="s">
        <v>1005</v>
      </c>
      <c r="AL265" s="429">
        <v>1</v>
      </c>
      <c r="AM265" s="429">
        <v>0</v>
      </c>
      <c r="AN265" s="430">
        <v>45978</v>
      </c>
      <c r="AO265" s="430">
        <v>45975</v>
      </c>
      <c r="AP265" s="431">
        <v>62.29</v>
      </c>
      <c r="AQ265" s="430">
        <v>45974</v>
      </c>
    </row>
    <row r="266" spans="1:43" ht="22.5" customHeight="1" x14ac:dyDescent="0.2">
      <c r="A266" s="428" t="s">
        <v>262</v>
      </c>
      <c r="B266" s="428"/>
      <c r="C266" s="428" t="s">
        <v>221</v>
      </c>
      <c r="D266" s="428" t="s">
        <v>222</v>
      </c>
      <c r="E266" s="429">
        <v>418117</v>
      </c>
      <c r="F266" s="429">
        <v>2610</v>
      </c>
      <c r="G266" s="429">
        <v>378</v>
      </c>
      <c r="H266" s="429">
        <v>0</v>
      </c>
      <c r="I266" s="430">
        <v>45967</v>
      </c>
      <c r="J266" s="428" t="s">
        <v>263</v>
      </c>
      <c r="K266" s="428" t="s">
        <v>1006</v>
      </c>
      <c r="L266" s="431">
        <v>188.69</v>
      </c>
      <c r="M266" s="431">
        <v>11.03</v>
      </c>
      <c r="N266" s="441">
        <v>199.72</v>
      </c>
      <c r="O266" s="428"/>
      <c r="P266" s="432">
        <v>45978</v>
      </c>
      <c r="Q266" s="431">
        <v>199.72</v>
      </c>
      <c r="R266" s="428" t="s">
        <v>1007</v>
      </c>
      <c r="S266" s="431">
        <v>0</v>
      </c>
      <c r="T266" s="431">
        <v>0</v>
      </c>
      <c r="U266" s="431">
        <v>0</v>
      </c>
      <c r="V266" s="431">
        <v>0</v>
      </c>
      <c r="W266" s="428"/>
      <c r="X266" s="428" t="s">
        <v>293</v>
      </c>
      <c r="Y266" s="428" t="s">
        <v>294</v>
      </c>
      <c r="Z266" s="428" t="s">
        <v>42</v>
      </c>
      <c r="AA266" s="428" t="s">
        <v>228</v>
      </c>
      <c r="AB266" s="428" t="s">
        <v>235</v>
      </c>
      <c r="AC266" s="428" t="s">
        <v>236</v>
      </c>
      <c r="AD266" s="428" t="s">
        <v>231</v>
      </c>
      <c r="AE266" s="428" t="s">
        <v>232</v>
      </c>
      <c r="AF266" s="428" t="s">
        <v>231</v>
      </c>
      <c r="AG266" s="428" t="s">
        <v>232</v>
      </c>
      <c r="AH266" s="428"/>
      <c r="AI266" s="428"/>
      <c r="AJ266" s="428"/>
      <c r="AK266" s="428" t="s">
        <v>1008</v>
      </c>
      <c r="AL266" s="429">
        <v>1</v>
      </c>
      <c r="AM266" s="429">
        <v>0</v>
      </c>
      <c r="AN266" s="430">
        <v>45978</v>
      </c>
      <c r="AO266" s="430">
        <v>45975</v>
      </c>
      <c r="AP266" s="431">
        <v>199.72</v>
      </c>
      <c r="AQ266" s="430">
        <v>45974</v>
      </c>
    </row>
    <row r="267" spans="1:43" s="14" customFormat="1" ht="22.5" customHeight="1" x14ac:dyDescent="0.2">
      <c r="A267" s="408" t="s">
        <v>408</v>
      </c>
      <c r="B267" s="408"/>
      <c r="C267" s="408" t="s">
        <v>221</v>
      </c>
      <c r="D267" s="408" t="s">
        <v>222</v>
      </c>
      <c r="E267" s="409">
        <v>419179</v>
      </c>
      <c r="F267" s="409">
        <v>2787</v>
      </c>
      <c r="G267" s="409">
        <v>408</v>
      </c>
      <c r="H267" s="409">
        <v>2</v>
      </c>
      <c r="I267" s="410">
        <v>45981</v>
      </c>
      <c r="J267" s="408" t="s">
        <v>281</v>
      </c>
      <c r="K267" s="408" t="s">
        <v>1009</v>
      </c>
      <c r="L267" s="411">
        <v>47.78</v>
      </c>
      <c r="M267" s="411">
        <v>9.5500000000000007</v>
      </c>
      <c r="N267" s="450">
        <v>57.33</v>
      </c>
      <c r="O267" s="408"/>
      <c r="P267" s="412">
        <v>45987</v>
      </c>
      <c r="Q267" s="411">
        <v>57.33</v>
      </c>
      <c r="R267" s="408"/>
      <c r="S267" s="411">
        <v>0</v>
      </c>
      <c r="T267" s="411">
        <v>0</v>
      </c>
      <c r="U267" s="411">
        <v>0</v>
      </c>
      <c r="V267" s="411">
        <v>0</v>
      </c>
      <c r="W267" s="408"/>
      <c r="X267" s="408" t="s">
        <v>283</v>
      </c>
      <c r="Y267" s="408" t="s">
        <v>284</v>
      </c>
      <c r="Z267" s="408" t="s">
        <v>46</v>
      </c>
      <c r="AA267" s="408" t="s">
        <v>228</v>
      </c>
      <c r="AB267" s="408" t="s">
        <v>285</v>
      </c>
      <c r="AC267" s="408" t="s">
        <v>286</v>
      </c>
      <c r="AD267" s="408" t="s">
        <v>231</v>
      </c>
      <c r="AE267" s="408" t="s">
        <v>232</v>
      </c>
      <c r="AF267" s="408" t="s">
        <v>231</v>
      </c>
      <c r="AG267" s="408" t="s">
        <v>232</v>
      </c>
      <c r="AH267" s="408"/>
      <c r="AI267" s="408"/>
      <c r="AJ267" s="408"/>
      <c r="AK267" s="408"/>
      <c r="AL267" s="409">
        <v>1</v>
      </c>
      <c r="AM267" s="409">
        <v>0</v>
      </c>
      <c r="AN267" s="410">
        <v>45987</v>
      </c>
      <c r="AO267" s="410">
        <v>45986</v>
      </c>
      <c r="AP267" s="411">
        <v>57.33</v>
      </c>
      <c r="AQ267" s="410">
        <v>45985</v>
      </c>
    </row>
    <row r="268" spans="1:43" s="14" customFormat="1" ht="22.5" customHeight="1" x14ac:dyDescent="0.2">
      <c r="A268" s="408" t="s">
        <v>408</v>
      </c>
      <c r="B268" s="408"/>
      <c r="C268" s="408" t="s">
        <v>221</v>
      </c>
      <c r="D268" s="408" t="s">
        <v>222</v>
      </c>
      <c r="E268" s="409">
        <v>419269</v>
      </c>
      <c r="F268" s="409">
        <v>2818</v>
      </c>
      <c r="G268" s="409">
        <v>416</v>
      </c>
      <c r="H268" s="409">
        <v>2</v>
      </c>
      <c r="I268" s="410">
        <v>45986</v>
      </c>
      <c r="J268" s="408" t="s">
        <v>281</v>
      </c>
      <c r="K268" s="408" t="s">
        <v>1010</v>
      </c>
      <c r="L268" s="411">
        <v>92.26</v>
      </c>
      <c r="M268" s="411">
        <v>18.45</v>
      </c>
      <c r="N268" s="450">
        <v>110.71</v>
      </c>
      <c r="O268" s="408"/>
      <c r="P268" s="412">
        <v>45987</v>
      </c>
      <c r="Q268" s="411">
        <v>110.71</v>
      </c>
      <c r="R268" s="408"/>
      <c r="S268" s="411">
        <v>0</v>
      </c>
      <c r="T268" s="411">
        <v>0</v>
      </c>
      <c r="U268" s="411">
        <v>0</v>
      </c>
      <c r="V268" s="411">
        <v>0</v>
      </c>
      <c r="W268" s="408"/>
      <c r="X268" s="408" t="s">
        <v>410</v>
      </c>
      <c r="Y268" s="408" t="s">
        <v>411</v>
      </c>
      <c r="Z268" s="408" t="s">
        <v>53</v>
      </c>
      <c r="AA268" s="408" t="s">
        <v>228</v>
      </c>
      <c r="AB268" s="408" t="s">
        <v>239</v>
      </c>
      <c r="AC268" s="408" t="s">
        <v>457</v>
      </c>
      <c r="AD268" s="408" t="s">
        <v>231</v>
      </c>
      <c r="AE268" s="408" t="s">
        <v>232</v>
      </c>
      <c r="AF268" s="408" t="s">
        <v>231</v>
      </c>
      <c r="AG268" s="408" t="s">
        <v>232</v>
      </c>
      <c r="AH268" s="408"/>
      <c r="AI268" s="408"/>
      <c r="AJ268" s="408"/>
      <c r="AK268" s="408"/>
      <c r="AL268" s="409">
        <v>1</v>
      </c>
      <c r="AM268" s="409">
        <v>0</v>
      </c>
      <c r="AN268" s="410">
        <v>45987</v>
      </c>
      <c r="AO268" s="410">
        <v>45986</v>
      </c>
      <c r="AP268" s="411">
        <v>110.71</v>
      </c>
      <c r="AQ268" s="410">
        <v>45985</v>
      </c>
    </row>
    <row r="269" spans="1:43" ht="22.5" customHeight="1" x14ac:dyDescent="0.2">
      <c r="A269" s="423" t="s">
        <v>408</v>
      </c>
      <c r="B269" s="423"/>
      <c r="C269" s="423" t="s">
        <v>221</v>
      </c>
      <c r="D269" s="423" t="s">
        <v>222</v>
      </c>
      <c r="E269" s="424">
        <v>419270</v>
      </c>
      <c r="F269" s="424">
        <v>2818</v>
      </c>
      <c r="G269" s="424">
        <v>416</v>
      </c>
      <c r="H269" s="424">
        <v>2</v>
      </c>
      <c r="I269" s="425">
        <v>45986</v>
      </c>
      <c r="J269" s="423" t="s">
        <v>281</v>
      </c>
      <c r="K269" s="423" t="s">
        <v>1011</v>
      </c>
      <c r="L269" s="426">
        <v>97.63</v>
      </c>
      <c r="M269" s="426">
        <v>19.52</v>
      </c>
      <c r="N269" s="451">
        <v>117.15</v>
      </c>
      <c r="O269" s="423"/>
      <c r="P269" s="427">
        <v>45987</v>
      </c>
      <c r="Q269" s="426">
        <v>117.15</v>
      </c>
      <c r="R269" s="423"/>
      <c r="S269" s="426">
        <v>0</v>
      </c>
      <c r="T269" s="426">
        <v>0</v>
      </c>
      <c r="U269" s="426">
        <v>0</v>
      </c>
      <c r="V269" s="426">
        <v>0</v>
      </c>
      <c r="W269" s="423"/>
      <c r="X269" s="423" t="s">
        <v>410</v>
      </c>
      <c r="Y269" s="423" t="s">
        <v>411</v>
      </c>
      <c r="Z269" s="423" t="s">
        <v>53</v>
      </c>
      <c r="AA269" s="423" t="s">
        <v>228</v>
      </c>
      <c r="AB269" s="423" t="s">
        <v>239</v>
      </c>
      <c r="AC269" s="423" t="s">
        <v>243</v>
      </c>
      <c r="AD269" s="423" t="s">
        <v>231</v>
      </c>
      <c r="AE269" s="423" t="s">
        <v>232</v>
      </c>
      <c r="AF269" s="423" t="s">
        <v>231</v>
      </c>
      <c r="AG269" s="423" t="s">
        <v>232</v>
      </c>
      <c r="AH269" s="423"/>
      <c r="AI269" s="423"/>
      <c r="AJ269" s="423"/>
      <c r="AK269" s="423"/>
      <c r="AL269" s="424">
        <v>1</v>
      </c>
      <c r="AM269" s="424">
        <v>0</v>
      </c>
      <c r="AN269" s="425">
        <v>45987</v>
      </c>
      <c r="AO269" s="425">
        <v>45986</v>
      </c>
      <c r="AP269" s="426">
        <v>117.15</v>
      </c>
      <c r="AQ269" s="425">
        <v>45985</v>
      </c>
    </row>
    <row r="270" spans="1:43" s="14" customFormat="1" ht="22.5" customHeight="1" x14ac:dyDescent="0.2">
      <c r="A270" s="408" t="s">
        <v>408</v>
      </c>
      <c r="B270" s="408"/>
      <c r="C270" s="408" t="s">
        <v>221</v>
      </c>
      <c r="D270" s="408" t="s">
        <v>222</v>
      </c>
      <c r="E270" s="409">
        <v>419272</v>
      </c>
      <c r="F270" s="409">
        <v>2818</v>
      </c>
      <c r="G270" s="409">
        <v>416</v>
      </c>
      <c r="H270" s="409">
        <v>4</v>
      </c>
      <c r="I270" s="410">
        <v>45986</v>
      </c>
      <c r="J270" s="408" t="s">
        <v>281</v>
      </c>
      <c r="K270" s="408" t="s">
        <v>1012</v>
      </c>
      <c r="L270" s="411">
        <v>67.540000000000006</v>
      </c>
      <c r="M270" s="411">
        <v>13.51</v>
      </c>
      <c r="N270" s="450">
        <v>81.05</v>
      </c>
      <c r="O270" s="408"/>
      <c r="P270" s="412">
        <v>45987</v>
      </c>
      <c r="Q270" s="411">
        <v>81.05</v>
      </c>
      <c r="R270" s="408"/>
      <c r="S270" s="411">
        <v>0</v>
      </c>
      <c r="T270" s="411">
        <v>0</v>
      </c>
      <c r="U270" s="411">
        <v>0</v>
      </c>
      <c r="V270" s="411">
        <v>0</v>
      </c>
      <c r="W270" s="408"/>
      <c r="X270" s="408" t="s">
        <v>410</v>
      </c>
      <c r="Y270" s="408" t="s">
        <v>411</v>
      </c>
      <c r="Z270" s="408" t="s">
        <v>53</v>
      </c>
      <c r="AA270" s="408" t="s">
        <v>228</v>
      </c>
      <c r="AB270" s="408" t="s">
        <v>239</v>
      </c>
      <c r="AC270" s="408" t="s">
        <v>240</v>
      </c>
      <c r="AD270" s="408" t="s">
        <v>231</v>
      </c>
      <c r="AE270" s="408" t="s">
        <v>232</v>
      </c>
      <c r="AF270" s="408" t="s">
        <v>231</v>
      </c>
      <c r="AG270" s="408" t="s">
        <v>232</v>
      </c>
      <c r="AH270" s="408"/>
      <c r="AI270" s="408"/>
      <c r="AJ270" s="408"/>
      <c r="AK270" s="408"/>
      <c r="AL270" s="409">
        <v>1</v>
      </c>
      <c r="AM270" s="409">
        <v>0</v>
      </c>
      <c r="AN270" s="410">
        <v>45987</v>
      </c>
      <c r="AO270" s="410">
        <v>45986</v>
      </c>
      <c r="AP270" s="411">
        <v>81.05</v>
      </c>
      <c r="AQ270" s="410">
        <v>45985</v>
      </c>
    </row>
    <row r="271" spans="1:43" ht="22.5" customHeight="1" x14ac:dyDescent="0.2">
      <c r="A271" s="358" t="s">
        <v>262</v>
      </c>
      <c r="B271" s="358"/>
      <c r="C271" s="358" t="s">
        <v>221</v>
      </c>
      <c r="D271" s="358" t="s">
        <v>222</v>
      </c>
      <c r="E271" s="359">
        <v>419561</v>
      </c>
      <c r="F271" s="359">
        <v>2902</v>
      </c>
      <c r="G271" s="359">
        <v>433</v>
      </c>
      <c r="H271" s="359">
        <v>0</v>
      </c>
      <c r="I271" s="360">
        <v>46000</v>
      </c>
      <c r="J271" s="358" t="s">
        <v>1013</v>
      </c>
      <c r="K271" s="358" t="s">
        <v>1014</v>
      </c>
      <c r="L271" s="361">
        <v>27.33</v>
      </c>
      <c r="M271" s="361">
        <v>1.81</v>
      </c>
      <c r="N271" s="448">
        <v>29.14</v>
      </c>
      <c r="O271" s="358"/>
      <c r="P271" s="362">
        <v>46007</v>
      </c>
      <c r="Q271" s="361">
        <v>29.14</v>
      </c>
      <c r="R271" s="358" t="s">
        <v>1015</v>
      </c>
      <c r="S271" s="361">
        <v>0</v>
      </c>
      <c r="T271" s="361">
        <v>0</v>
      </c>
      <c r="U271" s="361">
        <v>0</v>
      </c>
      <c r="V271" s="361">
        <v>0</v>
      </c>
      <c r="W271" s="358"/>
      <c r="X271" s="358" t="s">
        <v>293</v>
      </c>
      <c r="Y271" s="358" t="s">
        <v>294</v>
      </c>
      <c r="Z271" s="358" t="s">
        <v>591</v>
      </c>
      <c r="AA271" s="358" t="s">
        <v>228</v>
      </c>
      <c r="AB271" s="358" t="s">
        <v>235</v>
      </c>
      <c r="AC271" s="358" t="s">
        <v>31</v>
      </c>
      <c r="AD271" s="358" t="s">
        <v>231</v>
      </c>
      <c r="AE271" s="358" t="s">
        <v>232</v>
      </c>
      <c r="AF271" s="358" t="s">
        <v>231</v>
      </c>
      <c r="AG271" s="358" t="s">
        <v>232</v>
      </c>
      <c r="AH271" s="358"/>
      <c r="AI271" s="358"/>
      <c r="AJ271" s="358"/>
      <c r="AK271" s="358" t="s">
        <v>1016</v>
      </c>
      <c r="AL271" s="359">
        <v>1</v>
      </c>
      <c r="AM271" s="359">
        <v>0</v>
      </c>
      <c r="AN271" s="360">
        <v>46007</v>
      </c>
      <c r="AO271" s="360">
        <v>46006</v>
      </c>
      <c r="AP271" s="361">
        <v>29.14</v>
      </c>
      <c r="AQ271" s="360">
        <v>46005</v>
      </c>
    </row>
    <row r="272" spans="1:43" s="14" customFormat="1" ht="22.5" customHeight="1" x14ac:dyDescent="0.2">
      <c r="A272" s="408" t="s">
        <v>262</v>
      </c>
      <c r="B272" s="408"/>
      <c r="C272" s="408" t="s">
        <v>221</v>
      </c>
      <c r="D272" s="408" t="s">
        <v>222</v>
      </c>
      <c r="E272" s="409">
        <v>419564</v>
      </c>
      <c r="F272" s="409">
        <v>2903</v>
      </c>
      <c r="G272" s="409">
        <v>433</v>
      </c>
      <c r="H272" s="409">
        <v>0</v>
      </c>
      <c r="I272" s="410">
        <v>46000</v>
      </c>
      <c r="J272" s="408" t="s">
        <v>1013</v>
      </c>
      <c r="K272" s="408" t="s">
        <v>1017</v>
      </c>
      <c r="L272" s="411">
        <v>327.54000000000002</v>
      </c>
      <c r="M272" s="411">
        <v>21.8</v>
      </c>
      <c r="N272" s="450">
        <v>349.34</v>
      </c>
      <c r="O272" s="408"/>
      <c r="P272" s="412">
        <v>46007</v>
      </c>
      <c r="Q272" s="411">
        <v>349.34</v>
      </c>
      <c r="R272" s="408" t="s">
        <v>1018</v>
      </c>
      <c r="S272" s="411">
        <v>0</v>
      </c>
      <c r="T272" s="411">
        <v>0</v>
      </c>
      <c r="U272" s="411">
        <v>0</v>
      </c>
      <c r="V272" s="411">
        <v>0</v>
      </c>
      <c r="W272" s="408"/>
      <c r="X272" s="408" t="s">
        <v>293</v>
      </c>
      <c r="Y272" s="408" t="s">
        <v>294</v>
      </c>
      <c r="Z272" s="408" t="s">
        <v>46</v>
      </c>
      <c r="AA272" s="408" t="s">
        <v>228</v>
      </c>
      <c r="AB272" s="408" t="s">
        <v>239</v>
      </c>
      <c r="AC272" s="408" t="s">
        <v>790</v>
      </c>
      <c r="AD272" s="408" t="s">
        <v>231</v>
      </c>
      <c r="AE272" s="408" t="s">
        <v>232</v>
      </c>
      <c r="AF272" s="408" t="s">
        <v>231</v>
      </c>
      <c r="AG272" s="408" t="s">
        <v>232</v>
      </c>
      <c r="AH272" s="408"/>
      <c r="AI272" s="408"/>
      <c r="AJ272" s="408"/>
      <c r="AK272" s="408" t="s">
        <v>1019</v>
      </c>
      <c r="AL272" s="409">
        <v>1</v>
      </c>
      <c r="AM272" s="409">
        <v>0</v>
      </c>
      <c r="AN272" s="410">
        <v>46007</v>
      </c>
      <c r="AO272" s="410">
        <v>46006</v>
      </c>
      <c r="AP272" s="411">
        <v>349.34</v>
      </c>
      <c r="AQ272" s="410">
        <v>46005</v>
      </c>
    </row>
    <row r="273" spans="1:43" s="14" customFormat="1" ht="22.5" customHeight="1" x14ac:dyDescent="0.2">
      <c r="A273" s="408" t="s">
        <v>262</v>
      </c>
      <c r="B273" s="408"/>
      <c r="C273" s="408" t="s">
        <v>221</v>
      </c>
      <c r="D273" s="408" t="s">
        <v>222</v>
      </c>
      <c r="E273" s="409">
        <v>419565</v>
      </c>
      <c r="F273" s="409">
        <v>2904</v>
      </c>
      <c r="G273" s="409">
        <v>433</v>
      </c>
      <c r="H273" s="409">
        <v>0</v>
      </c>
      <c r="I273" s="410">
        <v>46000</v>
      </c>
      <c r="J273" s="408" t="s">
        <v>1013</v>
      </c>
      <c r="K273" s="408" t="s">
        <v>1020</v>
      </c>
      <c r="L273" s="411">
        <v>555.65</v>
      </c>
      <c r="M273" s="411">
        <v>42.02</v>
      </c>
      <c r="N273" s="450">
        <v>597.66999999999996</v>
      </c>
      <c r="O273" s="408"/>
      <c r="P273" s="412">
        <v>46007</v>
      </c>
      <c r="Q273" s="411">
        <v>597.66999999999996</v>
      </c>
      <c r="R273" s="408" t="s">
        <v>1021</v>
      </c>
      <c r="S273" s="411">
        <v>0</v>
      </c>
      <c r="T273" s="411">
        <v>0</v>
      </c>
      <c r="U273" s="411">
        <v>0</v>
      </c>
      <c r="V273" s="411">
        <v>0</v>
      </c>
      <c r="W273" s="408"/>
      <c r="X273" s="408" t="s">
        <v>293</v>
      </c>
      <c r="Y273" s="408" t="s">
        <v>294</v>
      </c>
      <c r="Z273" s="408" t="s">
        <v>53</v>
      </c>
      <c r="AA273" s="408" t="s">
        <v>228</v>
      </c>
      <c r="AB273" s="408" t="s">
        <v>239</v>
      </c>
      <c r="AC273" s="408" t="s">
        <v>457</v>
      </c>
      <c r="AD273" s="408" t="s">
        <v>231</v>
      </c>
      <c r="AE273" s="408" t="s">
        <v>232</v>
      </c>
      <c r="AF273" s="408" t="s">
        <v>231</v>
      </c>
      <c r="AG273" s="408" t="s">
        <v>232</v>
      </c>
      <c r="AH273" s="408"/>
      <c r="AI273" s="408"/>
      <c r="AJ273" s="408"/>
      <c r="AK273" s="408" t="s">
        <v>1022</v>
      </c>
      <c r="AL273" s="409">
        <v>1</v>
      </c>
      <c r="AM273" s="409">
        <v>0</v>
      </c>
      <c r="AN273" s="410">
        <v>46007</v>
      </c>
      <c r="AO273" s="410">
        <v>46006</v>
      </c>
      <c r="AP273" s="411">
        <v>597.66999999999996</v>
      </c>
      <c r="AQ273" s="410">
        <v>46005</v>
      </c>
    </row>
    <row r="274" spans="1:43" ht="22.5" customHeight="1" x14ac:dyDescent="0.2">
      <c r="A274" s="418" t="s">
        <v>262</v>
      </c>
      <c r="B274" s="418"/>
      <c r="C274" s="418" t="s">
        <v>221</v>
      </c>
      <c r="D274" s="418" t="s">
        <v>222</v>
      </c>
      <c r="E274" s="419">
        <v>419566</v>
      </c>
      <c r="F274" s="419">
        <v>2905</v>
      </c>
      <c r="G274" s="419">
        <v>433</v>
      </c>
      <c r="H274" s="419">
        <v>0</v>
      </c>
      <c r="I274" s="420">
        <v>46000</v>
      </c>
      <c r="J274" s="418" t="s">
        <v>1013</v>
      </c>
      <c r="K274" s="418" t="s">
        <v>1023</v>
      </c>
      <c r="L274" s="421">
        <v>310.95</v>
      </c>
      <c r="M274" s="421">
        <v>38.33</v>
      </c>
      <c r="N274" s="443">
        <v>349.28</v>
      </c>
      <c r="O274" s="418"/>
      <c r="P274" s="422">
        <v>46007</v>
      </c>
      <c r="Q274" s="421">
        <v>349.28</v>
      </c>
      <c r="R274" s="418" t="s">
        <v>1024</v>
      </c>
      <c r="S274" s="421">
        <v>0</v>
      </c>
      <c r="T274" s="421">
        <v>0</v>
      </c>
      <c r="U274" s="421">
        <v>0</v>
      </c>
      <c r="V274" s="421">
        <v>0</v>
      </c>
      <c r="W274" s="418"/>
      <c r="X274" s="418" t="s">
        <v>293</v>
      </c>
      <c r="Y274" s="418" t="s">
        <v>294</v>
      </c>
      <c r="Z274" s="418" t="s">
        <v>42</v>
      </c>
      <c r="AA274" s="418" t="s">
        <v>228</v>
      </c>
      <c r="AB274" s="418" t="s">
        <v>235</v>
      </c>
      <c r="AC274" s="418" t="s">
        <v>250</v>
      </c>
      <c r="AD274" s="418" t="s">
        <v>231</v>
      </c>
      <c r="AE274" s="418" t="s">
        <v>232</v>
      </c>
      <c r="AF274" s="418" t="s">
        <v>231</v>
      </c>
      <c r="AG274" s="418" t="s">
        <v>232</v>
      </c>
      <c r="AH274" s="418"/>
      <c r="AI274" s="418"/>
      <c r="AJ274" s="418"/>
      <c r="AK274" s="418" t="s">
        <v>1025</v>
      </c>
      <c r="AL274" s="419">
        <v>1</v>
      </c>
      <c r="AM274" s="419">
        <v>0</v>
      </c>
      <c r="AN274" s="420">
        <v>46007</v>
      </c>
      <c r="AO274" s="420">
        <v>46006</v>
      </c>
      <c r="AP274" s="421">
        <v>349.28</v>
      </c>
      <c r="AQ274" s="420">
        <v>46005</v>
      </c>
    </row>
    <row r="275" spans="1:43" ht="22.5" customHeight="1" x14ac:dyDescent="0.2">
      <c r="A275" s="358" t="s">
        <v>262</v>
      </c>
      <c r="B275" s="358"/>
      <c r="C275" s="358" t="s">
        <v>221</v>
      </c>
      <c r="D275" s="358" t="s">
        <v>222</v>
      </c>
      <c r="E275" s="359">
        <v>419568</v>
      </c>
      <c r="F275" s="359">
        <v>2906</v>
      </c>
      <c r="G275" s="359">
        <v>433</v>
      </c>
      <c r="H275" s="359">
        <v>0</v>
      </c>
      <c r="I275" s="360">
        <v>46000</v>
      </c>
      <c r="J275" s="358" t="s">
        <v>1013</v>
      </c>
      <c r="K275" s="358" t="s">
        <v>1026</v>
      </c>
      <c r="L275" s="361">
        <v>318.91000000000003</v>
      </c>
      <c r="M275" s="361">
        <v>17.77</v>
      </c>
      <c r="N275" s="448">
        <v>336.68</v>
      </c>
      <c r="O275" s="358"/>
      <c r="P275" s="362">
        <v>46007</v>
      </c>
      <c r="Q275" s="361">
        <v>336.68</v>
      </c>
      <c r="R275" s="358" t="s">
        <v>1027</v>
      </c>
      <c r="S275" s="361">
        <v>0</v>
      </c>
      <c r="T275" s="361">
        <v>0</v>
      </c>
      <c r="U275" s="361">
        <v>0</v>
      </c>
      <c r="V275" s="361">
        <v>0</v>
      </c>
      <c r="W275" s="358"/>
      <c r="X275" s="358" t="s">
        <v>293</v>
      </c>
      <c r="Y275" s="358" t="s">
        <v>294</v>
      </c>
      <c r="Z275" s="358" t="s">
        <v>259</v>
      </c>
      <c r="AA275" s="358" t="s">
        <v>228</v>
      </c>
      <c r="AB275" s="358" t="s">
        <v>260</v>
      </c>
      <c r="AC275" s="358" t="s">
        <v>31</v>
      </c>
      <c r="AD275" s="358" t="s">
        <v>231</v>
      </c>
      <c r="AE275" s="358" t="s">
        <v>232</v>
      </c>
      <c r="AF275" s="358" t="s">
        <v>231</v>
      </c>
      <c r="AG275" s="358" t="s">
        <v>232</v>
      </c>
      <c r="AH275" s="358"/>
      <c r="AI275" s="358"/>
      <c r="AJ275" s="358"/>
      <c r="AK275" s="358" t="s">
        <v>1028</v>
      </c>
      <c r="AL275" s="359">
        <v>1</v>
      </c>
      <c r="AM275" s="359">
        <v>0</v>
      </c>
      <c r="AN275" s="360">
        <v>46007</v>
      </c>
      <c r="AO275" s="360">
        <v>46006</v>
      </c>
      <c r="AP275" s="361">
        <v>336.68</v>
      </c>
      <c r="AQ275" s="360">
        <v>46005</v>
      </c>
    </row>
    <row r="276" spans="1:43" ht="22.5" customHeight="1" x14ac:dyDescent="0.2">
      <c r="A276" s="418" t="s">
        <v>262</v>
      </c>
      <c r="B276" s="418"/>
      <c r="C276" s="418" t="s">
        <v>221</v>
      </c>
      <c r="D276" s="418" t="s">
        <v>222</v>
      </c>
      <c r="E276" s="419">
        <v>419602</v>
      </c>
      <c r="F276" s="419">
        <v>2927</v>
      </c>
      <c r="G276" s="419">
        <v>435</v>
      </c>
      <c r="H276" s="419">
        <v>0</v>
      </c>
      <c r="I276" s="420">
        <v>46000</v>
      </c>
      <c r="J276" s="418" t="s">
        <v>1013</v>
      </c>
      <c r="K276" s="418" t="s">
        <v>1029</v>
      </c>
      <c r="L276" s="421">
        <v>130.43</v>
      </c>
      <c r="M276" s="421">
        <v>8.09</v>
      </c>
      <c r="N276" s="443">
        <v>138.52000000000001</v>
      </c>
      <c r="O276" s="418"/>
      <c r="P276" s="422">
        <v>46007</v>
      </c>
      <c r="Q276" s="421">
        <v>138.52000000000001</v>
      </c>
      <c r="R276" s="418" t="s">
        <v>1030</v>
      </c>
      <c r="S276" s="421">
        <v>0</v>
      </c>
      <c r="T276" s="421">
        <v>0</v>
      </c>
      <c r="U276" s="421">
        <v>0</v>
      </c>
      <c r="V276" s="421">
        <v>0</v>
      </c>
      <c r="W276" s="418"/>
      <c r="X276" s="418" t="s">
        <v>365</v>
      </c>
      <c r="Y276" s="418" t="s">
        <v>366</v>
      </c>
      <c r="Z276" s="418" t="s">
        <v>42</v>
      </c>
      <c r="AA276" s="418" t="s">
        <v>228</v>
      </c>
      <c r="AB276" s="418" t="s">
        <v>235</v>
      </c>
      <c r="AC276" s="418" t="s">
        <v>250</v>
      </c>
      <c r="AD276" s="418" t="s">
        <v>231</v>
      </c>
      <c r="AE276" s="418" t="s">
        <v>232</v>
      </c>
      <c r="AF276" s="418" t="s">
        <v>231</v>
      </c>
      <c r="AG276" s="418" t="s">
        <v>232</v>
      </c>
      <c r="AH276" s="418"/>
      <c r="AI276" s="418"/>
      <c r="AJ276" s="418"/>
      <c r="AK276" s="418" t="s">
        <v>1031</v>
      </c>
      <c r="AL276" s="419">
        <v>1</v>
      </c>
      <c r="AM276" s="419">
        <v>0</v>
      </c>
      <c r="AN276" s="420">
        <v>46007</v>
      </c>
      <c r="AO276" s="420">
        <v>46006</v>
      </c>
      <c r="AP276" s="421">
        <v>138.52000000000001</v>
      </c>
      <c r="AQ276" s="420">
        <v>46005</v>
      </c>
    </row>
    <row r="277" spans="1:43" ht="22.5" customHeight="1" x14ac:dyDescent="0.2">
      <c r="A277" s="418" t="s">
        <v>262</v>
      </c>
      <c r="B277" s="418"/>
      <c r="C277" s="418" t="s">
        <v>221</v>
      </c>
      <c r="D277" s="418" t="s">
        <v>222</v>
      </c>
      <c r="E277" s="419">
        <v>419655</v>
      </c>
      <c r="F277" s="419">
        <v>2969</v>
      </c>
      <c r="G277" s="419">
        <v>437</v>
      </c>
      <c r="H277" s="419">
        <v>0</v>
      </c>
      <c r="I277" s="420">
        <v>46000</v>
      </c>
      <c r="J277" s="418" t="s">
        <v>1013</v>
      </c>
      <c r="K277" s="418" t="s">
        <v>1032</v>
      </c>
      <c r="L277" s="421">
        <v>24.64</v>
      </c>
      <c r="M277" s="421">
        <v>1.36</v>
      </c>
      <c r="N277" s="443">
        <v>26</v>
      </c>
      <c r="O277" s="418"/>
      <c r="P277" s="422">
        <v>46007</v>
      </c>
      <c r="Q277" s="421">
        <v>26</v>
      </c>
      <c r="R277" s="418" t="s">
        <v>463</v>
      </c>
      <c r="S277" s="421">
        <v>0</v>
      </c>
      <c r="T277" s="421">
        <v>0</v>
      </c>
      <c r="U277" s="421">
        <v>0</v>
      </c>
      <c r="V277" s="421">
        <v>0</v>
      </c>
      <c r="W277" s="418"/>
      <c r="X277" s="418" t="s">
        <v>266</v>
      </c>
      <c r="Y277" s="418" t="s">
        <v>267</v>
      </c>
      <c r="Z277" s="418" t="s">
        <v>42</v>
      </c>
      <c r="AA277" s="418" t="s">
        <v>228</v>
      </c>
      <c r="AB277" s="418" t="s">
        <v>34</v>
      </c>
      <c r="AC277" s="418" t="s">
        <v>250</v>
      </c>
      <c r="AD277" s="418" t="s">
        <v>231</v>
      </c>
      <c r="AE277" s="418" t="s">
        <v>232</v>
      </c>
      <c r="AF277" s="418" t="s">
        <v>231</v>
      </c>
      <c r="AG277" s="418" t="s">
        <v>232</v>
      </c>
      <c r="AH277" s="418"/>
      <c r="AI277" s="418"/>
      <c r="AJ277" s="418"/>
      <c r="AK277" s="418" t="s">
        <v>1033</v>
      </c>
      <c r="AL277" s="419">
        <v>1</v>
      </c>
      <c r="AM277" s="419">
        <v>0</v>
      </c>
      <c r="AN277" s="420">
        <v>46007</v>
      </c>
      <c r="AO277" s="420">
        <v>46006</v>
      </c>
      <c r="AP277" s="421">
        <v>26</v>
      </c>
      <c r="AQ277" s="420">
        <v>46005</v>
      </c>
    </row>
    <row r="278" spans="1:43" ht="22.5" customHeight="1" x14ac:dyDescent="0.2">
      <c r="A278" s="347" t="s">
        <v>262</v>
      </c>
      <c r="B278" s="347"/>
      <c r="C278" s="347" t="s">
        <v>221</v>
      </c>
      <c r="D278" s="347" t="s">
        <v>222</v>
      </c>
      <c r="E278" s="348">
        <v>419656</v>
      </c>
      <c r="F278" s="348">
        <v>2970</v>
      </c>
      <c r="G278" s="348">
        <v>437</v>
      </c>
      <c r="H278" s="348">
        <v>0</v>
      </c>
      <c r="I278" s="349">
        <v>46000</v>
      </c>
      <c r="J278" s="347" t="s">
        <v>1013</v>
      </c>
      <c r="K278" s="347" t="s">
        <v>1034</v>
      </c>
      <c r="L278" s="344">
        <v>24.64</v>
      </c>
      <c r="M278" s="344">
        <v>1.36</v>
      </c>
      <c r="N278" s="447">
        <v>26</v>
      </c>
      <c r="O278" s="347"/>
      <c r="P278" s="350">
        <v>46007</v>
      </c>
      <c r="Q278" s="344">
        <v>26</v>
      </c>
      <c r="R278" s="347" t="s">
        <v>1035</v>
      </c>
      <c r="S278" s="344">
        <v>0</v>
      </c>
      <c r="T278" s="344">
        <v>0</v>
      </c>
      <c r="U278" s="344">
        <v>0</v>
      </c>
      <c r="V278" s="344">
        <v>0</v>
      </c>
      <c r="W278" s="347"/>
      <c r="X278" s="347" t="s">
        <v>266</v>
      </c>
      <c r="Y278" s="347" t="s">
        <v>267</v>
      </c>
      <c r="Z278" s="347" t="s">
        <v>46</v>
      </c>
      <c r="AA278" s="347" t="s">
        <v>228</v>
      </c>
      <c r="AB278" s="347" t="s">
        <v>34</v>
      </c>
      <c r="AC278" s="347" t="s">
        <v>47</v>
      </c>
      <c r="AD278" s="347" t="s">
        <v>231</v>
      </c>
      <c r="AE278" s="347" t="s">
        <v>232</v>
      </c>
      <c r="AF278" s="347" t="s">
        <v>231</v>
      </c>
      <c r="AG278" s="347" t="s">
        <v>232</v>
      </c>
      <c r="AH278" s="347"/>
      <c r="AI278" s="347"/>
      <c r="AJ278" s="347"/>
      <c r="AK278" s="347" t="s">
        <v>1036</v>
      </c>
      <c r="AL278" s="348">
        <v>1</v>
      </c>
      <c r="AM278" s="348">
        <v>0</v>
      </c>
      <c r="AN278" s="349">
        <v>46007</v>
      </c>
      <c r="AO278" s="349">
        <v>46006</v>
      </c>
      <c r="AP278" s="344">
        <v>26</v>
      </c>
      <c r="AQ278" s="349">
        <v>46005</v>
      </c>
    </row>
    <row r="279" spans="1:43" ht="22.5" customHeight="1" x14ac:dyDescent="0.2">
      <c r="A279" s="352" t="s">
        <v>262</v>
      </c>
      <c r="B279" s="352"/>
      <c r="C279" s="352" t="s">
        <v>221</v>
      </c>
      <c r="D279" s="352" t="s">
        <v>222</v>
      </c>
      <c r="E279" s="353">
        <v>419657</v>
      </c>
      <c r="F279" s="353">
        <v>2971</v>
      </c>
      <c r="G279" s="353">
        <v>437</v>
      </c>
      <c r="H279" s="353">
        <v>0</v>
      </c>
      <c r="I279" s="354">
        <v>46000</v>
      </c>
      <c r="J279" s="352" t="s">
        <v>1013</v>
      </c>
      <c r="K279" s="352" t="s">
        <v>1037</v>
      </c>
      <c r="L279" s="355">
        <v>30.8</v>
      </c>
      <c r="M279" s="355">
        <v>1.69</v>
      </c>
      <c r="N279" s="449">
        <v>32.49</v>
      </c>
      <c r="O279" s="352"/>
      <c r="P279" s="356">
        <v>46007</v>
      </c>
      <c r="Q279" s="355">
        <v>32.49</v>
      </c>
      <c r="R279" s="352" t="s">
        <v>469</v>
      </c>
      <c r="S279" s="355">
        <v>0</v>
      </c>
      <c r="T279" s="355">
        <v>0</v>
      </c>
      <c r="U279" s="355">
        <v>0</v>
      </c>
      <c r="V279" s="355">
        <v>0</v>
      </c>
      <c r="W279" s="352"/>
      <c r="X279" s="352" t="s">
        <v>266</v>
      </c>
      <c r="Y279" s="352" t="s">
        <v>267</v>
      </c>
      <c r="Z279" s="352" t="s">
        <v>42</v>
      </c>
      <c r="AA279" s="352" t="s">
        <v>228</v>
      </c>
      <c r="AB279" s="352" t="s">
        <v>34</v>
      </c>
      <c r="AC279" s="352" t="s">
        <v>43</v>
      </c>
      <c r="AD279" s="352" t="s">
        <v>231</v>
      </c>
      <c r="AE279" s="352" t="s">
        <v>232</v>
      </c>
      <c r="AF279" s="352" t="s">
        <v>231</v>
      </c>
      <c r="AG279" s="352" t="s">
        <v>232</v>
      </c>
      <c r="AH279" s="352"/>
      <c r="AI279" s="352"/>
      <c r="AJ279" s="352"/>
      <c r="AK279" s="352" t="s">
        <v>1038</v>
      </c>
      <c r="AL279" s="353">
        <v>1</v>
      </c>
      <c r="AM279" s="353">
        <v>0</v>
      </c>
      <c r="AN279" s="354">
        <v>46007</v>
      </c>
      <c r="AO279" s="354">
        <v>46006</v>
      </c>
      <c r="AP279" s="355">
        <v>32.49</v>
      </c>
      <c r="AQ279" s="354">
        <v>46005</v>
      </c>
    </row>
    <row r="280" spans="1:43" ht="22.5" customHeight="1" x14ac:dyDescent="0.2">
      <c r="A280" s="413" t="s">
        <v>262</v>
      </c>
      <c r="B280" s="413"/>
      <c r="C280" s="413" t="s">
        <v>221</v>
      </c>
      <c r="D280" s="413" t="s">
        <v>222</v>
      </c>
      <c r="E280" s="414">
        <v>419658</v>
      </c>
      <c r="F280" s="414">
        <v>2972</v>
      </c>
      <c r="G280" s="414">
        <v>437</v>
      </c>
      <c r="H280" s="414">
        <v>0</v>
      </c>
      <c r="I280" s="415">
        <v>46000</v>
      </c>
      <c r="J280" s="413" t="s">
        <v>1013</v>
      </c>
      <c r="K280" s="413" t="s">
        <v>1039</v>
      </c>
      <c r="L280" s="416">
        <v>21.12</v>
      </c>
      <c r="M280" s="416">
        <v>1.1599999999999999</v>
      </c>
      <c r="N280" s="446">
        <v>22.28</v>
      </c>
      <c r="O280" s="413"/>
      <c r="P280" s="417">
        <v>46007</v>
      </c>
      <c r="Q280" s="416">
        <v>22.28</v>
      </c>
      <c r="R280" s="413" t="s">
        <v>466</v>
      </c>
      <c r="S280" s="416">
        <v>0</v>
      </c>
      <c r="T280" s="416">
        <v>0</v>
      </c>
      <c r="U280" s="416">
        <v>0</v>
      </c>
      <c r="V280" s="416">
        <v>0</v>
      </c>
      <c r="W280" s="413"/>
      <c r="X280" s="413" t="s">
        <v>266</v>
      </c>
      <c r="Y280" s="413" t="s">
        <v>267</v>
      </c>
      <c r="Z280" s="413" t="s">
        <v>42</v>
      </c>
      <c r="AA280" s="413" t="s">
        <v>228</v>
      </c>
      <c r="AB280" s="413" t="s">
        <v>34</v>
      </c>
      <c r="AC280" s="413" t="s">
        <v>50</v>
      </c>
      <c r="AD280" s="413" t="s">
        <v>231</v>
      </c>
      <c r="AE280" s="413" t="s">
        <v>232</v>
      </c>
      <c r="AF280" s="413" t="s">
        <v>231</v>
      </c>
      <c r="AG280" s="413" t="s">
        <v>232</v>
      </c>
      <c r="AH280" s="413"/>
      <c r="AI280" s="413"/>
      <c r="AJ280" s="413"/>
      <c r="AK280" s="413" t="s">
        <v>1040</v>
      </c>
      <c r="AL280" s="414">
        <v>1</v>
      </c>
      <c r="AM280" s="414">
        <v>0</v>
      </c>
      <c r="AN280" s="415">
        <v>46007</v>
      </c>
      <c r="AO280" s="415">
        <v>46006</v>
      </c>
      <c r="AP280" s="416">
        <v>22.28</v>
      </c>
      <c r="AQ280" s="415">
        <v>46005</v>
      </c>
    </row>
    <row r="281" spans="1:43" ht="22.5" customHeight="1" x14ac:dyDescent="0.2">
      <c r="A281" s="358" t="s">
        <v>262</v>
      </c>
      <c r="B281" s="358"/>
      <c r="C281" s="358" t="s">
        <v>221</v>
      </c>
      <c r="D281" s="358" t="s">
        <v>222</v>
      </c>
      <c r="E281" s="359">
        <v>419671</v>
      </c>
      <c r="F281" s="359">
        <v>3007</v>
      </c>
      <c r="G281" s="359">
        <v>441</v>
      </c>
      <c r="H281" s="359">
        <v>0</v>
      </c>
      <c r="I281" s="360">
        <v>46001</v>
      </c>
      <c r="J281" s="358" t="s">
        <v>1013</v>
      </c>
      <c r="K281" s="358" t="s">
        <v>1041</v>
      </c>
      <c r="L281" s="361">
        <v>570.24</v>
      </c>
      <c r="M281" s="361">
        <v>31.36</v>
      </c>
      <c r="N281" s="448">
        <v>601.6</v>
      </c>
      <c r="O281" s="358"/>
      <c r="P281" s="362">
        <v>46007</v>
      </c>
      <c r="Q281" s="361">
        <v>601.6</v>
      </c>
      <c r="R281" s="358" t="s">
        <v>460</v>
      </c>
      <c r="S281" s="361">
        <v>0</v>
      </c>
      <c r="T281" s="361">
        <v>0</v>
      </c>
      <c r="U281" s="361">
        <v>0</v>
      </c>
      <c r="V281" s="361">
        <v>0</v>
      </c>
      <c r="W281" s="358"/>
      <c r="X281" s="358" t="s">
        <v>266</v>
      </c>
      <c r="Y281" s="358" t="s">
        <v>267</v>
      </c>
      <c r="Z281" s="358" t="s">
        <v>32</v>
      </c>
      <c r="AA281" s="358" t="s">
        <v>228</v>
      </c>
      <c r="AB281" s="358" t="s">
        <v>34</v>
      </c>
      <c r="AC281" s="358" t="s">
        <v>31</v>
      </c>
      <c r="AD281" s="358" t="s">
        <v>231</v>
      </c>
      <c r="AE281" s="358" t="s">
        <v>232</v>
      </c>
      <c r="AF281" s="358" t="s">
        <v>231</v>
      </c>
      <c r="AG281" s="358" t="s">
        <v>232</v>
      </c>
      <c r="AH281" s="358"/>
      <c r="AI281" s="358"/>
      <c r="AJ281" s="358"/>
      <c r="AK281" s="358" t="s">
        <v>1042</v>
      </c>
      <c r="AL281" s="359">
        <v>1</v>
      </c>
      <c r="AM281" s="359">
        <v>0</v>
      </c>
      <c r="AN281" s="360">
        <v>46007</v>
      </c>
      <c r="AO281" s="360">
        <v>46006</v>
      </c>
      <c r="AP281" s="361">
        <v>601.6</v>
      </c>
      <c r="AQ281" s="360">
        <v>46005</v>
      </c>
    </row>
    <row r="282" spans="1:43" ht="22.5" customHeight="1" x14ac:dyDescent="0.2">
      <c r="A282" s="347" t="s">
        <v>262</v>
      </c>
      <c r="B282" s="347"/>
      <c r="C282" s="347" t="s">
        <v>221</v>
      </c>
      <c r="D282" s="347" t="s">
        <v>222</v>
      </c>
      <c r="E282" s="348">
        <v>419689</v>
      </c>
      <c r="F282" s="348">
        <v>3008</v>
      </c>
      <c r="G282" s="348">
        <v>441</v>
      </c>
      <c r="H282" s="348">
        <v>0</v>
      </c>
      <c r="I282" s="349">
        <v>46001</v>
      </c>
      <c r="J282" s="347" t="s">
        <v>1013</v>
      </c>
      <c r="K282" s="347" t="s">
        <v>1043</v>
      </c>
      <c r="L282" s="344">
        <v>28.83</v>
      </c>
      <c r="M282" s="344">
        <v>1.59</v>
      </c>
      <c r="N282" s="447">
        <v>30.42</v>
      </c>
      <c r="O282" s="347"/>
      <c r="P282" s="350">
        <v>46007</v>
      </c>
      <c r="Q282" s="344">
        <v>30.42</v>
      </c>
      <c r="R282" s="347" t="s">
        <v>930</v>
      </c>
      <c r="S282" s="344">
        <v>0</v>
      </c>
      <c r="T282" s="344">
        <v>0</v>
      </c>
      <c r="U282" s="344">
        <v>0</v>
      </c>
      <c r="V282" s="344">
        <v>0</v>
      </c>
      <c r="W282" s="347"/>
      <c r="X282" s="347" t="s">
        <v>308</v>
      </c>
      <c r="Y282" s="347" t="s">
        <v>309</v>
      </c>
      <c r="Z282" s="347" t="s">
        <v>46</v>
      </c>
      <c r="AA282" s="347" t="s">
        <v>228</v>
      </c>
      <c r="AB282" s="347" t="s">
        <v>34</v>
      </c>
      <c r="AC282" s="347" t="s">
        <v>47</v>
      </c>
      <c r="AD282" s="347" t="s">
        <v>231</v>
      </c>
      <c r="AE282" s="347" t="s">
        <v>232</v>
      </c>
      <c r="AF282" s="347" t="s">
        <v>231</v>
      </c>
      <c r="AG282" s="347" t="s">
        <v>232</v>
      </c>
      <c r="AH282" s="347"/>
      <c r="AI282" s="347"/>
      <c r="AJ282" s="347"/>
      <c r="AK282" s="347" t="s">
        <v>1044</v>
      </c>
      <c r="AL282" s="348">
        <v>1</v>
      </c>
      <c r="AM282" s="348">
        <v>0</v>
      </c>
      <c r="AN282" s="349">
        <v>46007</v>
      </c>
      <c r="AO282" s="349">
        <v>46006</v>
      </c>
      <c r="AP282" s="344">
        <v>30.42</v>
      </c>
      <c r="AQ282" s="349">
        <v>46005</v>
      </c>
    </row>
    <row r="283" spans="1:43" ht="22.5" customHeight="1" x14ac:dyDescent="0.2">
      <c r="A283" s="352" t="s">
        <v>262</v>
      </c>
      <c r="B283" s="352"/>
      <c r="C283" s="352" t="s">
        <v>221</v>
      </c>
      <c r="D283" s="352" t="s">
        <v>222</v>
      </c>
      <c r="E283" s="353">
        <v>419692</v>
      </c>
      <c r="F283" s="353">
        <v>3009</v>
      </c>
      <c r="G283" s="353">
        <v>441</v>
      </c>
      <c r="H283" s="353">
        <v>0</v>
      </c>
      <c r="I283" s="354">
        <v>46001</v>
      </c>
      <c r="J283" s="352" t="s">
        <v>1013</v>
      </c>
      <c r="K283" s="352" t="s">
        <v>1045</v>
      </c>
      <c r="L283" s="355">
        <v>61</v>
      </c>
      <c r="M283" s="355">
        <v>3.35</v>
      </c>
      <c r="N283" s="449">
        <v>64.349999999999994</v>
      </c>
      <c r="O283" s="352"/>
      <c r="P283" s="356">
        <v>46007</v>
      </c>
      <c r="Q283" s="355">
        <v>64.349999999999994</v>
      </c>
      <c r="R283" s="352" t="s">
        <v>312</v>
      </c>
      <c r="S283" s="355">
        <v>0</v>
      </c>
      <c r="T283" s="355">
        <v>0</v>
      </c>
      <c r="U283" s="355">
        <v>0</v>
      </c>
      <c r="V283" s="355">
        <v>0</v>
      </c>
      <c r="W283" s="352"/>
      <c r="X283" s="352" t="s">
        <v>308</v>
      </c>
      <c r="Y283" s="352" t="s">
        <v>309</v>
      </c>
      <c r="Z283" s="352" t="s">
        <v>42</v>
      </c>
      <c r="AA283" s="352" t="s">
        <v>228</v>
      </c>
      <c r="AB283" s="352" t="s">
        <v>34</v>
      </c>
      <c r="AC283" s="352" t="s">
        <v>43</v>
      </c>
      <c r="AD283" s="352" t="s">
        <v>231</v>
      </c>
      <c r="AE283" s="352" t="s">
        <v>232</v>
      </c>
      <c r="AF283" s="352" t="s">
        <v>231</v>
      </c>
      <c r="AG283" s="352" t="s">
        <v>232</v>
      </c>
      <c r="AH283" s="352"/>
      <c r="AI283" s="352"/>
      <c r="AJ283" s="352"/>
      <c r="AK283" s="352" t="s">
        <v>1046</v>
      </c>
      <c r="AL283" s="353">
        <v>1</v>
      </c>
      <c r="AM283" s="353">
        <v>0</v>
      </c>
      <c r="AN283" s="354">
        <v>46007</v>
      </c>
      <c r="AO283" s="354">
        <v>46006</v>
      </c>
      <c r="AP283" s="355">
        <v>64.349999999999994</v>
      </c>
      <c r="AQ283" s="354">
        <v>46005</v>
      </c>
    </row>
    <row r="284" spans="1:43" ht="22.5" customHeight="1" x14ac:dyDescent="0.2">
      <c r="A284" s="413" t="s">
        <v>262</v>
      </c>
      <c r="B284" s="413"/>
      <c r="C284" s="413" t="s">
        <v>221</v>
      </c>
      <c r="D284" s="413" t="s">
        <v>222</v>
      </c>
      <c r="E284" s="414">
        <v>419693</v>
      </c>
      <c r="F284" s="414">
        <v>3010</v>
      </c>
      <c r="G284" s="414">
        <v>441</v>
      </c>
      <c r="H284" s="414">
        <v>0</v>
      </c>
      <c r="I284" s="415">
        <v>46001</v>
      </c>
      <c r="J284" s="413" t="s">
        <v>1013</v>
      </c>
      <c r="K284" s="413" t="s">
        <v>1047</v>
      </c>
      <c r="L284" s="416">
        <v>48.8</v>
      </c>
      <c r="M284" s="416">
        <v>2.68</v>
      </c>
      <c r="N284" s="446">
        <v>51.48</v>
      </c>
      <c r="O284" s="413"/>
      <c r="P284" s="417">
        <v>46007</v>
      </c>
      <c r="Q284" s="416">
        <v>51.48</v>
      </c>
      <c r="R284" s="413" t="s">
        <v>315</v>
      </c>
      <c r="S284" s="416">
        <v>0</v>
      </c>
      <c r="T284" s="416">
        <v>0</v>
      </c>
      <c r="U284" s="416">
        <v>0</v>
      </c>
      <c r="V284" s="416">
        <v>0</v>
      </c>
      <c r="W284" s="413"/>
      <c r="X284" s="413" t="s">
        <v>308</v>
      </c>
      <c r="Y284" s="413" t="s">
        <v>309</v>
      </c>
      <c r="Z284" s="413" t="s">
        <v>42</v>
      </c>
      <c r="AA284" s="413" t="s">
        <v>228</v>
      </c>
      <c r="AB284" s="413" t="s">
        <v>34</v>
      </c>
      <c r="AC284" s="413" t="s">
        <v>50</v>
      </c>
      <c r="AD284" s="413" t="s">
        <v>231</v>
      </c>
      <c r="AE284" s="413" t="s">
        <v>232</v>
      </c>
      <c r="AF284" s="413" t="s">
        <v>231</v>
      </c>
      <c r="AG284" s="413" t="s">
        <v>232</v>
      </c>
      <c r="AH284" s="413"/>
      <c r="AI284" s="413"/>
      <c r="AJ284" s="413"/>
      <c r="AK284" s="413" t="s">
        <v>1048</v>
      </c>
      <c r="AL284" s="414">
        <v>1</v>
      </c>
      <c r="AM284" s="414">
        <v>0</v>
      </c>
      <c r="AN284" s="415">
        <v>46007</v>
      </c>
      <c r="AO284" s="415">
        <v>46006</v>
      </c>
      <c r="AP284" s="416">
        <v>51.48</v>
      </c>
      <c r="AQ284" s="415">
        <v>46005</v>
      </c>
    </row>
    <row r="285" spans="1:43" ht="22.5" customHeight="1" x14ac:dyDescent="0.2">
      <c r="A285" s="418" t="s">
        <v>262</v>
      </c>
      <c r="B285" s="418"/>
      <c r="C285" s="418" t="s">
        <v>221</v>
      </c>
      <c r="D285" s="418" t="s">
        <v>222</v>
      </c>
      <c r="E285" s="419">
        <v>419694</v>
      </c>
      <c r="F285" s="419">
        <v>3011</v>
      </c>
      <c r="G285" s="419">
        <v>441</v>
      </c>
      <c r="H285" s="419">
        <v>0</v>
      </c>
      <c r="I285" s="420">
        <v>46001</v>
      </c>
      <c r="J285" s="418" t="s">
        <v>1013</v>
      </c>
      <c r="K285" s="418" t="s">
        <v>1049</v>
      </c>
      <c r="L285" s="421">
        <v>48.8</v>
      </c>
      <c r="M285" s="421">
        <v>2.68</v>
      </c>
      <c r="N285" s="443">
        <v>51.48</v>
      </c>
      <c r="O285" s="418"/>
      <c r="P285" s="422">
        <v>46007</v>
      </c>
      <c r="Q285" s="421">
        <v>51.48</v>
      </c>
      <c r="R285" s="418" t="s">
        <v>318</v>
      </c>
      <c r="S285" s="421">
        <v>0</v>
      </c>
      <c r="T285" s="421">
        <v>0</v>
      </c>
      <c r="U285" s="421">
        <v>0</v>
      </c>
      <c r="V285" s="421">
        <v>0</v>
      </c>
      <c r="W285" s="418"/>
      <c r="X285" s="418" t="s">
        <v>308</v>
      </c>
      <c r="Y285" s="418" t="s">
        <v>309</v>
      </c>
      <c r="Z285" s="418" t="s">
        <v>42</v>
      </c>
      <c r="AA285" s="418" t="s">
        <v>228</v>
      </c>
      <c r="AB285" s="418" t="s">
        <v>34</v>
      </c>
      <c r="AC285" s="418" t="s">
        <v>250</v>
      </c>
      <c r="AD285" s="418" t="s">
        <v>231</v>
      </c>
      <c r="AE285" s="418" t="s">
        <v>232</v>
      </c>
      <c r="AF285" s="418" t="s">
        <v>231</v>
      </c>
      <c r="AG285" s="418" t="s">
        <v>232</v>
      </c>
      <c r="AH285" s="418"/>
      <c r="AI285" s="418"/>
      <c r="AJ285" s="418"/>
      <c r="AK285" s="418" t="s">
        <v>1050</v>
      </c>
      <c r="AL285" s="419">
        <v>1</v>
      </c>
      <c r="AM285" s="419">
        <v>0</v>
      </c>
      <c r="AN285" s="420">
        <v>46007</v>
      </c>
      <c r="AO285" s="420">
        <v>46006</v>
      </c>
      <c r="AP285" s="421">
        <v>51.48</v>
      </c>
      <c r="AQ285" s="420">
        <v>46005</v>
      </c>
    </row>
    <row r="286" spans="1:43" ht="22.5" customHeight="1" x14ac:dyDescent="0.2">
      <c r="A286" s="358" t="s">
        <v>262</v>
      </c>
      <c r="B286" s="358"/>
      <c r="C286" s="358" t="s">
        <v>221</v>
      </c>
      <c r="D286" s="358" t="s">
        <v>222</v>
      </c>
      <c r="E286" s="359">
        <v>420522</v>
      </c>
      <c r="F286" s="359">
        <v>3041</v>
      </c>
      <c r="G286" s="359">
        <v>445</v>
      </c>
      <c r="H286" s="359">
        <v>0</v>
      </c>
      <c r="I286" s="360">
        <v>46002</v>
      </c>
      <c r="J286" s="358" t="s">
        <v>1013</v>
      </c>
      <c r="K286" s="358" t="s">
        <v>1051</v>
      </c>
      <c r="L286" s="361">
        <v>130.47</v>
      </c>
      <c r="M286" s="361">
        <v>13.05</v>
      </c>
      <c r="N286" s="448">
        <v>143.52000000000001</v>
      </c>
      <c r="O286" s="358"/>
      <c r="P286" s="362">
        <v>46007</v>
      </c>
      <c r="Q286" s="361">
        <v>143.52000000000001</v>
      </c>
      <c r="R286" s="358" t="s">
        <v>1052</v>
      </c>
      <c r="S286" s="361">
        <v>0</v>
      </c>
      <c r="T286" s="361">
        <v>0</v>
      </c>
      <c r="U286" s="361">
        <v>0</v>
      </c>
      <c r="V286" s="361">
        <v>0</v>
      </c>
      <c r="W286" s="358"/>
      <c r="X286" s="358" t="s">
        <v>365</v>
      </c>
      <c r="Y286" s="358" t="s">
        <v>366</v>
      </c>
      <c r="Z286" s="358" t="s">
        <v>46</v>
      </c>
      <c r="AA286" s="358" t="s">
        <v>228</v>
      </c>
      <c r="AB286" s="358" t="s">
        <v>289</v>
      </c>
      <c r="AC286" s="358" t="s">
        <v>31</v>
      </c>
      <c r="AD286" s="358" t="s">
        <v>231</v>
      </c>
      <c r="AE286" s="358" t="s">
        <v>232</v>
      </c>
      <c r="AF286" s="358" t="s">
        <v>231</v>
      </c>
      <c r="AG286" s="358" t="s">
        <v>232</v>
      </c>
      <c r="AH286" s="358"/>
      <c r="AI286" s="358"/>
      <c r="AJ286" s="358"/>
      <c r="AK286" s="358" t="s">
        <v>1053</v>
      </c>
      <c r="AL286" s="359">
        <v>1</v>
      </c>
      <c r="AM286" s="359">
        <v>0</v>
      </c>
      <c r="AN286" s="360">
        <v>46007</v>
      </c>
      <c r="AO286" s="360">
        <v>46006</v>
      </c>
      <c r="AP286" s="361">
        <v>143.52000000000001</v>
      </c>
      <c r="AQ286" s="360">
        <v>46005</v>
      </c>
    </row>
    <row r="287" spans="1:43" ht="22.5" customHeight="1" x14ac:dyDescent="0.2">
      <c r="A287" s="418" t="s">
        <v>262</v>
      </c>
      <c r="B287" s="418"/>
      <c r="C287" s="418" t="s">
        <v>221</v>
      </c>
      <c r="D287" s="418" t="s">
        <v>222</v>
      </c>
      <c r="E287" s="419">
        <v>420562</v>
      </c>
      <c r="F287" s="419">
        <v>3057</v>
      </c>
      <c r="G287" s="419">
        <v>449</v>
      </c>
      <c r="H287" s="419">
        <v>0</v>
      </c>
      <c r="I287" s="420">
        <v>46003</v>
      </c>
      <c r="J287" s="418" t="s">
        <v>1013</v>
      </c>
      <c r="K287" s="418" t="s">
        <v>1054</v>
      </c>
      <c r="L287" s="421">
        <v>91.58</v>
      </c>
      <c r="M287" s="421">
        <v>7.73</v>
      </c>
      <c r="N287" s="443">
        <v>99.31</v>
      </c>
      <c r="O287" s="418"/>
      <c r="P287" s="422">
        <v>46007</v>
      </c>
      <c r="Q287" s="421">
        <v>99.31</v>
      </c>
      <c r="R287" s="418" t="s">
        <v>1055</v>
      </c>
      <c r="S287" s="421">
        <v>0</v>
      </c>
      <c r="T287" s="421">
        <v>0</v>
      </c>
      <c r="U287" s="421">
        <v>0</v>
      </c>
      <c r="V287" s="421">
        <v>0</v>
      </c>
      <c r="W287" s="418"/>
      <c r="X287" s="418" t="s">
        <v>365</v>
      </c>
      <c r="Y287" s="418" t="s">
        <v>366</v>
      </c>
      <c r="Z287" s="418" t="s">
        <v>42</v>
      </c>
      <c r="AA287" s="418" t="s">
        <v>228</v>
      </c>
      <c r="AB287" s="418" t="s">
        <v>235</v>
      </c>
      <c r="AC287" s="418" t="s">
        <v>250</v>
      </c>
      <c r="AD287" s="418" t="s">
        <v>231</v>
      </c>
      <c r="AE287" s="418" t="s">
        <v>232</v>
      </c>
      <c r="AF287" s="418" t="s">
        <v>231</v>
      </c>
      <c r="AG287" s="418" t="s">
        <v>232</v>
      </c>
      <c r="AH287" s="418"/>
      <c r="AI287" s="418"/>
      <c r="AJ287" s="418"/>
      <c r="AK287" s="418" t="s">
        <v>1056</v>
      </c>
      <c r="AL287" s="419">
        <v>1</v>
      </c>
      <c r="AM287" s="419">
        <v>0</v>
      </c>
      <c r="AN287" s="420">
        <v>46007</v>
      </c>
      <c r="AO287" s="420">
        <v>46006</v>
      </c>
      <c r="AP287" s="421">
        <v>99.31</v>
      </c>
      <c r="AQ287" s="420">
        <v>46005</v>
      </c>
    </row>
    <row r="288" spans="1:43" ht="22.5" customHeight="1" x14ac:dyDescent="0.2">
      <c r="A288" s="358" t="s">
        <v>262</v>
      </c>
      <c r="B288" s="358"/>
      <c r="C288" s="358" t="s">
        <v>221</v>
      </c>
      <c r="D288" s="358" t="s">
        <v>222</v>
      </c>
      <c r="E288" s="359">
        <v>420573</v>
      </c>
      <c r="F288" s="359">
        <v>3055</v>
      </c>
      <c r="G288" s="359">
        <v>449</v>
      </c>
      <c r="H288" s="359">
        <v>0</v>
      </c>
      <c r="I288" s="360">
        <v>46003</v>
      </c>
      <c r="J288" s="358" t="s">
        <v>1013</v>
      </c>
      <c r="K288" s="358" t="s">
        <v>1057</v>
      </c>
      <c r="L288" s="361">
        <v>1140.06</v>
      </c>
      <c r="M288" s="361">
        <v>62.7</v>
      </c>
      <c r="N288" s="448">
        <v>1202.76</v>
      </c>
      <c r="O288" s="358"/>
      <c r="P288" s="362">
        <v>46007</v>
      </c>
      <c r="Q288" s="361">
        <v>1202.76</v>
      </c>
      <c r="R288" s="358" t="s">
        <v>321</v>
      </c>
      <c r="S288" s="361">
        <v>0</v>
      </c>
      <c r="T288" s="361">
        <v>0</v>
      </c>
      <c r="U288" s="361">
        <v>0</v>
      </c>
      <c r="V288" s="361">
        <v>0</v>
      </c>
      <c r="W288" s="358"/>
      <c r="X288" s="358" t="s">
        <v>308</v>
      </c>
      <c r="Y288" s="358" t="s">
        <v>309</v>
      </c>
      <c r="Z288" s="358" t="s">
        <v>32</v>
      </c>
      <c r="AA288" s="358" t="s">
        <v>228</v>
      </c>
      <c r="AB288" s="358" t="s">
        <v>34</v>
      </c>
      <c r="AC288" s="358" t="s">
        <v>31</v>
      </c>
      <c r="AD288" s="358" t="s">
        <v>231</v>
      </c>
      <c r="AE288" s="358" t="s">
        <v>232</v>
      </c>
      <c r="AF288" s="358" t="s">
        <v>231</v>
      </c>
      <c r="AG288" s="358" t="s">
        <v>232</v>
      </c>
      <c r="AH288" s="358"/>
      <c r="AI288" s="358"/>
      <c r="AJ288" s="358"/>
      <c r="AK288" s="358" t="s">
        <v>1058</v>
      </c>
      <c r="AL288" s="359">
        <v>1</v>
      </c>
      <c r="AM288" s="359">
        <v>0</v>
      </c>
      <c r="AN288" s="360">
        <v>46007</v>
      </c>
      <c r="AO288" s="360">
        <v>46006</v>
      </c>
      <c r="AP288" s="361">
        <v>1202.76</v>
      </c>
      <c r="AQ288" s="360">
        <v>46005</v>
      </c>
    </row>
    <row r="289" spans="1:43" ht="22.5" customHeight="1" x14ac:dyDescent="0.2">
      <c r="A289" s="418" t="s">
        <v>262</v>
      </c>
      <c r="B289" s="418"/>
      <c r="C289" s="418" t="s">
        <v>221</v>
      </c>
      <c r="D289" s="418" t="s">
        <v>222</v>
      </c>
      <c r="E289" s="419">
        <v>420574</v>
      </c>
      <c r="F289" s="419">
        <v>3056</v>
      </c>
      <c r="G289" s="419">
        <v>449</v>
      </c>
      <c r="H289" s="419">
        <v>0</v>
      </c>
      <c r="I289" s="420">
        <v>46003</v>
      </c>
      <c r="J289" s="418" t="s">
        <v>1013</v>
      </c>
      <c r="K289" s="418" t="s">
        <v>1059</v>
      </c>
      <c r="L289" s="421">
        <v>57.67</v>
      </c>
      <c r="M289" s="421">
        <v>3.17</v>
      </c>
      <c r="N289" s="443">
        <v>60.84</v>
      </c>
      <c r="O289" s="418"/>
      <c r="P289" s="422">
        <v>46007</v>
      </c>
      <c r="Q289" s="421">
        <v>60.84</v>
      </c>
      <c r="R289" s="418" t="s">
        <v>318</v>
      </c>
      <c r="S289" s="421">
        <v>0</v>
      </c>
      <c r="T289" s="421">
        <v>0</v>
      </c>
      <c r="U289" s="421">
        <v>0</v>
      </c>
      <c r="V289" s="421">
        <v>0</v>
      </c>
      <c r="W289" s="418"/>
      <c r="X289" s="418" t="s">
        <v>308</v>
      </c>
      <c r="Y289" s="418" t="s">
        <v>309</v>
      </c>
      <c r="Z289" s="418" t="s">
        <v>42</v>
      </c>
      <c r="AA289" s="418" t="s">
        <v>228</v>
      </c>
      <c r="AB289" s="418" t="s">
        <v>34</v>
      </c>
      <c r="AC289" s="418" t="s">
        <v>250</v>
      </c>
      <c r="AD289" s="418" t="s">
        <v>231</v>
      </c>
      <c r="AE289" s="418" t="s">
        <v>232</v>
      </c>
      <c r="AF289" s="418" t="s">
        <v>231</v>
      </c>
      <c r="AG289" s="418" t="s">
        <v>232</v>
      </c>
      <c r="AH289" s="418"/>
      <c r="AI289" s="418"/>
      <c r="AJ289" s="418"/>
      <c r="AK289" s="418" t="s">
        <v>1058</v>
      </c>
      <c r="AL289" s="419">
        <v>1</v>
      </c>
      <c r="AM289" s="419">
        <v>0</v>
      </c>
      <c r="AN289" s="420">
        <v>46007</v>
      </c>
      <c r="AO289" s="420">
        <v>46006</v>
      </c>
      <c r="AP289" s="421">
        <v>60.84</v>
      </c>
      <c r="AQ289" s="420">
        <v>46005</v>
      </c>
    </row>
    <row r="290" spans="1:43" ht="22.5" customHeight="1" x14ac:dyDescent="0.2">
      <c r="A290" s="418" t="s">
        <v>262</v>
      </c>
      <c r="B290" s="418"/>
      <c r="C290" s="418" t="s">
        <v>221</v>
      </c>
      <c r="D290" s="418" t="s">
        <v>222</v>
      </c>
      <c r="E290" s="419">
        <v>420589</v>
      </c>
      <c r="F290" s="419">
        <v>3088</v>
      </c>
      <c r="G290" s="419">
        <v>452</v>
      </c>
      <c r="H290" s="419">
        <v>0</v>
      </c>
      <c r="I290" s="420">
        <v>46003</v>
      </c>
      <c r="J290" s="418" t="s">
        <v>1013</v>
      </c>
      <c r="K290" s="418" t="s">
        <v>1060</v>
      </c>
      <c r="L290" s="421">
        <v>187.42</v>
      </c>
      <c r="M290" s="421">
        <v>12.54</v>
      </c>
      <c r="N290" s="443">
        <v>199.96</v>
      </c>
      <c r="O290" s="418"/>
      <c r="P290" s="422">
        <v>46007</v>
      </c>
      <c r="Q290" s="421">
        <v>199.96</v>
      </c>
      <c r="R290" s="418" t="s">
        <v>1061</v>
      </c>
      <c r="S290" s="421">
        <v>0</v>
      </c>
      <c r="T290" s="421">
        <v>0</v>
      </c>
      <c r="U290" s="421">
        <v>0</v>
      </c>
      <c r="V290" s="421">
        <v>0</v>
      </c>
      <c r="W290" s="418"/>
      <c r="X290" s="418" t="s">
        <v>365</v>
      </c>
      <c r="Y290" s="418" t="s">
        <v>366</v>
      </c>
      <c r="Z290" s="418" t="s">
        <v>42</v>
      </c>
      <c r="AA290" s="418" t="s">
        <v>228</v>
      </c>
      <c r="AB290" s="418" t="s">
        <v>235</v>
      </c>
      <c r="AC290" s="418" t="s">
        <v>250</v>
      </c>
      <c r="AD290" s="418" t="s">
        <v>231</v>
      </c>
      <c r="AE290" s="418" t="s">
        <v>232</v>
      </c>
      <c r="AF290" s="418" t="s">
        <v>231</v>
      </c>
      <c r="AG290" s="418" t="s">
        <v>232</v>
      </c>
      <c r="AH290" s="418"/>
      <c r="AI290" s="418"/>
      <c r="AJ290" s="418"/>
      <c r="AK290" s="418" t="s">
        <v>1062</v>
      </c>
      <c r="AL290" s="419">
        <v>1</v>
      </c>
      <c r="AM290" s="419">
        <v>0</v>
      </c>
      <c r="AN290" s="420">
        <v>46007</v>
      </c>
      <c r="AO290" s="420">
        <v>46006</v>
      </c>
      <c r="AP290" s="421">
        <v>199.96</v>
      </c>
      <c r="AQ290" s="420">
        <v>46005</v>
      </c>
    </row>
    <row r="291" spans="1:43" ht="22.5" customHeight="1" x14ac:dyDescent="0.2">
      <c r="A291" s="358" t="s">
        <v>262</v>
      </c>
      <c r="B291" s="358"/>
      <c r="C291" s="358" t="s">
        <v>221</v>
      </c>
      <c r="D291" s="358" t="s">
        <v>222</v>
      </c>
      <c r="E291" s="359">
        <v>420746</v>
      </c>
      <c r="F291" s="359">
        <v>3100</v>
      </c>
      <c r="G291" s="359">
        <v>456</v>
      </c>
      <c r="H291" s="359">
        <v>0</v>
      </c>
      <c r="I291" s="360">
        <v>46007</v>
      </c>
      <c r="J291" s="358" t="s">
        <v>1013</v>
      </c>
      <c r="K291" s="358" t="s">
        <v>1063</v>
      </c>
      <c r="L291" s="361">
        <v>25</v>
      </c>
      <c r="M291" s="361">
        <v>0</v>
      </c>
      <c r="N291" s="448">
        <v>25</v>
      </c>
      <c r="O291" s="358"/>
      <c r="P291" s="362">
        <v>46013</v>
      </c>
      <c r="Q291" s="361">
        <v>25</v>
      </c>
      <c r="R291" s="358" t="s">
        <v>1064</v>
      </c>
      <c r="S291" s="361">
        <v>0</v>
      </c>
      <c r="T291" s="361">
        <v>0</v>
      </c>
      <c r="U291" s="361">
        <v>0</v>
      </c>
      <c r="V291" s="361">
        <v>0</v>
      </c>
      <c r="W291" s="358"/>
      <c r="X291" s="358" t="s">
        <v>1065</v>
      </c>
      <c r="Y291" s="358" t="s">
        <v>1066</v>
      </c>
      <c r="Z291" s="358" t="s">
        <v>46</v>
      </c>
      <c r="AA291" s="358" t="s">
        <v>228</v>
      </c>
      <c r="AB291" s="358" t="s">
        <v>289</v>
      </c>
      <c r="AC291" s="358" t="s">
        <v>31</v>
      </c>
      <c r="AD291" s="358" t="s">
        <v>231</v>
      </c>
      <c r="AE291" s="358" t="s">
        <v>232</v>
      </c>
      <c r="AF291" s="358" t="s">
        <v>231</v>
      </c>
      <c r="AG291" s="358" t="s">
        <v>232</v>
      </c>
      <c r="AH291" s="358"/>
      <c r="AI291" s="358"/>
      <c r="AJ291" s="358"/>
      <c r="AK291" s="358" t="s">
        <v>1067</v>
      </c>
      <c r="AL291" s="359">
        <v>1</v>
      </c>
      <c r="AM291" s="359">
        <v>0</v>
      </c>
      <c r="AN291" s="360">
        <v>46013</v>
      </c>
      <c r="AO291" s="360">
        <v>46010</v>
      </c>
      <c r="AP291" s="361">
        <v>25</v>
      </c>
      <c r="AQ291" s="360">
        <v>46009</v>
      </c>
    </row>
    <row r="292" spans="1:43" ht="22.5" customHeight="1" x14ac:dyDescent="0.2">
      <c r="A292" s="428" t="s">
        <v>262</v>
      </c>
      <c r="B292" s="428"/>
      <c r="C292" s="428" t="s">
        <v>221</v>
      </c>
      <c r="D292" s="428" t="s">
        <v>222</v>
      </c>
      <c r="E292" s="429">
        <v>420826</v>
      </c>
      <c r="F292" s="429">
        <v>3174</v>
      </c>
      <c r="G292" s="429">
        <v>468</v>
      </c>
      <c r="H292" s="429">
        <v>0</v>
      </c>
      <c r="I292" s="430">
        <v>46010</v>
      </c>
      <c r="J292" s="428" t="s">
        <v>263</v>
      </c>
      <c r="K292" s="428" t="s">
        <v>1068</v>
      </c>
      <c r="L292" s="431">
        <v>234.8</v>
      </c>
      <c r="M292" s="431">
        <v>14.12</v>
      </c>
      <c r="N292" s="441">
        <v>248.92</v>
      </c>
      <c r="O292" s="428"/>
      <c r="P292" s="432">
        <v>46013</v>
      </c>
      <c r="Q292" s="431">
        <v>248.92</v>
      </c>
      <c r="R292" s="428" t="s">
        <v>1069</v>
      </c>
      <c r="S292" s="431">
        <v>0</v>
      </c>
      <c r="T292" s="431">
        <v>0</v>
      </c>
      <c r="U292" s="431">
        <v>0</v>
      </c>
      <c r="V292" s="431">
        <v>0</v>
      </c>
      <c r="W292" s="428"/>
      <c r="X292" s="428" t="s">
        <v>293</v>
      </c>
      <c r="Y292" s="428" t="s">
        <v>294</v>
      </c>
      <c r="Z292" s="428" t="s">
        <v>42</v>
      </c>
      <c r="AA292" s="428" t="s">
        <v>228</v>
      </c>
      <c r="AB292" s="428" t="s">
        <v>235</v>
      </c>
      <c r="AC292" s="428" t="s">
        <v>236</v>
      </c>
      <c r="AD292" s="428" t="s">
        <v>231</v>
      </c>
      <c r="AE292" s="428" t="s">
        <v>232</v>
      </c>
      <c r="AF292" s="428" t="s">
        <v>231</v>
      </c>
      <c r="AG292" s="428" t="s">
        <v>232</v>
      </c>
      <c r="AH292" s="428"/>
      <c r="AI292" s="428"/>
      <c r="AJ292" s="428"/>
      <c r="AK292" s="428" t="s">
        <v>1070</v>
      </c>
      <c r="AL292" s="429">
        <v>1</v>
      </c>
      <c r="AM292" s="429">
        <v>0</v>
      </c>
      <c r="AN292" s="430">
        <v>46013</v>
      </c>
      <c r="AO292" s="430">
        <v>46010</v>
      </c>
      <c r="AP292" s="431">
        <v>248.92</v>
      </c>
      <c r="AQ292" s="430">
        <v>46009</v>
      </c>
    </row>
    <row r="293" spans="1:43" ht="22.5" customHeight="1" x14ac:dyDescent="0.2">
      <c r="A293" s="428" t="s">
        <v>262</v>
      </c>
      <c r="B293" s="428"/>
      <c r="C293" s="428" t="s">
        <v>221</v>
      </c>
      <c r="D293" s="428" t="s">
        <v>222</v>
      </c>
      <c r="E293" s="429">
        <v>420827</v>
      </c>
      <c r="F293" s="429">
        <v>3175</v>
      </c>
      <c r="G293" s="429">
        <v>468</v>
      </c>
      <c r="H293" s="429">
        <v>0</v>
      </c>
      <c r="I293" s="430">
        <v>46010</v>
      </c>
      <c r="J293" s="428" t="s">
        <v>263</v>
      </c>
      <c r="K293" s="428" t="s">
        <v>1071</v>
      </c>
      <c r="L293" s="431">
        <v>633.83000000000004</v>
      </c>
      <c r="M293" s="431">
        <v>63.35</v>
      </c>
      <c r="N293" s="441">
        <v>697.18</v>
      </c>
      <c r="O293" s="428"/>
      <c r="P293" s="432">
        <v>46013</v>
      </c>
      <c r="Q293" s="431">
        <v>697.18</v>
      </c>
      <c r="R293" s="428" t="s">
        <v>1072</v>
      </c>
      <c r="S293" s="431">
        <v>0</v>
      </c>
      <c r="T293" s="431">
        <v>0</v>
      </c>
      <c r="U293" s="431">
        <v>0</v>
      </c>
      <c r="V293" s="431">
        <v>0</v>
      </c>
      <c r="W293" s="428"/>
      <c r="X293" s="428" t="s">
        <v>293</v>
      </c>
      <c r="Y293" s="428" t="s">
        <v>294</v>
      </c>
      <c r="Z293" s="428" t="s">
        <v>42</v>
      </c>
      <c r="AA293" s="428" t="s">
        <v>228</v>
      </c>
      <c r="AB293" s="428" t="s">
        <v>235</v>
      </c>
      <c r="AC293" s="428" t="s">
        <v>236</v>
      </c>
      <c r="AD293" s="428" t="s">
        <v>231</v>
      </c>
      <c r="AE293" s="428" t="s">
        <v>232</v>
      </c>
      <c r="AF293" s="428" t="s">
        <v>231</v>
      </c>
      <c r="AG293" s="428" t="s">
        <v>232</v>
      </c>
      <c r="AH293" s="428"/>
      <c r="AI293" s="428"/>
      <c r="AJ293" s="428"/>
      <c r="AK293" s="428" t="s">
        <v>1073</v>
      </c>
      <c r="AL293" s="429">
        <v>1</v>
      </c>
      <c r="AM293" s="429">
        <v>0</v>
      </c>
      <c r="AN293" s="430">
        <v>46013</v>
      </c>
      <c r="AO293" s="430">
        <v>46010</v>
      </c>
      <c r="AP293" s="431">
        <v>697.18</v>
      </c>
      <c r="AQ293" s="430">
        <v>46009</v>
      </c>
    </row>
    <row r="294" spans="1:43" ht="22.5" customHeight="1" x14ac:dyDescent="0.2">
      <c r="A294" s="428" t="s">
        <v>262</v>
      </c>
      <c r="B294" s="428"/>
      <c r="C294" s="428" t="s">
        <v>221</v>
      </c>
      <c r="D294" s="428" t="s">
        <v>222</v>
      </c>
      <c r="E294" s="429">
        <v>420828</v>
      </c>
      <c r="F294" s="429">
        <v>3176</v>
      </c>
      <c r="G294" s="429">
        <v>468</v>
      </c>
      <c r="H294" s="429">
        <v>0</v>
      </c>
      <c r="I294" s="430">
        <v>46010</v>
      </c>
      <c r="J294" s="428" t="s">
        <v>263</v>
      </c>
      <c r="K294" s="428" t="s">
        <v>1074</v>
      </c>
      <c r="L294" s="431">
        <v>235.26</v>
      </c>
      <c r="M294" s="431">
        <v>14.79</v>
      </c>
      <c r="N294" s="441">
        <v>250.05</v>
      </c>
      <c r="O294" s="428"/>
      <c r="P294" s="432">
        <v>46013</v>
      </c>
      <c r="Q294" s="431">
        <v>250.05</v>
      </c>
      <c r="R294" s="428" t="s">
        <v>1075</v>
      </c>
      <c r="S294" s="431">
        <v>0</v>
      </c>
      <c r="T294" s="431">
        <v>0</v>
      </c>
      <c r="U294" s="431">
        <v>0</v>
      </c>
      <c r="V294" s="431">
        <v>0</v>
      </c>
      <c r="W294" s="428"/>
      <c r="X294" s="428" t="s">
        <v>293</v>
      </c>
      <c r="Y294" s="428" t="s">
        <v>294</v>
      </c>
      <c r="Z294" s="428" t="s">
        <v>42</v>
      </c>
      <c r="AA294" s="428" t="s">
        <v>228</v>
      </c>
      <c r="AB294" s="428" t="s">
        <v>235</v>
      </c>
      <c r="AC294" s="428" t="s">
        <v>236</v>
      </c>
      <c r="AD294" s="428" t="s">
        <v>231</v>
      </c>
      <c r="AE294" s="428" t="s">
        <v>232</v>
      </c>
      <c r="AF294" s="428" t="s">
        <v>231</v>
      </c>
      <c r="AG294" s="428" t="s">
        <v>232</v>
      </c>
      <c r="AH294" s="428"/>
      <c r="AI294" s="428"/>
      <c r="AJ294" s="428"/>
      <c r="AK294" s="428" t="s">
        <v>1076</v>
      </c>
      <c r="AL294" s="429">
        <v>1</v>
      </c>
      <c r="AM294" s="429">
        <v>0</v>
      </c>
      <c r="AN294" s="430">
        <v>46013</v>
      </c>
      <c r="AO294" s="430">
        <v>46010</v>
      </c>
      <c r="AP294" s="431">
        <v>250.05</v>
      </c>
      <c r="AQ294" s="430">
        <v>46009</v>
      </c>
    </row>
    <row r="295" spans="1:43" ht="22.5" customHeight="1" x14ac:dyDescent="0.2">
      <c r="A295" s="428" t="s">
        <v>262</v>
      </c>
      <c r="B295" s="428"/>
      <c r="C295" s="428" t="s">
        <v>221</v>
      </c>
      <c r="D295" s="428" t="s">
        <v>222</v>
      </c>
      <c r="E295" s="429">
        <v>420829</v>
      </c>
      <c r="F295" s="429">
        <v>3177</v>
      </c>
      <c r="G295" s="429">
        <v>468</v>
      </c>
      <c r="H295" s="429">
        <v>0</v>
      </c>
      <c r="I295" s="430">
        <v>46010</v>
      </c>
      <c r="J295" s="428" t="s">
        <v>263</v>
      </c>
      <c r="K295" s="428" t="s">
        <v>1077</v>
      </c>
      <c r="L295" s="431">
        <v>267.81</v>
      </c>
      <c r="M295" s="431">
        <v>32.54</v>
      </c>
      <c r="N295" s="441">
        <v>300.35000000000002</v>
      </c>
      <c r="O295" s="428"/>
      <c r="P295" s="432">
        <v>46013</v>
      </c>
      <c r="Q295" s="431">
        <v>300.35000000000002</v>
      </c>
      <c r="R295" s="428" t="s">
        <v>1078</v>
      </c>
      <c r="S295" s="431">
        <v>0</v>
      </c>
      <c r="T295" s="431">
        <v>0</v>
      </c>
      <c r="U295" s="431">
        <v>0</v>
      </c>
      <c r="V295" s="431">
        <v>0</v>
      </c>
      <c r="W295" s="428"/>
      <c r="X295" s="428" t="s">
        <v>293</v>
      </c>
      <c r="Y295" s="428" t="s">
        <v>294</v>
      </c>
      <c r="Z295" s="428" t="s">
        <v>42</v>
      </c>
      <c r="AA295" s="428" t="s">
        <v>228</v>
      </c>
      <c r="AB295" s="428" t="s">
        <v>235</v>
      </c>
      <c r="AC295" s="428" t="s">
        <v>236</v>
      </c>
      <c r="AD295" s="428" t="s">
        <v>231</v>
      </c>
      <c r="AE295" s="428" t="s">
        <v>232</v>
      </c>
      <c r="AF295" s="428" t="s">
        <v>231</v>
      </c>
      <c r="AG295" s="428" t="s">
        <v>232</v>
      </c>
      <c r="AH295" s="428"/>
      <c r="AI295" s="428"/>
      <c r="AJ295" s="428"/>
      <c r="AK295" s="428" t="s">
        <v>1079</v>
      </c>
      <c r="AL295" s="429">
        <v>1</v>
      </c>
      <c r="AM295" s="429">
        <v>0</v>
      </c>
      <c r="AN295" s="430">
        <v>46013</v>
      </c>
      <c r="AO295" s="430">
        <v>46010</v>
      </c>
      <c r="AP295" s="431">
        <v>300.35000000000002</v>
      </c>
      <c r="AQ295" s="430">
        <v>46009</v>
      </c>
    </row>
    <row r="296" spans="1:43" s="14" customFormat="1" ht="22.5" customHeight="1" x14ac:dyDescent="0.2">
      <c r="A296" s="408" t="s">
        <v>262</v>
      </c>
      <c r="B296" s="408"/>
      <c r="C296" s="408" t="s">
        <v>221</v>
      </c>
      <c r="D296" s="408" t="s">
        <v>222</v>
      </c>
      <c r="E296" s="409">
        <v>420974</v>
      </c>
      <c r="F296" s="409">
        <v>3249</v>
      </c>
      <c r="G296" s="409">
        <v>476</v>
      </c>
      <c r="H296" s="409">
        <v>0</v>
      </c>
      <c r="I296" s="410">
        <v>46022</v>
      </c>
      <c r="J296" s="408" t="s">
        <v>263</v>
      </c>
      <c r="K296" s="408" t="s">
        <v>1080</v>
      </c>
      <c r="L296" s="411">
        <v>700.38</v>
      </c>
      <c r="M296" s="411">
        <v>38.520000000000003</v>
      </c>
      <c r="N296" s="450">
        <v>738.9</v>
      </c>
      <c r="O296" s="408"/>
      <c r="P296" s="412">
        <v>46031</v>
      </c>
      <c r="Q296" s="411">
        <v>738.9</v>
      </c>
      <c r="R296" s="408" t="s">
        <v>1081</v>
      </c>
      <c r="S296" s="411">
        <v>0</v>
      </c>
      <c r="T296" s="411">
        <v>0</v>
      </c>
      <c r="U296" s="411">
        <v>0</v>
      </c>
      <c r="V296" s="411">
        <v>0</v>
      </c>
      <c r="W296" s="408"/>
      <c r="X296" s="408" t="s">
        <v>1082</v>
      </c>
      <c r="Y296" s="408" t="s">
        <v>1083</v>
      </c>
      <c r="Z296" s="408" t="s">
        <v>57</v>
      </c>
      <c r="AA296" s="408" t="s">
        <v>228</v>
      </c>
      <c r="AB296" s="408" t="s">
        <v>58</v>
      </c>
      <c r="AC296" s="408" t="s">
        <v>59</v>
      </c>
      <c r="AD296" s="408" t="s">
        <v>231</v>
      </c>
      <c r="AE296" s="408" t="s">
        <v>232</v>
      </c>
      <c r="AF296" s="408" t="s">
        <v>231</v>
      </c>
      <c r="AG296" s="408" t="s">
        <v>232</v>
      </c>
      <c r="AH296" s="408"/>
      <c r="AI296" s="408"/>
      <c r="AJ296" s="408"/>
      <c r="AK296" s="408" t="s">
        <v>1084</v>
      </c>
      <c r="AL296" s="409">
        <v>1</v>
      </c>
      <c r="AM296" s="409">
        <v>0</v>
      </c>
      <c r="AN296" s="410">
        <v>46031</v>
      </c>
      <c r="AO296" s="410">
        <v>46031</v>
      </c>
      <c r="AP296" s="411">
        <v>738.9</v>
      </c>
      <c r="AQ296" s="410">
        <v>46030</v>
      </c>
    </row>
    <row r="297" spans="1:43" s="14" customFormat="1" ht="22.5" customHeight="1" x14ac:dyDescent="0.2">
      <c r="A297" s="408" t="s">
        <v>1085</v>
      </c>
      <c r="B297" s="408" t="s">
        <v>483</v>
      </c>
      <c r="C297" s="408" t="s">
        <v>221</v>
      </c>
      <c r="D297" s="408" t="s">
        <v>222</v>
      </c>
      <c r="E297" s="409">
        <v>423024</v>
      </c>
      <c r="F297" s="409">
        <v>3649</v>
      </c>
      <c r="G297" s="409">
        <v>483</v>
      </c>
      <c r="H297" s="409">
        <v>0</v>
      </c>
      <c r="I297" s="410">
        <v>46022</v>
      </c>
      <c r="J297" s="408" t="s">
        <v>223</v>
      </c>
      <c r="K297" s="408" t="s">
        <v>1086</v>
      </c>
      <c r="L297" s="411">
        <v>253.58</v>
      </c>
      <c r="M297" s="411">
        <v>50.72</v>
      </c>
      <c r="N297" s="450">
        <v>304.3</v>
      </c>
      <c r="O297" s="408"/>
      <c r="P297" s="412"/>
      <c r="Q297" s="411">
        <v>304.3</v>
      </c>
      <c r="R297" s="408"/>
      <c r="S297" s="411">
        <v>0</v>
      </c>
      <c r="T297" s="411">
        <v>0</v>
      </c>
      <c r="U297" s="411">
        <v>0</v>
      </c>
      <c r="V297" s="411">
        <v>0</v>
      </c>
      <c r="W297" s="408"/>
      <c r="X297" s="408" t="s">
        <v>225</v>
      </c>
      <c r="Y297" s="408" t="s">
        <v>226</v>
      </c>
      <c r="Z297" s="408" t="s">
        <v>46</v>
      </c>
      <c r="AA297" s="408" t="s">
        <v>228</v>
      </c>
      <c r="AB297" s="408" t="s">
        <v>285</v>
      </c>
      <c r="AC297" s="408" t="s">
        <v>286</v>
      </c>
      <c r="AD297" s="408" t="s">
        <v>231</v>
      </c>
      <c r="AE297" s="408" t="s">
        <v>232</v>
      </c>
      <c r="AF297" s="408" t="s">
        <v>231</v>
      </c>
      <c r="AG297" s="408" t="s">
        <v>232</v>
      </c>
      <c r="AH297" s="408"/>
      <c r="AI297" s="408"/>
      <c r="AJ297" s="408" t="s">
        <v>1087</v>
      </c>
      <c r="AK297" s="408"/>
      <c r="AL297" s="409">
        <v>0</v>
      </c>
      <c r="AM297" s="409">
        <v>0</v>
      </c>
      <c r="AN297" s="410"/>
      <c r="AO297" s="410">
        <v>46072</v>
      </c>
      <c r="AP297" s="411">
        <v>0</v>
      </c>
      <c r="AQ297" s="410">
        <v>46071</v>
      </c>
    </row>
    <row r="298" spans="1:43" ht="22.5" customHeight="1" x14ac:dyDescent="0.2">
      <c r="A298" s="418" t="s">
        <v>1085</v>
      </c>
      <c r="B298" s="418" t="s">
        <v>483</v>
      </c>
      <c r="C298" s="418" t="s">
        <v>221</v>
      </c>
      <c r="D298" s="418" t="s">
        <v>222</v>
      </c>
      <c r="E298" s="419">
        <v>423036</v>
      </c>
      <c r="F298" s="419">
        <v>3650</v>
      </c>
      <c r="G298" s="419">
        <v>483</v>
      </c>
      <c r="H298" s="419">
        <v>0</v>
      </c>
      <c r="I298" s="420">
        <v>46022</v>
      </c>
      <c r="J298" s="418" t="s">
        <v>223</v>
      </c>
      <c r="K298" s="418" t="s">
        <v>1088</v>
      </c>
      <c r="L298" s="421">
        <v>316.67</v>
      </c>
      <c r="M298" s="421">
        <v>63.33</v>
      </c>
      <c r="N298" s="443">
        <v>380</v>
      </c>
      <c r="O298" s="418"/>
      <c r="P298" s="422"/>
      <c r="Q298" s="421">
        <v>380</v>
      </c>
      <c r="R298" s="418"/>
      <c r="S298" s="421">
        <v>0</v>
      </c>
      <c r="T298" s="421">
        <v>0</v>
      </c>
      <c r="U298" s="421">
        <v>0</v>
      </c>
      <c r="V298" s="421">
        <v>0</v>
      </c>
      <c r="W298" s="418"/>
      <c r="X298" s="418" t="s">
        <v>225</v>
      </c>
      <c r="Y298" s="418" t="s">
        <v>226</v>
      </c>
      <c r="Z298" s="418" t="s">
        <v>42</v>
      </c>
      <c r="AA298" s="418" t="s">
        <v>228</v>
      </c>
      <c r="AB298" s="418" t="s">
        <v>235</v>
      </c>
      <c r="AC298" s="418" t="s">
        <v>250</v>
      </c>
      <c r="AD298" s="418" t="s">
        <v>231</v>
      </c>
      <c r="AE298" s="418" t="s">
        <v>232</v>
      </c>
      <c r="AF298" s="418" t="s">
        <v>231</v>
      </c>
      <c r="AG298" s="418" t="s">
        <v>232</v>
      </c>
      <c r="AH298" s="418"/>
      <c r="AI298" s="418"/>
      <c r="AJ298" s="418" t="s">
        <v>1089</v>
      </c>
      <c r="AK298" s="418"/>
      <c r="AL298" s="419">
        <v>0</v>
      </c>
      <c r="AM298" s="419">
        <v>0</v>
      </c>
      <c r="AN298" s="420"/>
      <c r="AO298" s="420">
        <v>46072</v>
      </c>
      <c r="AP298" s="421">
        <v>0</v>
      </c>
      <c r="AQ298" s="420">
        <v>46071</v>
      </c>
    </row>
    <row r="299" spans="1:43" ht="22.5" customHeight="1" x14ac:dyDescent="0.2">
      <c r="A299" s="418" t="s">
        <v>1085</v>
      </c>
      <c r="B299" s="418" t="s">
        <v>483</v>
      </c>
      <c r="C299" s="418" t="s">
        <v>221</v>
      </c>
      <c r="D299" s="418" t="s">
        <v>222</v>
      </c>
      <c r="E299" s="419">
        <v>423042</v>
      </c>
      <c r="F299" s="419">
        <v>3651</v>
      </c>
      <c r="G299" s="419">
        <v>483</v>
      </c>
      <c r="H299" s="419">
        <v>0</v>
      </c>
      <c r="I299" s="420">
        <v>46022</v>
      </c>
      <c r="J299" s="418" t="s">
        <v>223</v>
      </c>
      <c r="K299" s="418" t="s">
        <v>1090</v>
      </c>
      <c r="L299" s="421">
        <v>50</v>
      </c>
      <c r="M299" s="421">
        <v>10</v>
      </c>
      <c r="N299" s="443">
        <v>60</v>
      </c>
      <c r="O299" s="418"/>
      <c r="P299" s="422"/>
      <c r="Q299" s="421">
        <v>60</v>
      </c>
      <c r="R299" s="418"/>
      <c r="S299" s="421">
        <v>0</v>
      </c>
      <c r="T299" s="421">
        <v>0</v>
      </c>
      <c r="U299" s="421">
        <v>0</v>
      </c>
      <c r="V299" s="421">
        <v>0</v>
      </c>
      <c r="W299" s="418"/>
      <c r="X299" s="418" t="s">
        <v>225</v>
      </c>
      <c r="Y299" s="418" t="s">
        <v>226</v>
      </c>
      <c r="Z299" s="418" t="s">
        <v>42</v>
      </c>
      <c r="AA299" s="418" t="s">
        <v>228</v>
      </c>
      <c r="AB299" s="418" t="s">
        <v>235</v>
      </c>
      <c r="AC299" s="418" t="s">
        <v>250</v>
      </c>
      <c r="AD299" s="418" t="s">
        <v>231</v>
      </c>
      <c r="AE299" s="418" t="s">
        <v>232</v>
      </c>
      <c r="AF299" s="418" t="s">
        <v>231</v>
      </c>
      <c r="AG299" s="418" t="s">
        <v>232</v>
      </c>
      <c r="AH299" s="418"/>
      <c r="AI299" s="418"/>
      <c r="AJ299" s="418" t="s">
        <v>1091</v>
      </c>
      <c r="AK299" s="418"/>
      <c r="AL299" s="419">
        <v>0</v>
      </c>
      <c r="AM299" s="419">
        <v>0</v>
      </c>
      <c r="AN299" s="420"/>
      <c r="AO299" s="420">
        <v>46072</v>
      </c>
      <c r="AP299" s="421">
        <v>0</v>
      </c>
      <c r="AQ299" s="420">
        <v>46071</v>
      </c>
    </row>
    <row r="300" spans="1:43" ht="22.5" customHeight="1" x14ac:dyDescent="0.2">
      <c r="A300" s="370" t="s">
        <v>1085</v>
      </c>
      <c r="B300" s="370" t="s">
        <v>483</v>
      </c>
      <c r="C300" s="370" t="s">
        <v>221</v>
      </c>
      <c r="D300" s="370" t="s">
        <v>222</v>
      </c>
      <c r="E300" s="371">
        <v>423045</v>
      </c>
      <c r="F300" s="371">
        <v>3652</v>
      </c>
      <c r="G300" s="371">
        <v>483</v>
      </c>
      <c r="H300" s="371">
        <v>0</v>
      </c>
      <c r="I300" s="372">
        <v>46022</v>
      </c>
      <c r="J300" s="370" t="s">
        <v>223</v>
      </c>
      <c r="K300" s="370" t="s">
        <v>1092</v>
      </c>
      <c r="L300" s="373">
        <v>125</v>
      </c>
      <c r="M300" s="373">
        <v>25</v>
      </c>
      <c r="N300" s="444">
        <v>150</v>
      </c>
      <c r="O300" s="370"/>
      <c r="P300" s="374"/>
      <c r="Q300" s="373">
        <v>150</v>
      </c>
      <c r="R300" s="370"/>
      <c r="S300" s="373">
        <v>0</v>
      </c>
      <c r="T300" s="373">
        <v>0</v>
      </c>
      <c r="U300" s="373">
        <v>0</v>
      </c>
      <c r="V300" s="373">
        <v>0</v>
      </c>
      <c r="W300" s="370"/>
      <c r="X300" s="370" t="s">
        <v>225</v>
      </c>
      <c r="Y300" s="370" t="s">
        <v>226</v>
      </c>
      <c r="Z300" s="370" t="s">
        <v>42</v>
      </c>
      <c r="AA300" s="370" t="s">
        <v>228</v>
      </c>
      <c r="AB300" s="370" t="s">
        <v>235</v>
      </c>
      <c r="AC300" s="370" t="s">
        <v>331</v>
      </c>
      <c r="AD300" s="370" t="s">
        <v>231</v>
      </c>
      <c r="AE300" s="370" t="s">
        <v>232</v>
      </c>
      <c r="AF300" s="370" t="s">
        <v>231</v>
      </c>
      <c r="AG300" s="370" t="s">
        <v>232</v>
      </c>
      <c r="AH300" s="370"/>
      <c r="AI300" s="370"/>
      <c r="AJ300" s="370" t="s">
        <v>1093</v>
      </c>
      <c r="AK300" s="370"/>
      <c r="AL300" s="371">
        <v>0</v>
      </c>
      <c r="AM300" s="371">
        <v>0</v>
      </c>
      <c r="AN300" s="372"/>
      <c r="AO300" s="372">
        <v>46072</v>
      </c>
      <c r="AP300" s="373">
        <v>0</v>
      </c>
      <c r="AQ300" s="372">
        <v>46071</v>
      </c>
    </row>
    <row r="301" spans="1:43" ht="22.5" customHeight="1" x14ac:dyDescent="0.2">
      <c r="A301" s="370" t="s">
        <v>1085</v>
      </c>
      <c r="B301" s="370" t="s">
        <v>483</v>
      </c>
      <c r="C301" s="370" t="s">
        <v>221</v>
      </c>
      <c r="D301" s="370" t="s">
        <v>222</v>
      </c>
      <c r="E301" s="371">
        <v>423048</v>
      </c>
      <c r="F301" s="371">
        <v>3653</v>
      </c>
      <c r="G301" s="371">
        <v>483</v>
      </c>
      <c r="H301" s="371">
        <v>0</v>
      </c>
      <c r="I301" s="372">
        <v>46022</v>
      </c>
      <c r="J301" s="370" t="s">
        <v>223</v>
      </c>
      <c r="K301" s="370" t="s">
        <v>1094</v>
      </c>
      <c r="L301" s="373">
        <v>125</v>
      </c>
      <c r="M301" s="373">
        <v>25</v>
      </c>
      <c r="N301" s="444">
        <v>150</v>
      </c>
      <c r="O301" s="370"/>
      <c r="P301" s="374"/>
      <c r="Q301" s="373">
        <v>150</v>
      </c>
      <c r="R301" s="370"/>
      <c r="S301" s="373">
        <v>0</v>
      </c>
      <c r="T301" s="373">
        <v>0</v>
      </c>
      <c r="U301" s="373">
        <v>0</v>
      </c>
      <c r="V301" s="373">
        <v>0</v>
      </c>
      <c r="W301" s="370"/>
      <c r="X301" s="370" t="s">
        <v>225</v>
      </c>
      <c r="Y301" s="370" t="s">
        <v>226</v>
      </c>
      <c r="Z301" s="370" t="s">
        <v>42</v>
      </c>
      <c r="AA301" s="370" t="s">
        <v>228</v>
      </c>
      <c r="AB301" s="370" t="s">
        <v>235</v>
      </c>
      <c r="AC301" s="370" t="s">
        <v>331</v>
      </c>
      <c r="AD301" s="370" t="s">
        <v>231</v>
      </c>
      <c r="AE301" s="370" t="s">
        <v>232</v>
      </c>
      <c r="AF301" s="370" t="s">
        <v>231</v>
      </c>
      <c r="AG301" s="370" t="s">
        <v>232</v>
      </c>
      <c r="AH301" s="370"/>
      <c r="AI301" s="370"/>
      <c r="AJ301" s="370" t="s">
        <v>1095</v>
      </c>
      <c r="AK301" s="370"/>
      <c r="AL301" s="371">
        <v>0</v>
      </c>
      <c r="AM301" s="371">
        <v>0</v>
      </c>
      <c r="AN301" s="372"/>
      <c r="AO301" s="372">
        <v>46072</v>
      </c>
      <c r="AP301" s="373">
        <v>0</v>
      </c>
      <c r="AQ301" s="372">
        <v>46071</v>
      </c>
    </row>
    <row r="302" spans="1:43" ht="22.5" customHeight="1" x14ac:dyDescent="0.2">
      <c r="A302" s="370" t="s">
        <v>1085</v>
      </c>
      <c r="B302" s="370" t="s">
        <v>483</v>
      </c>
      <c r="C302" s="370" t="s">
        <v>221</v>
      </c>
      <c r="D302" s="370" t="s">
        <v>222</v>
      </c>
      <c r="E302" s="371">
        <v>423051</v>
      </c>
      <c r="F302" s="371">
        <v>3654</v>
      </c>
      <c r="G302" s="371">
        <v>483</v>
      </c>
      <c r="H302" s="371">
        <v>0</v>
      </c>
      <c r="I302" s="372">
        <v>46022</v>
      </c>
      <c r="J302" s="370" t="s">
        <v>223</v>
      </c>
      <c r="K302" s="370" t="s">
        <v>1096</v>
      </c>
      <c r="L302" s="373">
        <v>83.33</v>
      </c>
      <c r="M302" s="373">
        <v>16.670000000000002</v>
      </c>
      <c r="N302" s="444">
        <v>100</v>
      </c>
      <c r="O302" s="370"/>
      <c r="P302" s="374"/>
      <c r="Q302" s="373">
        <v>100</v>
      </c>
      <c r="R302" s="370"/>
      <c r="S302" s="373">
        <v>0</v>
      </c>
      <c r="T302" s="373">
        <v>0</v>
      </c>
      <c r="U302" s="373">
        <v>0</v>
      </c>
      <c r="V302" s="373">
        <v>0</v>
      </c>
      <c r="W302" s="370"/>
      <c r="X302" s="370" t="s">
        <v>225</v>
      </c>
      <c r="Y302" s="370" t="s">
        <v>226</v>
      </c>
      <c r="Z302" s="370" t="s">
        <v>42</v>
      </c>
      <c r="AA302" s="370" t="s">
        <v>228</v>
      </c>
      <c r="AB302" s="370" t="s">
        <v>235</v>
      </c>
      <c r="AC302" s="370" t="s">
        <v>331</v>
      </c>
      <c r="AD302" s="370" t="s">
        <v>231</v>
      </c>
      <c r="AE302" s="370" t="s">
        <v>232</v>
      </c>
      <c r="AF302" s="370" t="s">
        <v>231</v>
      </c>
      <c r="AG302" s="370" t="s">
        <v>232</v>
      </c>
      <c r="AH302" s="370"/>
      <c r="AI302" s="370"/>
      <c r="AJ302" s="370" t="s">
        <v>1097</v>
      </c>
      <c r="AK302" s="370"/>
      <c r="AL302" s="371">
        <v>0</v>
      </c>
      <c r="AM302" s="371">
        <v>0</v>
      </c>
      <c r="AN302" s="372"/>
      <c r="AO302" s="372">
        <v>46072</v>
      </c>
      <c r="AP302" s="373">
        <v>0</v>
      </c>
      <c r="AQ302" s="372">
        <v>46071</v>
      </c>
    </row>
    <row r="303" spans="1:43" ht="22.5" customHeight="1" x14ac:dyDescent="0.2">
      <c r="A303" s="370" t="s">
        <v>1085</v>
      </c>
      <c r="B303" s="370" t="s">
        <v>483</v>
      </c>
      <c r="C303" s="370" t="s">
        <v>221</v>
      </c>
      <c r="D303" s="370" t="s">
        <v>222</v>
      </c>
      <c r="E303" s="371">
        <v>423054</v>
      </c>
      <c r="F303" s="371">
        <v>3655</v>
      </c>
      <c r="G303" s="371">
        <v>483</v>
      </c>
      <c r="H303" s="371">
        <v>0</v>
      </c>
      <c r="I303" s="372">
        <v>46022</v>
      </c>
      <c r="J303" s="370" t="s">
        <v>223</v>
      </c>
      <c r="K303" s="370" t="s">
        <v>1098</v>
      </c>
      <c r="L303" s="373">
        <v>83.33</v>
      </c>
      <c r="M303" s="373">
        <v>16.670000000000002</v>
      </c>
      <c r="N303" s="444">
        <v>100</v>
      </c>
      <c r="O303" s="370"/>
      <c r="P303" s="374"/>
      <c r="Q303" s="373">
        <v>100</v>
      </c>
      <c r="R303" s="370"/>
      <c r="S303" s="373">
        <v>0</v>
      </c>
      <c r="T303" s="373">
        <v>0</v>
      </c>
      <c r="U303" s="373">
        <v>0</v>
      </c>
      <c r="V303" s="373">
        <v>0</v>
      </c>
      <c r="W303" s="370"/>
      <c r="X303" s="370" t="s">
        <v>225</v>
      </c>
      <c r="Y303" s="370" t="s">
        <v>226</v>
      </c>
      <c r="Z303" s="370" t="s">
        <v>42</v>
      </c>
      <c r="AA303" s="370" t="s">
        <v>228</v>
      </c>
      <c r="AB303" s="370" t="s">
        <v>235</v>
      </c>
      <c r="AC303" s="370" t="s">
        <v>331</v>
      </c>
      <c r="AD303" s="370" t="s">
        <v>231</v>
      </c>
      <c r="AE303" s="370" t="s">
        <v>232</v>
      </c>
      <c r="AF303" s="370" t="s">
        <v>231</v>
      </c>
      <c r="AG303" s="370" t="s">
        <v>232</v>
      </c>
      <c r="AH303" s="370"/>
      <c r="AI303" s="370"/>
      <c r="AJ303" s="370" t="s">
        <v>1099</v>
      </c>
      <c r="AK303" s="370"/>
      <c r="AL303" s="371">
        <v>0</v>
      </c>
      <c r="AM303" s="371">
        <v>0</v>
      </c>
      <c r="AN303" s="372"/>
      <c r="AO303" s="372">
        <v>46072</v>
      </c>
      <c r="AP303" s="373">
        <v>0</v>
      </c>
      <c r="AQ303" s="372">
        <v>46071</v>
      </c>
    </row>
    <row r="304" spans="1:43" ht="22.5" customHeight="1" x14ac:dyDescent="0.2">
      <c r="A304" s="370" t="s">
        <v>1085</v>
      </c>
      <c r="B304" s="370" t="s">
        <v>483</v>
      </c>
      <c r="C304" s="370" t="s">
        <v>221</v>
      </c>
      <c r="D304" s="370" t="s">
        <v>222</v>
      </c>
      <c r="E304" s="371">
        <v>423063</v>
      </c>
      <c r="F304" s="371">
        <v>3656</v>
      </c>
      <c r="G304" s="371">
        <v>483</v>
      </c>
      <c r="H304" s="371">
        <v>0</v>
      </c>
      <c r="I304" s="372">
        <v>46022</v>
      </c>
      <c r="J304" s="370" t="s">
        <v>223</v>
      </c>
      <c r="K304" s="370" t="s">
        <v>1100</v>
      </c>
      <c r="L304" s="373">
        <v>29.1</v>
      </c>
      <c r="M304" s="373">
        <v>5.82</v>
      </c>
      <c r="N304" s="444">
        <v>34.92</v>
      </c>
      <c r="O304" s="370"/>
      <c r="P304" s="374"/>
      <c r="Q304" s="373">
        <v>34.92</v>
      </c>
      <c r="R304" s="370"/>
      <c r="S304" s="373">
        <v>0</v>
      </c>
      <c r="T304" s="373">
        <v>0</v>
      </c>
      <c r="U304" s="373">
        <v>0</v>
      </c>
      <c r="V304" s="373">
        <v>0</v>
      </c>
      <c r="W304" s="370"/>
      <c r="X304" s="370" t="s">
        <v>225</v>
      </c>
      <c r="Y304" s="370" t="s">
        <v>226</v>
      </c>
      <c r="Z304" s="370" t="s">
        <v>42</v>
      </c>
      <c r="AA304" s="370" t="s">
        <v>228</v>
      </c>
      <c r="AB304" s="370" t="s">
        <v>235</v>
      </c>
      <c r="AC304" s="370" t="s">
        <v>331</v>
      </c>
      <c r="AD304" s="370" t="s">
        <v>231</v>
      </c>
      <c r="AE304" s="370" t="s">
        <v>232</v>
      </c>
      <c r="AF304" s="370" t="s">
        <v>231</v>
      </c>
      <c r="AG304" s="370" t="s">
        <v>232</v>
      </c>
      <c r="AH304" s="370"/>
      <c r="AI304" s="370"/>
      <c r="AJ304" s="370" t="s">
        <v>1101</v>
      </c>
      <c r="AK304" s="370"/>
      <c r="AL304" s="371">
        <v>0</v>
      </c>
      <c r="AM304" s="371">
        <v>0</v>
      </c>
      <c r="AN304" s="372"/>
      <c r="AO304" s="372">
        <v>46072</v>
      </c>
      <c r="AP304" s="373">
        <v>0</v>
      </c>
      <c r="AQ304" s="372">
        <v>46071</v>
      </c>
    </row>
    <row r="305" spans="1:43" ht="22.5" customHeight="1" x14ac:dyDescent="0.2">
      <c r="A305" s="370" t="s">
        <v>1085</v>
      </c>
      <c r="B305" s="370" t="s">
        <v>483</v>
      </c>
      <c r="C305" s="370" t="s">
        <v>221</v>
      </c>
      <c r="D305" s="370" t="s">
        <v>222</v>
      </c>
      <c r="E305" s="371">
        <v>423066</v>
      </c>
      <c r="F305" s="371">
        <v>3657</v>
      </c>
      <c r="G305" s="371">
        <v>483</v>
      </c>
      <c r="H305" s="371">
        <v>0</v>
      </c>
      <c r="I305" s="372">
        <v>46022</v>
      </c>
      <c r="J305" s="370" t="s">
        <v>223</v>
      </c>
      <c r="K305" s="370" t="s">
        <v>1102</v>
      </c>
      <c r="L305" s="373">
        <v>25</v>
      </c>
      <c r="M305" s="373">
        <v>5</v>
      </c>
      <c r="N305" s="444">
        <v>30</v>
      </c>
      <c r="O305" s="370"/>
      <c r="P305" s="374"/>
      <c r="Q305" s="373">
        <v>30</v>
      </c>
      <c r="R305" s="370"/>
      <c r="S305" s="373">
        <v>0</v>
      </c>
      <c r="T305" s="373">
        <v>0</v>
      </c>
      <c r="U305" s="373">
        <v>0</v>
      </c>
      <c r="V305" s="373">
        <v>0</v>
      </c>
      <c r="W305" s="370"/>
      <c r="X305" s="370" t="s">
        <v>225</v>
      </c>
      <c r="Y305" s="370" t="s">
        <v>226</v>
      </c>
      <c r="Z305" s="370" t="s">
        <v>42</v>
      </c>
      <c r="AA305" s="370" t="s">
        <v>228</v>
      </c>
      <c r="AB305" s="370" t="s">
        <v>235</v>
      </c>
      <c r="AC305" s="370" t="s">
        <v>331</v>
      </c>
      <c r="AD305" s="370" t="s">
        <v>231</v>
      </c>
      <c r="AE305" s="370" t="s">
        <v>232</v>
      </c>
      <c r="AF305" s="370" t="s">
        <v>231</v>
      </c>
      <c r="AG305" s="370" t="s">
        <v>232</v>
      </c>
      <c r="AH305" s="370"/>
      <c r="AI305" s="370"/>
      <c r="AJ305" s="370" t="s">
        <v>1103</v>
      </c>
      <c r="AK305" s="370"/>
      <c r="AL305" s="371">
        <v>0</v>
      </c>
      <c r="AM305" s="371">
        <v>0</v>
      </c>
      <c r="AN305" s="372"/>
      <c r="AO305" s="372">
        <v>46072</v>
      </c>
      <c r="AP305" s="373">
        <v>0</v>
      </c>
      <c r="AQ305" s="372">
        <v>46071</v>
      </c>
    </row>
    <row r="306" spans="1:43" ht="22.5" customHeight="1" x14ac:dyDescent="0.2">
      <c r="A306" s="428" t="s">
        <v>1085</v>
      </c>
      <c r="B306" s="428" t="s">
        <v>483</v>
      </c>
      <c r="C306" s="428" t="s">
        <v>221</v>
      </c>
      <c r="D306" s="428" t="s">
        <v>222</v>
      </c>
      <c r="E306" s="429">
        <v>423069</v>
      </c>
      <c r="F306" s="429">
        <v>3658</v>
      </c>
      <c r="G306" s="429">
        <v>483</v>
      </c>
      <c r="H306" s="429">
        <v>0</v>
      </c>
      <c r="I306" s="430">
        <v>46022</v>
      </c>
      <c r="J306" s="428" t="s">
        <v>223</v>
      </c>
      <c r="K306" s="428" t="s">
        <v>1104</v>
      </c>
      <c r="L306" s="431">
        <v>166.67</v>
      </c>
      <c r="M306" s="431">
        <v>33.33</v>
      </c>
      <c r="N306" s="441">
        <v>200</v>
      </c>
      <c r="O306" s="428"/>
      <c r="P306" s="432"/>
      <c r="Q306" s="431">
        <v>200</v>
      </c>
      <c r="R306" s="428"/>
      <c r="S306" s="431">
        <v>0</v>
      </c>
      <c r="T306" s="431">
        <v>0</v>
      </c>
      <c r="U306" s="431">
        <v>0</v>
      </c>
      <c r="V306" s="431">
        <v>0</v>
      </c>
      <c r="W306" s="428"/>
      <c r="X306" s="428" t="s">
        <v>225</v>
      </c>
      <c r="Y306" s="428" t="s">
        <v>226</v>
      </c>
      <c r="Z306" s="428" t="s">
        <v>42</v>
      </c>
      <c r="AA306" s="428" t="s">
        <v>228</v>
      </c>
      <c r="AB306" s="428" t="s">
        <v>235</v>
      </c>
      <c r="AC306" s="428" t="s">
        <v>236</v>
      </c>
      <c r="AD306" s="428" t="s">
        <v>231</v>
      </c>
      <c r="AE306" s="428" t="s">
        <v>232</v>
      </c>
      <c r="AF306" s="428" t="s">
        <v>231</v>
      </c>
      <c r="AG306" s="428" t="s">
        <v>232</v>
      </c>
      <c r="AH306" s="428"/>
      <c r="AI306" s="428"/>
      <c r="AJ306" s="428" t="s">
        <v>1105</v>
      </c>
      <c r="AK306" s="428"/>
      <c r="AL306" s="429">
        <v>0</v>
      </c>
      <c r="AM306" s="429">
        <v>0</v>
      </c>
      <c r="AN306" s="430"/>
      <c r="AO306" s="430">
        <v>46072</v>
      </c>
      <c r="AP306" s="431">
        <v>0</v>
      </c>
      <c r="AQ306" s="430">
        <v>46071</v>
      </c>
    </row>
    <row r="307" spans="1:43" ht="22.5" customHeight="1" x14ac:dyDescent="0.2">
      <c r="A307" s="428" t="s">
        <v>1085</v>
      </c>
      <c r="B307" s="428" t="s">
        <v>483</v>
      </c>
      <c r="C307" s="428" t="s">
        <v>221</v>
      </c>
      <c r="D307" s="428" t="s">
        <v>222</v>
      </c>
      <c r="E307" s="429">
        <v>423072</v>
      </c>
      <c r="F307" s="429">
        <v>3659</v>
      </c>
      <c r="G307" s="429">
        <v>483</v>
      </c>
      <c r="H307" s="429">
        <v>0</v>
      </c>
      <c r="I307" s="430">
        <v>46022</v>
      </c>
      <c r="J307" s="428" t="s">
        <v>223</v>
      </c>
      <c r="K307" s="428" t="s">
        <v>1106</v>
      </c>
      <c r="L307" s="431">
        <v>208.33</v>
      </c>
      <c r="M307" s="431">
        <v>41.67</v>
      </c>
      <c r="N307" s="441">
        <v>250</v>
      </c>
      <c r="O307" s="428"/>
      <c r="P307" s="432"/>
      <c r="Q307" s="431">
        <v>250</v>
      </c>
      <c r="R307" s="428"/>
      <c r="S307" s="431">
        <v>0</v>
      </c>
      <c r="T307" s="431">
        <v>0</v>
      </c>
      <c r="U307" s="431">
        <v>0</v>
      </c>
      <c r="V307" s="431">
        <v>0</v>
      </c>
      <c r="W307" s="428"/>
      <c r="X307" s="428" t="s">
        <v>225</v>
      </c>
      <c r="Y307" s="428" t="s">
        <v>226</v>
      </c>
      <c r="Z307" s="428" t="s">
        <v>42</v>
      </c>
      <c r="AA307" s="428" t="s">
        <v>228</v>
      </c>
      <c r="AB307" s="428" t="s">
        <v>235</v>
      </c>
      <c r="AC307" s="428" t="s">
        <v>236</v>
      </c>
      <c r="AD307" s="428" t="s">
        <v>231</v>
      </c>
      <c r="AE307" s="428" t="s">
        <v>232</v>
      </c>
      <c r="AF307" s="428" t="s">
        <v>231</v>
      </c>
      <c r="AG307" s="428" t="s">
        <v>232</v>
      </c>
      <c r="AH307" s="428"/>
      <c r="AI307" s="428"/>
      <c r="AJ307" s="428" t="s">
        <v>1107</v>
      </c>
      <c r="AK307" s="428"/>
      <c r="AL307" s="429">
        <v>0</v>
      </c>
      <c r="AM307" s="429">
        <v>0</v>
      </c>
      <c r="AN307" s="430"/>
      <c r="AO307" s="430">
        <v>46072</v>
      </c>
      <c r="AP307" s="431">
        <v>0</v>
      </c>
      <c r="AQ307" s="430">
        <v>46071</v>
      </c>
    </row>
    <row r="308" spans="1:43" ht="22.5" customHeight="1" x14ac:dyDescent="0.2">
      <c r="A308" s="428" t="s">
        <v>1085</v>
      </c>
      <c r="B308" s="428" t="s">
        <v>483</v>
      </c>
      <c r="C308" s="428" t="s">
        <v>221</v>
      </c>
      <c r="D308" s="428" t="s">
        <v>222</v>
      </c>
      <c r="E308" s="429">
        <v>423075</v>
      </c>
      <c r="F308" s="429">
        <v>3660</v>
      </c>
      <c r="G308" s="429">
        <v>483</v>
      </c>
      <c r="H308" s="429">
        <v>0</v>
      </c>
      <c r="I308" s="430">
        <v>46022</v>
      </c>
      <c r="J308" s="428" t="s">
        <v>223</v>
      </c>
      <c r="K308" s="428" t="s">
        <v>1108</v>
      </c>
      <c r="L308" s="431">
        <v>83.33</v>
      </c>
      <c r="M308" s="431">
        <v>16.670000000000002</v>
      </c>
      <c r="N308" s="441">
        <v>100</v>
      </c>
      <c r="O308" s="428"/>
      <c r="P308" s="432"/>
      <c r="Q308" s="431">
        <v>100</v>
      </c>
      <c r="R308" s="428"/>
      <c r="S308" s="431">
        <v>0</v>
      </c>
      <c r="T308" s="431">
        <v>0</v>
      </c>
      <c r="U308" s="431">
        <v>0</v>
      </c>
      <c r="V308" s="431">
        <v>0</v>
      </c>
      <c r="W308" s="428"/>
      <c r="X308" s="428" t="s">
        <v>225</v>
      </c>
      <c r="Y308" s="428" t="s">
        <v>226</v>
      </c>
      <c r="Z308" s="428" t="s">
        <v>42</v>
      </c>
      <c r="AA308" s="428" t="s">
        <v>228</v>
      </c>
      <c r="AB308" s="428" t="s">
        <v>235</v>
      </c>
      <c r="AC308" s="428" t="s">
        <v>236</v>
      </c>
      <c r="AD308" s="428" t="s">
        <v>231</v>
      </c>
      <c r="AE308" s="428" t="s">
        <v>232</v>
      </c>
      <c r="AF308" s="428" t="s">
        <v>231</v>
      </c>
      <c r="AG308" s="428" t="s">
        <v>232</v>
      </c>
      <c r="AH308" s="428"/>
      <c r="AI308" s="428"/>
      <c r="AJ308" s="428" t="s">
        <v>1109</v>
      </c>
      <c r="AK308" s="428"/>
      <c r="AL308" s="429">
        <v>0</v>
      </c>
      <c r="AM308" s="429">
        <v>0</v>
      </c>
      <c r="AN308" s="430"/>
      <c r="AO308" s="430">
        <v>46072</v>
      </c>
      <c r="AP308" s="431">
        <v>0</v>
      </c>
      <c r="AQ308" s="430">
        <v>46071</v>
      </c>
    </row>
    <row r="309" spans="1:43" ht="22.5" customHeight="1" x14ac:dyDescent="0.2">
      <c r="A309" s="428" t="s">
        <v>1085</v>
      </c>
      <c r="B309" s="428" t="s">
        <v>483</v>
      </c>
      <c r="C309" s="428" t="s">
        <v>221</v>
      </c>
      <c r="D309" s="428" t="s">
        <v>222</v>
      </c>
      <c r="E309" s="429">
        <v>423081</v>
      </c>
      <c r="F309" s="429">
        <v>3661</v>
      </c>
      <c r="G309" s="429">
        <v>483</v>
      </c>
      <c r="H309" s="429">
        <v>0</v>
      </c>
      <c r="I309" s="430">
        <v>46022</v>
      </c>
      <c r="J309" s="428" t="s">
        <v>223</v>
      </c>
      <c r="K309" s="428" t="s">
        <v>1110</v>
      </c>
      <c r="L309" s="431">
        <v>83.33</v>
      </c>
      <c r="M309" s="431">
        <v>16.670000000000002</v>
      </c>
      <c r="N309" s="441">
        <v>100</v>
      </c>
      <c r="O309" s="428"/>
      <c r="P309" s="432"/>
      <c r="Q309" s="431">
        <v>100</v>
      </c>
      <c r="R309" s="428"/>
      <c r="S309" s="431">
        <v>0</v>
      </c>
      <c r="T309" s="431">
        <v>0</v>
      </c>
      <c r="U309" s="431">
        <v>0</v>
      </c>
      <c r="V309" s="431">
        <v>0</v>
      </c>
      <c r="W309" s="428"/>
      <c r="X309" s="428" t="s">
        <v>225</v>
      </c>
      <c r="Y309" s="428" t="s">
        <v>226</v>
      </c>
      <c r="Z309" s="428" t="s">
        <v>42</v>
      </c>
      <c r="AA309" s="428" t="s">
        <v>228</v>
      </c>
      <c r="AB309" s="428" t="s">
        <v>235</v>
      </c>
      <c r="AC309" s="428" t="s">
        <v>236</v>
      </c>
      <c r="AD309" s="428" t="s">
        <v>231</v>
      </c>
      <c r="AE309" s="428" t="s">
        <v>232</v>
      </c>
      <c r="AF309" s="428" t="s">
        <v>231</v>
      </c>
      <c r="AG309" s="428" t="s">
        <v>232</v>
      </c>
      <c r="AH309" s="428"/>
      <c r="AI309" s="428"/>
      <c r="AJ309" s="428" t="s">
        <v>1111</v>
      </c>
      <c r="AK309" s="428"/>
      <c r="AL309" s="429">
        <v>0</v>
      </c>
      <c r="AM309" s="429">
        <v>0</v>
      </c>
      <c r="AN309" s="430"/>
      <c r="AO309" s="430">
        <v>46072</v>
      </c>
      <c r="AP309" s="431">
        <v>0</v>
      </c>
      <c r="AQ309" s="430">
        <v>46071</v>
      </c>
    </row>
    <row r="310" spans="1:43" ht="22.5" customHeight="1" x14ac:dyDescent="0.2">
      <c r="A310" s="428" t="s">
        <v>1085</v>
      </c>
      <c r="B310" s="428" t="s">
        <v>483</v>
      </c>
      <c r="C310" s="428" t="s">
        <v>221</v>
      </c>
      <c r="D310" s="428" t="s">
        <v>222</v>
      </c>
      <c r="E310" s="429">
        <v>423084</v>
      </c>
      <c r="F310" s="429">
        <v>3662</v>
      </c>
      <c r="G310" s="429">
        <v>483</v>
      </c>
      <c r="H310" s="429">
        <v>0</v>
      </c>
      <c r="I310" s="430">
        <v>46022</v>
      </c>
      <c r="J310" s="428" t="s">
        <v>223</v>
      </c>
      <c r="K310" s="428" t="s">
        <v>1112</v>
      </c>
      <c r="L310" s="431">
        <v>333.33</v>
      </c>
      <c r="M310" s="431">
        <v>66.67</v>
      </c>
      <c r="N310" s="441">
        <v>400</v>
      </c>
      <c r="O310" s="428"/>
      <c r="P310" s="432"/>
      <c r="Q310" s="431">
        <v>400</v>
      </c>
      <c r="R310" s="428"/>
      <c r="S310" s="431">
        <v>0</v>
      </c>
      <c r="T310" s="431">
        <v>0</v>
      </c>
      <c r="U310" s="431">
        <v>0</v>
      </c>
      <c r="V310" s="431">
        <v>0</v>
      </c>
      <c r="W310" s="428"/>
      <c r="X310" s="428" t="s">
        <v>225</v>
      </c>
      <c r="Y310" s="428" t="s">
        <v>226</v>
      </c>
      <c r="Z310" s="428" t="s">
        <v>42</v>
      </c>
      <c r="AA310" s="428" t="s">
        <v>228</v>
      </c>
      <c r="AB310" s="428" t="s">
        <v>235</v>
      </c>
      <c r="AC310" s="428" t="s">
        <v>236</v>
      </c>
      <c r="AD310" s="428" t="s">
        <v>231</v>
      </c>
      <c r="AE310" s="428" t="s">
        <v>232</v>
      </c>
      <c r="AF310" s="428" t="s">
        <v>231</v>
      </c>
      <c r="AG310" s="428" t="s">
        <v>232</v>
      </c>
      <c r="AH310" s="428"/>
      <c r="AI310" s="428"/>
      <c r="AJ310" s="428" t="s">
        <v>1113</v>
      </c>
      <c r="AK310" s="428"/>
      <c r="AL310" s="429">
        <v>0</v>
      </c>
      <c r="AM310" s="429">
        <v>0</v>
      </c>
      <c r="AN310" s="430"/>
      <c r="AO310" s="430">
        <v>46072</v>
      </c>
      <c r="AP310" s="431">
        <v>0</v>
      </c>
      <c r="AQ310" s="430">
        <v>46071</v>
      </c>
    </row>
    <row r="311" spans="1:43" ht="22.5" customHeight="1" x14ac:dyDescent="0.2">
      <c r="A311" s="428" t="s">
        <v>1085</v>
      </c>
      <c r="B311" s="428" t="s">
        <v>483</v>
      </c>
      <c r="C311" s="428" t="s">
        <v>221</v>
      </c>
      <c r="D311" s="428" t="s">
        <v>222</v>
      </c>
      <c r="E311" s="429">
        <v>423087</v>
      </c>
      <c r="F311" s="429">
        <v>3663</v>
      </c>
      <c r="G311" s="429">
        <v>483</v>
      </c>
      <c r="H311" s="429">
        <v>0</v>
      </c>
      <c r="I311" s="430">
        <v>46022</v>
      </c>
      <c r="J311" s="428" t="s">
        <v>223</v>
      </c>
      <c r="K311" s="428" t="s">
        <v>1114</v>
      </c>
      <c r="L311" s="431">
        <v>250</v>
      </c>
      <c r="M311" s="431">
        <v>50</v>
      </c>
      <c r="N311" s="441">
        <v>300</v>
      </c>
      <c r="O311" s="428"/>
      <c r="P311" s="432"/>
      <c r="Q311" s="431">
        <v>300</v>
      </c>
      <c r="R311" s="428"/>
      <c r="S311" s="431">
        <v>0</v>
      </c>
      <c r="T311" s="431">
        <v>0</v>
      </c>
      <c r="U311" s="431">
        <v>0</v>
      </c>
      <c r="V311" s="431">
        <v>0</v>
      </c>
      <c r="W311" s="428"/>
      <c r="X311" s="428" t="s">
        <v>225</v>
      </c>
      <c r="Y311" s="428" t="s">
        <v>226</v>
      </c>
      <c r="Z311" s="428" t="s">
        <v>42</v>
      </c>
      <c r="AA311" s="428" t="s">
        <v>228</v>
      </c>
      <c r="AB311" s="428" t="s">
        <v>235</v>
      </c>
      <c r="AC311" s="428" t="s">
        <v>236</v>
      </c>
      <c r="AD311" s="428" t="s">
        <v>231</v>
      </c>
      <c r="AE311" s="428" t="s">
        <v>232</v>
      </c>
      <c r="AF311" s="428" t="s">
        <v>231</v>
      </c>
      <c r="AG311" s="428" t="s">
        <v>232</v>
      </c>
      <c r="AH311" s="428"/>
      <c r="AI311" s="428"/>
      <c r="AJ311" s="428" t="s">
        <v>1115</v>
      </c>
      <c r="AK311" s="428"/>
      <c r="AL311" s="429">
        <v>0</v>
      </c>
      <c r="AM311" s="429">
        <v>0</v>
      </c>
      <c r="AN311" s="430"/>
      <c r="AO311" s="430">
        <v>46072</v>
      </c>
      <c r="AP311" s="431">
        <v>0</v>
      </c>
      <c r="AQ311" s="430">
        <v>46071</v>
      </c>
    </row>
    <row r="312" spans="1:43" ht="22.5" customHeight="1" x14ac:dyDescent="0.2">
      <c r="A312" s="370" t="s">
        <v>1085</v>
      </c>
      <c r="B312" s="370" t="s">
        <v>483</v>
      </c>
      <c r="C312" s="370" t="s">
        <v>221</v>
      </c>
      <c r="D312" s="370" t="s">
        <v>222</v>
      </c>
      <c r="E312" s="371">
        <v>423099</v>
      </c>
      <c r="F312" s="371">
        <v>3664</v>
      </c>
      <c r="G312" s="371">
        <v>483</v>
      </c>
      <c r="H312" s="371">
        <v>0</v>
      </c>
      <c r="I312" s="372">
        <v>46022</v>
      </c>
      <c r="J312" s="370" t="s">
        <v>223</v>
      </c>
      <c r="K312" s="370" t="s">
        <v>1116</v>
      </c>
      <c r="L312" s="373">
        <v>25</v>
      </c>
      <c r="M312" s="373">
        <v>5</v>
      </c>
      <c r="N312" s="444">
        <v>30</v>
      </c>
      <c r="O312" s="370"/>
      <c r="P312" s="374"/>
      <c r="Q312" s="373">
        <v>30</v>
      </c>
      <c r="R312" s="370"/>
      <c r="S312" s="373">
        <v>0</v>
      </c>
      <c r="T312" s="373">
        <v>0</v>
      </c>
      <c r="U312" s="373">
        <v>0</v>
      </c>
      <c r="V312" s="373">
        <v>0</v>
      </c>
      <c r="W312" s="370"/>
      <c r="X312" s="370" t="s">
        <v>225</v>
      </c>
      <c r="Y312" s="370" t="s">
        <v>226</v>
      </c>
      <c r="Z312" s="370" t="s">
        <v>42</v>
      </c>
      <c r="AA312" s="370" t="s">
        <v>228</v>
      </c>
      <c r="AB312" s="370" t="s">
        <v>235</v>
      </c>
      <c r="AC312" s="370" t="s">
        <v>331</v>
      </c>
      <c r="AD312" s="370" t="s">
        <v>231</v>
      </c>
      <c r="AE312" s="370" t="s">
        <v>232</v>
      </c>
      <c r="AF312" s="370" t="s">
        <v>231</v>
      </c>
      <c r="AG312" s="370" t="s">
        <v>232</v>
      </c>
      <c r="AH312" s="370"/>
      <c r="AI312" s="370"/>
      <c r="AJ312" s="370" t="s">
        <v>1117</v>
      </c>
      <c r="AK312" s="370"/>
      <c r="AL312" s="371">
        <v>0</v>
      </c>
      <c r="AM312" s="371">
        <v>0</v>
      </c>
      <c r="AN312" s="372"/>
      <c r="AO312" s="372">
        <v>46072</v>
      </c>
      <c r="AP312" s="373">
        <v>0</v>
      </c>
      <c r="AQ312" s="372">
        <v>46071</v>
      </c>
    </row>
    <row r="313" spans="1:43" ht="22.5" customHeight="1" x14ac:dyDescent="0.2">
      <c r="A313" s="370" t="s">
        <v>1085</v>
      </c>
      <c r="B313" s="370" t="s">
        <v>483</v>
      </c>
      <c r="C313" s="370" t="s">
        <v>221</v>
      </c>
      <c r="D313" s="370" t="s">
        <v>222</v>
      </c>
      <c r="E313" s="371">
        <v>423102</v>
      </c>
      <c r="F313" s="371">
        <v>3665</v>
      </c>
      <c r="G313" s="371">
        <v>483</v>
      </c>
      <c r="H313" s="371">
        <v>0</v>
      </c>
      <c r="I313" s="372">
        <v>46022</v>
      </c>
      <c r="J313" s="370" t="s">
        <v>223</v>
      </c>
      <c r="K313" s="370" t="s">
        <v>1118</v>
      </c>
      <c r="L313" s="373">
        <v>25</v>
      </c>
      <c r="M313" s="373">
        <v>5</v>
      </c>
      <c r="N313" s="444">
        <v>30</v>
      </c>
      <c r="O313" s="370"/>
      <c r="P313" s="374"/>
      <c r="Q313" s="373">
        <v>30</v>
      </c>
      <c r="R313" s="370"/>
      <c r="S313" s="373">
        <v>0</v>
      </c>
      <c r="T313" s="373">
        <v>0</v>
      </c>
      <c r="U313" s="373">
        <v>0</v>
      </c>
      <c r="V313" s="373">
        <v>0</v>
      </c>
      <c r="W313" s="370"/>
      <c r="X313" s="370" t="s">
        <v>225</v>
      </c>
      <c r="Y313" s="370" t="s">
        <v>226</v>
      </c>
      <c r="Z313" s="370" t="s">
        <v>42</v>
      </c>
      <c r="AA313" s="370" t="s">
        <v>228</v>
      </c>
      <c r="AB313" s="370" t="s">
        <v>235</v>
      </c>
      <c r="AC313" s="370" t="s">
        <v>331</v>
      </c>
      <c r="AD313" s="370" t="s">
        <v>231</v>
      </c>
      <c r="AE313" s="370" t="s">
        <v>232</v>
      </c>
      <c r="AF313" s="370" t="s">
        <v>231</v>
      </c>
      <c r="AG313" s="370" t="s">
        <v>232</v>
      </c>
      <c r="AH313" s="370"/>
      <c r="AI313" s="370"/>
      <c r="AJ313" s="370" t="s">
        <v>1119</v>
      </c>
      <c r="AK313" s="370"/>
      <c r="AL313" s="371">
        <v>0</v>
      </c>
      <c r="AM313" s="371">
        <v>0</v>
      </c>
      <c r="AN313" s="372"/>
      <c r="AO313" s="372">
        <v>46072</v>
      </c>
      <c r="AP313" s="373">
        <v>0</v>
      </c>
      <c r="AQ313" s="372">
        <v>46071</v>
      </c>
    </row>
    <row r="314" spans="1:43" ht="22.5" customHeight="1" x14ac:dyDescent="0.2">
      <c r="A314" s="370" t="s">
        <v>1085</v>
      </c>
      <c r="B314" s="370" t="s">
        <v>483</v>
      </c>
      <c r="C314" s="370" t="s">
        <v>221</v>
      </c>
      <c r="D314" s="370" t="s">
        <v>222</v>
      </c>
      <c r="E314" s="371">
        <v>423105</v>
      </c>
      <c r="F314" s="371">
        <v>3666</v>
      </c>
      <c r="G314" s="371">
        <v>483</v>
      </c>
      <c r="H314" s="371">
        <v>0</v>
      </c>
      <c r="I314" s="372">
        <v>46022</v>
      </c>
      <c r="J314" s="370" t="s">
        <v>223</v>
      </c>
      <c r="K314" s="370" t="s">
        <v>1120</v>
      </c>
      <c r="L314" s="373">
        <v>25</v>
      </c>
      <c r="M314" s="373">
        <v>5</v>
      </c>
      <c r="N314" s="444">
        <v>30</v>
      </c>
      <c r="O314" s="370"/>
      <c r="P314" s="374"/>
      <c r="Q314" s="373">
        <v>30</v>
      </c>
      <c r="R314" s="370"/>
      <c r="S314" s="373">
        <v>0</v>
      </c>
      <c r="T314" s="373">
        <v>0</v>
      </c>
      <c r="U314" s="373">
        <v>0</v>
      </c>
      <c r="V314" s="373">
        <v>0</v>
      </c>
      <c r="W314" s="370"/>
      <c r="X314" s="370" t="s">
        <v>225</v>
      </c>
      <c r="Y314" s="370" t="s">
        <v>226</v>
      </c>
      <c r="Z314" s="370" t="s">
        <v>42</v>
      </c>
      <c r="AA314" s="370" t="s">
        <v>228</v>
      </c>
      <c r="AB314" s="370" t="s">
        <v>235</v>
      </c>
      <c r="AC314" s="370" t="s">
        <v>331</v>
      </c>
      <c r="AD314" s="370" t="s">
        <v>231</v>
      </c>
      <c r="AE314" s="370" t="s">
        <v>232</v>
      </c>
      <c r="AF314" s="370" t="s">
        <v>231</v>
      </c>
      <c r="AG314" s="370" t="s">
        <v>232</v>
      </c>
      <c r="AH314" s="370"/>
      <c r="AI314" s="370"/>
      <c r="AJ314" s="370" t="s">
        <v>1121</v>
      </c>
      <c r="AK314" s="370"/>
      <c r="AL314" s="371">
        <v>0</v>
      </c>
      <c r="AM314" s="371">
        <v>0</v>
      </c>
      <c r="AN314" s="372"/>
      <c r="AO314" s="372">
        <v>46072</v>
      </c>
      <c r="AP314" s="373">
        <v>0</v>
      </c>
      <c r="AQ314" s="372">
        <v>46071</v>
      </c>
    </row>
    <row r="315" spans="1:43" ht="22.5" customHeight="1" x14ac:dyDescent="0.2">
      <c r="A315" s="370" t="s">
        <v>1085</v>
      </c>
      <c r="B315" s="370" t="s">
        <v>483</v>
      </c>
      <c r="C315" s="370" t="s">
        <v>221</v>
      </c>
      <c r="D315" s="370" t="s">
        <v>222</v>
      </c>
      <c r="E315" s="371">
        <v>423108</v>
      </c>
      <c r="F315" s="371">
        <v>3667</v>
      </c>
      <c r="G315" s="371">
        <v>483</v>
      </c>
      <c r="H315" s="371">
        <v>0</v>
      </c>
      <c r="I315" s="372">
        <v>46022</v>
      </c>
      <c r="J315" s="370" t="s">
        <v>223</v>
      </c>
      <c r="K315" s="370" t="s">
        <v>1122</v>
      </c>
      <c r="L315" s="373">
        <v>25</v>
      </c>
      <c r="M315" s="373">
        <v>5</v>
      </c>
      <c r="N315" s="444">
        <v>30</v>
      </c>
      <c r="O315" s="370"/>
      <c r="P315" s="374"/>
      <c r="Q315" s="373">
        <v>30</v>
      </c>
      <c r="R315" s="370"/>
      <c r="S315" s="373">
        <v>0</v>
      </c>
      <c r="T315" s="373">
        <v>0</v>
      </c>
      <c r="U315" s="373">
        <v>0</v>
      </c>
      <c r="V315" s="373">
        <v>0</v>
      </c>
      <c r="W315" s="370"/>
      <c r="X315" s="370" t="s">
        <v>225</v>
      </c>
      <c r="Y315" s="370" t="s">
        <v>226</v>
      </c>
      <c r="Z315" s="370" t="s">
        <v>42</v>
      </c>
      <c r="AA315" s="370" t="s">
        <v>228</v>
      </c>
      <c r="AB315" s="370" t="s">
        <v>235</v>
      </c>
      <c r="AC315" s="370" t="s">
        <v>331</v>
      </c>
      <c r="AD315" s="370" t="s">
        <v>231</v>
      </c>
      <c r="AE315" s="370" t="s">
        <v>232</v>
      </c>
      <c r="AF315" s="370" t="s">
        <v>231</v>
      </c>
      <c r="AG315" s="370" t="s">
        <v>232</v>
      </c>
      <c r="AH315" s="370"/>
      <c r="AI315" s="370"/>
      <c r="AJ315" s="370" t="s">
        <v>1123</v>
      </c>
      <c r="AK315" s="370"/>
      <c r="AL315" s="371">
        <v>0</v>
      </c>
      <c r="AM315" s="371">
        <v>0</v>
      </c>
      <c r="AN315" s="372"/>
      <c r="AO315" s="372">
        <v>46072</v>
      </c>
      <c r="AP315" s="373">
        <v>0</v>
      </c>
      <c r="AQ315" s="372">
        <v>46071</v>
      </c>
    </row>
    <row r="316" spans="1:43" ht="22.5" customHeight="1" x14ac:dyDescent="0.2">
      <c r="A316" s="370" t="s">
        <v>1085</v>
      </c>
      <c r="B316" s="370" t="s">
        <v>483</v>
      </c>
      <c r="C316" s="370" t="s">
        <v>221</v>
      </c>
      <c r="D316" s="370" t="s">
        <v>222</v>
      </c>
      <c r="E316" s="371">
        <v>423111</v>
      </c>
      <c r="F316" s="371">
        <v>3668</v>
      </c>
      <c r="G316" s="371">
        <v>483</v>
      </c>
      <c r="H316" s="371">
        <v>0</v>
      </c>
      <c r="I316" s="372">
        <v>46022</v>
      </c>
      <c r="J316" s="370" t="s">
        <v>223</v>
      </c>
      <c r="K316" s="370" t="s">
        <v>1124</v>
      </c>
      <c r="L316" s="373">
        <v>66.67</v>
      </c>
      <c r="M316" s="373">
        <v>13.33</v>
      </c>
      <c r="N316" s="444">
        <v>80</v>
      </c>
      <c r="O316" s="370"/>
      <c r="P316" s="374"/>
      <c r="Q316" s="373">
        <v>80</v>
      </c>
      <c r="R316" s="370"/>
      <c r="S316" s="373">
        <v>0</v>
      </c>
      <c r="T316" s="373">
        <v>0</v>
      </c>
      <c r="U316" s="373">
        <v>0</v>
      </c>
      <c r="V316" s="373">
        <v>0</v>
      </c>
      <c r="W316" s="370"/>
      <c r="X316" s="370" t="s">
        <v>225</v>
      </c>
      <c r="Y316" s="370" t="s">
        <v>226</v>
      </c>
      <c r="Z316" s="370" t="s">
        <v>42</v>
      </c>
      <c r="AA316" s="370" t="s">
        <v>228</v>
      </c>
      <c r="AB316" s="370" t="s">
        <v>235</v>
      </c>
      <c r="AC316" s="370" t="s">
        <v>331</v>
      </c>
      <c r="AD316" s="370" t="s">
        <v>231</v>
      </c>
      <c r="AE316" s="370" t="s">
        <v>232</v>
      </c>
      <c r="AF316" s="370" t="s">
        <v>231</v>
      </c>
      <c r="AG316" s="370" t="s">
        <v>232</v>
      </c>
      <c r="AH316" s="370"/>
      <c r="AI316" s="370"/>
      <c r="AJ316" s="370" t="s">
        <v>1125</v>
      </c>
      <c r="AK316" s="370"/>
      <c r="AL316" s="371">
        <v>0</v>
      </c>
      <c r="AM316" s="371">
        <v>0</v>
      </c>
      <c r="AN316" s="372"/>
      <c r="AO316" s="372">
        <v>46072</v>
      </c>
      <c r="AP316" s="373">
        <v>0</v>
      </c>
      <c r="AQ316" s="372">
        <v>46071</v>
      </c>
    </row>
    <row r="317" spans="1:43" ht="22.5" customHeight="1" x14ac:dyDescent="0.2">
      <c r="A317" s="370" t="s">
        <v>1085</v>
      </c>
      <c r="B317" s="370" t="s">
        <v>483</v>
      </c>
      <c r="C317" s="370" t="s">
        <v>221</v>
      </c>
      <c r="D317" s="370" t="s">
        <v>222</v>
      </c>
      <c r="E317" s="371">
        <v>423114</v>
      </c>
      <c r="F317" s="371">
        <v>3669</v>
      </c>
      <c r="G317" s="371">
        <v>483</v>
      </c>
      <c r="H317" s="371">
        <v>0</v>
      </c>
      <c r="I317" s="372">
        <v>46022</v>
      </c>
      <c r="J317" s="370" t="s">
        <v>223</v>
      </c>
      <c r="K317" s="370" t="s">
        <v>1126</v>
      </c>
      <c r="L317" s="373">
        <v>66.67</v>
      </c>
      <c r="M317" s="373">
        <v>13.33</v>
      </c>
      <c r="N317" s="444">
        <v>80</v>
      </c>
      <c r="O317" s="370"/>
      <c r="P317" s="374"/>
      <c r="Q317" s="373">
        <v>80</v>
      </c>
      <c r="R317" s="370"/>
      <c r="S317" s="373">
        <v>0</v>
      </c>
      <c r="T317" s="373">
        <v>0</v>
      </c>
      <c r="U317" s="373">
        <v>0</v>
      </c>
      <c r="V317" s="373">
        <v>0</v>
      </c>
      <c r="W317" s="370"/>
      <c r="X317" s="370" t="s">
        <v>225</v>
      </c>
      <c r="Y317" s="370" t="s">
        <v>226</v>
      </c>
      <c r="Z317" s="370" t="s">
        <v>42</v>
      </c>
      <c r="AA317" s="370" t="s">
        <v>228</v>
      </c>
      <c r="AB317" s="370" t="s">
        <v>235</v>
      </c>
      <c r="AC317" s="370" t="s">
        <v>331</v>
      </c>
      <c r="AD317" s="370" t="s">
        <v>231</v>
      </c>
      <c r="AE317" s="370" t="s">
        <v>232</v>
      </c>
      <c r="AF317" s="370" t="s">
        <v>231</v>
      </c>
      <c r="AG317" s="370" t="s">
        <v>232</v>
      </c>
      <c r="AH317" s="370"/>
      <c r="AI317" s="370"/>
      <c r="AJ317" s="370" t="s">
        <v>1127</v>
      </c>
      <c r="AK317" s="370"/>
      <c r="AL317" s="371">
        <v>0</v>
      </c>
      <c r="AM317" s="371">
        <v>0</v>
      </c>
      <c r="AN317" s="372"/>
      <c r="AO317" s="372">
        <v>46072</v>
      </c>
      <c r="AP317" s="373">
        <v>0</v>
      </c>
      <c r="AQ317" s="372">
        <v>46071</v>
      </c>
    </row>
    <row r="318" spans="1:43" ht="22.5" customHeight="1" x14ac:dyDescent="0.2">
      <c r="A318" s="370" t="s">
        <v>1085</v>
      </c>
      <c r="B318" s="370" t="s">
        <v>483</v>
      </c>
      <c r="C318" s="370" t="s">
        <v>221</v>
      </c>
      <c r="D318" s="370" t="s">
        <v>222</v>
      </c>
      <c r="E318" s="371">
        <v>423117</v>
      </c>
      <c r="F318" s="371">
        <v>3670</v>
      </c>
      <c r="G318" s="371">
        <v>483</v>
      </c>
      <c r="H318" s="371">
        <v>0</v>
      </c>
      <c r="I318" s="372">
        <v>46022</v>
      </c>
      <c r="J318" s="370" t="s">
        <v>223</v>
      </c>
      <c r="K318" s="370" t="s">
        <v>1128</v>
      </c>
      <c r="L318" s="373">
        <v>83.33</v>
      </c>
      <c r="M318" s="373">
        <v>16.670000000000002</v>
      </c>
      <c r="N318" s="444">
        <v>100</v>
      </c>
      <c r="O318" s="370"/>
      <c r="P318" s="374"/>
      <c r="Q318" s="373">
        <v>100</v>
      </c>
      <c r="R318" s="370"/>
      <c r="S318" s="373">
        <v>0</v>
      </c>
      <c r="T318" s="373">
        <v>0</v>
      </c>
      <c r="U318" s="373">
        <v>0</v>
      </c>
      <c r="V318" s="373">
        <v>0</v>
      </c>
      <c r="W318" s="370"/>
      <c r="X318" s="370" t="s">
        <v>225</v>
      </c>
      <c r="Y318" s="370" t="s">
        <v>226</v>
      </c>
      <c r="Z318" s="370" t="s">
        <v>42</v>
      </c>
      <c r="AA318" s="370" t="s">
        <v>228</v>
      </c>
      <c r="AB318" s="370" t="s">
        <v>235</v>
      </c>
      <c r="AC318" s="370" t="s">
        <v>331</v>
      </c>
      <c r="AD318" s="370" t="s">
        <v>231</v>
      </c>
      <c r="AE318" s="370" t="s">
        <v>232</v>
      </c>
      <c r="AF318" s="370" t="s">
        <v>231</v>
      </c>
      <c r="AG318" s="370" t="s">
        <v>232</v>
      </c>
      <c r="AH318" s="370"/>
      <c r="AI318" s="370"/>
      <c r="AJ318" s="370" t="s">
        <v>1129</v>
      </c>
      <c r="AK318" s="370"/>
      <c r="AL318" s="371">
        <v>0</v>
      </c>
      <c r="AM318" s="371">
        <v>0</v>
      </c>
      <c r="AN318" s="372"/>
      <c r="AO318" s="372">
        <v>46072</v>
      </c>
      <c r="AP318" s="373">
        <v>0</v>
      </c>
      <c r="AQ318" s="372">
        <v>46071</v>
      </c>
    </row>
    <row r="319" spans="1:43" ht="22.5" customHeight="1" x14ac:dyDescent="0.2">
      <c r="A319" s="428" t="s">
        <v>1085</v>
      </c>
      <c r="B319" s="428" t="s">
        <v>483</v>
      </c>
      <c r="C319" s="428" t="s">
        <v>221</v>
      </c>
      <c r="D319" s="428" t="s">
        <v>222</v>
      </c>
      <c r="E319" s="429">
        <v>423120</v>
      </c>
      <c r="F319" s="429">
        <v>3671</v>
      </c>
      <c r="G319" s="429">
        <v>483</v>
      </c>
      <c r="H319" s="429">
        <v>0</v>
      </c>
      <c r="I319" s="430">
        <v>46022</v>
      </c>
      <c r="J319" s="428" t="s">
        <v>223</v>
      </c>
      <c r="K319" s="428" t="s">
        <v>1130</v>
      </c>
      <c r="L319" s="431">
        <v>83.33</v>
      </c>
      <c r="M319" s="431">
        <v>16.670000000000002</v>
      </c>
      <c r="N319" s="441">
        <v>100</v>
      </c>
      <c r="O319" s="428"/>
      <c r="P319" s="432"/>
      <c r="Q319" s="431">
        <v>100</v>
      </c>
      <c r="R319" s="428"/>
      <c r="S319" s="431">
        <v>0</v>
      </c>
      <c r="T319" s="431">
        <v>0</v>
      </c>
      <c r="U319" s="431">
        <v>0</v>
      </c>
      <c r="V319" s="431">
        <v>0</v>
      </c>
      <c r="W319" s="428"/>
      <c r="X319" s="428" t="s">
        <v>225</v>
      </c>
      <c r="Y319" s="428" t="s">
        <v>226</v>
      </c>
      <c r="Z319" s="428" t="s">
        <v>42</v>
      </c>
      <c r="AA319" s="428" t="s">
        <v>228</v>
      </c>
      <c r="AB319" s="428" t="s">
        <v>235</v>
      </c>
      <c r="AC319" s="428" t="s">
        <v>236</v>
      </c>
      <c r="AD319" s="428" t="s">
        <v>231</v>
      </c>
      <c r="AE319" s="428" t="s">
        <v>232</v>
      </c>
      <c r="AF319" s="428" t="s">
        <v>231</v>
      </c>
      <c r="AG319" s="428" t="s">
        <v>232</v>
      </c>
      <c r="AH319" s="428"/>
      <c r="AI319" s="428"/>
      <c r="AJ319" s="428" t="s">
        <v>1131</v>
      </c>
      <c r="AK319" s="428"/>
      <c r="AL319" s="429">
        <v>0</v>
      </c>
      <c r="AM319" s="429">
        <v>0</v>
      </c>
      <c r="AN319" s="430"/>
      <c r="AO319" s="430">
        <v>46072</v>
      </c>
      <c r="AP319" s="431">
        <v>0</v>
      </c>
      <c r="AQ319" s="430">
        <v>46071</v>
      </c>
    </row>
    <row r="320" spans="1:43" ht="22.5" customHeight="1" x14ac:dyDescent="0.2">
      <c r="A320" s="370" t="s">
        <v>1085</v>
      </c>
      <c r="B320" s="370" t="s">
        <v>483</v>
      </c>
      <c r="C320" s="370" t="s">
        <v>221</v>
      </c>
      <c r="D320" s="370" t="s">
        <v>222</v>
      </c>
      <c r="E320" s="371">
        <v>423165</v>
      </c>
      <c r="F320" s="371">
        <v>3672</v>
      </c>
      <c r="G320" s="371">
        <v>483</v>
      </c>
      <c r="H320" s="371">
        <v>0</v>
      </c>
      <c r="I320" s="372">
        <v>46022</v>
      </c>
      <c r="J320" s="370" t="s">
        <v>223</v>
      </c>
      <c r="K320" s="370" t="s">
        <v>1132</v>
      </c>
      <c r="L320" s="373">
        <v>125</v>
      </c>
      <c r="M320" s="373">
        <v>25</v>
      </c>
      <c r="N320" s="444">
        <v>150</v>
      </c>
      <c r="O320" s="370"/>
      <c r="P320" s="374"/>
      <c r="Q320" s="373">
        <v>150</v>
      </c>
      <c r="R320" s="370"/>
      <c r="S320" s="373">
        <v>0</v>
      </c>
      <c r="T320" s="373">
        <v>0</v>
      </c>
      <c r="U320" s="373">
        <v>0</v>
      </c>
      <c r="V320" s="373">
        <v>0</v>
      </c>
      <c r="W320" s="370"/>
      <c r="X320" s="370" t="s">
        <v>225</v>
      </c>
      <c r="Y320" s="370" t="s">
        <v>226</v>
      </c>
      <c r="Z320" s="370" t="s">
        <v>42</v>
      </c>
      <c r="AA320" s="370" t="s">
        <v>228</v>
      </c>
      <c r="AB320" s="370" t="s">
        <v>235</v>
      </c>
      <c r="AC320" s="370" t="s">
        <v>331</v>
      </c>
      <c r="AD320" s="370" t="s">
        <v>231</v>
      </c>
      <c r="AE320" s="370" t="s">
        <v>232</v>
      </c>
      <c r="AF320" s="370" t="s">
        <v>231</v>
      </c>
      <c r="AG320" s="370" t="s">
        <v>232</v>
      </c>
      <c r="AH320" s="370"/>
      <c r="AI320" s="370"/>
      <c r="AJ320" s="370" t="s">
        <v>1133</v>
      </c>
      <c r="AK320" s="370"/>
      <c r="AL320" s="371">
        <v>0</v>
      </c>
      <c r="AM320" s="371">
        <v>0</v>
      </c>
      <c r="AN320" s="372"/>
      <c r="AO320" s="372">
        <v>46072</v>
      </c>
      <c r="AP320" s="373">
        <v>0</v>
      </c>
      <c r="AQ320" s="372">
        <v>46071</v>
      </c>
    </row>
    <row r="321" spans="1:43" ht="22.5" customHeight="1" x14ac:dyDescent="0.2">
      <c r="A321" s="370" t="s">
        <v>1085</v>
      </c>
      <c r="B321" s="370" t="s">
        <v>483</v>
      </c>
      <c r="C321" s="370" t="s">
        <v>221</v>
      </c>
      <c r="D321" s="370" t="s">
        <v>222</v>
      </c>
      <c r="E321" s="371">
        <v>423168</v>
      </c>
      <c r="F321" s="371">
        <v>3673</v>
      </c>
      <c r="G321" s="371">
        <v>483</v>
      </c>
      <c r="H321" s="371">
        <v>0</v>
      </c>
      <c r="I321" s="372">
        <v>46022</v>
      </c>
      <c r="J321" s="370" t="s">
        <v>223</v>
      </c>
      <c r="K321" s="370" t="s">
        <v>1134</v>
      </c>
      <c r="L321" s="373">
        <v>83.33</v>
      </c>
      <c r="M321" s="373">
        <v>16.670000000000002</v>
      </c>
      <c r="N321" s="444">
        <v>100</v>
      </c>
      <c r="O321" s="370"/>
      <c r="P321" s="374"/>
      <c r="Q321" s="373">
        <v>100</v>
      </c>
      <c r="R321" s="370"/>
      <c r="S321" s="373">
        <v>0</v>
      </c>
      <c r="T321" s="373">
        <v>0</v>
      </c>
      <c r="U321" s="373">
        <v>0</v>
      </c>
      <c r="V321" s="373">
        <v>0</v>
      </c>
      <c r="W321" s="370"/>
      <c r="X321" s="370" t="s">
        <v>225</v>
      </c>
      <c r="Y321" s="370" t="s">
        <v>226</v>
      </c>
      <c r="Z321" s="370" t="s">
        <v>42</v>
      </c>
      <c r="AA321" s="370" t="s">
        <v>228</v>
      </c>
      <c r="AB321" s="370" t="s">
        <v>235</v>
      </c>
      <c r="AC321" s="370" t="s">
        <v>331</v>
      </c>
      <c r="AD321" s="370" t="s">
        <v>231</v>
      </c>
      <c r="AE321" s="370" t="s">
        <v>232</v>
      </c>
      <c r="AF321" s="370" t="s">
        <v>231</v>
      </c>
      <c r="AG321" s="370" t="s">
        <v>232</v>
      </c>
      <c r="AH321" s="370"/>
      <c r="AI321" s="370"/>
      <c r="AJ321" s="370" t="s">
        <v>1135</v>
      </c>
      <c r="AK321" s="370"/>
      <c r="AL321" s="371">
        <v>0</v>
      </c>
      <c r="AM321" s="371">
        <v>0</v>
      </c>
      <c r="AN321" s="372"/>
      <c r="AO321" s="372">
        <v>46072</v>
      </c>
      <c r="AP321" s="373">
        <v>0</v>
      </c>
      <c r="AQ321" s="372">
        <v>46071</v>
      </c>
    </row>
    <row r="322" spans="1:43" ht="22.5" customHeight="1" x14ac:dyDescent="0.2">
      <c r="A322" s="358" t="s">
        <v>1085</v>
      </c>
      <c r="B322" s="358" t="s">
        <v>483</v>
      </c>
      <c r="C322" s="358" t="s">
        <v>221</v>
      </c>
      <c r="D322" s="358" t="s">
        <v>222</v>
      </c>
      <c r="E322" s="359">
        <v>423195</v>
      </c>
      <c r="F322" s="359">
        <v>3674</v>
      </c>
      <c r="G322" s="359">
        <v>483</v>
      </c>
      <c r="H322" s="359">
        <v>0</v>
      </c>
      <c r="I322" s="360">
        <v>46022</v>
      </c>
      <c r="J322" s="358" t="s">
        <v>223</v>
      </c>
      <c r="K322" s="358" t="s">
        <v>1136</v>
      </c>
      <c r="L322" s="361">
        <v>11.37</v>
      </c>
      <c r="M322" s="361">
        <v>2.27</v>
      </c>
      <c r="N322" s="448">
        <v>13.64</v>
      </c>
      <c r="O322" s="358"/>
      <c r="P322" s="362"/>
      <c r="Q322" s="361">
        <v>13.64</v>
      </c>
      <c r="R322" s="358"/>
      <c r="S322" s="361">
        <v>0</v>
      </c>
      <c r="T322" s="361">
        <v>0</v>
      </c>
      <c r="U322" s="361">
        <v>0</v>
      </c>
      <c r="V322" s="361">
        <v>0</v>
      </c>
      <c r="W322" s="358"/>
      <c r="X322" s="358" t="s">
        <v>225</v>
      </c>
      <c r="Y322" s="358" t="s">
        <v>226</v>
      </c>
      <c r="Z322" s="358" t="s">
        <v>288</v>
      </c>
      <c r="AA322" s="358" t="s">
        <v>228</v>
      </c>
      <c r="AB322" s="358" t="s">
        <v>289</v>
      </c>
      <c r="AC322" s="358" t="s">
        <v>31</v>
      </c>
      <c r="AD322" s="358" t="s">
        <v>231</v>
      </c>
      <c r="AE322" s="358" t="s">
        <v>232</v>
      </c>
      <c r="AF322" s="358" t="s">
        <v>231</v>
      </c>
      <c r="AG322" s="358" t="s">
        <v>232</v>
      </c>
      <c r="AH322" s="358"/>
      <c r="AI322" s="358"/>
      <c r="AJ322" s="358" t="s">
        <v>1137</v>
      </c>
      <c r="AK322" s="358"/>
      <c r="AL322" s="359">
        <v>0</v>
      </c>
      <c r="AM322" s="359">
        <v>0</v>
      </c>
      <c r="AN322" s="360"/>
      <c r="AO322" s="360">
        <v>46072</v>
      </c>
      <c r="AP322" s="361">
        <v>0</v>
      </c>
      <c r="AQ322" s="360">
        <v>46071</v>
      </c>
    </row>
    <row r="323" spans="1:43" ht="22.5" customHeight="1" x14ac:dyDescent="0.2">
      <c r="A323" s="358" t="s">
        <v>1085</v>
      </c>
      <c r="B323" s="358" t="s">
        <v>483</v>
      </c>
      <c r="C323" s="358" t="s">
        <v>221</v>
      </c>
      <c r="D323" s="358" t="s">
        <v>222</v>
      </c>
      <c r="E323" s="359">
        <v>423204</v>
      </c>
      <c r="F323" s="359">
        <v>3675</v>
      </c>
      <c r="G323" s="359">
        <v>483</v>
      </c>
      <c r="H323" s="359">
        <v>0</v>
      </c>
      <c r="I323" s="360">
        <v>46022</v>
      </c>
      <c r="J323" s="358" t="s">
        <v>223</v>
      </c>
      <c r="K323" s="358" t="s">
        <v>1138</v>
      </c>
      <c r="L323" s="361">
        <v>625</v>
      </c>
      <c r="M323" s="361">
        <v>125</v>
      </c>
      <c r="N323" s="448">
        <v>750</v>
      </c>
      <c r="O323" s="358"/>
      <c r="P323" s="362"/>
      <c r="Q323" s="361">
        <v>750</v>
      </c>
      <c r="R323" s="358"/>
      <c r="S323" s="361">
        <v>0</v>
      </c>
      <c r="T323" s="361">
        <v>0</v>
      </c>
      <c r="U323" s="361">
        <v>0</v>
      </c>
      <c r="V323" s="361">
        <v>0</v>
      </c>
      <c r="W323" s="358"/>
      <c r="X323" s="358" t="s">
        <v>225</v>
      </c>
      <c r="Y323" s="358" t="s">
        <v>226</v>
      </c>
      <c r="Z323" s="358" t="s">
        <v>288</v>
      </c>
      <c r="AA323" s="358" t="s">
        <v>228</v>
      </c>
      <c r="AB323" s="358" t="s">
        <v>289</v>
      </c>
      <c r="AC323" s="358" t="s">
        <v>31</v>
      </c>
      <c r="AD323" s="358" t="s">
        <v>231</v>
      </c>
      <c r="AE323" s="358" t="s">
        <v>232</v>
      </c>
      <c r="AF323" s="358" t="s">
        <v>231</v>
      </c>
      <c r="AG323" s="358" t="s">
        <v>232</v>
      </c>
      <c r="AH323" s="358"/>
      <c r="AI323" s="358"/>
      <c r="AJ323" s="358" t="s">
        <v>1139</v>
      </c>
      <c r="AK323" s="358"/>
      <c r="AL323" s="359">
        <v>0</v>
      </c>
      <c r="AM323" s="359">
        <v>0</v>
      </c>
      <c r="AN323" s="360"/>
      <c r="AO323" s="360">
        <v>46072</v>
      </c>
      <c r="AP323" s="361">
        <v>0</v>
      </c>
      <c r="AQ323" s="360">
        <v>46071</v>
      </c>
    </row>
    <row r="324" spans="1:43" ht="22.5" customHeight="1" x14ac:dyDescent="0.2">
      <c r="A324" s="358" t="s">
        <v>1085</v>
      </c>
      <c r="B324" s="358" t="s">
        <v>483</v>
      </c>
      <c r="C324" s="358" t="s">
        <v>221</v>
      </c>
      <c r="D324" s="358" t="s">
        <v>222</v>
      </c>
      <c r="E324" s="359">
        <v>423213</v>
      </c>
      <c r="F324" s="359">
        <v>3676</v>
      </c>
      <c r="G324" s="359">
        <v>483</v>
      </c>
      <c r="H324" s="359">
        <v>0</v>
      </c>
      <c r="I324" s="360">
        <v>46022</v>
      </c>
      <c r="J324" s="358" t="s">
        <v>223</v>
      </c>
      <c r="K324" s="358" t="s">
        <v>1140</v>
      </c>
      <c r="L324" s="361">
        <v>50</v>
      </c>
      <c r="M324" s="361">
        <v>10</v>
      </c>
      <c r="N324" s="448">
        <v>60</v>
      </c>
      <c r="O324" s="358"/>
      <c r="P324" s="362"/>
      <c r="Q324" s="361">
        <v>60</v>
      </c>
      <c r="R324" s="358"/>
      <c r="S324" s="361">
        <v>0</v>
      </c>
      <c r="T324" s="361">
        <v>0</v>
      </c>
      <c r="U324" s="361">
        <v>0</v>
      </c>
      <c r="V324" s="361">
        <v>0</v>
      </c>
      <c r="W324" s="358"/>
      <c r="X324" s="358" t="s">
        <v>225</v>
      </c>
      <c r="Y324" s="358" t="s">
        <v>226</v>
      </c>
      <c r="Z324" s="358" t="s">
        <v>288</v>
      </c>
      <c r="AA324" s="358" t="s">
        <v>228</v>
      </c>
      <c r="AB324" s="358" t="s">
        <v>289</v>
      </c>
      <c r="AC324" s="358" t="s">
        <v>31</v>
      </c>
      <c r="AD324" s="358" t="s">
        <v>231</v>
      </c>
      <c r="AE324" s="358" t="s">
        <v>232</v>
      </c>
      <c r="AF324" s="358" t="s">
        <v>231</v>
      </c>
      <c r="AG324" s="358" t="s">
        <v>232</v>
      </c>
      <c r="AH324" s="358"/>
      <c r="AI324" s="358"/>
      <c r="AJ324" s="358" t="s">
        <v>1141</v>
      </c>
      <c r="AK324" s="358"/>
      <c r="AL324" s="359">
        <v>0</v>
      </c>
      <c r="AM324" s="359">
        <v>0</v>
      </c>
      <c r="AN324" s="360"/>
      <c r="AO324" s="360">
        <v>46072</v>
      </c>
      <c r="AP324" s="361">
        <v>0</v>
      </c>
      <c r="AQ324" s="360">
        <v>46071</v>
      </c>
    </row>
    <row r="325" spans="1:43" s="14" customFormat="1" ht="22.5" customHeight="1" x14ac:dyDescent="0.2">
      <c r="A325" s="408" t="s">
        <v>1085</v>
      </c>
      <c r="B325" s="408" t="s">
        <v>483</v>
      </c>
      <c r="C325" s="408" t="s">
        <v>221</v>
      </c>
      <c r="D325" s="408" t="s">
        <v>222</v>
      </c>
      <c r="E325" s="409">
        <v>423372</v>
      </c>
      <c r="F325" s="409">
        <v>3677</v>
      </c>
      <c r="G325" s="409">
        <v>483</v>
      </c>
      <c r="H325" s="409">
        <v>0</v>
      </c>
      <c r="I325" s="410">
        <v>46022</v>
      </c>
      <c r="J325" s="408" t="s">
        <v>223</v>
      </c>
      <c r="K325" s="408" t="s">
        <v>1142</v>
      </c>
      <c r="L325" s="411">
        <v>13.13</v>
      </c>
      <c r="M325" s="411">
        <v>2.62</v>
      </c>
      <c r="N325" s="450">
        <v>15.75</v>
      </c>
      <c r="O325" s="408"/>
      <c r="P325" s="412"/>
      <c r="Q325" s="411">
        <v>15.75</v>
      </c>
      <c r="R325" s="408"/>
      <c r="S325" s="411">
        <v>0</v>
      </c>
      <c r="T325" s="411">
        <v>0</v>
      </c>
      <c r="U325" s="411">
        <v>0</v>
      </c>
      <c r="V325" s="411">
        <v>0</v>
      </c>
      <c r="W325" s="408"/>
      <c r="X325" s="408" t="s">
        <v>225</v>
      </c>
      <c r="Y325" s="408" t="s">
        <v>226</v>
      </c>
      <c r="Z325" s="408" t="s">
        <v>53</v>
      </c>
      <c r="AA325" s="408" t="s">
        <v>228</v>
      </c>
      <c r="AB325" s="408" t="s">
        <v>239</v>
      </c>
      <c r="AC325" s="408" t="s">
        <v>457</v>
      </c>
      <c r="AD325" s="408" t="s">
        <v>231</v>
      </c>
      <c r="AE325" s="408" t="s">
        <v>232</v>
      </c>
      <c r="AF325" s="408" t="s">
        <v>231</v>
      </c>
      <c r="AG325" s="408" t="s">
        <v>232</v>
      </c>
      <c r="AH325" s="408"/>
      <c r="AI325" s="408"/>
      <c r="AJ325" s="408" t="s">
        <v>1143</v>
      </c>
      <c r="AK325" s="408"/>
      <c r="AL325" s="409">
        <v>0</v>
      </c>
      <c r="AM325" s="409">
        <v>0</v>
      </c>
      <c r="AN325" s="410"/>
      <c r="AO325" s="410">
        <v>46072</v>
      </c>
      <c r="AP325" s="411">
        <v>0</v>
      </c>
      <c r="AQ325" s="410">
        <v>46071</v>
      </c>
    </row>
    <row r="326" spans="1:43" s="14" customFormat="1" ht="22.5" customHeight="1" x14ac:dyDescent="0.2">
      <c r="A326" s="408" t="s">
        <v>1085</v>
      </c>
      <c r="B326" s="408" t="s">
        <v>483</v>
      </c>
      <c r="C326" s="408" t="s">
        <v>221</v>
      </c>
      <c r="D326" s="408" t="s">
        <v>222</v>
      </c>
      <c r="E326" s="409">
        <v>423387</v>
      </c>
      <c r="F326" s="409">
        <v>3678</v>
      </c>
      <c r="G326" s="409">
        <v>483</v>
      </c>
      <c r="H326" s="409">
        <v>0</v>
      </c>
      <c r="I326" s="410">
        <v>46022</v>
      </c>
      <c r="J326" s="408" t="s">
        <v>223</v>
      </c>
      <c r="K326" s="408" t="s">
        <v>1144</v>
      </c>
      <c r="L326" s="411">
        <v>25</v>
      </c>
      <c r="M326" s="411">
        <v>5</v>
      </c>
      <c r="N326" s="450">
        <v>30</v>
      </c>
      <c r="O326" s="408"/>
      <c r="P326" s="412"/>
      <c r="Q326" s="411">
        <v>30</v>
      </c>
      <c r="R326" s="408"/>
      <c r="S326" s="411">
        <v>0</v>
      </c>
      <c r="T326" s="411">
        <v>0</v>
      </c>
      <c r="U326" s="411">
        <v>0</v>
      </c>
      <c r="V326" s="411">
        <v>0</v>
      </c>
      <c r="W326" s="408"/>
      <c r="X326" s="408" t="s">
        <v>225</v>
      </c>
      <c r="Y326" s="408" t="s">
        <v>226</v>
      </c>
      <c r="Z326" s="408" t="s">
        <v>53</v>
      </c>
      <c r="AA326" s="408" t="s">
        <v>228</v>
      </c>
      <c r="AB326" s="408" t="s">
        <v>239</v>
      </c>
      <c r="AC326" s="408" t="s">
        <v>240</v>
      </c>
      <c r="AD326" s="408" t="s">
        <v>231</v>
      </c>
      <c r="AE326" s="408" t="s">
        <v>232</v>
      </c>
      <c r="AF326" s="408" t="s">
        <v>231</v>
      </c>
      <c r="AG326" s="408" t="s">
        <v>232</v>
      </c>
      <c r="AH326" s="408"/>
      <c r="AI326" s="408"/>
      <c r="AJ326" s="408" t="s">
        <v>1145</v>
      </c>
      <c r="AK326" s="408"/>
      <c r="AL326" s="409">
        <v>0</v>
      </c>
      <c r="AM326" s="409">
        <v>0</v>
      </c>
      <c r="AN326" s="410"/>
      <c r="AO326" s="410">
        <v>46072</v>
      </c>
      <c r="AP326" s="411">
        <v>0</v>
      </c>
      <c r="AQ326" s="410">
        <v>46071</v>
      </c>
    </row>
    <row r="327" spans="1:43" s="14" customFormat="1" ht="22.5" customHeight="1" x14ac:dyDescent="0.2">
      <c r="A327" s="408" t="s">
        <v>1085</v>
      </c>
      <c r="B327" s="408" t="s">
        <v>483</v>
      </c>
      <c r="C327" s="408" t="s">
        <v>221</v>
      </c>
      <c r="D327" s="408" t="s">
        <v>222</v>
      </c>
      <c r="E327" s="409">
        <v>423390</v>
      </c>
      <c r="F327" s="409">
        <v>3679</v>
      </c>
      <c r="G327" s="409">
        <v>483</v>
      </c>
      <c r="H327" s="409">
        <v>0</v>
      </c>
      <c r="I327" s="410">
        <v>46022</v>
      </c>
      <c r="J327" s="408" t="s">
        <v>223</v>
      </c>
      <c r="K327" s="408" t="s">
        <v>1146</v>
      </c>
      <c r="L327" s="411">
        <v>25</v>
      </c>
      <c r="M327" s="411">
        <v>5</v>
      </c>
      <c r="N327" s="450">
        <v>30</v>
      </c>
      <c r="O327" s="408"/>
      <c r="P327" s="412"/>
      <c r="Q327" s="411">
        <v>30</v>
      </c>
      <c r="R327" s="408"/>
      <c r="S327" s="411">
        <v>0</v>
      </c>
      <c r="T327" s="411">
        <v>0</v>
      </c>
      <c r="U327" s="411">
        <v>0</v>
      </c>
      <c r="V327" s="411">
        <v>0</v>
      </c>
      <c r="W327" s="408"/>
      <c r="X327" s="408" t="s">
        <v>225</v>
      </c>
      <c r="Y327" s="408" t="s">
        <v>226</v>
      </c>
      <c r="Z327" s="408" t="s">
        <v>53</v>
      </c>
      <c r="AA327" s="408" t="s">
        <v>228</v>
      </c>
      <c r="AB327" s="408" t="s">
        <v>239</v>
      </c>
      <c r="AC327" s="408" t="s">
        <v>240</v>
      </c>
      <c r="AD327" s="408" t="s">
        <v>231</v>
      </c>
      <c r="AE327" s="408" t="s">
        <v>232</v>
      </c>
      <c r="AF327" s="408" t="s">
        <v>231</v>
      </c>
      <c r="AG327" s="408" t="s">
        <v>232</v>
      </c>
      <c r="AH327" s="408"/>
      <c r="AI327" s="408"/>
      <c r="AJ327" s="408" t="s">
        <v>1147</v>
      </c>
      <c r="AK327" s="408"/>
      <c r="AL327" s="409">
        <v>0</v>
      </c>
      <c r="AM327" s="409">
        <v>0</v>
      </c>
      <c r="AN327" s="410"/>
      <c r="AO327" s="410">
        <v>46072</v>
      </c>
      <c r="AP327" s="411">
        <v>0</v>
      </c>
      <c r="AQ327" s="410">
        <v>46071</v>
      </c>
    </row>
    <row r="328" spans="1:43" s="14" customFormat="1" ht="22.5" customHeight="1" x14ac:dyDescent="0.2">
      <c r="A328" s="408" t="s">
        <v>1085</v>
      </c>
      <c r="B328" s="408" t="s">
        <v>483</v>
      </c>
      <c r="C328" s="408" t="s">
        <v>221</v>
      </c>
      <c r="D328" s="408" t="s">
        <v>222</v>
      </c>
      <c r="E328" s="409">
        <v>423393</v>
      </c>
      <c r="F328" s="409">
        <v>3680</v>
      </c>
      <c r="G328" s="409">
        <v>483</v>
      </c>
      <c r="H328" s="409">
        <v>0</v>
      </c>
      <c r="I328" s="410">
        <v>46022</v>
      </c>
      <c r="J328" s="408" t="s">
        <v>223</v>
      </c>
      <c r="K328" s="408" t="s">
        <v>1148</v>
      </c>
      <c r="L328" s="411">
        <v>125</v>
      </c>
      <c r="M328" s="411">
        <v>25</v>
      </c>
      <c r="N328" s="450">
        <v>150</v>
      </c>
      <c r="O328" s="408"/>
      <c r="P328" s="412"/>
      <c r="Q328" s="411">
        <v>150</v>
      </c>
      <c r="R328" s="408"/>
      <c r="S328" s="411">
        <v>0</v>
      </c>
      <c r="T328" s="411">
        <v>0</v>
      </c>
      <c r="U328" s="411">
        <v>0</v>
      </c>
      <c r="V328" s="411">
        <v>0</v>
      </c>
      <c r="W328" s="408"/>
      <c r="X328" s="408" t="s">
        <v>225</v>
      </c>
      <c r="Y328" s="408" t="s">
        <v>226</v>
      </c>
      <c r="Z328" s="408" t="s">
        <v>53</v>
      </c>
      <c r="AA328" s="408" t="s">
        <v>228</v>
      </c>
      <c r="AB328" s="408" t="s">
        <v>239</v>
      </c>
      <c r="AC328" s="408" t="s">
        <v>240</v>
      </c>
      <c r="AD328" s="408" t="s">
        <v>231</v>
      </c>
      <c r="AE328" s="408" t="s">
        <v>232</v>
      </c>
      <c r="AF328" s="408" t="s">
        <v>231</v>
      </c>
      <c r="AG328" s="408" t="s">
        <v>232</v>
      </c>
      <c r="AH328" s="408"/>
      <c r="AI328" s="408"/>
      <c r="AJ328" s="408" t="s">
        <v>1149</v>
      </c>
      <c r="AK328" s="408"/>
      <c r="AL328" s="409">
        <v>0</v>
      </c>
      <c r="AM328" s="409">
        <v>0</v>
      </c>
      <c r="AN328" s="410"/>
      <c r="AO328" s="410">
        <v>46072</v>
      </c>
      <c r="AP328" s="411">
        <v>0</v>
      </c>
      <c r="AQ328" s="410">
        <v>46071</v>
      </c>
    </row>
    <row r="329" spans="1:43" s="14" customFormat="1" ht="22.5" customHeight="1" x14ac:dyDescent="0.2">
      <c r="A329" s="408" t="s">
        <v>1085</v>
      </c>
      <c r="B329" s="408" t="s">
        <v>483</v>
      </c>
      <c r="C329" s="408" t="s">
        <v>221</v>
      </c>
      <c r="D329" s="408" t="s">
        <v>222</v>
      </c>
      <c r="E329" s="409">
        <v>423396</v>
      </c>
      <c r="F329" s="409">
        <v>3681</v>
      </c>
      <c r="G329" s="409">
        <v>483</v>
      </c>
      <c r="H329" s="409">
        <v>0</v>
      </c>
      <c r="I329" s="410">
        <v>46022</v>
      </c>
      <c r="J329" s="408" t="s">
        <v>223</v>
      </c>
      <c r="K329" s="408" t="s">
        <v>1150</v>
      </c>
      <c r="L329" s="411">
        <v>83.33</v>
      </c>
      <c r="M329" s="411">
        <v>16.670000000000002</v>
      </c>
      <c r="N329" s="450">
        <v>100</v>
      </c>
      <c r="O329" s="408"/>
      <c r="P329" s="412"/>
      <c r="Q329" s="411">
        <v>100</v>
      </c>
      <c r="R329" s="408"/>
      <c r="S329" s="411">
        <v>0</v>
      </c>
      <c r="T329" s="411">
        <v>0</v>
      </c>
      <c r="U329" s="411">
        <v>0</v>
      </c>
      <c r="V329" s="411">
        <v>0</v>
      </c>
      <c r="W329" s="408"/>
      <c r="X329" s="408" t="s">
        <v>225</v>
      </c>
      <c r="Y329" s="408" t="s">
        <v>226</v>
      </c>
      <c r="Z329" s="408" t="s">
        <v>53</v>
      </c>
      <c r="AA329" s="408" t="s">
        <v>228</v>
      </c>
      <c r="AB329" s="408" t="s">
        <v>239</v>
      </c>
      <c r="AC329" s="408" t="s">
        <v>240</v>
      </c>
      <c r="AD329" s="408" t="s">
        <v>231</v>
      </c>
      <c r="AE329" s="408" t="s">
        <v>232</v>
      </c>
      <c r="AF329" s="408" t="s">
        <v>231</v>
      </c>
      <c r="AG329" s="408" t="s">
        <v>232</v>
      </c>
      <c r="AH329" s="408"/>
      <c r="AI329" s="408"/>
      <c r="AJ329" s="408" t="s">
        <v>1151</v>
      </c>
      <c r="AK329" s="408"/>
      <c r="AL329" s="409">
        <v>0</v>
      </c>
      <c r="AM329" s="409">
        <v>0</v>
      </c>
      <c r="AN329" s="410"/>
      <c r="AO329" s="410">
        <v>46072</v>
      </c>
      <c r="AP329" s="411">
        <v>0</v>
      </c>
      <c r="AQ329" s="410">
        <v>46071</v>
      </c>
    </row>
    <row r="330" spans="1:43" s="14" customFormat="1" ht="22.5" customHeight="1" x14ac:dyDescent="0.2">
      <c r="A330" s="408" t="s">
        <v>1085</v>
      </c>
      <c r="B330" s="408" t="s">
        <v>483</v>
      </c>
      <c r="C330" s="408" t="s">
        <v>221</v>
      </c>
      <c r="D330" s="408" t="s">
        <v>222</v>
      </c>
      <c r="E330" s="409">
        <v>423399</v>
      </c>
      <c r="F330" s="409">
        <v>3682</v>
      </c>
      <c r="G330" s="409">
        <v>483</v>
      </c>
      <c r="H330" s="409">
        <v>0</v>
      </c>
      <c r="I330" s="410">
        <v>46022</v>
      </c>
      <c r="J330" s="408" t="s">
        <v>223</v>
      </c>
      <c r="K330" s="408" t="s">
        <v>1152</v>
      </c>
      <c r="L330" s="411">
        <v>83.33</v>
      </c>
      <c r="M330" s="411">
        <v>16.670000000000002</v>
      </c>
      <c r="N330" s="450">
        <v>100</v>
      </c>
      <c r="O330" s="408"/>
      <c r="P330" s="412"/>
      <c r="Q330" s="411">
        <v>100</v>
      </c>
      <c r="R330" s="408"/>
      <c r="S330" s="411">
        <v>0</v>
      </c>
      <c r="T330" s="411">
        <v>0</v>
      </c>
      <c r="U330" s="411">
        <v>0</v>
      </c>
      <c r="V330" s="411">
        <v>0</v>
      </c>
      <c r="W330" s="408"/>
      <c r="X330" s="408" t="s">
        <v>225</v>
      </c>
      <c r="Y330" s="408" t="s">
        <v>226</v>
      </c>
      <c r="Z330" s="408" t="s">
        <v>53</v>
      </c>
      <c r="AA330" s="408" t="s">
        <v>228</v>
      </c>
      <c r="AB330" s="408" t="s">
        <v>239</v>
      </c>
      <c r="AC330" s="408" t="s">
        <v>240</v>
      </c>
      <c r="AD330" s="408" t="s">
        <v>231</v>
      </c>
      <c r="AE330" s="408" t="s">
        <v>232</v>
      </c>
      <c r="AF330" s="408" t="s">
        <v>231</v>
      </c>
      <c r="AG330" s="408" t="s">
        <v>232</v>
      </c>
      <c r="AH330" s="408"/>
      <c r="AI330" s="408"/>
      <c r="AJ330" s="408" t="s">
        <v>1153</v>
      </c>
      <c r="AK330" s="408"/>
      <c r="AL330" s="409">
        <v>0</v>
      </c>
      <c r="AM330" s="409">
        <v>0</v>
      </c>
      <c r="AN330" s="410"/>
      <c r="AO330" s="410">
        <v>46072</v>
      </c>
      <c r="AP330" s="411">
        <v>0</v>
      </c>
      <c r="AQ330" s="410">
        <v>46071</v>
      </c>
    </row>
    <row r="331" spans="1:43" s="14" customFormat="1" ht="22.5" customHeight="1" x14ac:dyDescent="0.2">
      <c r="A331" s="408" t="s">
        <v>1085</v>
      </c>
      <c r="B331" s="408" t="s">
        <v>483</v>
      </c>
      <c r="C331" s="408" t="s">
        <v>221</v>
      </c>
      <c r="D331" s="408" t="s">
        <v>222</v>
      </c>
      <c r="E331" s="409">
        <v>423402</v>
      </c>
      <c r="F331" s="409">
        <v>3683</v>
      </c>
      <c r="G331" s="409">
        <v>483</v>
      </c>
      <c r="H331" s="409">
        <v>0</v>
      </c>
      <c r="I331" s="410">
        <v>46022</v>
      </c>
      <c r="J331" s="408" t="s">
        <v>223</v>
      </c>
      <c r="K331" s="408" t="s">
        <v>1154</v>
      </c>
      <c r="L331" s="411">
        <v>41.67</v>
      </c>
      <c r="M331" s="411">
        <v>8.33</v>
      </c>
      <c r="N331" s="450">
        <v>50</v>
      </c>
      <c r="O331" s="408"/>
      <c r="P331" s="412"/>
      <c r="Q331" s="411">
        <v>50</v>
      </c>
      <c r="R331" s="408"/>
      <c r="S331" s="411">
        <v>0</v>
      </c>
      <c r="T331" s="411">
        <v>0</v>
      </c>
      <c r="U331" s="411">
        <v>0</v>
      </c>
      <c r="V331" s="411">
        <v>0</v>
      </c>
      <c r="W331" s="408"/>
      <c r="X331" s="408" t="s">
        <v>225</v>
      </c>
      <c r="Y331" s="408" t="s">
        <v>226</v>
      </c>
      <c r="Z331" s="408" t="s">
        <v>53</v>
      </c>
      <c r="AA331" s="408" t="s">
        <v>228</v>
      </c>
      <c r="AB331" s="408" t="s">
        <v>239</v>
      </c>
      <c r="AC331" s="408" t="s">
        <v>240</v>
      </c>
      <c r="AD331" s="408" t="s">
        <v>231</v>
      </c>
      <c r="AE331" s="408" t="s">
        <v>232</v>
      </c>
      <c r="AF331" s="408" t="s">
        <v>231</v>
      </c>
      <c r="AG331" s="408" t="s">
        <v>232</v>
      </c>
      <c r="AH331" s="408"/>
      <c r="AI331" s="408"/>
      <c r="AJ331" s="408" t="s">
        <v>1155</v>
      </c>
      <c r="AK331" s="408"/>
      <c r="AL331" s="409">
        <v>0</v>
      </c>
      <c r="AM331" s="409">
        <v>0</v>
      </c>
      <c r="AN331" s="410"/>
      <c r="AO331" s="410">
        <v>46072</v>
      </c>
      <c r="AP331" s="411">
        <v>0</v>
      </c>
      <c r="AQ331" s="410">
        <v>46071</v>
      </c>
    </row>
    <row r="332" spans="1:43" s="14" customFormat="1" ht="22.5" customHeight="1" x14ac:dyDescent="0.2">
      <c r="A332" s="408" t="s">
        <v>1085</v>
      </c>
      <c r="B332" s="408" t="s">
        <v>483</v>
      </c>
      <c r="C332" s="408" t="s">
        <v>221</v>
      </c>
      <c r="D332" s="408" t="s">
        <v>222</v>
      </c>
      <c r="E332" s="409">
        <v>423405</v>
      </c>
      <c r="F332" s="409">
        <v>3684</v>
      </c>
      <c r="G332" s="409">
        <v>483</v>
      </c>
      <c r="H332" s="409">
        <v>0</v>
      </c>
      <c r="I332" s="410">
        <v>46022</v>
      </c>
      <c r="J332" s="408" t="s">
        <v>223</v>
      </c>
      <c r="K332" s="408" t="s">
        <v>1154</v>
      </c>
      <c r="L332" s="411">
        <v>41.67</v>
      </c>
      <c r="M332" s="411">
        <v>8.33</v>
      </c>
      <c r="N332" s="450">
        <v>50</v>
      </c>
      <c r="O332" s="408"/>
      <c r="P332" s="412"/>
      <c r="Q332" s="411">
        <v>50</v>
      </c>
      <c r="R332" s="408"/>
      <c r="S332" s="411">
        <v>0</v>
      </c>
      <c r="T332" s="411">
        <v>0</v>
      </c>
      <c r="U332" s="411">
        <v>0</v>
      </c>
      <c r="V332" s="411">
        <v>0</v>
      </c>
      <c r="W332" s="408"/>
      <c r="X332" s="408" t="s">
        <v>225</v>
      </c>
      <c r="Y332" s="408" t="s">
        <v>226</v>
      </c>
      <c r="Z332" s="408" t="s">
        <v>53</v>
      </c>
      <c r="AA332" s="408" t="s">
        <v>228</v>
      </c>
      <c r="AB332" s="408" t="s">
        <v>239</v>
      </c>
      <c r="AC332" s="408" t="s">
        <v>240</v>
      </c>
      <c r="AD332" s="408" t="s">
        <v>231</v>
      </c>
      <c r="AE332" s="408" t="s">
        <v>232</v>
      </c>
      <c r="AF332" s="408" t="s">
        <v>231</v>
      </c>
      <c r="AG332" s="408" t="s">
        <v>232</v>
      </c>
      <c r="AH332" s="408"/>
      <c r="AI332" s="408"/>
      <c r="AJ332" s="408" t="s">
        <v>1155</v>
      </c>
      <c r="AK332" s="408"/>
      <c r="AL332" s="409">
        <v>0</v>
      </c>
      <c r="AM332" s="409">
        <v>0</v>
      </c>
      <c r="AN332" s="410"/>
      <c r="AO332" s="410">
        <v>46072</v>
      </c>
      <c r="AP332" s="411">
        <v>0</v>
      </c>
      <c r="AQ332" s="410">
        <v>46071</v>
      </c>
    </row>
    <row r="333" spans="1:43" s="14" customFormat="1" ht="22.5" customHeight="1" x14ac:dyDescent="0.2">
      <c r="A333" s="408" t="s">
        <v>1085</v>
      </c>
      <c r="B333" s="408" t="s">
        <v>483</v>
      </c>
      <c r="C333" s="408" t="s">
        <v>221</v>
      </c>
      <c r="D333" s="408" t="s">
        <v>222</v>
      </c>
      <c r="E333" s="409">
        <v>423408</v>
      </c>
      <c r="F333" s="409">
        <v>3685</v>
      </c>
      <c r="G333" s="409">
        <v>483</v>
      </c>
      <c r="H333" s="409">
        <v>0</v>
      </c>
      <c r="I333" s="410">
        <v>46022</v>
      </c>
      <c r="J333" s="408" t="s">
        <v>223</v>
      </c>
      <c r="K333" s="408" t="s">
        <v>1156</v>
      </c>
      <c r="L333" s="411">
        <v>124.45</v>
      </c>
      <c r="M333" s="411">
        <v>24.89</v>
      </c>
      <c r="N333" s="450">
        <v>149.34</v>
      </c>
      <c r="O333" s="408"/>
      <c r="P333" s="412"/>
      <c r="Q333" s="411">
        <v>149.34</v>
      </c>
      <c r="R333" s="408"/>
      <c r="S333" s="411">
        <v>0</v>
      </c>
      <c r="T333" s="411">
        <v>0</v>
      </c>
      <c r="U333" s="411">
        <v>0</v>
      </c>
      <c r="V333" s="411">
        <v>0</v>
      </c>
      <c r="W333" s="408"/>
      <c r="X333" s="408" t="s">
        <v>225</v>
      </c>
      <c r="Y333" s="408" t="s">
        <v>226</v>
      </c>
      <c r="Z333" s="408" t="s">
        <v>53</v>
      </c>
      <c r="AA333" s="408" t="s">
        <v>228</v>
      </c>
      <c r="AB333" s="408" t="s">
        <v>239</v>
      </c>
      <c r="AC333" s="408" t="s">
        <v>240</v>
      </c>
      <c r="AD333" s="408" t="s">
        <v>231</v>
      </c>
      <c r="AE333" s="408" t="s">
        <v>232</v>
      </c>
      <c r="AF333" s="408" t="s">
        <v>231</v>
      </c>
      <c r="AG333" s="408" t="s">
        <v>232</v>
      </c>
      <c r="AH333" s="408"/>
      <c r="AI333" s="408"/>
      <c r="AJ333" s="408" t="s">
        <v>1157</v>
      </c>
      <c r="AK333" s="408"/>
      <c r="AL333" s="409">
        <v>0</v>
      </c>
      <c r="AM333" s="409">
        <v>0</v>
      </c>
      <c r="AN333" s="410"/>
      <c r="AO333" s="410">
        <v>46072</v>
      </c>
      <c r="AP333" s="411">
        <v>0</v>
      </c>
      <c r="AQ333" s="410">
        <v>46071</v>
      </c>
    </row>
    <row r="334" spans="1:43" s="14" customFormat="1" ht="22.5" customHeight="1" x14ac:dyDescent="0.2">
      <c r="A334" s="408" t="s">
        <v>1085</v>
      </c>
      <c r="B334" s="408" t="s">
        <v>483</v>
      </c>
      <c r="C334" s="408" t="s">
        <v>221</v>
      </c>
      <c r="D334" s="408" t="s">
        <v>222</v>
      </c>
      <c r="E334" s="409">
        <v>423432</v>
      </c>
      <c r="F334" s="409">
        <v>3686</v>
      </c>
      <c r="G334" s="409">
        <v>483</v>
      </c>
      <c r="H334" s="409">
        <v>0</v>
      </c>
      <c r="I334" s="410">
        <v>46022</v>
      </c>
      <c r="J334" s="408" t="s">
        <v>223</v>
      </c>
      <c r="K334" s="408" t="s">
        <v>1158</v>
      </c>
      <c r="L334" s="411">
        <v>41.67</v>
      </c>
      <c r="M334" s="411">
        <v>8.33</v>
      </c>
      <c r="N334" s="450">
        <v>50</v>
      </c>
      <c r="O334" s="408"/>
      <c r="P334" s="412"/>
      <c r="Q334" s="411">
        <v>50</v>
      </c>
      <c r="R334" s="408"/>
      <c r="S334" s="411">
        <v>0</v>
      </c>
      <c r="T334" s="411">
        <v>0</v>
      </c>
      <c r="U334" s="411">
        <v>0</v>
      </c>
      <c r="V334" s="411">
        <v>0</v>
      </c>
      <c r="W334" s="408"/>
      <c r="X334" s="408" t="s">
        <v>225</v>
      </c>
      <c r="Y334" s="408" t="s">
        <v>226</v>
      </c>
      <c r="Z334" s="408" t="s">
        <v>53</v>
      </c>
      <c r="AA334" s="408" t="s">
        <v>228</v>
      </c>
      <c r="AB334" s="408" t="s">
        <v>239</v>
      </c>
      <c r="AC334" s="408" t="s">
        <v>240</v>
      </c>
      <c r="AD334" s="408" t="s">
        <v>231</v>
      </c>
      <c r="AE334" s="408" t="s">
        <v>232</v>
      </c>
      <c r="AF334" s="408" t="s">
        <v>231</v>
      </c>
      <c r="AG334" s="408" t="s">
        <v>232</v>
      </c>
      <c r="AH334" s="408"/>
      <c r="AI334" s="408"/>
      <c r="AJ334" s="408" t="s">
        <v>1159</v>
      </c>
      <c r="AK334" s="408"/>
      <c r="AL334" s="409">
        <v>0</v>
      </c>
      <c r="AM334" s="409">
        <v>0</v>
      </c>
      <c r="AN334" s="410"/>
      <c r="AO334" s="410">
        <v>46072</v>
      </c>
      <c r="AP334" s="411">
        <v>0</v>
      </c>
      <c r="AQ334" s="410">
        <v>46071</v>
      </c>
    </row>
    <row r="335" spans="1:43" s="14" customFormat="1" ht="22.5" customHeight="1" x14ac:dyDescent="0.2">
      <c r="A335" s="408" t="s">
        <v>1085</v>
      </c>
      <c r="B335" s="408" t="s">
        <v>483</v>
      </c>
      <c r="C335" s="408" t="s">
        <v>221</v>
      </c>
      <c r="D335" s="408" t="s">
        <v>222</v>
      </c>
      <c r="E335" s="409">
        <v>423435</v>
      </c>
      <c r="F335" s="409">
        <v>3687</v>
      </c>
      <c r="G335" s="409">
        <v>483</v>
      </c>
      <c r="H335" s="409">
        <v>0</v>
      </c>
      <c r="I335" s="410">
        <v>46022</v>
      </c>
      <c r="J335" s="408" t="s">
        <v>223</v>
      </c>
      <c r="K335" s="408" t="s">
        <v>1160</v>
      </c>
      <c r="L335" s="411">
        <v>25</v>
      </c>
      <c r="M335" s="411">
        <v>5</v>
      </c>
      <c r="N335" s="450">
        <v>30</v>
      </c>
      <c r="O335" s="408"/>
      <c r="P335" s="412"/>
      <c r="Q335" s="411">
        <v>30</v>
      </c>
      <c r="R335" s="408"/>
      <c r="S335" s="411">
        <v>0</v>
      </c>
      <c r="T335" s="411">
        <v>0</v>
      </c>
      <c r="U335" s="411">
        <v>0</v>
      </c>
      <c r="V335" s="411">
        <v>0</v>
      </c>
      <c r="W335" s="408"/>
      <c r="X335" s="408" t="s">
        <v>225</v>
      </c>
      <c r="Y335" s="408" t="s">
        <v>226</v>
      </c>
      <c r="Z335" s="408" t="s">
        <v>53</v>
      </c>
      <c r="AA335" s="408" t="s">
        <v>228</v>
      </c>
      <c r="AB335" s="408" t="s">
        <v>239</v>
      </c>
      <c r="AC335" s="408" t="s">
        <v>240</v>
      </c>
      <c r="AD335" s="408" t="s">
        <v>231</v>
      </c>
      <c r="AE335" s="408" t="s">
        <v>232</v>
      </c>
      <c r="AF335" s="408" t="s">
        <v>231</v>
      </c>
      <c r="AG335" s="408" t="s">
        <v>232</v>
      </c>
      <c r="AH335" s="408"/>
      <c r="AI335" s="408"/>
      <c r="AJ335" s="408" t="s">
        <v>1161</v>
      </c>
      <c r="AK335" s="408"/>
      <c r="AL335" s="409">
        <v>0</v>
      </c>
      <c r="AM335" s="409">
        <v>0</v>
      </c>
      <c r="AN335" s="410"/>
      <c r="AO335" s="410">
        <v>46072</v>
      </c>
      <c r="AP335" s="411">
        <v>0</v>
      </c>
      <c r="AQ335" s="410">
        <v>46071</v>
      </c>
    </row>
    <row r="336" spans="1:43" s="14" customFormat="1" ht="22.5" customHeight="1" x14ac:dyDescent="0.2">
      <c r="A336" s="408" t="s">
        <v>1085</v>
      </c>
      <c r="B336" s="408" t="s">
        <v>483</v>
      </c>
      <c r="C336" s="408" t="s">
        <v>221</v>
      </c>
      <c r="D336" s="408" t="s">
        <v>222</v>
      </c>
      <c r="E336" s="409">
        <v>423438</v>
      </c>
      <c r="F336" s="409">
        <v>3688</v>
      </c>
      <c r="G336" s="409">
        <v>483</v>
      </c>
      <c r="H336" s="409">
        <v>0</v>
      </c>
      <c r="I336" s="410">
        <v>46022</v>
      </c>
      <c r="J336" s="408" t="s">
        <v>223</v>
      </c>
      <c r="K336" s="408" t="s">
        <v>1162</v>
      </c>
      <c r="L336" s="411">
        <v>41.67</v>
      </c>
      <c r="M336" s="411">
        <v>8.33</v>
      </c>
      <c r="N336" s="450">
        <v>50</v>
      </c>
      <c r="O336" s="408"/>
      <c r="P336" s="412"/>
      <c r="Q336" s="411">
        <v>50</v>
      </c>
      <c r="R336" s="408"/>
      <c r="S336" s="411">
        <v>0</v>
      </c>
      <c r="T336" s="411">
        <v>0</v>
      </c>
      <c r="U336" s="411">
        <v>0</v>
      </c>
      <c r="V336" s="411">
        <v>0</v>
      </c>
      <c r="W336" s="408"/>
      <c r="X336" s="408" t="s">
        <v>225</v>
      </c>
      <c r="Y336" s="408" t="s">
        <v>226</v>
      </c>
      <c r="Z336" s="408" t="s">
        <v>53</v>
      </c>
      <c r="AA336" s="408" t="s">
        <v>228</v>
      </c>
      <c r="AB336" s="408" t="s">
        <v>239</v>
      </c>
      <c r="AC336" s="408" t="s">
        <v>240</v>
      </c>
      <c r="AD336" s="408" t="s">
        <v>231</v>
      </c>
      <c r="AE336" s="408" t="s">
        <v>232</v>
      </c>
      <c r="AF336" s="408" t="s">
        <v>231</v>
      </c>
      <c r="AG336" s="408" t="s">
        <v>232</v>
      </c>
      <c r="AH336" s="408"/>
      <c r="AI336" s="408"/>
      <c r="AJ336" s="408" t="s">
        <v>1163</v>
      </c>
      <c r="AK336" s="408"/>
      <c r="AL336" s="409">
        <v>0</v>
      </c>
      <c r="AM336" s="409">
        <v>0</v>
      </c>
      <c r="AN336" s="410"/>
      <c r="AO336" s="410">
        <v>46072</v>
      </c>
      <c r="AP336" s="411">
        <v>0</v>
      </c>
      <c r="AQ336" s="410">
        <v>46071</v>
      </c>
    </row>
    <row r="337" spans="1:43" ht="22.5" customHeight="1" x14ac:dyDescent="0.2">
      <c r="A337" s="423" t="s">
        <v>1085</v>
      </c>
      <c r="B337" s="423" t="s">
        <v>483</v>
      </c>
      <c r="C337" s="423" t="s">
        <v>221</v>
      </c>
      <c r="D337" s="423" t="s">
        <v>222</v>
      </c>
      <c r="E337" s="424">
        <v>423453</v>
      </c>
      <c r="F337" s="424">
        <v>3689</v>
      </c>
      <c r="G337" s="424">
        <v>483</v>
      </c>
      <c r="H337" s="424">
        <v>0</v>
      </c>
      <c r="I337" s="425">
        <v>46022</v>
      </c>
      <c r="J337" s="423" t="s">
        <v>223</v>
      </c>
      <c r="K337" s="423" t="s">
        <v>1164</v>
      </c>
      <c r="L337" s="426">
        <v>25</v>
      </c>
      <c r="M337" s="426">
        <v>5</v>
      </c>
      <c r="N337" s="451">
        <v>30</v>
      </c>
      <c r="O337" s="423"/>
      <c r="P337" s="427"/>
      <c r="Q337" s="426">
        <v>30</v>
      </c>
      <c r="R337" s="423"/>
      <c r="S337" s="426">
        <v>0</v>
      </c>
      <c r="T337" s="426">
        <v>0</v>
      </c>
      <c r="U337" s="426">
        <v>0</v>
      </c>
      <c r="V337" s="426">
        <v>0</v>
      </c>
      <c r="W337" s="423"/>
      <c r="X337" s="423" t="s">
        <v>225</v>
      </c>
      <c r="Y337" s="423" t="s">
        <v>226</v>
      </c>
      <c r="Z337" s="423" t="s">
        <v>53</v>
      </c>
      <c r="AA337" s="423" t="s">
        <v>228</v>
      </c>
      <c r="AB337" s="423" t="s">
        <v>239</v>
      </c>
      <c r="AC337" s="423" t="s">
        <v>243</v>
      </c>
      <c r="AD337" s="423" t="s">
        <v>231</v>
      </c>
      <c r="AE337" s="423" t="s">
        <v>232</v>
      </c>
      <c r="AF337" s="423" t="s">
        <v>231</v>
      </c>
      <c r="AG337" s="423" t="s">
        <v>232</v>
      </c>
      <c r="AH337" s="423"/>
      <c r="AI337" s="423"/>
      <c r="AJ337" s="423" t="s">
        <v>1165</v>
      </c>
      <c r="AK337" s="423"/>
      <c r="AL337" s="424">
        <v>0</v>
      </c>
      <c r="AM337" s="424">
        <v>0</v>
      </c>
      <c r="AN337" s="425"/>
      <c r="AO337" s="425">
        <v>46072</v>
      </c>
      <c r="AP337" s="426">
        <v>0</v>
      </c>
      <c r="AQ337" s="425">
        <v>46071</v>
      </c>
    </row>
    <row r="338" spans="1:43" ht="22.5" customHeight="1" x14ac:dyDescent="0.2">
      <c r="A338" s="423" t="s">
        <v>1085</v>
      </c>
      <c r="B338" s="423" t="s">
        <v>483</v>
      </c>
      <c r="C338" s="423" t="s">
        <v>221</v>
      </c>
      <c r="D338" s="423" t="s">
        <v>222</v>
      </c>
      <c r="E338" s="424">
        <v>423456</v>
      </c>
      <c r="F338" s="424">
        <v>3690</v>
      </c>
      <c r="G338" s="424">
        <v>483</v>
      </c>
      <c r="H338" s="424">
        <v>0</v>
      </c>
      <c r="I338" s="425">
        <v>46022</v>
      </c>
      <c r="J338" s="423" t="s">
        <v>223</v>
      </c>
      <c r="K338" s="423" t="s">
        <v>1166</v>
      </c>
      <c r="L338" s="426">
        <v>291.67</v>
      </c>
      <c r="M338" s="426">
        <v>58.33</v>
      </c>
      <c r="N338" s="451">
        <v>350</v>
      </c>
      <c r="O338" s="423"/>
      <c r="P338" s="427"/>
      <c r="Q338" s="426">
        <v>350</v>
      </c>
      <c r="R338" s="423"/>
      <c r="S338" s="426">
        <v>0</v>
      </c>
      <c r="T338" s="426">
        <v>0</v>
      </c>
      <c r="U338" s="426">
        <v>0</v>
      </c>
      <c r="V338" s="426">
        <v>0</v>
      </c>
      <c r="W338" s="423"/>
      <c r="X338" s="423" t="s">
        <v>225</v>
      </c>
      <c r="Y338" s="423" t="s">
        <v>226</v>
      </c>
      <c r="Z338" s="423" t="s">
        <v>53</v>
      </c>
      <c r="AA338" s="423" t="s">
        <v>228</v>
      </c>
      <c r="AB338" s="423" t="s">
        <v>239</v>
      </c>
      <c r="AC338" s="423" t="s">
        <v>243</v>
      </c>
      <c r="AD338" s="423" t="s">
        <v>231</v>
      </c>
      <c r="AE338" s="423" t="s">
        <v>232</v>
      </c>
      <c r="AF338" s="423" t="s">
        <v>231</v>
      </c>
      <c r="AG338" s="423" t="s">
        <v>232</v>
      </c>
      <c r="AH338" s="423"/>
      <c r="AI338" s="423"/>
      <c r="AJ338" s="423" t="s">
        <v>1167</v>
      </c>
      <c r="AK338" s="423"/>
      <c r="AL338" s="424">
        <v>0</v>
      </c>
      <c r="AM338" s="424">
        <v>0</v>
      </c>
      <c r="AN338" s="425"/>
      <c r="AO338" s="425">
        <v>46072</v>
      </c>
      <c r="AP338" s="426">
        <v>0</v>
      </c>
      <c r="AQ338" s="425">
        <v>46071</v>
      </c>
    </row>
    <row r="339" spans="1:43" ht="22.5" customHeight="1" x14ac:dyDescent="0.2">
      <c r="A339" s="423" t="s">
        <v>1085</v>
      </c>
      <c r="B339" s="423" t="s">
        <v>483</v>
      </c>
      <c r="C339" s="423" t="s">
        <v>221</v>
      </c>
      <c r="D339" s="423" t="s">
        <v>222</v>
      </c>
      <c r="E339" s="424">
        <v>423468</v>
      </c>
      <c r="F339" s="424">
        <v>3691</v>
      </c>
      <c r="G339" s="424">
        <v>483</v>
      </c>
      <c r="H339" s="424">
        <v>0</v>
      </c>
      <c r="I339" s="425">
        <v>46022</v>
      </c>
      <c r="J339" s="423" t="s">
        <v>223</v>
      </c>
      <c r="K339" s="423" t="s">
        <v>1168</v>
      </c>
      <c r="L339" s="426">
        <v>208.33</v>
      </c>
      <c r="M339" s="426">
        <v>41.67</v>
      </c>
      <c r="N339" s="451">
        <v>250</v>
      </c>
      <c r="O339" s="423"/>
      <c r="P339" s="427"/>
      <c r="Q339" s="426">
        <v>250</v>
      </c>
      <c r="R339" s="423"/>
      <c r="S339" s="426">
        <v>0</v>
      </c>
      <c r="T339" s="426">
        <v>0</v>
      </c>
      <c r="U339" s="426">
        <v>0</v>
      </c>
      <c r="V339" s="426">
        <v>0</v>
      </c>
      <c r="W339" s="423"/>
      <c r="X339" s="423" t="s">
        <v>225</v>
      </c>
      <c r="Y339" s="423" t="s">
        <v>226</v>
      </c>
      <c r="Z339" s="423" t="s">
        <v>53</v>
      </c>
      <c r="AA339" s="423" t="s">
        <v>228</v>
      </c>
      <c r="AB339" s="423" t="s">
        <v>239</v>
      </c>
      <c r="AC339" s="423" t="s">
        <v>243</v>
      </c>
      <c r="AD339" s="423" t="s">
        <v>231</v>
      </c>
      <c r="AE339" s="423" t="s">
        <v>232</v>
      </c>
      <c r="AF339" s="423" t="s">
        <v>231</v>
      </c>
      <c r="AG339" s="423" t="s">
        <v>232</v>
      </c>
      <c r="AH339" s="423"/>
      <c r="AI339" s="423"/>
      <c r="AJ339" s="423" t="s">
        <v>1169</v>
      </c>
      <c r="AK339" s="423"/>
      <c r="AL339" s="424">
        <v>0</v>
      </c>
      <c r="AM339" s="424">
        <v>0</v>
      </c>
      <c r="AN339" s="425"/>
      <c r="AO339" s="425">
        <v>46072</v>
      </c>
      <c r="AP339" s="426">
        <v>0</v>
      </c>
      <c r="AQ339" s="425">
        <v>46071</v>
      </c>
    </row>
    <row r="340" spans="1:43" s="14" customFormat="1" ht="22.5" customHeight="1" x14ac:dyDescent="0.2">
      <c r="A340" s="408" t="s">
        <v>1085</v>
      </c>
      <c r="B340" s="408" t="s">
        <v>483</v>
      </c>
      <c r="C340" s="408" t="s">
        <v>221</v>
      </c>
      <c r="D340" s="408" t="s">
        <v>222</v>
      </c>
      <c r="E340" s="409">
        <v>423504</v>
      </c>
      <c r="F340" s="409">
        <v>3692</v>
      </c>
      <c r="G340" s="409">
        <v>483</v>
      </c>
      <c r="H340" s="409">
        <v>0</v>
      </c>
      <c r="I340" s="410">
        <v>46022</v>
      </c>
      <c r="J340" s="408" t="s">
        <v>223</v>
      </c>
      <c r="K340" s="408" t="s">
        <v>1170</v>
      </c>
      <c r="L340" s="411">
        <v>703.48</v>
      </c>
      <c r="M340" s="411">
        <v>38.69</v>
      </c>
      <c r="N340" s="450">
        <v>742.17</v>
      </c>
      <c r="O340" s="408"/>
      <c r="P340" s="412"/>
      <c r="Q340" s="411">
        <v>742.17</v>
      </c>
      <c r="R340" s="408"/>
      <c r="S340" s="411">
        <v>0</v>
      </c>
      <c r="T340" s="411">
        <v>0</v>
      </c>
      <c r="U340" s="411">
        <v>0</v>
      </c>
      <c r="V340" s="411">
        <v>0</v>
      </c>
      <c r="W340" s="408"/>
      <c r="X340" s="408" t="s">
        <v>225</v>
      </c>
      <c r="Y340" s="408" t="s">
        <v>226</v>
      </c>
      <c r="Z340" s="408" t="s">
        <v>57</v>
      </c>
      <c r="AA340" s="408" t="s">
        <v>228</v>
      </c>
      <c r="AB340" s="408" t="s">
        <v>58</v>
      </c>
      <c r="AC340" s="408" t="s">
        <v>59</v>
      </c>
      <c r="AD340" s="408" t="s">
        <v>231</v>
      </c>
      <c r="AE340" s="408" t="s">
        <v>232</v>
      </c>
      <c r="AF340" s="408" t="s">
        <v>231</v>
      </c>
      <c r="AG340" s="408" t="s">
        <v>232</v>
      </c>
      <c r="AH340" s="408"/>
      <c r="AI340" s="408"/>
      <c r="AJ340" s="408" t="s">
        <v>1171</v>
      </c>
      <c r="AK340" s="408"/>
      <c r="AL340" s="409">
        <v>0</v>
      </c>
      <c r="AM340" s="409">
        <v>0</v>
      </c>
      <c r="AN340" s="410"/>
      <c r="AO340" s="410">
        <v>46072</v>
      </c>
      <c r="AP340" s="411">
        <v>0</v>
      </c>
      <c r="AQ340" s="410">
        <v>46071</v>
      </c>
    </row>
    <row r="341" spans="1:43" ht="22.5" customHeight="1" x14ac:dyDescent="0.2">
      <c r="A341" s="358" t="s">
        <v>1085</v>
      </c>
      <c r="B341" s="358" t="s">
        <v>483</v>
      </c>
      <c r="C341" s="358" t="s">
        <v>221</v>
      </c>
      <c r="D341" s="358" t="s">
        <v>222</v>
      </c>
      <c r="E341" s="359">
        <v>423534</v>
      </c>
      <c r="F341" s="359">
        <v>3693</v>
      </c>
      <c r="G341" s="359">
        <v>483</v>
      </c>
      <c r="H341" s="359">
        <v>0</v>
      </c>
      <c r="I341" s="360">
        <v>46022</v>
      </c>
      <c r="J341" s="358" t="s">
        <v>223</v>
      </c>
      <c r="K341" s="358" t="s">
        <v>1172</v>
      </c>
      <c r="L341" s="361">
        <v>668.44</v>
      </c>
      <c r="M341" s="361">
        <v>133.69999999999999</v>
      </c>
      <c r="N341" s="448">
        <v>802.14</v>
      </c>
      <c r="O341" s="358"/>
      <c r="P341" s="362"/>
      <c r="Q341" s="361">
        <v>802.14</v>
      </c>
      <c r="R341" s="358"/>
      <c r="S341" s="361">
        <v>0</v>
      </c>
      <c r="T341" s="361">
        <v>0</v>
      </c>
      <c r="U341" s="361">
        <v>0</v>
      </c>
      <c r="V341" s="361">
        <v>0</v>
      </c>
      <c r="W341" s="358"/>
      <c r="X341" s="358" t="s">
        <v>225</v>
      </c>
      <c r="Y341" s="358" t="s">
        <v>226</v>
      </c>
      <c r="Z341" s="358" t="s">
        <v>32</v>
      </c>
      <c r="AA341" s="358" t="s">
        <v>228</v>
      </c>
      <c r="AB341" s="358" t="s">
        <v>34</v>
      </c>
      <c r="AC341" s="358" t="s">
        <v>31</v>
      </c>
      <c r="AD341" s="358" t="s">
        <v>231</v>
      </c>
      <c r="AE341" s="358" t="s">
        <v>232</v>
      </c>
      <c r="AF341" s="358" t="s">
        <v>231</v>
      </c>
      <c r="AG341" s="358" t="s">
        <v>232</v>
      </c>
      <c r="AH341" s="358"/>
      <c r="AI341" s="358"/>
      <c r="AJ341" s="358" t="s">
        <v>1173</v>
      </c>
      <c r="AK341" s="358"/>
      <c r="AL341" s="359">
        <v>0</v>
      </c>
      <c r="AM341" s="359">
        <v>0</v>
      </c>
      <c r="AN341" s="360"/>
      <c r="AO341" s="360">
        <v>46072</v>
      </c>
      <c r="AP341" s="361">
        <v>0</v>
      </c>
      <c r="AQ341" s="360">
        <v>46071</v>
      </c>
    </row>
    <row r="342" spans="1:43" ht="22.5" customHeight="1" x14ac:dyDescent="0.2">
      <c r="A342" s="413" t="s">
        <v>1085</v>
      </c>
      <c r="B342" s="413" t="s">
        <v>483</v>
      </c>
      <c r="C342" s="413" t="s">
        <v>221</v>
      </c>
      <c r="D342" s="413" t="s">
        <v>222</v>
      </c>
      <c r="E342" s="414">
        <v>423537</v>
      </c>
      <c r="F342" s="414">
        <v>3694</v>
      </c>
      <c r="G342" s="414">
        <v>483</v>
      </c>
      <c r="H342" s="414">
        <v>0</v>
      </c>
      <c r="I342" s="415">
        <v>46022</v>
      </c>
      <c r="J342" s="413" t="s">
        <v>223</v>
      </c>
      <c r="K342" s="413" t="s">
        <v>1174</v>
      </c>
      <c r="L342" s="416">
        <v>27.84</v>
      </c>
      <c r="M342" s="416">
        <v>5.58</v>
      </c>
      <c r="N342" s="446">
        <v>33.42</v>
      </c>
      <c r="O342" s="413"/>
      <c r="P342" s="417"/>
      <c r="Q342" s="416">
        <v>33.42</v>
      </c>
      <c r="R342" s="413"/>
      <c r="S342" s="416">
        <v>0</v>
      </c>
      <c r="T342" s="416">
        <v>0</v>
      </c>
      <c r="U342" s="416">
        <v>0</v>
      </c>
      <c r="V342" s="416">
        <v>0</v>
      </c>
      <c r="W342" s="413"/>
      <c r="X342" s="413" t="s">
        <v>225</v>
      </c>
      <c r="Y342" s="413" t="s">
        <v>226</v>
      </c>
      <c r="Z342" s="413" t="s">
        <v>42</v>
      </c>
      <c r="AA342" s="413" t="s">
        <v>228</v>
      </c>
      <c r="AB342" s="413" t="s">
        <v>34</v>
      </c>
      <c r="AC342" s="413" t="s">
        <v>50</v>
      </c>
      <c r="AD342" s="413" t="s">
        <v>231</v>
      </c>
      <c r="AE342" s="413" t="s">
        <v>232</v>
      </c>
      <c r="AF342" s="413" t="s">
        <v>231</v>
      </c>
      <c r="AG342" s="413" t="s">
        <v>232</v>
      </c>
      <c r="AH342" s="413"/>
      <c r="AI342" s="413"/>
      <c r="AJ342" s="413" t="s">
        <v>1175</v>
      </c>
      <c r="AK342" s="413"/>
      <c r="AL342" s="414">
        <v>0</v>
      </c>
      <c r="AM342" s="414">
        <v>0</v>
      </c>
      <c r="AN342" s="415"/>
      <c r="AO342" s="415">
        <v>46072</v>
      </c>
      <c r="AP342" s="416">
        <v>0</v>
      </c>
      <c r="AQ342" s="415">
        <v>46071</v>
      </c>
    </row>
    <row r="343" spans="1:43" ht="22.5" customHeight="1" x14ac:dyDescent="0.2">
      <c r="A343" s="352" t="s">
        <v>1085</v>
      </c>
      <c r="B343" s="352" t="s">
        <v>483</v>
      </c>
      <c r="C343" s="352" t="s">
        <v>221</v>
      </c>
      <c r="D343" s="352" t="s">
        <v>222</v>
      </c>
      <c r="E343" s="353">
        <v>423540</v>
      </c>
      <c r="F343" s="353">
        <v>3695</v>
      </c>
      <c r="G343" s="353">
        <v>483</v>
      </c>
      <c r="H343" s="353">
        <v>0</v>
      </c>
      <c r="I343" s="354">
        <v>46022</v>
      </c>
      <c r="J343" s="352" t="s">
        <v>223</v>
      </c>
      <c r="K343" s="352" t="s">
        <v>1176</v>
      </c>
      <c r="L343" s="355">
        <v>34.79</v>
      </c>
      <c r="M343" s="355">
        <v>6.98</v>
      </c>
      <c r="N343" s="449">
        <v>41.77</v>
      </c>
      <c r="O343" s="352"/>
      <c r="P343" s="356"/>
      <c r="Q343" s="355">
        <v>41.77</v>
      </c>
      <c r="R343" s="352"/>
      <c r="S343" s="355">
        <v>0</v>
      </c>
      <c r="T343" s="355">
        <v>0</v>
      </c>
      <c r="U343" s="355">
        <v>0</v>
      </c>
      <c r="V343" s="355">
        <v>0</v>
      </c>
      <c r="W343" s="352"/>
      <c r="X343" s="352" t="s">
        <v>225</v>
      </c>
      <c r="Y343" s="352" t="s">
        <v>226</v>
      </c>
      <c r="Z343" s="352" t="s">
        <v>42</v>
      </c>
      <c r="AA343" s="352" t="s">
        <v>228</v>
      </c>
      <c r="AB343" s="352" t="s">
        <v>34</v>
      </c>
      <c r="AC343" s="352" t="s">
        <v>43</v>
      </c>
      <c r="AD343" s="352" t="s">
        <v>231</v>
      </c>
      <c r="AE343" s="352" t="s">
        <v>232</v>
      </c>
      <c r="AF343" s="352" t="s">
        <v>231</v>
      </c>
      <c r="AG343" s="352" t="s">
        <v>232</v>
      </c>
      <c r="AH343" s="352"/>
      <c r="AI343" s="352"/>
      <c r="AJ343" s="352" t="s">
        <v>1177</v>
      </c>
      <c r="AK343" s="352"/>
      <c r="AL343" s="353">
        <v>0</v>
      </c>
      <c r="AM343" s="353">
        <v>0</v>
      </c>
      <c r="AN343" s="354"/>
      <c r="AO343" s="354">
        <v>46072</v>
      </c>
      <c r="AP343" s="355">
        <v>0</v>
      </c>
      <c r="AQ343" s="354">
        <v>46071</v>
      </c>
    </row>
    <row r="344" spans="1:43" ht="22.5" customHeight="1" x14ac:dyDescent="0.2">
      <c r="A344" s="418" t="s">
        <v>1085</v>
      </c>
      <c r="B344" s="418" t="s">
        <v>483</v>
      </c>
      <c r="C344" s="418" t="s">
        <v>221</v>
      </c>
      <c r="D344" s="418" t="s">
        <v>222</v>
      </c>
      <c r="E344" s="419">
        <v>423543</v>
      </c>
      <c r="F344" s="419">
        <v>3696</v>
      </c>
      <c r="G344" s="419">
        <v>483</v>
      </c>
      <c r="H344" s="419">
        <v>0</v>
      </c>
      <c r="I344" s="420">
        <v>46022</v>
      </c>
      <c r="J344" s="418" t="s">
        <v>223</v>
      </c>
      <c r="K344" s="418" t="s">
        <v>1178</v>
      </c>
      <c r="L344" s="421">
        <v>27.93</v>
      </c>
      <c r="M344" s="421">
        <v>5.59</v>
      </c>
      <c r="N344" s="443">
        <v>33.520000000000003</v>
      </c>
      <c r="O344" s="418"/>
      <c r="P344" s="422"/>
      <c r="Q344" s="421">
        <v>33.520000000000003</v>
      </c>
      <c r="R344" s="418"/>
      <c r="S344" s="421">
        <v>0</v>
      </c>
      <c r="T344" s="421">
        <v>0</v>
      </c>
      <c r="U344" s="421">
        <v>0</v>
      </c>
      <c r="V344" s="421">
        <v>0</v>
      </c>
      <c r="W344" s="418"/>
      <c r="X344" s="418" t="s">
        <v>225</v>
      </c>
      <c r="Y344" s="418" t="s">
        <v>226</v>
      </c>
      <c r="Z344" s="418" t="s">
        <v>42</v>
      </c>
      <c r="AA344" s="418" t="s">
        <v>228</v>
      </c>
      <c r="AB344" s="418" t="s">
        <v>34</v>
      </c>
      <c r="AC344" s="418" t="s">
        <v>250</v>
      </c>
      <c r="AD344" s="418" t="s">
        <v>231</v>
      </c>
      <c r="AE344" s="418" t="s">
        <v>232</v>
      </c>
      <c r="AF344" s="418" t="s">
        <v>231</v>
      </c>
      <c r="AG344" s="418" t="s">
        <v>232</v>
      </c>
      <c r="AH344" s="418"/>
      <c r="AI344" s="418"/>
      <c r="AJ344" s="418" t="s">
        <v>1179</v>
      </c>
      <c r="AK344" s="418"/>
      <c r="AL344" s="419">
        <v>0</v>
      </c>
      <c r="AM344" s="419">
        <v>0</v>
      </c>
      <c r="AN344" s="420"/>
      <c r="AO344" s="420">
        <v>46072</v>
      </c>
      <c r="AP344" s="421">
        <v>0</v>
      </c>
      <c r="AQ344" s="420">
        <v>46071</v>
      </c>
    </row>
    <row r="345" spans="1:43" ht="22.5" customHeight="1" x14ac:dyDescent="0.2">
      <c r="A345" s="347" t="s">
        <v>1085</v>
      </c>
      <c r="B345" s="347" t="s">
        <v>483</v>
      </c>
      <c r="C345" s="347" t="s">
        <v>221</v>
      </c>
      <c r="D345" s="347" t="s">
        <v>222</v>
      </c>
      <c r="E345" s="348">
        <v>423546</v>
      </c>
      <c r="F345" s="348">
        <v>3697</v>
      </c>
      <c r="G345" s="348">
        <v>483</v>
      </c>
      <c r="H345" s="348">
        <v>0</v>
      </c>
      <c r="I345" s="349">
        <v>46022</v>
      </c>
      <c r="J345" s="347" t="s">
        <v>223</v>
      </c>
      <c r="K345" s="347" t="s">
        <v>1180</v>
      </c>
      <c r="L345" s="344">
        <v>5.54</v>
      </c>
      <c r="M345" s="344">
        <v>1.1100000000000001</v>
      </c>
      <c r="N345" s="447">
        <v>6.65</v>
      </c>
      <c r="O345" s="347"/>
      <c r="P345" s="350"/>
      <c r="Q345" s="344">
        <v>6.65</v>
      </c>
      <c r="R345" s="347"/>
      <c r="S345" s="344">
        <v>0</v>
      </c>
      <c r="T345" s="344">
        <v>0</v>
      </c>
      <c r="U345" s="344">
        <v>0</v>
      </c>
      <c r="V345" s="344">
        <v>0</v>
      </c>
      <c r="W345" s="347"/>
      <c r="X345" s="347" t="s">
        <v>225</v>
      </c>
      <c r="Y345" s="347" t="s">
        <v>226</v>
      </c>
      <c r="Z345" s="347" t="s">
        <v>46</v>
      </c>
      <c r="AA345" s="347" t="s">
        <v>228</v>
      </c>
      <c r="AB345" s="347" t="s">
        <v>34</v>
      </c>
      <c r="AC345" s="347" t="s">
        <v>47</v>
      </c>
      <c r="AD345" s="347" t="s">
        <v>231</v>
      </c>
      <c r="AE345" s="347" t="s">
        <v>232</v>
      </c>
      <c r="AF345" s="347" t="s">
        <v>231</v>
      </c>
      <c r="AG345" s="347" t="s">
        <v>232</v>
      </c>
      <c r="AH345" s="347"/>
      <c r="AI345" s="347"/>
      <c r="AJ345" s="347" t="s">
        <v>1181</v>
      </c>
      <c r="AK345" s="347"/>
      <c r="AL345" s="348">
        <v>0</v>
      </c>
      <c r="AM345" s="348">
        <v>0</v>
      </c>
      <c r="AN345" s="349"/>
      <c r="AO345" s="349">
        <v>46072</v>
      </c>
      <c r="AP345" s="344">
        <v>0</v>
      </c>
      <c r="AQ345" s="349">
        <v>46071</v>
      </c>
    </row>
    <row r="346" spans="1:43" ht="22.5" customHeight="1" x14ac:dyDescent="0.2">
      <c r="A346" s="347" t="s">
        <v>1085</v>
      </c>
      <c r="B346" s="347" t="s">
        <v>483</v>
      </c>
      <c r="C346" s="347" t="s">
        <v>221</v>
      </c>
      <c r="D346" s="347" t="s">
        <v>222</v>
      </c>
      <c r="E346" s="348">
        <v>423597</v>
      </c>
      <c r="F346" s="348">
        <v>3698</v>
      </c>
      <c r="G346" s="348">
        <v>483</v>
      </c>
      <c r="H346" s="348">
        <v>0</v>
      </c>
      <c r="I346" s="349">
        <v>46022</v>
      </c>
      <c r="J346" s="347" t="s">
        <v>223</v>
      </c>
      <c r="K346" s="347" t="s">
        <v>1182</v>
      </c>
      <c r="L346" s="344">
        <v>21.66</v>
      </c>
      <c r="M346" s="344">
        <v>4.34</v>
      </c>
      <c r="N346" s="447">
        <v>26</v>
      </c>
      <c r="O346" s="347"/>
      <c r="P346" s="350"/>
      <c r="Q346" s="344">
        <v>26</v>
      </c>
      <c r="R346" s="347"/>
      <c r="S346" s="344">
        <v>0</v>
      </c>
      <c r="T346" s="344">
        <v>0</v>
      </c>
      <c r="U346" s="344">
        <v>0</v>
      </c>
      <c r="V346" s="344">
        <v>0</v>
      </c>
      <c r="W346" s="347"/>
      <c r="X346" s="347" t="s">
        <v>225</v>
      </c>
      <c r="Y346" s="347" t="s">
        <v>226</v>
      </c>
      <c r="Z346" s="347" t="s">
        <v>46</v>
      </c>
      <c r="AA346" s="347" t="s">
        <v>228</v>
      </c>
      <c r="AB346" s="347" t="s">
        <v>34</v>
      </c>
      <c r="AC346" s="347" t="s">
        <v>47</v>
      </c>
      <c r="AD346" s="347" t="s">
        <v>231</v>
      </c>
      <c r="AE346" s="347" t="s">
        <v>232</v>
      </c>
      <c r="AF346" s="347" t="s">
        <v>231</v>
      </c>
      <c r="AG346" s="347" t="s">
        <v>232</v>
      </c>
      <c r="AH346" s="347"/>
      <c r="AI346" s="347"/>
      <c r="AJ346" s="347" t="s">
        <v>1183</v>
      </c>
      <c r="AK346" s="347"/>
      <c r="AL346" s="348">
        <v>0</v>
      </c>
      <c r="AM346" s="348">
        <v>0</v>
      </c>
      <c r="AN346" s="349"/>
      <c r="AO346" s="349">
        <v>46072</v>
      </c>
      <c r="AP346" s="344">
        <v>0</v>
      </c>
      <c r="AQ346" s="349">
        <v>46071</v>
      </c>
    </row>
    <row r="347" spans="1:43" ht="22.5" customHeight="1" x14ac:dyDescent="0.2">
      <c r="A347" s="358" t="s">
        <v>1085</v>
      </c>
      <c r="B347" s="358" t="s">
        <v>483</v>
      </c>
      <c r="C347" s="358" t="s">
        <v>221</v>
      </c>
      <c r="D347" s="358" t="s">
        <v>222</v>
      </c>
      <c r="E347" s="359">
        <v>423660</v>
      </c>
      <c r="F347" s="359">
        <v>3699</v>
      </c>
      <c r="G347" s="359">
        <v>483</v>
      </c>
      <c r="H347" s="359">
        <v>0</v>
      </c>
      <c r="I347" s="360">
        <v>46022</v>
      </c>
      <c r="J347" s="358" t="s">
        <v>223</v>
      </c>
      <c r="K347" s="358" t="s">
        <v>1184</v>
      </c>
      <c r="L347" s="361">
        <v>477.73</v>
      </c>
      <c r="M347" s="361">
        <v>26.27</v>
      </c>
      <c r="N347" s="448">
        <v>504</v>
      </c>
      <c r="O347" s="358"/>
      <c r="P347" s="362"/>
      <c r="Q347" s="361">
        <v>504</v>
      </c>
      <c r="R347" s="358"/>
      <c r="S347" s="361">
        <v>0</v>
      </c>
      <c r="T347" s="361">
        <v>0</v>
      </c>
      <c r="U347" s="361">
        <v>0</v>
      </c>
      <c r="V347" s="361">
        <v>0</v>
      </c>
      <c r="W347" s="358"/>
      <c r="X347" s="358" t="s">
        <v>225</v>
      </c>
      <c r="Y347" s="358" t="s">
        <v>226</v>
      </c>
      <c r="Z347" s="358" t="s">
        <v>259</v>
      </c>
      <c r="AA347" s="358" t="s">
        <v>228</v>
      </c>
      <c r="AB347" s="358" t="s">
        <v>260</v>
      </c>
      <c r="AC347" s="358" t="s">
        <v>31</v>
      </c>
      <c r="AD347" s="358" t="s">
        <v>231</v>
      </c>
      <c r="AE347" s="358" t="s">
        <v>232</v>
      </c>
      <c r="AF347" s="358" t="s">
        <v>231</v>
      </c>
      <c r="AG347" s="358" t="s">
        <v>232</v>
      </c>
      <c r="AH347" s="358"/>
      <c r="AI347" s="358"/>
      <c r="AJ347" s="358" t="s">
        <v>1185</v>
      </c>
      <c r="AK347" s="358"/>
      <c r="AL347" s="359">
        <v>0</v>
      </c>
      <c r="AM347" s="359">
        <v>0</v>
      </c>
      <c r="AN347" s="360"/>
      <c r="AO347" s="360">
        <v>46072</v>
      </c>
      <c r="AP347" s="361">
        <v>0</v>
      </c>
      <c r="AQ347" s="360">
        <v>46071</v>
      </c>
    </row>
    <row r="1036130" spans="13:14" x14ac:dyDescent="0.25">
      <c r="M1036130" s="368" t="s">
        <v>2026</v>
      </c>
      <c r="N1036130" s="445">
        <f>N20+N21+N22+N23+N24+N25+N26+N27+N28+N34+N35+N38+N39+N40+N46+N47+N48+N49+N50+N51+N52+N82+N83+N84+N85+N86+N87+N88+N89+N90+N91+N92+N93+N94+N95+N96+N97+N115+N139+N141+N142+N143+N144+N145+N146+N147+N148+N149+N150+N151+N152+N153+N154+N155+N156+N157+N158+N162+N174+N215+N216+N217+N218+N219+N230+N231+N232+N233+N234+N245+N246+N247+N248+N249+N250+N252+N253+N254+N300+N301+N302+N303+N304+N305+N312+N313+N314+N315+N316+N317+N318+N320+N321</f>
        <v>6254.03</v>
      </c>
    </row>
    <row r="1036131" spans="13:14" x14ac:dyDescent="0.25">
      <c r="M1036131" s="368" t="s">
        <v>2027</v>
      </c>
      <c r="N1036131" s="445">
        <f>N30+N56+N57+N76+N129+N177+N178+N179+N180+N261+N262+N269+N337+N338+N339</f>
        <v>2437.79</v>
      </c>
    </row>
  </sheetData>
  <autoFilter ref="A1:AQ1036127" xr:uid="{BAB33D33-F920-4531-B1B2-8CD848592E04}"/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211EC-FEB1-4539-858F-C293B66CDD66}">
  <sheetPr codeName="Feuil8"/>
  <dimension ref="A5:E86"/>
  <sheetViews>
    <sheetView showGridLines="0" topLeftCell="A19" zoomScale="145" zoomScaleNormal="145" workbookViewId="0">
      <selection activeCell="A8" sqref="A8:A9 A12 A15 A28 A41 A50 A59 A68 A75 A80 A83"/>
    </sheetView>
  </sheetViews>
  <sheetFormatPr baseColWidth="10" defaultColWidth="12.5703125" defaultRowHeight="12.75" x14ac:dyDescent="0.2"/>
  <cols>
    <col min="1" max="1" width="114.140625" bestFit="1" customWidth="1"/>
    <col min="2" max="2" width="12.28515625" bestFit="1" customWidth="1"/>
    <col min="3" max="3" width="10.140625" bestFit="1" customWidth="1"/>
    <col min="4" max="4" width="10.85546875" bestFit="1" customWidth="1"/>
    <col min="5" max="5" width="13.140625" bestFit="1" customWidth="1"/>
    <col min="6" max="6" width="10.140625" bestFit="1" customWidth="1"/>
    <col min="7" max="7" width="10.85546875" bestFit="1" customWidth="1"/>
    <col min="8" max="8" width="13.140625" bestFit="1" customWidth="1"/>
    <col min="9" max="10" width="6.85546875" bestFit="1" customWidth="1"/>
    <col min="11" max="11" width="12.28515625" bestFit="1" customWidth="1"/>
    <col min="12" max="12" width="10.140625" bestFit="1" customWidth="1"/>
    <col min="13" max="13" width="10.85546875" bestFit="1" customWidth="1"/>
    <col min="14" max="14" width="13.140625" bestFit="1" customWidth="1"/>
  </cols>
  <sheetData>
    <row r="5" spans="1:5" x14ac:dyDescent="0.2">
      <c r="A5" s="6" t="s">
        <v>31</v>
      </c>
      <c r="B5" s="6" t="s">
        <v>19</v>
      </c>
    </row>
    <row r="6" spans="1:5" x14ac:dyDescent="0.2">
      <c r="A6" s="6" t="s">
        <v>1186</v>
      </c>
      <c r="B6" t="s">
        <v>47</v>
      </c>
      <c r="C6" t="s">
        <v>50</v>
      </c>
      <c r="D6" t="s">
        <v>43</v>
      </c>
      <c r="E6" t="s">
        <v>167</v>
      </c>
    </row>
    <row r="7" spans="1:5" x14ac:dyDescent="0.2">
      <c r="A7" s="7" t="s">
        <v>34</v>
      </c>
      <c r="B7" s="5">
        <v>304.63</v>
      </c>
      <c r="C7" s="5">
        <v>430.31</v>
      </c>
      <c r="D7" s="5">
        <v>609.13000000000011</v>
      </c>
      <c r="E7" s="5">
        <v>1344.0699999999997</v>
      </c>
    </row>
    <row r="8" spans="1:5" x14ac:dyDescent="0.2">
      <c r="A8" s="8" t="s">
        <v>270</v>
      </c>
      <c r="B8" s="5">
        <v>20.420000000000002</v>
      </c>
      <c r="C8" s="5"/>
      <c r="D8" s="5"/>
      <c r="E8" s="5">
        <v>20.420000000000002</v>
      </c>
    </row>
    <row r="9" spans="1:5" x14ac:dyDescent="0.2">
      <c r="A9" s="8" t="s">
        <v>265</v>
      </c>
      <c r="B9" s="5"/>
      <c r="C9" s="5">
        <v>29.71</v>
      </c>
      <c r="D9" s="5"/>
      <c r="E9" s="5">
        <v>29.71</v>
      </c>
    </row>
    <row r="10" spans="1:5" x14ac:dyDescent="0.2">
      <c r="A10" s="18" t="s">
        <v>264</v>
      </c>
      <c r="B10" s="5"/>
      <c r="C10" s="5">
        <v>29.71</v>
      </c>
      <c r="D10" s="5"/>
      <c r="E10" s="5">
        <v>29.71</v>
      </c>
    </row>
    <row r="11" spans="1:5" x14ac:dyDescent="0.2">
      <c r="A11" s="439" t="s">
        <v>267</v>
      </c>
      <c r="B11" s="5"/>
      <c r="C11" s="5">
        <v>29.71</v>
      </c>
      <c r="D11" s="5"/>
      <c r="E11" s="5">
        <v>29.71</v>
      </c>
    </row>
    <row r="12" spans="1:5" x14ac:dyDescent="0.2">
      <c r="A12" s="8" t="s">
        <v>279</v>
      </c>
      <c r="B12" s="5"/>
      <c r="C12" s="5"/>
      <c r="D12" s="5">
        <v>43.63</v>
      </c>
      <c r="E12" s="5">
        <v>43.63</v>
      </c>
    </row>
    <row r="13" spans="1:5" x14ac:dyDescent="0.2">
      <c r="A13" s="18" t="s">
        <v>278</v>
      </c>
      <c r="B13" s="5"/>
      <c r="C13" s="5"/>
      <c r="D13" s="5">
        <v>43.63</v>
      </c>
      <c r="E13" s="5">
        <v>43.63</v>
      </c>
    </row>
    <row r="14" spans="1:5" x14ac:dyDescent="0.2">
      <c r="A14" s="439" t="s">
        <v>267</v>
      </c>
      <c r="B14" s="5"/>
      <c r="C14" s="5"/>
      <c r="D14" s="5">
        <v>43.63</v>
      </c>
      <c r="E14" s="5">
        <v>43.63</v>
      </c>
    </row>
    <row r="15" spans="1:5" x14ac:dyDescent="0.2">
      <c r="A15" s="8" t="s">
        <v>315</v>
      </c>
      <c r="B15" s="5"/>
      <c r="C15" s="5">
        <v>285.48</v>
      </c>
      <c r="D15" s="5"/>
      <c r="E15" s="5">
        <v>285.48</v>
      </c>
    </row>
    <row r="16" spans="1:5" x14ac:dyDescent="0.2">
      <c r="A16" s="18" t="s">
        <v>314</v>
      </c>
      <c r="B16" s="5"/>
      <c r="C16" s="5">
        <v>56.16</v>
      </c>
      <c r="D16" s="5"/>
      <c r="E16" s="5">
        <v>56.16</v>
      </c>
    </row>
    <row r="17" spans="1:5" x14ac:dyDescent="0.2">
      <c r="A17" s="439" t="s">
        <v>309</v>
      </c>
      <c r="B17" s="5"/>
      <c r="C17" s="5">
        <v>56.16</v>
      </c>
      <c r="D17" s="5"/>
      <c r="E17" s="5">
        <v>56.16</v>
      </c>
    </row>
    <row r="18" spans="1:5" x14ac:dyDescent="0.2">
      <c r="A18" s="18" t="s">
        <v>579</v>
      </c>
      <c r="B18" s="5"/>
      <c r="C18" s="5">
        <v>60.84</v>
      </c>
      <c r="D18" s="5"/>
      <c r="E18" s="5">
        <v>60.84</v>
      </c>
    </row>
    <row r="19" spans="1:5" x14ac:dyDescent="0.2">
      <c r="A19" s="439" t="s">
        <v>309</v>
      </c>
      <c r="B19" s="5"/>
      <c r="C19" s="5">
        <v>60.84</v>
      </c>
      <c r="D19" s="5"/>
      <c r="E19" s="5">
        <v>60.84</v>
      </c>
    </row>
    <row r="20" spans="1:5" x14ac:dyDescent="0.2">
      <c r="A20" s="18" t="s">
        <v>730</v>
      </c>
      <c r="B20" s="5"/>
      <c r="C20" s="5">
        <v>42.12</v>
      </c>
      <c r="D20" s="5"/>
      <c r="E20" s="5">
        <v>42.12</v>
      </c>
    </row>
    <row r="21" spans="1:5" x14ac:dyDescent="0.2">
      <c r="A21" s="439" t="s">
        <v>309</v>
      </c>
      <c r="B21" s="5"/>
      <c r="C21" s="5">
        <v>42.12</v>
      </c>
      <c r="D21" s="5"/>
      <c r="E21" s="5">
        <v>42.12</v>
      </c>
    </row>
    <row r="22" spans="1:5" x14ac:dyDescent="0.2">
      <c r="A22" s="18" t="s">
        <v>726</v>
      </c>
      <c r="B22" s="5"/>
      <c r="C22" s="5">
        <v>9.36</v>
      </c>
      <c r="D22" s="5"/>
      <c r="E22" s="5">
        <v>9.36</v>
      </c>
    </row>
    <row r="23" spans="1:5" x14ac:dyDescent="0.2">
      <c r="A23" s="439" t="s">
        <v>309</v>
      </c>
      <c r="B23" s="5"/>
      <c r="C23" s="5">
        <v>9.36</v>
      </c>
      <c r="D23" s="5"/>
      <c r="E23" s="5">
        <v>9.36</v>
      </c>
    </row>
    <row r="24" spans="1:5" x14ac:dyDescent="0.2">
      <c r="A24" s="18" t="s">
        <v>934</v>
      </c>
      <c r="B24" s="5"/>
      <c r="C24" s="5">
        <v>65.52</v>
      </c>
      <c r="D24" s="5"/>
      <c r="E24" s="5">
        <v>65.52</v>
      </c>
    </row>
    <row r="25" spans="1:5" x14ac:dyDescent="0.2">
      <c r="A25" s="439" t="s">
        <v>309</v>
      </c>
      <c r="B25" s="5"/>
      <c r="C25" s="5">
        <v>65.52</v>
      </c>
      <c r="D25" s="5"/>
      <c r="E25" s="5">
        <v>65.52</v>
      </c>
    </row>
    <row r="26" spans="1:5" x14ac:dyDescent="0.2">
      <c r="A26" s="18" t="s">
        <v>1047</v>
      </c>
      <c r="B26" s="5"/>
      <c r="C26" s="5">
        <v>51.48</v>
      </c>
      <c r="D26" s="5"/>
      <c r="E26" s="5">
        <v>51.48</v>
      </c>
    </row>
    <row r="27" spans="1:5" x14ac:dyDescent="0.2">
      <c r="A27" s="439" t="s">
        <v>309</v>
      </c>
      <c r="B27" s="5"/>
      <c r="C27" s="5">
        <v>51.48</v>
      </c>
      <c r="D27" s="5"/>
      <c r="E27" s="5">
        <v>51.48</v>
      </c>
    </row>
    <row r="28" spans="1:5" x14ac:dyDescent="0.2">
      <c r="A28" s="8" t="s">
        <v>312</v>
      </c>
      <c r="B28" s="5"/>
      <c r="C28" s="5"/>
      <c r="D28" s="5">
        <v>367.38</v>
      </c>
      <c r="E28" s="5">
        <v>367.38</v>
      </c>
    </row>
    <row r="29" spans="1:5" x14ac:dyDescent="0.2">
      <c r="A29" s="18" t="s">
        <v>311</v>
      </c>
      <c r="B29" s="5"/>
      <c r="C29" s="5"/>
      <c r="D29" s="5">
        <v>70.2</v>
      </c>
      <c r="E29" s="5">
        <v>70.2</v>
      </c>
    </row>
    <row r="30" spans="1:5" x14ac:dyDescent="0.2">
      <c r="A30" s="439" t="s">
        <v>309</v>
      </c>
      <c r="B30" s="5"/>
      <c r="C30" s="5"/>
      <c r="D30" s="5">
        <v>70.2</v>
      </c>
      <c r="E30" s="5">
        <v>70.2</v>
      </c>
    </row>
    <row r="31" spans="1:5" x14ac:dyDescent="0.2">
      <c r="A31" s="18" t="s">
        <v>476</v>
      </c>
      <c r="B31" s="5"/>
      <c r="C31" s="5"/>
      <c r="D31" s="5">
        <v>76.05</v>
      </c>
      <c r="E31" s="5">
        <v>76.05</v>
      </c>
    </row>
    <row r="32" spans="1:5" x14ac:dyDescent="0.2">
      <c r="A32" s="439" t="s">
        <v>309</v>
      </c>
      <c r="B32" s="5"/>
      <c r="C32" s="5"/>
      <c r="D32" s="5">
        <v>76.05</v>
      </c>
      <c r="E32" s="5">
        <v>76.05</v>
      </c>
    </row>
    <row r="33" spans="1:5" x14ac:dyDescent="0.2">
      <c r="A33" s="18" t="s">
        <v>496</v>
      </c>
      <c r="B33" s="5"/>
      <c r="C33" s="5"/>
      <c r="D33" s="5">
        <v>58.5</v>
      </c>
      <c r="E33" s="5">
        <v>58.5</v>
      </c>
    </row>
    <row r="34" spans="1:5" x14ac:dyDescent="0.2">
      <c r="A34" s="439" t="s">
        <v>309</v>
      </c>
      <c r="B34" s="5"/>
      <c r="C34" s="5"/>
      <c r="D34" s="5">
        <v>58.5</v>
      </c>
      <c r="E34" s="5">
        <v>58.5</v>
      </c>
    </row>
    <row r="35" spans="1:5" x14ac:dyDescent="0.2">
      <c r="A35" s="18" t="s">
        <v>719</v>
      </c>
      <c r="B35" s="5"/>
      <c r="C35" s="5"/>
      <c r="D35" s="5">
        <v>16.38</v>
      </c>
      <c r="E35" s="5">
        <v>16.38</v>
      </c>
    </row>
    <row r="36" spans="1:5" x14ac:dyDescent="0.2">
      <c r="A36" s="439" t="s">
        <v>309</v>
      </c>
      <c r="B36" s="5"/>
      <c r="C36" s="5"/>
      <c r="D36" s="5">
        <v>16.38</v>
      </c>
      <c r="E36" s="5">
        <v>16.38</v>
      </c>
    </row>
    <row r="37" spans="1:5" x14ac:dyDescent="0.2">
      <c r="A37" s="18" t="s">
        <v>932</v>
      </c>
      <c r="B37" s="5"/>
      <c r="C37" s="5"/>
      <c r="D37" s="5">
        <v>81.900000000000006</v>
      </c>
      <c r="E37" s="5">
        <v>81.900000000000006</v>
      </c>
    </row>
    <row r="38" spans="1:5" x14ac:dyDescent="0.2">
      <c r="A38" s="439" t="s">
        <v>309</v>
      </c>
      <c r="B38" s="5"/>
      <c r="C38" s="5"/>
      <c r="D38" s="5">
        <v>81.900000000000006</v>
      </c>
      <c r="E38" s="5">
        <v>81.900000000000006</v>
      </c>
    </row>
    <row r="39" spans="1:5" x14ac:dyDescent="0.2">
      <c r="A39" s="18" t="s">
        <v>1045</v>
      </c>
      <c r="B39" s="5"/>
      <c r="C39" s="5"/>
      <c r="D39" s="5">
        <v>64.349999999999994</v>
      </c>
      <c r="E39" s="5">
        <v>64.349999999999994</v>
      </c>
    </row>
    <row r="40" spans="1:5" x14ac:dyDescent="0.2">
      <c r="A40" s="439" t="s">
        <v>309</v>
      </c>
      <c r="B40" s="5"/>
      <c r="C40" s="5"/>
      <c r="D40" s="5">
        <v>64.349999999999994</v>
      </c>
      <c r="E40" s="5">
        <v>64.349999999999994</v>
      </c>
    </row>
    <row r="41" spans="1:5" x14ac:dyDescent="0.2">
      <c r="A41" s="8" t="s">
        <v>307</v>
      </c>
      <c r="B41" s="5">
        <v>118.16999999999999</v>
      </c>
      <c r="C41" s="5"/>
      <c r="D41" s="5"/>
      <c r="E41" s="5">
        <v>118.16999999999999</v>
      </c>
    </row>
    <row r="42" spans="1:5" x14ac:dyDescent="0.2">
      <c r="A42" s="18" t="s">
        <v>306</v>
      </c>
      <c r="B42" s="5">
        <v>30.42</v>
      </c>
      <c r="C42" s="5"/>
      <c r="D42" s="5"/>
      <c r="E42" s="5">
        <v>30.42</v>
      </c>
    </row>
    <row r="43" spans="1:5" x14ac:dyDescent="0.2">
      <c r="A43" s="439" t="s">
        <v>309</v>
      </c>
      <c r="B43" s="5">
        <v>30.42</v>
      </c>
      <c r="C43" s="5"/>
      <c r="D43" s="5"/>
      <c r="E43" s="5">
        <v>30.42</v>
      </c>
    </row>
    <row r="44" spans="1:5" x14ac:dyDescent="0.2">
      <c r="A44" s="18" t="s">
        <v>478</v>
      </c>
      <c r="B44" s="5">
        <v>33.93</v>
      </c>
      <c r="C44" s="5"/>
      <c r="D44" s="5"/>
      <c r="E44" s="5">
        <v>33.93</v>
      </c>
    </row>
    <row r="45" spans="1:5" x14ac:dyDescent="0.2">
      <c r="A45" s="439" t="s">
        <v>309</v>
      </c>
      <c r="B45" s="5">
        <v>33.93</v>
      </c>
      <c r="C45" s="5"/>
      <c r="D45" s="5"/>
      <c r="E45" s="5">
        <v>33.93</v>
      </c>
    </row>
    <row r="46" spans="1:5" x14ac:dyDescent="0.2">
      <c r="A46" s="18" t="s">
        <v>494</v>
      </c>
      <c r="B46" s="5">
        <v>25.74</v>
      </c>
      <c r="C46" s="5"/>
      <c r="D46" s="5"/>
      <c r="E46" s="5">
        <v>25.74</v>
      </c>
    </row>
    <row r="47" spans="1:5" x14ac:dyDescent="0.2">
      <c r="A47" s="439" t="s">
        <v>309</v>
      </c>
      <c r="B47" s="5">
        <v>25.74</v>
      </c>
      <c r="C47" s="5"/>
      <c r="D47" s="5"/>
      <c r="E47" s="5">
        <v>25.74</v>
      </c>
    </row>
    <row r="48" spans="1:5" x14ac:dyDescent="0.2">
      <c r="A48" s="18" t="s">
        <v>717</v>
      </c>
      <c r="B48" s="5">
        <v>28.08</v>
      </c>
      <c r="C48" s="5"/>
      <c r="D48" s="5"/>
      <c r="E48" s="5">
        <v>28.08</v>
      </c>
    </row>
    <row r="49" spans="1:5" x14ac:dyDescent="0.2">
      <c r="A49" s="439" t="s">
        <v>309</v>
      </c>
      <c r="B49" s="5">
        <v>28.08</v>
      </c>
      <c r="C49" s="5"/>
      <c r="D49" s="5"/>
      <c r="E49" s="5">
        <v>28.08</v>
      </c>
    </row>
    <row r="50" spans="1:5" x14ac:dyDescent="0.2">
      <c r="A50" s="8" t="s">
        <v>466</v>
      </c>
      <c r="B50" s="5"/>
      <c r="C50" s="5">
        <v>115.12</v>
      </c>
      <c r="D50" s="5"/>
      <c r="E50" s="5">
        <v>115.12</v>
      </c>
    </row>
    <row r="51" spans="1:5" x14ac:dyDescent="0.2">
      <c r="A51" s="18" t="s">
        <v>1039</v>
      </c>
      <c r="B51" s="5"/>
      <c r="C51" s="5">
        <v>22.28</v>
      </c>
      <c r="D51" s="5"/>
      <c r="E51" s="5">
        <v>22.28</v>
      </c>
    </row>
    <row r="52" spans="1:5" x14ac:dyDescent="0.2">
      <c r="A52" s="439" t="s">
        <v>267</v>
      </c>
      <c r="B52" s="5"/>
      <c r="C52" s="5">
        <v>22.28</v>
      </c>
      <c r="D52" s="5"/>
      <c r="E52" s="5">
        <v>22.28</v>
      </c>
    </row>
    <row r="53" spans="1:5" x14ac:dyDescent="0.2">
      <c r="A53" s="18" t="s">
        <v>644</v>
      </c>
      <c r="B53" s="5"/>
      <c r="C53" s="5">
        <v>22.28</v>
      </c>
      <c r="D53" s="5"/>
      <c r="E53" s="5">
        <v>22.28</v>
      </c>
    </row>
    <row r="54" spans="1:5" x14ac:dyDescent="0.2">
      <c r="A54" s="439" t="s">
        <v>267</v>
      </c>
      <c r="B54" s="5"/>
      <c r="C54" s="5">
        <v>22.28</v>
      </c>
      <c r="D54" s="5"/>
      <c r="E54" s="5">
        <v>22.28</v>
      </c>
    </row>
    <row r="55" spans="1:5" x14ac:dyDescent="0.2">
      <c r="A55" s="18" t="s">
        <v>465</v>
      </c>
      <c r="B55" s="5"/>
      <c r="C55" s="5">
        <v>26</v>
      </c>
      <c r="D55" s="5"/>
      <c r="E55" s="5">
        <v>26</v>
      </c>
    </row>
    <row r="56" spans="1:5" x14ac:dyDescent="0.2">
      <c r="A56" s="439" t="s">
        <v>267</v>
      </c>
      <c r="B56" s="5"/>
      <c r="C56" s="5">
        <v>26</v>
      </c>
      <c r="D56" s="5"/>
      <c r="E56" s="5">
        <v>26</v>
      </c>
    </row>
    <row r="57" spans="1:5" x14ac:dyDescent="0.2">
      <c r="A57" s="18" t="s">
        <v>652</v>
      </c>
      <c r="B57" s="5"/>
      <c r="C57" s="5">
        <v>44.56</v>
      </c>
      <c r="D57" s="5"/>
      <c r="E57" s="5">
        <v>44.56</v>
      </c>
    </row>
    <row r="58" spans="1:5" x14ac:dyDescent="0.2">
      <c r="A58" s="439" t="s">
        <v>267</v>
      </c>
      <c r="B58" s="5"/>
      <c r="C58" s="5">
        <v>44.56</v>
      </c>
      <c r="D58" s="5"/>
      <c r="E58" s="5">
        <v>44.56</v>
      </c>
    </row>
    <row r="59" spans="1:5" x14ac:dyDescent="0.2">
      <c r="A59" s="8" t="s">
        <v>469</v>
      </c>
      <c r="B59" s="5"/>
      <c r="C59" s="5"/>
      <c r="D59" s="5">
        <v>148.53000000000003</v>
      </c>
      <c r="E59" s="5">
        <v>148.53000000000003</v>
      </c>
    </row>
    <row r="60" spans="1:5" x14ac:dyDescent="0.2">
      <c r="A60" s="18" t="s">
        <v>1037</v>
      </c>
      <c r="B60" s="5"/>
      <c r="C60" s="5"/>
      <c r="D60" s="5">
        <v>32.49</v>
      </c>
      <c r="E60" s="5">
        <v>32.49</v>
      </c>
    </row>
    <row r="61" spans="1:5" x14ac:dyDescent="0.2">
      <c r="A61" s="439" t="s">
        <v>267</v>
      </c>
      <c r="B61" s="5"/>
      <c r="C61" s="5"/>
      <c r="D61" s="5">
        <v>32.49</v>
      </c>
      <c r="E61" s="5">
        <v>32.49</v>
      </c>
    </row>
    <row r="62" spans="1:5" x14ac:dyDescent="0.2">
      <c r="A62" s="18" t="s">
        <v>646</v>
      </c>
      <c r="B62" s="5"/>
      <c r="C62" s="5"/>
      <c r="D62" s="5">
        <v>27.85</v>
      </c>
      <c r="E62" s="5">
        <v>27.85</v>
      </c>
    </row>
    <row r="63" spans="1:5" x14ac:dyDescent="0.2">
      <c r="A63" s="439" t="s">
        <v>267</v>
      </c>
      <c r="B63" s="5"/>
      <c r="C63" s="5"/>
      <c r="D63" s="5">
        <v>27.85</v>
      </c>
      <c r="E63" s="5">
        <v>27.85</v>
      </c>
    </row>
    <row r="64" spans="1:5" x14ac:dyDescent="0.2">
      <c r="A64" s="18" t="s">
        <v>468</v>
      </c>
      <c r="B64" s="5"/>
      <c r="C64" s="5"/>
      <c r="D64" s="5">
        <v>32.49</v>
      </c>
      <c r="E64" s="5">
        <v>32.49</v>
      </c>
    </row>
    <row r="65" spans="1:5" x14ac:dyDescent="0.2">
      <c r="A65" s="439" t="s">
        <v>267</v>
      </c>
      <c r="B65" s="5"/>
      <c r="C65" s="5"/>
      <c r="D65" s="5">
        <v>32.49</v>
      </c>
      <c r="E65" s="5">
        <v>32.49</v>
      </c>
    </row>
    <row r="66" spans="1:5" x14ac:dyDescent="0.2">
      <c r="A66" s="18" t="s">
        <v>883</v>
      </c>
      <c r="B66" s="5"/>
      <c r="C66" s="5"/>
      <c r="D66" s="5">
        <v>55.7</v>
      </c>
      <c r="E66" s="5">
        <v>55.7</v>
      </c>
    </row>
    <row r="67" spans="1:5" x14ac:dyDescent="0.2">
      <c r="A67" s="439" t="s">
        <v>267</v>
      </c>
      <c r="B67" s="5"/>
      <c r="C67" s="5"/>
      <c r="D67" s="5">
        <v>55.7</v>
      </c>
      <c r="E67" s="5">
        <v>55.7</v>
      </c>
    </row>
    <row r="68" spans="1:5" x14ac:dyDescent="0.2">
      <c r="A68" s="8" t="s">
        <v>472</v>
      </c>
      <c r="B68" s="5">
        <v>73.349999999999994</v>
      </c>
      <c r="C68" s="5"/>
      <c r="D68" s="5"/>
      <c r="E68" s="5">
        <v>73.349999999999994</v>
      </c>
    </row>
    <row r="69" spans="1:5" x14ac:dyDescent="0.2">
      <c r="A69" s="18" t="s">
        <v>471</v>
      </c>
      <c r="B69" s="5">
        <v>25.07</v>
      </c>
      <c r="C69" s="5"/>
      <c r="D69" s="5"/>
      <c r="E69" s="5">
        <v>25.07</v>
      </c>
    </row>
    <row r="70" spans="1:5" x14ac:dyDescent="0.2">
      <c r="A70" s="439" t="s">
        <v>267</v>
      </c>
      <c r="B70" s="5">
        <v>25.07</v>
      </c>
      <c r="C70" s="5"/>
      <c r="D70" s="5"/>
      <c r="E70" s="5">
        <v>25.07</v>
      </c>
    </row>
    <row r="71" spans="1:5" x14ac:dyDescent="0.2">
      <c r="A71" s="18" t="s">
        <v>654</v>
      </c>
      <c r="B71" s="5">
        <v>26</v>
      </c>
      <c r="C71" s="5"/>
      <c r="D71" s="5"/>
      <c r="E71" s="5">
        <v>26</v>
      </c>
    </row>
    <row r="72" spans="1:5" x14ac:dyDescent="0.2">
      <c r="A72" s="439" t="s">
        <v>267</v>
      </c>
      <c r="B72" s="5">
        <v>26</v>
      </c>
      <c r="C72" s="5"/>
      <c r="D72" s="5"/>
      <c r="E72" s="5">
        <v>26</v>
      </c>
    </row>
    <row r="73" spans="1:5" x14ac:dyDescent="0.2">
      <c r="A73" s="18" t="s">
        <v>561</v>
      </c>
      <c r="B73" s="5">
        <v>22.28</v>
      </c>
      <c r="C73" s="5"/>
      <c r="D73" s="5"/>
      <c r="E73" s="5">
        <v>22.28</v>
      </c>
    </row>
    <row r="74" spans="1:5" x14ac:dyDescent="0.2">
      <c r="A74" s="439" t="s">
        <v>267</v>
      </c>
      <c r="B74" s="5">
        <v>22.28</v>
      </c>
      <c r="C74" s="5"/>
      <c r="D74" s="5"/>
      <c r="E74" s="5">
        <v>22.28</v>
      </c>
    </row>
    <row r="75" spans="1:5" x14ac:dyDescent="0.2">
      <c r="A75" s="8" t="s">
        <v>930</v>
      </c>
      <c r="B75" s="5">
        <v>66.69</v>
      </c>
      <c r="C75" s="5"/>
      <c r="D75" s="5"/>
      <c r="E75" s="5">
        <v>66.69</v>
      </c>
    </row>
    <row r="76" spans="1:5" x14ac:dyDescent="0.2">
      <c r="A76" s="18" t="s">
        <v>929</v>
      </c>
      <c r="B76" s="5">
        <v>36.270000000000003</v>
      </c>
      <c r="C76" s="5"/>
      <c r="D76" s="5"/>
      <c r="E76" s="5">
        <v>36.270000000000003</v>
      </c>
    </row>
    <row r="77" spans="1:5" x14ac:dyDescent="0.2">
      <c r="A77" s="439" t="s">
        <v>309</v>
      </c>
      <c r="B77" s="5">
        <v>36.270000000000003</v>
      </c>
      <c r="C77" s="5"/>
      <c r="D77" s="5"/>
      <c r="E77" s="5">
        <v>36.270000000000003</v>
      </c>
    </row>
    <row r="78" spans="1:5" x14ac:dyDescent="0.2">
      <c r="A78" s="18" t="s">
        <v>1043</v>
      </c>
      <c r="B78" s="5">
        <v>30.42</v>
      </c>
      <c r="C78" s="5"/>
      <c r="D78" s="5"/>
      <c r="E78" s="5">
        <v>30.42</v>
      </c>
    </row>
    <row r="79" spans="1:5" x14ac:dyDescent="0.2">
      <c r="A79" s="439" t="s">
        <v>309</v>
      </c>
      <c r="B79" s="5">
        <v>30.42</v>
      </c>
      <c r="C79" s="5"/>
      <c r="D79" s="5"/>
      <c r="E79" s="5">
        <v>30.42</v>
      </c>
    </row>
    <row r="80" spans="1:5" x14ac:dyDescent="0.2">
      <c r="A80" s="8" t="s">
        <v>1035</v>
      </c>
      <c r="B80" s="5">
        <v>26</v>
      </c>
      <c r="C80" s="5"/>
      <c r="D80" s="5"/>
      <c r="E80" s="5">
        <v>26</v>
      </c>
    </row>
    <row r="81" spans="1:5" x14ac:dyDescent="0.2">
      <c r="A81" s="18" t="s">
        <v>1034</v>
      </c>
      <c r="B81" s="5">
        <v>26</v>
      </c>
      <c r="C81" s="5"/>
      <c r="D81" s="5"/>
      <c r="E81" s="5">
        <v>26</v>
      </c>
    </row>
    <row r="82" spans="1:5" x14ac:dyDescent="0.2">
      <c r="A82" s="439" t="s">
        <v>267</v>
      </c>
      <c r="B82" s="5">
        <v>26</v>
      </c>
      <c r="C82" s="5"/>
      <c r="D82" s="5"/>
      <c r="E82" s="5">
        <v>26</v>
      </c>
    </row>
    <row r="83" spans="1:5" x14ac:dyDescent="0.2">
      <c r="A83" s="8" t="s">
        <v>927</v>
      </c>
      <c r="B83" s="5"/>
      <c r="C83" s="5"/>
      <c r="D83" s="5">
        <v>49.59</v>
      </c>
      <c r="E83" s="5">
        <v>49.59</v>
      </c>
    </row>
    <row r="84" spans="1:5" x14ac:dyDescent="0.2">
      <c r="A84" s="18" t="s">
        <v>926</v>
      </c>
      <c r="B84" s="5"/>
      <c r="C84" s="5"/>
      <c r="D84" s="5">
        <v>49.59</v>
      </c>
      <c r="E84" s="5">
        <v>49.59</v>
      </c>
    </row>
    <row r="85" spans="1:5" x14ac:dyDescent="0.2">
      <c r="A85" s="439" t="s">
        <v>309</v>
      </c>
      <c r="B85" s="5"/>
      <c r="C85" s="5"/>
      <c r="D85" s="5">
        <v>49.59</v>
      </c>
      <c r="E85" s="5">
        <v>49.59</v>
      </c>
    </row>
    <row r="86" spans="1:5" x14ac:dyDescent="0.2">
      <c r="A86" s="7" t="s">
        <v>167</v>
      </c>
      <c r="B86" s="5">
        <v>304.63</v>
      </c>
      <c r="C86" s="5">
        <v>430.31</v>
      </c>
      <c r="D86" s="5">
        <v>609.13000000000011</v>
      </c>
      <c r="E86" s="5">
        <v>1344.0699999999997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3BAF0-D94D-4186-895A-2F711843ADB6}">
  <sheetPr codeName="Feuil5"/>
  <dimension ref="A1:EB82"/>
  <sheetViews>
    <sheetView topLeftCell="A4" workbookViewId="0">
      <selection activeCell="L10" sqref="L10"/>
    </sheetView>
  </sheetViews>
  <sheetFormatPr baseColWidth="10" defaultRowHeight="12.75" x14ac:dyDescent="0.2"/>
  <sheetData>
    <row r="1" spans="1:132" ht="13.5" thickBot="1" x14ac:dyDescent="0.25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</row>
    <row r="2" spans="1:132" ht="25.5" x14ac:dyDescent="0.2">
      <c r="A2" s="582" t="s">
        <v>1297</v>
      </c>
      <c r="B2" s="582"/>
      <c r="C2" s="582"/>
      <c r="D2" s="582"/>
      <c r="E2" s="582"/>
      <c r="F2" s="583"/>
      <c r="G2" s="103" t="s">
        <v>1298</v>
      </c>
      <c r="H2" s="586">
        <v>46013</v>
      </c>
      <c r="I2" s="587"/>
      <c r="J2" s="587"/>
      <c r="K2" s="588"/>
      <c r="L2" s="586">
        <v>46001</v>
      </c>
      <c r="M2" s="587"/>
      <c r="N2" s="587"/>
      <c r="O2" s="588"/>
      <c r="P2" s="625">
        <v>45992</v>
      </c>
      <c r="Q2" s="626"/>
      <c r="R2" s="626"/>
      <c r="S2" s="627"/>
      <c r="T2" s="625">
        <v>45962</v>
      </c>
      <c r="U2" s="626"/>
      <c r="V2" s="626"/>
      <c r="W2" s="627"/>
      <c r="X2" s="625">
        <v>45952</v>
      </c>
      <c r="Y2" s="626"/>
      <c r="Z2" s="626"/>
      <c r="AA2" s="627"/>
      <c r="AB2" s="625">
        <v>45931</v>
      </c>
      <c r="AC2" s="626"/>
      <c r="AD2" s="626"/>
      <c r="AE2" s="627"/>
      <c r="AF2" s="625">
        <v>45924</v>
      </c>
      <c r="AG2" s="626"/>
      <c r="AH2" s="626"/>
      <c r="AI2" s="627"/>
      <c r="AJ2" s="625">
        <v>45901</v>
      </c>
      <c r="AK2" s="626"/>
      <c r="AL2" s="626"/>
      <c r="AM2" s="627"/>
      <c r="AN2" s="625">
        <v>45894</v>
      </c>
      <c r="AO2" s="626"/>
      <c r="AP2" s="626"/>
      <c r="AQ2" s="627"/>
      <c r="AR2" s="625">
        <v>45879</v>
      </c>
      <c r="AS2" s="626"/>
      <c r="AT2" s="626"/>
      <c r="AU2" s="627"/>
      <c r="AV2" s="625">
        <v>45870</v>
      </c>
      <c r="AW2" s="626"/>
      <c r="AX2" s="626"/>
      <c r="AY2" s="627"/>
      <c r="AZ2" s="625">
        <v>45848</v>
      </c>
      <c r="BA2" s="626"/>
      <c r="BB2" s="626"/>
      <c r="BC2" s="627"/>
      <c r="BD2" s="625">
        <v>45839</v>
      </c>
      <c r="BE2" s="626"/>
      <c r="BF2" s="626"/>
      <c r="BG2" s="627"/>
      <c r="BH2" s="625">
        <v>45824</v>
      </c>
      <c r="BI2" s="626"/>
      <c r="BJ2" s="626"/>
      <c r="BK2" s="627"/>
      <c r="BL2" s="625">
        <v>45809</v>
      </c>
      <c r="BM2" s="626"/>
      <c r="BN2" s="626"/>
      <c r="BO2" s="627"/>
      <c r="BP2" s="625">
        <v>45787</v>
      </c>
      <c r="BQ2" s="626"/>
      <c r="BR2" s="626"/>
      <c r="BS2" s="627"/>
      <c r="BT2" s="625">
        <v>45778</v>
      </c>
      <c r="BU2" s="626"/>
      <c r="BV2" s="626"/>
      <c r="BW2" s="627"/>
      <c r="BX2" s="625">
        <v>45777</v>
      </c>
      <c r="BY2" s="626"/>
      <c r="BZ2" s="626"/>
      <c r="CA2" s="627"/>
      <c r="CB2" s="625">
        <v>45777</v>
      </c>
      <c r="CC2" s="626"/>
      <c r="CD2" s="626"/>
      <c r="CE2" s="627"/>
      <c r="CF2" s="625">
        <v>45777</v>
      </c>
      <c r="CG2" s="626"/>
      <c r="CH2" s="626"/>
      <c r="CI2" s="627"/>
      <c r="CJ2" s="625">
        <v>45777</v>
      </c>
      <c r="CK2" s="626"/>
      <c r="CL2" s="626"/>
      <c r="CM2" s="627"/>
      <c r="CN2" s="625">
        <v>45776</v>
      </c>
      <c r="CO2" s="626"/>
      <c r="CP2" s="626"/>
      <c r="CQ2" s="627"/>
      <c r="CR2" s="625">
        <v>45726</v>
      </c>
      <c r="CS2" s="626"/>
      <c r="CT2" s="626"/>
      <c r="CU2" s="627"/>
      <c r="CV2" s="625">
        <v>45776</v>
      </c>
      <c r="CW2" s="626"/>
      <c r="CX2" s="626"/>
      <c r="CY2" s="627"/>
      <c r="CZ2" s="625">
        <v>45726</v>
      </c>
      <c r="DA2" s="626"/>
      <c r="DB2" s="626"/>
      <c r="DC2" s="627"/>
      <c r="DD2" s="625">
        <v>45776</v>
      </c>
      <c r="DE2" s="626"/>
      <c r="DF2" s="626"/>
      <c r="DG2" s="627"/>
      <c r="DH2" s="625">
        <v>45776</v>
      </c>
      <c r="DI2" s="626"/>
      <c r="DJ2" s="626"/>
      <c r="DK2" s="627"/>
      <c r="DL2" s="625">
        <v>45748</v>
      </c>
      <c r="DM2" s="626"/>
      <c r="DN2" s="626"/>
      <c r="DO2" s="627"/>
      <c r="DP2" s="586">
        <v>45777</v>
      </c>
      <c r="DQ2" s="587"/>
      <c r="DR2" s="587"/>
      <c r="DS2" s="588"/>
      <c r="DT2" s="586">
        <v>45776</v>
      </c>
      <c r="DU2" s="587"/>
      <c r="DV2" s="587"/>
      <c r="DW2" s="588"/>
      <c r="DX2" s="586">
        <v>45757</v>
      </c>
      <c r="DY2" s="587"/>
      <c r="DZ2" s="587"/>
      <c r="EA2" s="588"/>
    </row>
    <row r="3" spans="1:132" ht="25.5" x14ac:dyDescent="0.2">
      <c r="A3" s="582"/>
      <c r="B3" s="582"/>
      <c r="C3" s="582"/>
      <c r="D3" s="582"/>
      <c r="E3" s="582"/>
      <c r="F3" s="583"/>
      <c r="G3" s="104" t="s">
        <v>1299</v>
      </c>
      <c r="H3" s="619">
        <v>112005192189</v>
      </c>
      <c r="I3" s="620"/>
      <c r="J3" s="620"/>
      <c r="K3" s="621"/>
      <c r="L3" s="619">
        <v>1190031063794</v>
      </c>
      <c r="M3" s="620"/>
      <c r="N3" s="620"/>
      <c r="O3" s="621"/>
      <c r="P3" s="613">
        <v>114004906480</v>
      </c>
      <c r="Q3" s="614"/>
      <c r="R3" s="614"/>
      <c r="S3" s="615"/>
      <c r="T3" s="613">
        <v>101006773350</v>
      </c>
      <c r="U3" s="614"/>
      <c r="V3" s="614"/>
      <c r="W3" s="615"/>
      <c r="X3" s="613">
        <v>114004833292</v>
      </c>
      <c r="Y3" s="614"/>
      <c r="Z3" s="614"/>
      <c r="AA3" s="615"/>
      <c r="AB3" s="613">
        <v>114004797090</v>
      </c>
      <c r="AC3" s="614"/>
      <c r="AD3" s="614"/>
      <c r="AE3" s="615"/>
      <c r="AF3" s="613">
        <v>104006097593</v>
      </c>
      <c r="AG3" s="614"/>
      <c r="AH3" s="614"/>
      <c r="AI3" s="615"/>
      <c r="AJ3" s="613">
        <v>102006345831</v>
      </c>
      <c r="AK3" s="614"/>
      <c r="AL3" s="614"/>
      <c r="AM3" s="615"/>
      <c r="AN3" s="613">
        <v>100008717083</v>
      </c>
      <c r="AO3" s="614"/>
      <c r="AP3" s="614"/>
      <c r="AQ3" s="615"/>
      <c r="AR3" s="613">
        <v>103006178924</v>
      </c>
      <c r="AS3" s="614"/>
      <c r="AT3" s="614"/>
      <c r="AU3" s="615"/>
      <c r="AV3" s="613">
        <v>104005990306</v>
      </c>
      <c r="AW3" s="614"/>
      <c r="AX3" s="614"/>
      <c r="AY3" s="615"/>
      <c r="AZ3" s="613">
        <v>107005560638</v>
      </c>
      <c r="BA3" s="614"/>
      <c r="BB3" s="614"/>
      <c r="BC3" s="615"/>
      <c r="BD3" s="613">
        <v>112004884513</v>
      </c>
      <c r="BE3" s="614"/>
      <c r="BF3" s="614"/>
      <c r="BG3" s="615"/>
      <c r="BH3" s="613">
        <v>110005073702</v>
      </c>
      <c r="BI3" s="614"/>
      <c r="BJ3" s="614"/>
      <c r="BK3" s="615"/>
      <c r="BL3" s="613">
        <v>101006460604</v>
      </c>
      <c r="BM3" s="614"/>
      <c r="BN3" s="614"/>
      <c r="BO3" s="615"/>
      <c r="BP3" s="613">
        <v>114004559638</v>
      </c>
      <c r="BQ3" s="614"/>
      <c r="BR3" s="614"/>
      <c r="BS3" s="615"/>
      <c r="BT3" s="613">
        <v>103005996316</v>
      </c>
      <c r="BU3" s="614"/>
      <c r="BV3" s="614"/>
      <c r="BW3" s="615"/>
      <c r="BX3" s="613">
        <v>100008384966</v>
      </c>
      <c r="BY3" s="614"/>
      <c r="BZ3" s="614"/>
      <c r="CA3" s="615"/>
      <c r="CB3" s="613">
        <v>100008385131</v>
      </c>
      <c r="CC3" s="614"/>
      <c r="CD3" s="614"/>
      <c r="CE3" s="615"/>
      <c r="CF3" s="613">
        <v>100008385132</v>
      </c>
      <c r="CG3" s="614"/>
      <c r="CH3" s="614"/>
      <c r="CI3" s="615"/>
      <c r="CJ3" s="613">
        <v>100008384967</v>
      </c>
      <c r="CK3" s="614"/>
      <c r="CL3" s="614"/>
      <c r="CM3" s="615"/>
      <c r="CN3" s="622" t="s">
        <v>1300</v>
      </c>
      <c r="CO3" s="623"/>
      <c r="CP3" s="623"/>
      <c r="CQ3" s="624"/>
      <c r="CR3" s="610">
        <v>111004826668</v>
      </c>
      <c r="CS3" s="611"/>
      <c r="CT3" s="611"/>
      <c r="CU3" s="612"/>
      <c r="CV3" s="622" t="s">
        <v>1301</v>
      </c>
      <c r="CW3" s="623"/>
      <c r="CX3" s="623"/>
      <c r="CY3" s="624"/>
      <c r="CZ3" s="610">
        <v>108005166557</v>
      </c>
      <c r="DA3" s="611"/>
      <c r="DB3" s="611"/>
      <c r="DC3" s="612"/>
      <c r="DD3" s="610" t="s">
        <v>1302</v>
      </c>
      <c r="DE3" s="611"/>
      <c r="DF3" s="611"/>
      <c r="DG3" s="612"/>
      <c r="DH3" s="610" t="s">
        <v>1303</v>
      </c>
      <c r="DI3" s="611"/>
      <c r="DJ3" s="611"/>
      <c r="DK3" s="612"/>
      <c r="DL3" s="613">
        <v>108005206622</v>
      </c>
      <c r="DM3" s="614"/>
      <c r="DN3" s="614"/>
      <c r="DO3" s="615"/>
      <c r="DP3" s="616" t="s">
        <v>1304</v>
      </c>
      <c r="DQ3" s="617"/>
      <c r="DR3" s="617"/>
      <c r="DS3" s="618"/>
      <c r="DT3" s="616" t="s">
        <v>1305</v>
      </c>
      <c r="DU3" s="617"/>
      <c r="DV3" s="617"/>
      <c r="DW3" s="618"/>
      <c r="DX3" s="619">
        <v>116002860182</v>
      </c>
      <c r="DY3" s="620"/>
      <c r="DZ3" s="620"/>
      <c r="EA3" s="621"/>
    </row>
    <row r="4" spans="1:132" ht="51" x14ac:dyDescent="0.2">
      <c r="A4" s="582"/>
      <c r="B4" s="582"/>
      <c r="C4" s="582"/>
      <c r="D4" s="582"/>
      <c r="E4" s="582"/>
      <c r="F4" s="583"/>
      <c r="G4" s="104" t="s">
        <v>1306</v>
      </c>
      <c r="H4" s="595"/>
      <c r="I4" s="596"/>
      <c r="J4" s="596"/>
      <c r="K4" s="597"/>
      <c r="L4" s="595"/>
      <c r="M4" s="596"/>
      <c r="N4" s="596"/>
      <c r="O4" s="597"/>
      <c r="P4" s="598"/>
      <c r="Q4" s="599"/>
      <c r="R4" s="599"/>
      <c r="S4" s="600"/>
      <c r="T4" s="598"/>
      <c r="U4" s="599"/>
      <c r="V4" s="599"/>
      <c r="W4" s="600"/>
      <c r="X4" s="598"/>
      <c r="Y4" s="599"/>
      <c r="Z4" s="599"/>
      <c r="AA4" s="600"/>
      <c r="AB4" s="598"/>
      <c r="AC4" s="599"/>
      <c r="AD4" s="599"/>
      <c r="AE4" s="600"/>
      <c r="AF4" s="598"/>
      <c r="AG4" s="599"/>
      <c r="AH4" s="599"/>
      <c r="AI4" s="600"/>
      <c r="AJ4" s="598"/>
      <c r="AK4" s="599"/>
      <c r="AL4" s="599"/>
      <c r="AM4" s="600"/>
      <c r="AN4" s="598"/>
      <c r="AO4" s="599"/>
      <c r="AP4" s="599"/>
      <c r="AQ4" s="600"/>
      <c r="AR4" s="598"/>
      <c r="AS4" s="599"/>
      <c r="AT4" s="599"/>
      <c r="AU4" s="600"/>
      <c r="AV4" s="598"/>
      <c r="AW4" s="599"/>
      <c r="AX4" s="599"/>
      <c r="AY4" s="600"/>
      <c r="AZ4" s="598"/>
      <c r="BA4" s="599"/>
      <c r="BB4" s="599"/>
      <c r="BC4" s="600"/>
      <c r="BD4" s="598"/>
      <c r="BE4" s="599"/>
      <c r="BF4" s="599"/>
      <c r="BG4" s="600"/>
      <c r="BH4" s="598"/>
      <c r="BI4" s="599"/>
      <c r="BJ4" s="599"/>
      <c r="BK4" s="600"/>
      <c r="BL4" s="598"/>
      <c r="BM4" s="599"/>
      <c r="BN4" s="599"/>
      <c r="BO4" s="600"/>
      <c r="BP4" s="598"/>
      <c r="BQ4" s="599"/>
      <c r="BR4" s="599"/>
      <c r="BS4" s="600"/>
      <c r="BT4" s="598"/>
      <c r="BU4" s="599"/>
      <c r="BV4" s="599"/>
      <c r="BW4" s="600"/>
      <c r="BX4" s="598"/>
      <c r="BY4" s="599"/>
      <c r="BZ4" s="599"/>
      <c r="CA4" s="600"/>
      <c r="CB4" s="601"/>
      <c r="CC4" s="602"/>
      <c r="CD4" s="602"/>
      <c r="CE4" s="603"/>
      <c r="CF4" s="604"/>
      <c r="CG4" s="605"/>
      <c r="CH4" s="605"/>
      <c r="CI4" s="606"/>
      <c r="CJ4" s="607"/>
      <c r="CK4" s="608"/>
      <c r="CL4" s="608"/>
      <c r="CM4" s="609"/>
      <c r="CN4" s="598"/>
      <c r="CO4" s="599"/>
      <c r="CP4" s="599"/>
      <c r="CQ4" s="600"/>
      <c r="CR4" s="598"/>
      <c r="CS4" s="599"/>
      <c r="CT4" s="599"/>
      <c r="CU4" s="600"/>
      <c r="CV4" s="598"/>
      <c r="CW4" s="599"/>
      <c r="CX4" s="599"/>
      <c r="CY4" s="600"/>
      <c r="CZ4" s="598"/>
      <c r="DA4" s="599"/>
      <c r="DB4" s="599"/>
      <c r="DC4" s="600"/>
      <c r="DD4" s="598"/>
      <c r="DE4" s="599"/>
      <c r="DF4" s="599"/>
      <c r="DG4" s="600"/>
      <c r="DH4" s="598"/>
      <c r="DI4" s="599"/>
      <c r="DJ4" s="599"/>
      <c r="DK4" s="600"/>
      <c r="DL4" s="598"/>
      <c r="DM4" s="599"/>
      <c r="DN4" s="599"/>
      <c r="DO4" s="600"/>
      <c r="DP4" s="595"/>
      <c r="DQ4" s="596"/>
      <c r="DR4" s="596"/>
      <c r="DS4" s="597"/>
      <c r="DT4" s="595"/>
      <c r="DU4" s="596"/>
      <c r="DV4" s="596"/>
      <c r="DW4" s="597"/>
      <c r="DX4" s="595"/>
      <c r="DY4" s="596"/>
      <c r="DZ4" s="596"/>
      <c r="EA4" s="597"/>
    </row>
    <row r="5" spans="1:132" ht="38.25" x14ac:dyDescent="0.2">
      <c r="A5" s="582"/>
      <c r="B5" s="582"/>
      <c r="C5" s="582"/>
      <c r="D5" s="582"/>
      <c r="E5" s="582"/>
      <c r="F5" s="583"/>
      <c r="G5" s="104" t="s">
        <v>1307</v>
      </c>
      <c r="H5" s="595" t="s">
        <v>1308</v>
      </c>
      <c r="I5" s="596"/>
      <c r="J5" s="596"/>
      <c r="K5" s="597"/>
      <c r="L5" s="595" t="s">
        <v>1308</v>
      </c>
      <c r="M5" s="596"/>
      <c r="N5" s="596"/>
      <c r="O5" s="597"/>
      <c r="P5" s="598" t="s">
        <v>1308</v>
      </c>
      <c r="Q5" s="599"/>
      <c r="R5" s="599"/>
      <c r="S5" s="600"/>
      <c r="T5" s="598" t="s">
        <v>1308</v>
      </c>
      <c r="U5" s="599"/>
      <c r="V5" s="599"/>
      <c r="W5" s="600"/>
      <c r="X5" s="598" t="s">
        <v>1308</v>
      </c>
      <c r="Y5" s="599"/>
      <c r="Z5" s="599"/>
      <c r="AA5" s="600"/>
      <c r="AB5" s="598" t="s">
        <v>1308</v>
      </c>
      <c r="AC5" s="599"/>
      <c r="AD5" s="599"/>
      <c r="AE5" s="600"/>
      <c r="AF5" s="598" t="s">
        <v>1308</v>
      </c>
      <c r="AG5" s="599"/>
      <c r="AH5" s="599"/>
      <c r="AI5" s="600"/>
      <c r="AJ5" s="598" t="s">
        <v>1308</v>
      </c>
      <c r="AK5" s="599"/>
      <c r="AL5" s="599"/>
      <c r="AM5" s="600"/>
      <c r="AN5" s="598" t="s">
        <v>1308</v>
      </c>
      <c r="AO5" s="599"/>
      <c r="AP5" s="599"/>
      <c r="AQ5" s="600"/>
      <c r="AR5" s="598" t="s">
        <v>1308</v>
      </c>
      <c r="AS5" s="599"/>
      <c r="AT5" s="599"/>
      <c r="AU5" s="600"/>
      <c r="AV5" s="598" t="s">
        <v>1308</v>
      </c>
      <c r="AW5" s="599"/>
      <c r="AX5" s="599"/>
      <c r="AY5" s="600"/>
      <c r="AZ5" s="598" t="s">
        <v>1308</v>
      </c>
      <c r="BA5" s="599"/>
      <c r="BB5" s="599"/>
      <c r="BC5" s="600"/>
      <c r="BD5" s="598" t="s">
        <v>1308</v>
      </c>
      <c r="BE5" s="599"/>
      <c r="BF5" s="599"/>
      <c r="BG5" s="600"/>
      <c r="BH5" s="598" t="s">
        <v>1308</v>
      </c>
      <c r="BI5" s="599"/>
      <c r="BJ5" s="599"/>
      <c r="BK5" s="600"/>
      <c r="BL5" s="598" t="s">
        <v>1308</v>
      </c>
      <c r="BM5" s="599"/>
      <c r="BN5" s="599"/>
      <c r="BO5" s="600"/>
      <c r="BP5" s="598" t="s">
        <v>1308</v>
      </c>
      <c r="BQ5" s="599"/>
      <c r="BR5" s="599"/>
      <c r="BS5" s="600"/>
      <c r="BT5" s="598" t="s">
        <v>1308</v>
      </c>
      <c r="BU5" s="599"/>
      <c r="BV5" s="599"/>
      <c r="BW5" s="600"/>
      <c r="BX5" s="598" t="s">
        <v>1308</v>
      </c>
      <c r="BY5" s="599"/>
      <c r="BZ5" s="599"/>
      <c r="CA5" s="600"/>
      <c r="CB5" s="598" t="s">
        <v>1308</v>
      </c>
      <c r="CC5" s="599"/>
      <c r="CD5" s="599"/>
      <c r="CE5" s="600"/>
      <c r="CF5" s="598" t="s">
        <v>1308</v>
      </c>
      <c r="CG5" s="599"/>
      <c r="CH5" s="599"/>
      <c r="CI5" s="600"/>
      <c r="CJ5" s="598" t="s">
        <v>1308</v>
      </c>
      <c r="CK5" s="599"/>
      <c r="CL5" s="599"/>
      <c r="CM5" s="600"/>
      <c r="CN5" s="598" t="s">
        <v>1308</v>
      </c>
      <c r="CO5" s="599"/>
      <c r="CP5" s="599"/>
      <c r="CQ5" s="600"/>
      <c r="CR5" s="598" t="s">
        <v>1308</v>
      </c>
      <c r="CS5" s="599"/>
      <c r="CT5" s="599"/>
      <c r="CU5" s="600"/>
      <c r="CV5" s="598" t="s">
        <v>1308</v>
      </c>
      <c r="CW5" s="599"/>
      <c r="CX5" s="599"/>
      <c r="CY5" s="600"/>
      <c r="CZ5" s="598" t="s">
        <v>1308</v>
      </c>
      <c r="DA5" s="599"/>
      <c r="DB5" s="599"/>
      <c r="DC5" s="600"/>
      <c r="DD5" s="598" t="s">
        <v>1308</v>
      </c>
      <c r="DE5" s="599"/>
      <c r="DF5" s="599"/>
      <c r="DG5" s="600"/>
      <c r="DH5" s="598" t="s">
        <v>1308</v>
      </c>
      <c r="DI5" s="599"/>
      <c r="DJ5" s="599"/>
      <c r="DK5" s="600"/>
      <c r="DL5" s="598" t="s">
        <v>1308</v>
      </c>
      <c r="DM5" s="599"/>
      <c r="DN5" s="599"/>
      <c r="DO5" s="600"/>
      <c r="DP5" s="595" t="s">
        <v>1308</v>
      </c>
      <c r="DQ5" s="596"/>
      <c r="DR5" s="596"/>
      <c r="DS5" s="597"/>
      <c r="DT5" s="595" t="s">
        <v>1308</v>
      </c>
      <c r="DU5" s="596"/>
      <c r="DV5" s="596"/>
      <c r="DW5" s="597"/>
      <c r="DX5" s="595" t="s">
        <v>1308</v>
      </c>
      <c r="DY5" s="596"/>
      <c r="DZ5" s="596"/>
      <c r="EA5" s="597"/>
    </row>
    <row r="6" spans="1:132" ht="38.25" x14ac:dyDescent="0.2">
      <c r="A6" s="582"/>
      <c r="B6" s="582"/>
      <c r="C6" s="582"/>
      <c r="D6" s="582"/>
      <c r="E6" s="582"/>
      <c r="F6" s="583"/>
      <c r="G6" s="104" t="s">
        <v>1309</v>
      </c>
      <c r="H6" s="595">
        <v>2025</v>
      </c>
      <c r="I6" s="596"/>
      <c r="J6" s="596"/>
      <c r="K6" s="597"/>
      <c r="L6" s="595">
        <v>2025</v>
      </c>
      <c r="M6" s="596"/>
      <c r="N6" s="596"/>
      <c r="O6" s="597"/>
      <c r="P6" s="595">
        <v>2025</v>
      </c>
      <c r="Q6" s="596"/>
      <c r="R6" s="596"/>
      <c r="S6" s="597"/>
      <c r="T6" s="595">
        <v>2025</v>
      </c>
      <c r="U6" s="596"/>
      <c r="V6" s="596"/>
      <c r="W6" s="597"/>
      <c r="X6" s="595">
        <v>2025</v>
      </c>
      <c r="Y6" s="596"/>
      <c r="Z6" s="596"/>
      <c r="AA6" s="597"/>
      <c r="AB6" s="595">
        <v>2025</v>
      </c>
      <c r="AC6" s="596"/>
      <c r="AD6" s="596"/>
      <c r="AE6" s="597"/>
      <c r="AF6" s="595">
        <v>2025</v>
      </c>
      <c r="AG6" s="596"/>
      <c r="AH6" s="596"/>
      <c r="AI6" s="597"/>
      <c r="AJ6" s="595">
        <v>2025</v>
      </c>
      <c r="AK6" s="596"/>
      <c r="AL6" s="596"/>
      <c r="AM6" s="597"/>
      <c r="AN6" s="595">
        <v>2025</v>
      </c>
      <c r="AO6" s="596"/>
      <c r="AP6" s="596"/>
      <c r="AQ6" s="597"/>
      <c r="AR6" s="595">
        <v>2025</v>
      </c>
      <c r="AS6" s="596"/>
      <c r="AT6" s="596"/>
      <c r="AU6" s="597"/>
      <c r="AV6" s="595">
        <v>2025</v>
      </c>
      <c r="AW6" s="596"/>
      <c r="AX6" s="596"/>
      <c r="AY6" s="597"/>
      <c r="AZ6" s="595">
        <v>2025</v>
      </c>
      <c r="BA6" s="596"/>
      <c r="BB6" s="596"/>
      <c r="BC6" s="597"/>
      <c r="BD6" s="595">
        <v>2025</v>
      </c>
      <c r="BE6" s="596"/>
      <c r="BF6" s="596"/>
      <c r="BG6" s="597"/>
      <c r="BH6" s="595">
        <v>2025</v>
      </c>
      <c r="BI6" s="596"/>
      <c r="BJ6" s="596"/>
      <c r="BK6" s="597"/>
      <c r="BL6" s="595">
        <v>2025</v>
      </c>
      <c r="BM6" s="596"/>
      <c r="BN6" s="596"/>
      <c r="BO6" s="597"/>
      <c r="BP6" s="595">
        <v>2025</v>
      </c>
      <c r="BQ6" s="596"/>
      <c r="BR6" s="596"/>
      <c r="BS6" s="597"/>
      <c r="BT6" s="595">
        <v>2025</v>
      </c>
      <c r="BU6" s="596"/>
      <c r="BV6" s="596"/>
      <c r="BW6" s="597"/>
      <c r="BX6" s="595">
        <v>2025</v>
      </c>
      <c r="BY6" s="596"/>
      <c r="BZ6" s="596"/>
      <c r="CA6" s="597"/>
      <c r="CB6" s="595">
        <v>2025</v>
      </c>
      <c r="CC6" s="596"/>
      <c r="CD6" s="596"/>
      <c r="CE6" s="597"/>
      <c r="CF6" s="595">
        <v>2025</v>
      </c>
      <c r="CG6" s="596"/>
      <c r="CH6" s="596"/>
      <c r="CI6" s="597"/>
      <c r="CJ6" s="595">
        <v>2025</v>
      </c>
      <c r="CK6" s="596"/>
      <c r="CL6" s="596"/>
      <c r="CM6" s="597"/>
      <c r="CN6" s="595">
        <v>2025</v>
      </c>
      <c r="CO6" s="596"/>
      <c r="CP6" s="596"/>
      <c r="CQ6" s="597"/>
      <c r="CR6" s="595">
        <v>2025</v>
      </c>
      <c r="CS6" s="596"/>
      <c r="CT6" s="596"/>
      <c r="CU6" s="597"/>
      <c r="CV6" s="595">
        <v>2025</v>
      </c>
      <c r="CW6" s="596"/>
      <c r="CX6" s="596"/>
      <c r="CY6" s="597"/>
      <c r="CZ6" s="595">
        <v>2025</v>
      </c>
      <c r="DA6" s="596"/>
      <c r="DB6" s="596"/>
      <c r="DC6" s="597"/>
      <c r="DD6" s="595">
        <v>2025</v>
      </c>
      <c r="DE6" s="596"/>
      <c r="DF6" s="596"/>
      <c r="DG6" s="597"/>
      <c r="DH6" s="595">
        <v>2025</v>
      </c>
      <c r="DI6" s="596"/>
      <c r="DJ6" s="596"/>
      <c r="DK6" s="597"/>
      <c r="DL6" s="595">
        <v>2025</v>
      </c>
      <c r="DM6" s="596"/>
      <c r="DN6" s="596"/>
      <c r="DO6" s="597"/>
      <c r="DP6" s="595">
        <v>2025</v>
      </c>
      <c r="DQ6" s="596"/>
      <c r="DR6" s="596"/>
      <c r="DS6" s="597"/>
      <c r="DT6" s="595">
        <v>2025</v>
      </c>
      <c r="DU6" s="596"/>
      <c r="DV6" s="596"/>
      <c r="DW6" s="597"/>
      <c r="DX6" s="595">
        <v>2025</v>
      </c>
      <c r="DY6" s="596"/>
      <c r="DZ6" s="596"/>
      <c r="EA6" s="597"/>
    </row>
    <row r="7" spans="1:132" ht="38.25" x14ac:dyDescent="0.2">
      <c r="A7" s="582"/>
      <c r="B7" s="582"/>
      <c r="C7" s="582"/>
      <c r="D7" s="582"/>
      <c r="E7" s="582"/>
      <c r="F7" s="583"/>
      <c r="G7" s="104" t="s">
        <v>1310</v>
      </c>
      <c r="H7" s="595"/>
      <c r="I7" s="596"/>
      <c r="J7" s="596"/>
      <c r="K7" s="597"/>
      <c r="L7" s="595"/>
      <c r="M7" s="596"/>
      <c r="N7" s="596"/>
      <c r="O7" s="597"/>
      <c r="P7" s="595"/>
      <c r="Q7" s="596"/>
      <c r="R7" s="596"/>
      <c r="S7" s="597"/>
      <c r="T7" s="595"/>
      <c r="U7" s="596"/>
      <c r="V7" s="596"/>
      <c r="W7" s="597"/>
      <c r="X7" s="595"/>
      <c r="Y7" s="596"/>
      <c r="Z7" s="596"/>
      <c r="AA7" s="597"/>
      <c r="AB7" s="595"/>
      <c r="AC7" s="596"/>
      <c r="AD7" s="596"/>
      <c r="AE7" s="597"/>
      <c r="AF7" s="595"/>
      <c r="AG7" s="596"/>
      <c r="AH7" s="596"/>
      <c r="AI7" s="597"/>
      <c r="AJ7" s="595"/>
      <c r="AK7" s="596"/>
      <c r="AL7" s="596"/>
      <c r="AM7" s="597"/>
      <c r="AN7" s="595"/>
      <c r="AO7" s="596"/>
      <c r="AP7" s="596"/>
      <c r="AQ7" s="597"/>
      <c r="AR7" s="595"/>
      <c r="AS7" s="596"/>
      <c r="AT7" s="596"/>
      <c r="AU7" s="597"/>
      <c r="AV7" s="595"/>
      <c r="AW7" s="596"/>
      <c r="AX7" s="596"/>
      <c r="AY7" s="597"/>
      <c r="AZ7" s="595"/>
      <c r="BA7" s="596"/>
      <c r="BB7" s="596"/>
      <c r="BC7" s="597"/>
      <c r="BD7" s="595"/>
      <c r="BE7" s="596"/>
      <c r="BF7" s="596"/>
      <c r="BG7" s="597"/>
      <c r="BH7" s="595"/>
      <c r="BI7" s="596"/>
      <c r="BJ7" s="596"/>
      <c r="BK7" s="597"/>
      <c r="BL7" s="595"/>
      <c r="BM7" s="596"/>
      <c r="BN7" s="596"/>
      <c r="BO7" s="597"/>
      <c r="BP7" s="595"/>
      <c r="BQ7" s="596"/>
      <c r="BR7" s="596"/>
      <c r="BS7" s="597"/>
      <c r="BT7" s="595"/>
      <c r="BU7" s="596"/>
      <c r="BV7" s="596"/>
      <c r="BW7" s="597"/>
      <c r="BX7" s="595"/>
      <c r="BY7" s="596"/>
      <c r="BZ7" s="596"/>
      <c r="CA7" s="597"/>
      <c r="CB7" s="595"/>
      <c r="CC7" s="596"/>
      <c r="CD7" s="596"/>
      <c r="CE7" s="597"/>
      <c r="CF7" s="595"/>
      <c r="CG7" s="596"/>
      <c r="CH7" s="596"/>
      <c r="CI7" s="597"/>
      <c r="CJ7" s="595"/>
      <c r="CK7" s="596"/>
      <c r="CL7" s="596"/>
      <c r="CM7" s="597"/>
      <c r="CN7" s="595"/>
      <c r="CO7" s="596"/>
      <c r="CP7" s="596"/>
      <c r="CQ7" s="597"/>
      <c r="CR7" s="595"/>
      <c r="CS7" s="596"/>
      <c r="CT7" s="596"/>
      <c r="CU7" s="597"/>
      <c r="CV7" s="595"/>
      <c r="CW7" s="596"/>
      <c r="CX7" s="596"/>
      <c r="CY7" s="597"/>
      <c r="CZ7" s="595"/>
      <c r="DA7" s="596"/>
      <c r="DB7" s="596"/>
      <c r="DC7" s="597"/>
      <c r="DD7" s="595"/>
      <c r="DE7" s="596"/>
      <c r="DF7" s="596"/>
      <c r="DG7" s="597"/>
      <c r="DH7" s="595"/>
      <c r="DI7" s="596"/>
      <c r="DJ7" s="596"/>
      <c r="DK7" s="597"/>
      <c r="DL7" s="595"/>
      <c r="DM7" s="596"/>
      <c r="DN7" s="596"/>
      <c r="DO7" s="597"/>
      <c r="DP7" s="595"/>
      <c r="DQ7" s="596"/>
      <c r="DR7" s="596"/>
      <c r="DS7" s="597"/>
      <c r="DT7" s="595"/>
      <c r="DU7" s="596"/>
      <c r="DV7" s="596"/>
      <c r="DW7" s="597"/>
      <c r="DX7" s="595"/>
      <c r="DY7" s="596"/>
      <c r="DZ7" s="596"/>
      <c r="EA7" s="597"/>
    </row>
    <row r="8" spans="1:132" ht="26.25" thickBot="1" x14ac:dyDescent="0.25">
      <c r="A8" s="584"/>
      <c r="B8" s="584"/>
      <c r="C8" s="584"/>
      <c r="D8" s="584"/>
      <c r="E8" s="584"/>
      <c r="F8" s="585"/>
      <c r="G8" s="108" t="s">
        <v>1311</v>
      </c>
      <c r="H8" s="589"/>
      <c r="I8" s="590"/>
      <c r="J8" s="590"/>
      <c r="K8" s="591"/>
      <c r="L8" s="589"/>
      <c r="M8" s="590"/>
      <c r="N8" s="590"/>
      <c r="O8" s="591"/>
      <c r="P8" s="579"/>
      <c r="Q8" s="580"/>
      <c r="R8" s="580"/>
      <c r="S8" s="581"/>
      <c r="T8" s="579"/>
      <c r="U8" s="580"/>
      <c r="V8" s="580"/>
      <c r="W8" s="581"/>
      <c r="X8" s="579"/>
      <c r="Y8" s="580"/>
      <c r="Z8" s="580"/>
      <c r="AA8" s="581"/>
      <c r="AB8" s="579"/>
      <c r="AC8" s="580"/>
      <c r="AD8" s="580"/>
      <c r="AE8" s="581"/>
      <c r="AF8" s="579"/>
      <c r="AG8" s="580"/>
      <c r="AH8" s="580"/>
      <c r="AI8" s="581"/>
      <c r="AJ8" s="579"/>
      <c r="AK8" s="580"/>
      <c r="AL8" s="580"/>
      <c r="AM8" s="581"/>
      <c r="AN8" s="579"/>
      <c r="AO8" s="580"/>
      <c r="AP8" s="580"/>
      <c r="AQ8" s="581"/>
      <c r="AR8" s="579"/>
      <c r="AS8" s="580"/>
      <c r="AT8" s="580"/>
      <c r="AU8" s="581"/>
      <c r="AV8" s="579"/>
      <c r="AW8" s="580"/>
      <c r="AX8" s="580"/>
      <c r="AY8" s="581"/>
      <c r="AZ8" s="579"/>
      <c r="BA8" s="580"/>
      <c r="BB8" s="580"/>
      <c r="BC8" s="581"/>
      <c r="BD8" s="579"/>
      <c r="BE8" s="580"/>
      <c r="BF8" s="580"/>
      <c r="BG8" s="581"/>
      <c r="BH8" s="579"/>
      <c r="BI8" s="580"/>
      <c r="BJ8" s="580"/>
      <c r="BK8" s="581"/>
      <c r="BL8" s="579"/>
      <c r="BM8" s="580"/>
      <c r="BN8" s="580"/>
      <c r="BO8" s="581"/>
      <c r="BP8" s="579"/>
      <c r="BQ8" s="580"/>
      <c r="BR8" s="580"/>
      <c r="BS8" s="581"/>
      <c r="BT8" s="579"/>
      <c r="BU8" s="580"/>
      <c r="BV8" s="580"/>
      <c r="BW8" s="581"/>
      <c r="BX8" s="579"/>
      <c r="BY8" s="580"/>
      <c r="BZ8" s="580"/>
      <c r="CA8" s="581"/>
      <c r="CB8" s="592" t="s">
        <v>1312</v>
      </c>
      <c r="CC8" s="593"/>
      <c r="CD8" s="593"/>
      <c r="CE8" s="593"/>
      <c r="CF8" s="593"/>
      <c r="CG8" s="593"/>
      <c r="CH8" s="593"/>
      <c r="CI8" s="593"/>
      <c r="CJ8" s="593"/>
      <c r="CK8" s="593"/>
      <c r="CL8" s="593"/>
      <c r="CM8" s="594"/>
      <c r="CN8" s="579"/>
      <c r="CO8" s="580"/>
      <c r="CP8" s="580"/>
      <c r="CQ8" s="581"/>
      <c r="CR8" s="579"/>
      <c r="CS8" s="580"/>
      <c r="CT8" s="580"/>
      <c r="CU8" s="581"/>
      <c r="CV8" s="579"/>
      <c r="CW8" s="580"/>
      <c r="CX8" s="580"/>
      <c r="CY8" s="581"/>
      <c r="CZ8" s="579"/>
      <c r="DA8" s="580"/>
      <c r="DB8" s="580"/>
      <c r="DC8" s="581"/>
      <c r="DD8" s="579"/>
      <c r="DE8" s="580"/>
      <c r="DF8" s="580"/>
      <c r="DG8" s="581"/>
      <c r="DH8" s="579"/>
      <c r="DI8" s="580"/>
      <c r="DJ8" s="580"/>
      <c r="DK8" s="581"/>
      <c r="DL8" s="579"/>
      <c r="DM8" s="580"/>
      <c r="DN8" s="580"/>
      <c r="DO8" s="581"/>
      <c r="DP8" s="589"/>
      <c r="DQ8" s="590"/>
      <c r="DR8" s="590"/>
      <c r="DS8" s="591"/>
      <c r="DT8" s="589"/>
      <c r="DU8" s="590"/>
      <c r="DV8" s="590"/>
      <c r="DW8" s="591"/>
      <c r="DX8" s="589"/>
      <c r="DY8" s="590"/>
      <c r="DZ8" s="590"/>
      <c r="EA8" s="591"/>
    </row>
    <row r="9" spans="1:132" ht="64.5" thickBot="1" x14ac:dyDescent="0.25">
      <c r="A9" s="109" t="s">
        <v>1313</v>
      </c>
      <c r="B9" s="110" t="s">
        <v>1314</v>
      </c>
      <c r="C9" s="110" t="s">
        <v>1315</v>
      </c>
      <c r="D9" s="110" t="s">
        <v>1316</v>
      </c>
      <c r="E9" s="111" t="s">
        <v>1317</v>
      </c>
      <c r="F9" s="112" t="s">
        <v>1318</v>
      </c>
      <c r="G9" s="113" t="s">
        <v>1319</v>
      </c>
      <c r="H9" s="109" t="s">
        <v>1320</v>
      </c>
      <c r="I9" s="110" t="s">
        <v>1321</v>
      </c>
      <c r="J9" s="110" t="s">
        <v>1322</v>
      </c>
      <c r="K9" s="111" t="s">
        <v>1323</v>
      </c>
      <c r="L9" s="109" t="s">
        <v>1320</v>
      </c>
      <c r="M9" s="110" t="s">
        <v>1321</v>
      </c>
      <c r="N9" s="110" t="s">
        <v>1322</v>
      </c>
      <c r="O9" s="111" t="s">
        <v>1323</v>
      </c>
      <c r="P9" s="109" t="s">
        <v>1320</v>
      </c>
      <c r="Q9" s="110" t="s">
        <v>1321</v>
      </c>
      <c r="R9" s="110" t="s">
        <v>1322</v>
      </c>
      <c r="S9" s="111" t="s">
        <v>1323</v>
      </c>
      <c r="T9" s="109" t="s">
        <v>1320</v>
      </c>
      <c r="U9" s="110" t="s">
        <v>1321</v>
      </c>
      <c r="V9" s="110" t="s">
        <v>1322</v>
      </c>
      <c r="W9" s="111" t="s">
        <v>1323</v>
      </c>
      <c r="X9" s="109" t="s">
        <v>1320</v>
      </c>
      <c r="Y9" s="110" t="s">
        <v>1321</v>
      </c>
      <c r="Z9" s="110" t="s">
        <v>1322</v>
      </c>
      <c r="AA9" s="111" t="s">
        <v>1323</v>
      </c>
      <c r="AB9" s="109" t="s">
        <v>1320</v>
      </c>
      <c r="AC9" s="110" t="s">
        <v>1321</v>
      </c>
      <c r="AD9" s="110" t="s">
        <v>1322</v>
      </c>
      <c r="AE9" s="111" t="s">
        <v>1323</v>
      </c>
      <c r="AF9" s="109" t="s">
        <v>1320</v>
      </c>
      <c r="AG9" s="110" t="s">
        <v>1321</v>
      </c>
      <c r="AH9" s="110" t="s">
        <v>1322</v>
      </c>
      <c r="AI9" s="111" t="s">
        <v>1323</v>
      </c>
      <c r="AJ9" s="109" t="s">
        <v>1320</v>
      </c>
      <c r="AK9" s="110" t="s">
        <v>1321</v>
      </c>
      <c r="AL9" s="110" t="s">
        <v>1322</v>
      </c>
      <c r="AM9" s="111" t="s">
        <v>1323</v>
      </c>
      <c r="AN9" s="109" t="s">
        <v>1320</v>
      </c>
      <c r="AO9" s="110" t="s">
        <v>1321</v>
      </c>
      <c r="AP9" s="110" t="s">
        <v>1322</v>
      </c>
      <c r="AQ9" s="111" t="s">
        <v>1323</v>
      </c>
      <c r="AR9" s="109" t="s">
        <v>1320</v>
      </c>
      <c r="AS9" s="110" t="s">
        <v>1321</v>
      </c>
      <c r="AT9" s="110" t="s">
        <v>1322</v>
      </c>
      <c r="AU9" s="111" t="s">
        <v>1323</v>
      </c>
      <c r="AV9" s="109" t="s">
        <v>1320</v>
      </c>
      <c r="AW9" s="110" t="s">
        <v>1321</v>
      </c>
      <c r="AX9" s="110" t="s">
        <v>1322</v>
      </c>
      <c r="AY9" s="111" t="s">
        <v>1323</v>
      </c>
      <c r="AZ9" s="109" t="s">
        <v>1320</v>
      </c>
      <c r="BA9" s="110" t="s">
        <v>1321</v>
      </c>
      <c r="BB9" s="110" t="s">
        <v>1322</v>
      </c>
      <c r="BC9" s="111" t="s">
        <v>1323</v>
      </c>
      <c r="BD9" s="109" t="s">
        <v>1320</v>
      </c>
      <c r="BE9" s="110" t="s">
        <v>1321</v>
      </c>
      <c r="BF9" s="110" t="s">
        <v>1322</v>
      </c>
      <c r="BG9" s="111" t="s">
        <v>1323</v>
      </c>
      <c r="BH9" s="109" t="s">
        <v>1320</v>
      </c>
      <c r="BI9" s="110" t="s">
        <v>1321</v>
      </c>
      <c r="BJ9" s="110" t="s">
        <v>1322</v>
      </c>
      <c r="BK9" s="111" t="s">
        <v>1323</v>
      </c>
      <c r="BL9" s="109" t="s">
        <v>1320</v>
      </c>
      <c r="BM9" s="110" t="s">
        <v>1321</v>
      </c>
      <c r="BN9" s="110" t="s">
        <v>1322</v>
      </c>
      <c r="BO9" s="111" t="s">
        <v>1323</v>
      </c>
      <c r="BP9" s="109" t="s">
        <v>1320</v>
      </c>
      <c r="BQ9" s="110" t="s">
        <v>1321</v>
      </c>
      <c r="BR9" s="110" t="s">
        <v>1322</v>
      </c>
      <c r="BS9" s="111" t="s">
        <v>1323</v>
      </c>
      <c r="BT9" s="109" t="s">
        <v>1320</v>
      </c>
      <c r="BU9" s="110" t="s">
        <v>1321</v>
      </c>
      <c r="BV9" s="110" t="s">
        <v>1322</v>
      </c>
      <c r="BW9" s="111" t="s">
        <v>1323</v>
      </c>
      <c r="BX9" s="109" t="s">
        <v>1320</v>
      </c>
      <c r="BY9" s="110" t="s">
        <v>1321</v>
      </c>
      <c r="BZ9" s="110" t="s">
        <v>1322</v>
      </c>
      <c r="CA9" s="111" t="s">
        <v>1323</v>
      </c>
      <c r="CB9" s="109" t="s">
        <v>1320</v>
      </c>
      <c r="CC9" s="110" t="s">
        <v>1321</v>
      </c>
      <c r="CD9" s="110" t="s">
        <v>1322</v>
      </c>
      <c r="CE9" s="111" t="s">
        <v>1323</v>
      </c>
      <c r="CF9" s="109" t="s">
        <v>1320</v>
      </c>
      <c r="CG9" s="110" t="s">
        <v>1321</v>
      </c>
      <c r="CH9" s="110" t="s">
        <v>1322</v>
      </c>
      <c r="CI9" s="111" t="s">
        <v>1323</v>
      </c>
      <c r="CJ9" s="109" t="s">
        <v>1320</v>
      </c>
      <c r="CK9" s="110" t="s">
        <v>1321</v>
      </c>
      <c r="CL9" s="110" t="s">
        <v>1322</v>
      </c>
      <c r="CM9" s="111" t="s">
        <v>1323</v>
      </c>
      <c r="CN9" s="109" t="s">
        <v>1320</v>
      </c>
      <c r="CO9" s="110" t="s">
        <v>1321</v>
      </c>
      <c r="CP9" s="110" t="s">
        <v>1322</v>
      </c>
      <c r="CQ9" s="111" t="s">
        <v>1323</v>
      </c>
      <c r="CR9" s="109" t="s">
        <v>1320</v>
      </c>
      <c r="CS9" s="110" t="s">
        <v>1321</v>
      </c>
      <c r="CT9" s="110" t="s">
        <v>1322</v>
      </c>
      <c r="CU9" s="111" t="s">
        <v>1323</v>
      </c>
      <c r="CV9" s="109" t="s">
        <v>1320</v>
      </c>
      <c r="CW9" s="110" t="s">
        <v>1321</v>
      </c>
      <c r="CX9" s="110" t="s">
        <v>1322</v>
      </c>
      <c r="CY9" s="111" t="s">
        <v>1323</v>
      </c>
      <c r="CZ9" s="109" t="s">
        <v>1320</v>
      </c>
      <c r="DA9" s="110" t="s">
        <v>1321</v>
      </c>
      <c r="DB9" s="110" t="s">
        <v>1322</v>
      </c>
      <c r="DC9" s="111" t="s">
        <v>1323</v>
      </c>
      <c r="DD9" s="109" t="s">
        <v>1320</v>
      </c>
      <c r="DE9" s="110" t="s">
        <v>1321</v>
      </c>
      <c r="DF9" s="110" t="s">
        <v>1322</v>
      </c>
      <c r="DG9" s="111" t="s">
        <v>1323</v>
      </c>
      <c r="DH9" s="109" t="s">
        <v>1320</v>
      </c>
      <c r="DI9" s="110" t="s">
        <v>1321</v>
      </c>
      <c r="DJ9" s="110" t="s">
        <v>1322</v>
      </c>
      <c r="DK9" s="111" t="s">
        <v>1323</v>
      </c>
      <c r="DL9" s="109" t="s">
        <v>1320</v>
      </c>
      <c r="DM9" s="110" t="s">
        <v>1321</v>
      </c>
      <c r="DN9" s="110" t="s">
        <v>1322</v>
      </c>
      <c r="DO9" s="111" t="s">
        <v>1323</v>
      </c>
      <c r="DP9" s="109" t="s">
        <v>1320</v>
      </c>
      <c r="DQ9" s="110" t="s">
        <v>1321</v>
      </c>
      <c r="DR9" s="110" t="s">
        <v>1322</v>
      </c>
      <c r="DS9" s="111" t="s">
        <v>1323</v>
      </c>
      <c r="DT9" s="109" t="s">
        <v>1320</v>
      </c>
      <c r="DU9" s="110" t="s">
        <v>1321</v>
      </c>
      <c r="DV9" s="110" t="s">
        <v>1322</v>
      </c>
      <c r="DW9" s="111" t="s">
        <v>1323</v>
      </c>
      <c r="DX9" s="109" t="s">
        <v>1320</v>
      </c>
      <c r="DY9" s="110" t="s">
        <v>1321</v>
      </c>
      <c r="DZ9" s="110" t="s">
        <v>1322</v>
      </c>
      <c r="EA9" s="111" t="s">
        <v>1323</v>
      </c>
    </row>
    <row r="10" spans="1:132" ht="140.25" x14ac:dyDescent="0.2">
      <c r="A10" s="114" t="s">
        <v>1324</v>
      </c>
      <c r="B10" s="115" t="s">
        <v>1325</v>
      </c>
      <c r="C10" s="115" t="s">
        <v>1326</v>
      </c>
      <c r="D10" s="115" t="s">
        <v>1327</v>
      </c>
      <c r="E10" s="116" t="s">
        <v>1328</v>
      </c>
      <c r="F10" s="117" t="s">
        <v>1329</v>
      </c>
      <c r="G10" s="118" t="s">
        <v>1330</v>
      </c>
      <c r="H10" s="119" t="s">
        <v>1331</v>
      </c>
      <c r="I10" s="119" t="s">
        <v>1331</v>
      </c>
      <c r="J10" s="120">
        <v>12379</v>
      </c>
      <c r="K10" s="121">
        <v>3295.15</v>
      </c>
      <c r="L10" s="119" t="s">
        <v>1332</v>
      </c>
      <c r="M10" s="119" t="s">
        <v>1332</v>
      </c>
      <c r="N10" s="120">
        <v>7382</v>
      </c>
      <c r="O10" s="121">
        <v>1770.92</v>
      </c>
      <c r="P10" s="119"/>
      <c r="Q10" s="119"/>
      <c r="R10" s="120"/>
      <c r="S10" s="121"/>
      <c r="T10" s="119"/>
      <c r="U10" s="119"/>
      <c r="V10" s="120"/>
      <c r="W10" s="121"/>
      <c r="X10" s="119" t="s">
        <v>1333</v>
      </c>
      <c r="Y10" s="119" t="s">
        <v>1334</v>
      </c>
      <c r="Z10" s="120">
        <v>4399</v>
      </c>
      <c r="AA10" s="121">
        <v>989.36</v>
      </c>
      <c r="AB10" s="119"/>
      <c r="AC10" s="119"/>
      <c r="AD10" s="120"/>
      <c r="AE10" s="121"/>
      <c r="AF10" s="119" t="s">
        <v>1335</v>
      </c>
      <c r="AG10" s="119" t="s">
        <v>1335</v>
      </c>
      <c r="AH10" s="120">
        <v>2254</v>
      </c>
      <c r="AI10" s="121">
        <v>694.8</v>
      </c>
      <c r="AJ10" s="119"/>
      <c r="AK10" s="122"/>
      <c r="AL10" s="120"/>
      <c r="AM10" s="121"/>
      <c r="AN10" s="119" t="s">
        <v>1336</v>
      </c>
      <c r="AO10" s="122" t="s">
        <v>1337</v>
      </c>
      <c r="AP10" s="120">
        <v>2124</v>
      </c>
      <c r="AQ10" s="121">
        <v>694.63</v>
      </c>
      <c r="AR10" s="119" t="s">
        <v>1338</v>
      </c>
      <c r="AS10" s="122" t="s">
        <v>1339</v>
      </c>
      <c r="AT10" s="120">
        <v>3027</v>
      </c>
      <c r="AU10" s="121">
        <v>834.55</v>
      </c>
      <c r="AV10" s="119"/>
      <c r="AW10" s="122"/>
      <c r="AX10" s="120"/>
      <c r="AY10" s="121"/>
      <c r="AZ10" s="119" t="s">
        <v>1340</v>
      </c>
      <c r="BA10" s="122" t="s">
        <v>1341</v>
      </c>
      <c r="BB10" s="120">
        <v>2524</v>
      </c>
      <c r="BC10" s="121">
        <v>750.18</v>
      </c>
      <c r="BD10" s="123"/>
      <c r="BE10" s="122"/>
      <c r="BF10" s="120"/>
      <c r="BG10" s="121"/>
      <c r="BH10" s="123" t="s">
        <v>1342</v>
      </c>
      <c r="BI10" s="122" t="s">
        <v>1343</v>
      </c>
      <c r="BJ10" s="120">
        <v>3240</v>
      </c>
      <c r="BK10" s="121">
        <v>856.87</v>
      </c>
      <c r="BL10" s="123"/>
      <c r="BM10" s="124"/>
      <c r="BN10" s="120"/>
      <c r="BO10" s="121"/>
      <c r="BP10" s="125" t="s">
        <v>1344</v>
      </c>
      <c r="BQ10" s="122" t="s">
        <v>1345</v>
      </c>
      <c r="BR10" s="120">
        <v>5022</v>
      </c>
      <c r="BS10" s="126">
        <v>1745.05</v>
      </c>
      <c r="BT10" s="123"/>
      <c r="BU10" s="124"/>
      <c r="BV10" s="120"/>
      <c r="BW10" s="126"/>
      <c r="BX10" s="127"/>
      <c r="BY10" s="127"/>
      <c r="BZ10" s="120"/>
      <c r="CA10" s="126"/>
      <c r="CB10" s="127"/>
      <c r="CC10" s="127"/>
      <c r="CD10" s="120"/>
      <c r="CE10" s="126"/>
      <c r="CF10" s="127" t="s">
        <v>1346</v>
      </c>
      <c r="CG10" s="127" t="s">
        <v>1347</v>
      </c>
      <c r="CH10" s="120">
        <v>12864</v>
      </c>
      <c r="CI10" s="126">
        <v>3275.03</v>
      </c>
      <c r="CJ10" s="127" t="s">
        <v>1348</v>
      </c>
      <c r="CK10" s="127" t="s">
        <v>1349</v>
      </c>
      <c r="CL10" s="120">
        <v>6387</v>
      </c>
      <c r="CM10" s="126">
        <v>1956.47</v>
      </c>
      <c r="CN10" s="128" t="s">
        <v>1350</v>
      </c>
      <c r="CO10" s="128" t="s">
        <v>1350</v>
      </c>
      <c r="CP10" s="120">
        <v>29562</v>
      </c>
      <c r="CQ10" s="126">
        <v>8054.69</v>
      </c>
      <c r="CR10" s="128" t="s">
        <v>1350</v>
      </c>
      <c r="CS10" s="128" t="s">
        <v>1350</v>
      </c>
      <c r="CT10" s="120">
        <v>29562</v>
      </c>
      <c r="CU10" s="126">
        <v>8054.69</v>
      </c>
      <c r="CV10" s="128"/>
      <c r="CW10" s="129"/>
      <c r="CX10" s="120"/>
      <c r="CY10" s="126"/>
      <c r="CZ10" s="128"/>
      <c r="DA10" s="129"/>
      <c r="DB10" s="120"/>
      <c r="DC10" s="126"/>
      <c r="DD10" s="128"/>
      <c r="DE10" s="129"/>
      <c r="DF10" s="120"/>
      <c r="DG10" s="126"/>
      <c r="DH10" s="128"/>
      <c r="DI10" s="129"/>
      <c r="DJ10" s="120"/>
      <c r="DK10" s="126"/>
      <c r="DL10" s="128"/>
      <c r="DM10" s="129"/>
      <c r="DN10" s="120"/>
      <c r="DO10" s="126"/>
      <c r="DP10" s="127" t="s">
        <v>1351</v>
      </c>
      <c r="DQ10" s="127" t="s">
        <v>1351</v>
      </c>
      <c r="DR10" s="120">
        <v>11290</v>
      </c>
      <c r="DS10" s="126">
        <v>3012.55</v>
      </c>
      <c r="DT10" s="127" t="s">
        <v>1351</v>
      </c>
      <c r="DU10" s="127" t="s">
        <v>1351</v>
      </c>
      <c r="DV10" s="120">
        <v>11290</v>
      </c>
      <c r="DW10" s="126">
        <v>3012.55</v>
      </c>
      <c r="DX10" s="127" t="s">
        <v>1351</v>
      </c>
      <c r="DY10" s="127" t="s">
        <v>1351</v>
      </c>
      <c r="DZ10" s="120">
        <v>11290</v>
      </c>
      <c r="EA10" s="126">
        <v>3012.55</v>
      </c>
    </row>
    <row r="11" spans="1:132" ht="63.75" x14ac:dyDescent="0.2">
      <c r="A11" s="130" t="s">
        <v>1352</v>
      </c>
      <c r="B11" s="131" t="s">
        <v>1353</v>
      </c>
      <c r="C11" s="131" t="s">
        <v>1326</v>
      </c>
      <c r="D11" s="131" t="s">
        <v>1327</v>
      </c>
      <c r="E11" s="132" t="s">
        <v>1328</v>
      </c>
      <c r="F11" s="133" t="s">
        <v>1354</v>
      </c>
      <c r="G11" s="134" t="s">
        <v>1355</v>
      </c>
      <c r="H11" s="123" t="s">
        <v>1331</v>
      </c>
      <c r="I11" s="122" t="s">
        <v>1331</v>
      </c>
      <c r="J11" s="135">
        <v>10297</v>
      </c>
      <c r="K11" s="136">
        <v>2679.48</v>
      </c>
      <c r="L11" s="123" t="s">
        <v>1332</v>
      </c>
      <c r="M11" s="122" t="s">
        <v>1332</v>
      </c>
      <c r="N11" s="135">
        <v>5690</v>
      </c>
      <c r="O11" s="136">
        <v>1182.83</v>
      </c>
      <c r="P11" s="123"/>
      <c r="Q11" s="122"/>
      <c r="R11" s="135"/>
      <c r="S11" s="136"/>
      <c r="T11" s="123"/>
      <c r="U11" s="122"/>
      <c r="V11" s="135"/>
      <c r="W11" s="136"/>
      <c r="X11" s="123" t="s">
        <v>1333</v>
      </c>
      <c r="Y11" s="122" t="s">
        <v>1334</v>
      </c>
      <c r="Z11" s="135">
        <v>3139</v>
      </c>
      <c r="AA11" s="136">
        <v>589.1</v>
      </c>
      <c r="AB11" s="123"/>
      <c r="AC11" s="122"/>
      <c r="AD11" s="135"/>
      <c r="AE11" s="136"/>
      <c r="AF11" s="123" t="s">
        <v>1335</v>
      </c>
      <c r="AG11" s="122" t="s">
        <v>1335</v>
      </c>
      <c r="AH11" s="135">
        <v>594</v>
      </c>
      <c r="AI11" s="136">
        <v>255.06</v>
      </c>
      <c r="AJ11" s="123"/>
      <c r="AK11" s="122"/>
      <c r="AL11" s="135"/>
      <c r="AM11" s="136"/>
      <c r="AN11" s="123" t="s">
        <v>1336</v>
      </c>
      <c r="AO11" s="122" t="s">
        <v>1337</v>
      </c>
      <c r="AP11" s="135">
        <v>748</v>
      </c>
      <c r="AQ11" s="136">
        <v>280.19</v>
      </c>
      <c r="AR11" s="123" t="s">
        <v>1338</v>
      </c>
      <c r="AS11" s="122" t="s">
        <v>1356</v>
      </c>
      <c r="AT11" s="135">
        <v>1429</v>
      </c>
      <c r="AU11" s="136">
        <v>377.54</v>
      </c>
      <c r="AV11" s="123"/>
      <c r="AW11" s="122"/>
      <c r="AX11" s="135"/>
      <c r="AY11" s="136"/>
      <c r="AZ11" s="123" t="s">
        <v>1340</v>
      </c>
      <c r="BA11" s="122" t="s">
        <v>1341</v>
      </c>
      <c r="BB11" s="135">
        <v>3481</v>
      </c>
      <c r="BC11" s="136">
        <v>650.72</v>
      </c>
      <c r="BD11" s="123"/>
      <c r="BE11" s="122"/>
      <c r="BF11" s="135"/>
      <c r="BG11" s="136"/>
      <c r="BH11" s="123" t="s">
        <v>1342</v>
      </c>
      <c r="BI11" s="122" t="s">
        <v>1343</v>
      </c>
      <c r="BJ11" s="135">
        <v>5695</v>
      </c>
      <c r="BK11" s="136">
        <v>949.7</v>
      </c>
      <c r="BL11" s="123"/>
      <c r="BM11" s="122"/>
      <c r="BN11" s="135"/>
      <c r="BO11" s="136"/>
      <c r="BP11" s="137" t="s">
        <v>1357</v>
      </c>
      <c r="BQ11" s="138" t="s">
        <v>1345</v>
      </c>
      <c r="BR11" s="135">
        <v>7454</v>
      </c>
      <c r="BS11" s="139">
        <v>1601.23</v>
      </c>
      <c r="BT11" s="123"/>
      <c r="BU11" s="122"/>
      <c r="BV11" s="135"/>
      <c r="BW11" s="139"/>
      <c r="BX11" s="127"/>
      <c r="BY11" s="127"/>
      <c r="BZ11" s="135"/>
      <c r="CA11" s="139"/>
      <c r="CB11" s="127"/>
      <c r="CC11" s="127"/>
      <c r="CD11" s="135"/>
      <c r="CE11" s="139"/>
      <c r="CF11" s="127" t="s">
        <v>1346</v>
      </c>
      <c r="CG11" s="127" t="s">
        <v>1347</v>
      </c>
      <c r="CH11" s="135">
        <v>14540</v>
      </c>
      <c r="CI11" s="139">
        <v>3385.16</v>
      </c>
      <c r="CJ11" s="127" t="s">
        <v>1348</v>
      </c>
      <c r="CK11" s="127" t="s">
        <v>1349</v>
      </c>
      <c r="CL11" s="135">
        <v>8059</v>
      </c>
      <c r="CM11" s="139">
        <v>1991.37</v>
      </c>
      <c r="CN11" s="127" t="s">
        <v>1350</v>
      </c>
      <c r="CO11" s="128" t="s">
        <v>1350</v>
      </c>
      <c r="CP11" s="135">
        <v>22599</v>
      </c>
      <c r="CQ11" s="139">
        <v>5376.53</v>
      </c>
      <c r="CR11" s="127" t="s">
        <v>1350</v>
      </c>
      <c r="CS11" s="128" t="s">
        <v>1350</v>
      </c>
      <c r="CT11" s="135">
        <v>22599</v>
      </c>
      <c r="CU11" s="139">
        <v>5376.53</v>
      </c>
      <c r="CV11" s="127"/>
      <c r="CW11" s="129"/>
      <c r="CX11" s="135"/>
      <c r="CY11" s="139"/>
      <c r="CZ11" s="127"/>
      <c r="DA11" s="129"/>
      <c r="DB11" s="135"/>
      <c r="DC11" s="139"/>
      <c r="DD11" s="127"/>
      <c r="DE11" s="129"/>
      <c r="DF11" s="135"/>
      <c r="DG11" s="139"/>
      <c r="DH11" s="127"/>
      <c r="DI11" s="129"/>
      <c r="DJ11" s="135"/>
      <c r="DK11" s="139"/>
      <c r="DL11" s="127"/>
      <c r="DM11" s="129"/>
      <c r="DN11" s="135"/>
      <c r="DO11" s="139"/>
      <c r="DP11" s="127" t="s">
        <v>1351</v>
      </c>
      <c r="DQ11" s="127" t="s">
        <v>1351</v>
      </c>
      <c r="DR11" s="135">
        <v>13040</v>
      </c>
      <c r="DS11" s="139">
        <v>3143.05</v>
      </c>
      <c r="DT11" s="127" t="s">
        <v>1351</v>
      </c>
      <c r="DU11" s="127" t="s">
        <v>1351</v>
      </c>
      <c r="DV11" s="135">
        <v>13040</v>
      </c>
      <c r="DW11" s="139">
        <v>3143.05</v>
      </c>
      <c r="DX11" s="127" t="s">
        <v>1351</v>
      </c>
      <c r="DY11" s="127" t="s">
        <v>1351</v>
      </c>
      <c r="DZ11" s="135">
        <v>13040</v>
      </c>
      <c r="EA11" s="139">
        <v>3143.05</v>
      </c>
    </row>
    <row r="12" spans="1:132" ht="89.25" x14ac:dyDescent="0.2">
      <c r="A12" s="130" t="s">
        <v>1358</v>
      </c>
      <c r="B12" s="131" t="s">
        <v>1359</v>
      </c>
      <c r="C12" s="131" t="s">
        <v>1326</v>
      </c>
      <c r="D12" s="131" t="s">
        <v>1327</v>
      </c>
      <c r="E12" s="132" t="s">
        <v>1328</v>
      </c>
      <c r="F12" s="133" t="s">
        <v>1360</v>
      </c>
      <c r="G12" s="134" t="s">
        <v>1361</v>
      </c>
      <c r="H12" s="119" t="s">
        <v>1331</v>
      </c>
      <c r="I12" s="122" t="s">
        <v>1331</v>
      </c>
      <c r="J12" s="135">
        <v>8024</v>
      </c>
      <c r="K12" s="136">
        <v>2177.0500000000002</v>
      </c>
      <c r="L12" s="119" t="s">
        <v>1332</v>
      </c>
      <c r="M12" s="122" t="s">
        <v>1332</v>
      </c>
      <c r="N12" s="135">
        <v>4474</v>
      </c>
      <c r="O12" s="136">
        <v>1100.17</v>
      </c>
      <c r="P12" s="119"/>
      <c r="Q12" s="122"/>
      <c r="R12" s="135"/>
      <c r="S12" s="136"/>
      <c r="T12" s="119"/>
      <c r="U12" s="122"/>
      <c r="V12" s="135"/>
      <c r="W12" s="136"/>
      <c r="X12" s="119" t="s">
        <v>1333</v>
      </c>
      <c r="Y12" s="122" t="s">
        <v>1334</v>
      </c>
      <c r="Z12" s="135">
        <v>4353</v>
      </c>
      <c r="AA12" s="136">
        <v>836.78</v>
      </c>
      <c r="AB12" s="119"/>
      <c r="AC12" s="122"/>
      <c r="AD12" s="135"/>
      <c r="AE12" s="136"/>
      <c r="AF12" s="119" t="s">
        <v>1335</v>
      </c>
      <c r="AG12" s="122" t="s">
        <v>1335</v>
      </c>
      <c r="AH12" s="135">
        <v>2508</v>
      </c>
      <c r="AI12" s="136">
        <v>582.04</v>
      </c>
      <c r="AJ12" s="119"/>
      <c r="AK12" s="122"/>
      <c r="AL12" s="135"/>
      <c r="AM12" s="136"/>
      <c r="AN12" s="119" t="s">
        <v>1336</v>
      </c>
      <c r="AO12" s="122" t="s">
        <v>1337</v>
      </c>
      <c r="AP12" s="135">
        <v>1365</v>
      </c>
      <c r="AQ12" s="136">
        <v>443.65</v>
      </c>
      <c r="AR12" s="119" t="s">
        <v>1338</v>
      </c>
      <c r="AS12" s="122" t="s">
        <v>1339</v>
      </c>
      <c r="AT12" s="135">
        <v>1934</v>
      </c>
      <c r="AU12" s="136">
        <v>526.39</v>
      </c>
      <c r="AV12" s="119"/>
      <c r="AW12" s="122"/>
      <c r="AX12" s="135"/>
      <c r="AY12" s="136"/>
      <c r="AZ12" s="119" t="s">
        <v>1340</v>
      </c>
      <c r="BA12" s="122" t="s">
        <v>1341</v>
      </c>
      <c r="BB12" s="135">
        <v>2776</v>
      </c>
      <c r="BC12" s="136">
        <v>635.05999999999995</v>
      </c>
      <c r="BD12" s="123"/>
      <c r="BE12" s="122"/>
      <c r="BF12" s="135"/>
      <c r="BG12" s="136"/>
      <c r="BH12" s="123" t="s">
        <v>1342</v>
      </c>
      <c r="BI12" s="122" t="s">
        <v>1343</v>
      </c>
      <c r="BJ12" s="135">
        <v>3003</v>
      </c>
      <c r="BK12" s="136">
        <v>674.84</v>
      </c>
      <c r="BL12" s="123"/>
      <c r="BM12" s="122"/>
      <c r="BN12" s="135"/>
      <c r="BO12" s="136"/>
      <c r="BP12" s="125" t="s">
        <v>1344</v>
      </c>
      <c r="BQ12" s="122" t="s">
        <v>1345</v>
      </c>
      <c r="BR12" s="135">
        <v>2963</v>
      </c>
      <c r="BS12" s="139">
        <v>1012.22</v>
      </c>
      <c r="BT12" s="123"/>
      <c r="BU12" s="122"/>
      <c r="BV12" s="135"/>
      <c r="BW12" s="139"/>
      <c r="BX12" s="127"/>
      <c r="BY12" s="127"/>
      <c r="BZ12" s="135"/>
      <c r="CA12" s="139"/>
      <c r="CB12" s="127"/>
      <c r="CC12" s="127"/>
      <c r="CD12" s="135"/>
      <c r="CE12" s="139"/>
      <c r="CF12" s="127" t="s">
        <v>1346</v>
      </c>
      <c r="CG12" s="127" t="s">
        <v>1347</v>
      </c>
      <c r="CH12" s="135">
        <v>7887</v>
      </c>
      <c r="CI12" s="139">
        <v>2108.3200000000002</v>
      </c>
      <c r="CJ12" s="127" t="s">
        <v>1348</v>
      </c>
      <c r="CK12" s="127" t="s">
        <v>1349</v>
      </c>
      <c r="CL12" s="135">
        <v>4765</v>
      </c>
      <c r="CM12" s="139">
        <v>1550.04</v>
      </c>
      <c r="CN12" s="127" t="s">
        <v>1350</v>
      </c>
      <c r="CO12" s="128" t="s">
        <v>1350</v>
      </c>
      <c r="CP12" s="135">
        <v>13012</v>
      </c>
      <c r="CQ12" s="139">
        <v>3658.36</v>
      </c>
      <c r="CR12" s="127" t="s">
        <v>1350</v>
      </c>
      <c r="CS12" s="128" t="s">
        <v>1350</v>
      </c>
      <c r="CT12" s="135">
        <v>13012</v>
      </c>
      <c r="CU12" s="139">
        <v>3658.36</v>
      </c>
      <c r="CV12" s="127"/>
      <c r="CW12" s="129"/>
      <c r="CX12" s="135"/>
      <c r="CY12" s="139"/>
      <c r="CZ12" s="127"/>
      <c r="DA12" s="129"/>
      <c r="DB12" s="135"/>
      <c r="DC12" s="139"/>
      <c r="DD12" s="127"/>
      <c r="DE12" s="129"/>
      <c r="DF12" s="135"/>
      <c r="DG12" s="139"/>
      <c r="DH12" s="127"/>
      <c r="DI12" s="129"/>
      <c r="DJ12" s="135"/>
      <c r="DK12" s="139"/>
      <c r="DL12" s="127"/>
      <c r="DM12" s="129"/>
      <c r="DN12" s="135"/>
      <c r="DO12" s="139"/>
      <c r="DP12" s="127" t="s">
        <v>1351</v>
      </c>
      <c r="DQ12" s="127" t="s">
        <v>1351</v>
      </c>
      <c r="DR12" s="135">
        <v>5842</v>
      </c>
      <c r="DS12" s="139">
        <v>1667.23</v>
      </c>
      <c r="DT12" s="127" t="s">
        <v>1351</v>
      </c>
      <c r="DU12" s="127" t="s">
        <v>1351</v>
      </c>
      <c r="DV12" s="135">
        <v>5842</v>
      </c>
      <c r="DW12" s="139">
        <v>1667.23</v>
      </c>
      <c r="DX12" s="127" t="s">
        <v>1351</v>
      </c>
      <c r="DY12" s="127" t="s">
        <v>1351</v>
      </c>
      <c r="DZ12" s="135">
        <v>5842</v>
      </c>
      <c r="EA12" s="139">
        <v>1667.23</v>
      </c>
    </row>
    <row r="13" spans="1:132" ht="102" x14ac:dyDescent="0.2">
      <c r="A13" s="130" t="s">
        <v>1362</v>
      </c>
      <c r="B13" s="131" t="s">
        <v>1363</v>
      </c>
      <c r="C13" s="131" t="s">
        <v>1326</v>
      </c>
      <c r="D13" s="131" t="s">
        <v>1327</v>
      </c>
      <c r="E13" s="132" t="s">
        <v>1328</v>
      </c>
      <c r="F13" s="133" t="s">
        <v>1364</v>
      </c>
      <c r="G13" s="134" t="s">
        <v>1365</v>
      </c>
      <c r="H13" s="119" t="s">
        <v>1331</v>
      </c>
      <c r="I13" s="122" t="s">
        <v>1331</v>
      </c>
      <c r="J13" s="135">
        <v>8032</v>
      </c>
      <c r="K13" s="139">
        <v>2147.6799999999998</v>
      </c>
      <c r="L13" s="119" t="s">
        <v>1332</v>
      </c>
      <c r="M13" s="122" t="s">
        <v>1332</v>
      </c>
      <c r="N13" s="135">
        <v>6659</v>
      </c>
      <c r="O13" s="139">
        <v>1384.31</v>
      </c>
      <c r="P13" s="119"/>
      <c r="Q13" s="122"/>
      <c r="R13" s="135"/>
      <c r="S13" s="136"/>
      <c r="T13" s="119"/>
      <c r="U13" s="122"/>
      <c r="V13" s="135"/>
      <c r="W13" s="136"/>
      <c r="X13" s="119" t="s">
        <v>1333</v>
      </c>
      <c r="Y13" s="122" t="s">
        <v>1334</v>
      </c>
      <c r="Z13" s="135">
        <v>6859</v>
      </c>
      <c r="AA13" s="136">
        <v>1101.95</v>
      </c>
      <c r="AB13" s="119"/>
      <c r="AC13" s="119"/>
      <c r="AD13" s="135"/>
      <c r="AE13" s="136"/>
      <c r="AF13" s="119" t="s">
        <v>1335</v>
      </c>
      <c r="AG13" s="119" t="s">
        <v>1335</v>
      </c>
      <c r="AH13" s="135">
        <v>4316</v>
      </c>
      <c r="AI13" s="136">
        <v>756.07</v>
      </c>
      <c r="AJ13" s="119"/>
      <c r="AK13" s="122"/>
      <c r="AL13" s="135"/>
      <c r="AM13" s="136"/>
      <c r="AN13" s="119" t="s">
        <v>1336</v>
      </c>
      <c r="AO13" s="122" t="s">
        <v>1337</v>
      </c>
      <c r="AP13" s="135">
        <v>3106</v>
      </c>
      <c r="AQ13" s="136">
        <v>601.74</v>
      </c>
      <c r="AR13" s="119" t="s">
        <v>1338</v>
      </c>
      <c r="AS13" s="122" t="s">
        <v>1339</v>
      </c>
      <c r="AT13" s="135">
        <v>4103</v>
      </c>
      <c r="AU13" s="136">
        <v>753.91</v>
      </c>
      <c r="AV13" s="119"/>
      <c r="AW13" s="122"/>
      <c r="AX13" s="135"/>
      <c r="AY13" s="136"/>
      <c r="AZ13" s="119" t="s">
        <v>1340</v>
      </c>
      <c r="BA13" s="122" t="s">
        <v>1341</v>
      </c>
      <c r="BB13" s="135">
        <v>4637</v>
      </c>
      <c r="BC13" s="136">
        <v>824.47</v>
      </c>
      <c r="BD13" s="123"/>
      <c r="BE13" s="122"/>
      <c r="BF13" s="135"/>
      <c r="BG13" s="136"/>
      <c r="BH13" s="123" t="s">
        <v>1342</v>
      </c>
      <c r="BI13" s="122" t="s">
        <v>1343</v>
      </c>
      <c r="BJ13" s="135">
        <v>4415</v>
      </c>
      <c r="BK13" s="136">
        <v>798.77</v>
      </c>
      <c r="BL13" s="123"/>
      <c r="BM13" s="122"/>
      <c r="BN13" s="135"/>
      <c r="BO13" s="136"/>
      <c r="BP13" s="125" t="s">
        <v>1344</v>
      </c>
      <c r="BQ13" s="122" t="s">
        <v>1345</v>
      </c>
      <c r="BR13" s="135">
        <v>5319</v>
      </c>
      <c r="BS13" s="139">
        <v>1399.69</v>
      </c>
      <c r="BT13" s="123"/>
      <c r="BU13" s="122"/>
      <c r="BV13" s="135"/>
      <c r="BW13" s="139"/>
      <c r="BX13" s="127"/>
      <c r="BY13" s="127"/>
      <c r="BZ13" s="135"/>
      <c r="CA13" s="139"/>
      <c r="CB13" s="127"/>
      <c r="CC13" s="127"/>
      <c r="CD13" s="135"/>
      <c r="CE13" s="139"/>
      <c r="CF13" s="127" t="s">
        <v>1346</v>
      </c>
      <c r="CG13" s="127" t="s">
        <v>1347</v>
      </c>
      <c r="CH13" s="135">
        <v>7098</v>
      </c>
      <c r="CI13" s="139">
        <v>1836.2</v>
      </c>
      <c r="CJ13" s="127" t="s">
        <v>1366</v>
      </c>
      <c r="CK13" s="122" t="s">
        <v>1367</v>
      </c>
      <c r="CL13" s="135">
        <v>3213</v>
      </c>
      <c r="CM13" s="139">
        <v>986.99</v>
      </c>
      <c r="CN13" s="127"/>
      <c r="CO13" s="122"/>
      <c r="CP13" s="135"/>
      <c r="CQ13" s="139"/>
      <c r="CR13" s="127"/>
      <c r="CS13" s="122"/>
      <c r="CT13" s="135"/>
      <c r="CU13" s="139"/>
      <c r="CV13" s="127"/>
      <c r="CW13" s="122"/>
      <c r="CX13" s="135"/>
      <c r="CY13" s="139"/>
      <c r="CZ13" s="127"/>
      <c r="DA13" s="122"/>
      <c r="DB13" s="135"/>
      <c r="DC13" s="139"/>
      <c r="DD13" s="127"/>
      <c r="DE13" s="122"/>
      <c r="DF13" s="135"/>
      <c r="DG13" s="139"/>
      <c r="DH13" s="127"/>
      <c r="DI13" s="122"/>
      <c r="DJ13" s="135"/>
      <c r="DK13" s="139"/>
      <c r="DL13" s="127"/>
      <c r="DM13" s="122"/>
      <c r="DN13" s="135"/>
      <c r="DO13" s="139"/>
      <c r="DP13" s="127" t="s">
        <v>1351</v>
      </c>
      <c r="DQ13" s="127" t="s">
        <v>1351</v>
      </c>
      <c r="DR13" s="135">
        <v>6406</v>
      </c>
      <c r="DS13" s="139">
        <v>1717.43</v>
      </c>
      <c r="DT13" s="127" t="s">
        <v>1351</v>
      </c>
      <c r="DU13" s="127" t="s">
        <v>1351</v>
      </c>
      <c r="DV13" s="135">
        <v>6406</v>
      </c>
      <c r="DW13" s="139">
        <v>1717.43</v>
      </c>
      <c r="DX13" s="127" t="s">
        <v>1351</v>
      </c>
      <c r="DY13" s="127" t="s">
        <v>1351</v>
      </c>
      <c r="DZ13" s="135">
        <v>6406</v>
      </c>
      <c r="EA13" s="139">
        <v>1717.43</v>
      </c>
    </row>
    <row r="14" spans="1:132" ht="102" x14ac:dyDescent="0.2">
      <c r="A14" s="549" t="s">
        <v>1368</v>
      </c>
      <c r="B14" s="551" t="s">
        <v>1369</v>
      </c>
      <c r="C14" s="551" t="s">
        <v>1326</v>
      </c>
      <c r="D14" s="551" t="s">
        <v>1327</v>
      </c>
      <c r="E14" s="553" t="s">
        <v>1328</v>
      </c>
      <c r="F14" s="133" t="s">
        <v>1370</v>
      </c>
      <c r="G14" s="577" t="s">
        <v>1371</v>
      </c>
      <c r="H14" s="543" t="s">
        <v>1331</v>
      </c>
      <c r="I14" s="531" t="s">
        <v>1331</v>
      </c>
      <c r="J14" s="535">
        <v>25935</v>
      </c>
      <c r="K14" s="537">
        <v>6591.26</v>
      </c>
      <c r="L14" s="543" t="s">
        <v>1332</v>
      </c>
      <c r="M14" s="531" t="s">
        <v>1332</v>
      </c>
      <c r="N14" s="535">
        <v>15167</v>
      </c>
      <c r="O14" s="537">
        <v>3600.83</v>
      </c>
      <c r="P14" s="531"/>
      <c r="Q14" s="531"/>
      <c r="R14" s="535"/>
      <c r="S14" s="537"/>
      <c r="T14" s="531"/>
      <c r="U14" s="531"/>
      <c r="V14" s="535"/>
      <c r="W14" s="537"/>
      <c r="X14" s="531" t="s">
        <v>1333</v>
      </c>
      <c r="Y14" s="531" t="s">
        <v>1334</v>
      </c>
      <c r="Z14" s="535">
        <v>12794</v>
      </c>
      <c r="AA14" s="537">
        <v>2151.6999999999998</v>
      </c>
      <c r="AB14" s="531"/>
      <c r="AC14" s="531"/>
      <c r="AD14" s="535"/>
      <c r="AE14" s="537"/>
      <c r="AF14" s="531" t="s">
        <v>1372</v>
      </c>
      <c r="AG14" s="531" t="s">
        <v>1372</v>
      </c>
      <c r="AH14" s="535">
        <v>5063</v>
      </c>
      <c r="AI14" s="537">
        <v>1123.67</v>
      </c>
      <c r="AJ14" s="531"/>
      <c r="AK14" s="533"/>
      <c r="AL14" s="535"/>
      <c r="AM14" s="537"/>
      <c r="AN14" s="531"/>
      <c r="AO14" s="533"/>
      <c r="AP14" s="535"/>
      <c r="AQ14" s="537"/>
      <c r="AR14" s="531" t="s">
        <v>1338</v>
      </c>
      <c r="AS14" s="533" t="s">
        <v>1339</v>
      </c>
      <c r="AT14" s="535">
        <v>4905</v>
      </c>
      <c r="AU14" s="537">
        <v>1148.18</v>
      </c>
      <c r="AV14" s="531"/>
      <c r="AW14" s="533"/>
      <c r="AX14" s="535"/>
      <c r="AY14" s="537"/>
      <c r="AZ14" s="119" t="s">
        <v>1340</v>
      </c>
      <c r="BA14" s="122" t="s">
        <v>1341</v>
      </c>
      <c r="BB14" s="535">
        <v>5858</v>
      </c>
      <c r="BC14" s="537">
        <v>1265.74</v>
      </c>
      <c r="BD14" s="531"/>
      <c r="BE14" s="533"/>
      <c r="BF14" s="535"/>
      <c r="BG14" s="537"/>
      <c r="BH14" s="531" t="s">
        <v>1342</v>
      </c>
      <c r="BI14" s="533" t="s">
        <v>1373</v>
      </c>
      <c r="BJ14" s="535">
        <v>8388</v>
      </c>
      <c r="BK14" s="537">
        <v>1617.17</v>
      </c>
      <c r="BL14" s="123"/>
      <c r="BM14" s="122"/>
      <c r="BN14" s="140"/>
      <c r="BO14" s="141"/>
      <c r="BP14" s="125" t="s">
        <v>1344</v>
      </c>
      <c r="BQ14" s="122" t="s">
        <v>1345</v>
      </c>
      <c r="BR14" s="535">
        <v>11568</v>
      </c>
      <c r="BS14" s="537">
        <v>3536.54</v>
      </c>
      <c r="BT14" s="123"/>
      <c r="BU14" s="122"/>
      <c r="BV14" s="140"/>
      <c r="BW14" s="142"/>
      <c r="BX14" s="127"/>
      <c r="BY14" s="127"/>
      <c r="BZ14" s="140"/>
      <c r="CA14" s="142"/>
      <c r="CB14" s="127"/>
      <c r="CC14" s="127"/>
      <c r="CD14" s="140"/>
      <c r="CE14" s="142"/>
      <c r="CF14" s="127" t="s">
        <v>1346</v>
      </c>
      <c r="CG14" s="127" t="s">
        <v>1347</v>
      </c>
      <c r="CH14" s="535">
        <v>31462</v>
      </c>
      <c r="CI14" s="537">
        <v>7511.54</v>
      </c>
      <c r="CJ14" s="119" t="s">
        <v>1374</v>
      </c>
      <c r="CK14" s="119" t="s">
        <v>1375</v>
      </c>
      <c r="CL14" s="535">
        <v>15025</v>
      </c>
      <c r="CM14" s="537">
        <v>3928.17</v>
      </c>
      <c r="CN14" s="531" t="s">
        <v>1350</v>
      </c>
      <c r="CO14" s="531" t="s">
        <v>1350</v>
      </c>
      <c r="CP14" s="535">
        <v>46487</v>
      </c>
      <c r="CQ14" s="537">
        <v>11439.71</v>
      </c>
      <c r="CR14" s="531" t="s">
        <v>1350</v>
      </c>
      <c r="CS14" s="531" t="s">
        <v>1350</v>
      </c>
      <c r="CT14" s="535">
        <v>46487</v>
      </c>
      <c r="CU14" s="537">
        <v>11439.71</v>
      </c>
      <c r="CV14" s="531"/>
      <c r="CW14" s="533"/>
      <c r="CX14" s="535"/>
      <c r="CY14" s="537"/>
      <c r="CZ14" s="531"/>
      <c r="DA14" s="533"/>
      <c r="DB14" s="535"/>
      <c r="DC14" s="537"/>
      <c r="DD14" s="531"/>
      <c r="DE14" s="533"/>
      <c r="DF14" s="535"/>
      <c r="DG14" s="537"/>
      <c r="DH14" s="531"/>
      <c r="DI14" s="533"/>
      <c r="DJ14" s="535"/>
      <c r="DK14" s="537"/>
      <c r="DL14" s="531"/>
      <c r="DM14" s="533"/>
      <c r="DN14" s="535"/>
      <c r="DO14" s="537"/>
      <c r="DP14" s="127" t="s">
        <v>1351</v>
      </c>
      <c r="DQ14" s="127" t="s">
        <v>1351</v>
      </c>
      <c r="DR14" s="535">
        <v>26851</v>
      </c>
      <c r="DS14" s="537">
        <v>6670.76</v>
      </c>
      <c r="DT14" s="127" t="s">
        <v>1351</v>
      </c>
      <c r="DU14" s="127" t="s">
        <v>1351</v>
      </c>
      <c r="DV14" s="535">
        <v>26851</v>
      </c>
      <c r="DW14" s="537">
        <v>6670.76</v>
      </c>
      <c r="DX14" s="127" t="s">
        <v>1351</v>
      </c>
      <c r="DY14" s="127" t="s">
        <v>1351</v>
      </c>
      <c r="DZ14" s="535">
        <v>26851</v>
      </c>
      <c r="EA14" s="537">
        <v>6670.76</v>
      </c>
    </row>
    <row r="15" spans="1:132" ht="63.75" x14ac:dyDescent="0.2">
      <c r="A15" s="550"/>
      <c r="B15" s="552"/>
      <c r="C15" s="552"/>
      <c r="D15" s="552"/>
      <c r="E15" s="554"/>
      <c r="F15" s="133" t="s">
        <v>1376</v>
      </c>
      <c r="G15" s="578"/>
      <c r="H15" s="544"/>
      <c r="I15" s="532"/>
      <c r="J15" s="536"/>
      <c r="K15" s="538"/>
      <c r="L15" s="544"/>
      <c r="M15" s="532"/>
      <c r="N15" s="536"/>
      <c r="O15" s="538"/>
      <c r="P15" s="532"/>
      <c r="Q15" s="532"/>
      <c r="R15" s="536"/>
      <c r="S15" s="538"/>
      <c r="T15" s="532"/>
      <c r="U15" s="532"/>
      <c r="V15" s="536"/>
      <c r="W15" s="538"/>
      <c r="X15" s="532"/>
      <c r="Y15" s="532"/>
      <c r="Z15" s="536"/>
      <c r="AA15" s="538"/>
      <c r="AB15" s="532"/>
      <c r="AC15" s="532"/>
      <c r="AD15" s="536"/>
      <c r="AE15" s="538"/>
      <c r="AF15" s="532"/>
      <c r="AG15" s="532"/>
      <c r="AH15" s="536"/>
      <c r="AI15" s="538"/>
      <c r="AJ15" s="532"/>
      <c r="AK15" s="534"/>
      <c r="AL15" s="536"/>
      <c r="AM15" s="538"/>
      <c r="AN15" s="532"/>
      <c r="AO15" s="534"/>
      <c r="AP15" s="536"/>
      <c r="AQ15" s="538"/>
      <c r="AR15" s="532"/>
      <c r="AS15" s="534"/>
      <c r="AT15" s="536"/>
      <c r="AU15" s="538"/>
      <c r="AV15" s="532"/>
      <c r="AW15" s="534"/>
      <c r="AX15" s="536"/>
      <c r="AY15" s="538"/>
      <c r="AZ15" s="143" t="s">
        <v>1340</v>
      </c>
      <c r="BA15" s="122" t="s">
        <v>1341</v>
      </c>
      <c r="BB15" s="536"/>
      <c r="BC15" s="538"/>
      <c r="BD15" s="532"/>
      <c r="BE15" s="534"/>
      <c r="BF15" s="536"/>
      <c r="BG15" s="538"/>
      <c r="BH15" s="532"/>
      <c r="BI15" s="534"/>
      <c r="BJ15" s="536"/>
      <c r="BK15" s="538"/>
      <c r="BL15" s="123"/>
      <c r="BM15" s="122"/>
      <c r="BN15" s="144"/>
      <c r="BO15" s="145"/>
      <c r="BP15" s="125" t="s">
        <v>1344</v>
      </c>
      <c r="BQ15" s="122" t="s">
        <v>1345</v>
      </c>
      <c r="BR15" s="536"/>
      <c r="BS15" s="538"/>
      <c r="BT15" s="123"/>
      <c r="BU15" s="122"/>
      <c r="BV15" s="144"/>
      <c r="BW15" s="146"/>
      <c r="BX15" s="127"/>
      <c r="BY15" s="127"/>
      <c r="BZ15" s="144"/>
      <c r="CA15" s="146"/>
      <c r="CB15" s="127"/>
      <c r="CC15" s="127"/>
      <c r="CD15" s="144"/>
      <c r="CE15" s="146"/>
      <c r="CF15" s="127" t="s">
        <v>1346</v>
      </c>
      <c r="CG15" s="127" t="s">
        <v>1347</v>
      </c>
      <c r="CH15" s="536"/>
      <c r="CI15" s="538"/>
      <c r="CJ15" s="143" t="s">
        <v>1377</v>
      </c>
      <c r="CK15" s="143" t="s">
        <v>1378</v>
      </c>
      <c r="CL15" s="536"/>
      <c r="CM15" s="538"/>
      <c r="CN15" s="532"/>
      <c r="CO15" s="532"/>
      <c r="CP15" s="536"/>
      <c r="CQ15" s="538"/>
      <c r="CR15" s="532"/>
      <c r="CS15" s="532"/>
      <c r="CT15" s="536"/>
      <c r="CU15" s="538"/>
      <c r="CV15" s="532"/>
      <c r="CW15" s="534"/>
      <c r="CX15" s="536"/>
      <c r="CY15" s="538"/>
      <c r="CZ15" s="532"/>
      <c r="DA15" s="534"/>
      <c r="DB15" s="536"/>
      <c r="DC15" s="538"/>
      <c r="DD15" s="532"/>
      <c r="DE15" s="534"/>
      <c r="DF15" s="536"/>
      <c r="DG15" s="538"/>
      <c r="DH15" s="532"/>
      <c r="DI15" s="534"/>
      <c r="DJ15" s="536"/>
      <c r="DK15" s="538"/>
      <c r="DL15" s="532"/>
      <c r="DM15" s="534"/>
      <c r="DN15" s="536"/>
      <c r="DO15" s="538"/>
      <c r="DP15" s="127" t="s">
        <v>1351</v>
      </c>
      <c r="DQ15" s="127" t="s">
        <v>1351</v>
      </c>
      <c r="DR15" s="536"/>
      <c r="DS15" s="538"/>
      <c r="DT15" s="127" t="s">
        <v>1351</v>
      </c>
      <c r="DU15" s="127" t="s">
        <v>1351</v>
      </c>
      <c r="DV15" s="536"/>
      <c r="DW15" s="538"/>
      <c r="DX15" s="127" t="s">
        <v>1351</v>
      </c>
      <c r="DY15" s="127" t="s">
        <v>1351</v>
      </c>
      <c r="DZ15" s="536"/>
      <c r="EA15" s="538"/>
    </row>
    <row r="16" spans="1:132" ht="140.25" x14ac:dyDescent="0.2">
      <c r="A16" s="573" t="s">
        <v>1379</v>
      </c>
      <c r="B16" s="575" t="s">
        <v>1380</v>
      </c>
      <c r="C16" s="575" t="s">
        <v>1326</v>
      </c>
      <c r="D16" s="575" t="s">
        <v>1327</v>
      </c>
      <c r="E16" s="147" t="s">
        <v>1328</v>
      </c>
      <c r="F16" s="148" t="s">
        <v>1381</v>
      </c>
      <c r="G16" s="149" t="s">
        <v>1382</v>
      </c>
      <c r="H16" s="561" t="s">
        <v>1331</v>
      </c>
      <c r="I16" s="563" t="s">
        <v>1331</v>
      </c>
      <c r="J16" s="545">
        <v>12579</v>
      </c>
      <c r="K16" s="559">
        <v>3440.84</v>
      </c>
      <c r="L16" s="561" t="s">
        <v>1332</v>
      </c>
      <c r="M16" s="563" t="s">
        <v>1332</v>
      </c>
      <c r="N16" s="545">
        <v>7155</v>
      </c>
      <c r="O16" s="559">
        <v>1726.13</v>
      </c>
      <c r="P16" s="561"/>
      <c r="Q16" s="563"/>
      <c r="R16" s="545"/>
      <c r="S16" s="571"/>
      <c r="T16" s="561"/>
      <c r="U16" s="563"/>
      <c r="V16" s="545"/>
      <c r="W16" s="571"/>
      <c r="X16" s="561" t="s">
        <v>1333</v>
      </c>
      <c r="Y16" s="563" t="s">
        <v>1334</v>
      </c>
      <c r="Z16" s="545">
        <v>4791</v>
      </c>
      <c r="AA16" s="569">
        <v>1049.46</v>
      </c>
      <c r="AB16" s="561"/>
      <c r="AC16" s="563"/>
      <c r="AD16" s="545"/>
      <c r="AE16" s="571"/>
      <c r="AF16" s="561" t="s">
        <v>1335</v>
      </c>
      <c r="AG16" s="563" t="s">
        <v>1335</v>
      </c>
      <c r="AH16" s="545">
        <v>3489</v>
      </c>
      <c r="AI16" s="569">
        <v>854.57</v>
      </c>
      <c r="AJ16" s="561"/>
      <c r="AK16" s="563"/>
      <c r="AL16" s="545"/>
      <c r="AM16" s="571"/>
      <c r="AN16" s="561" t="s">
        <v>1383</v>
      </c>
      <c r="AO16" s="563" t="s">
        <v>1337</v>
      </c>
      <c r="AP16" s="545">
        <v>3420</v>
      </c>
      <c r="AQ16" s="569">
        <v>784.92</v>
      </c>
      <c r="AR16" s="561" t="s">
        <v>1384</v>
      </c>
      <c r="AS16" s="563" t="s">
        <v>1356</v>
      </c>
      <c r="AT16" s="545">
        <v>6479</v>
      </c>
      <c r="AU16" s="569">
        <v>1381.87</v>
      </c>
      <c r="AV16" s="150"/>
      <c r="AW16" s="151"/>
      <c r="AX16" s="545"/>
      <c r="AY16" s="571"/>
      <c r="AZ16" s="150" t="s">
        <v>1340</v>
      </c>
      <c r="BA16" s="151" t="s">
        <v>1341</v>
      </c>
      <c r="BB16" s="545">
        <v>2835</v>
      </c>
      <c r="BC16" s="569">
        <v>791.34</v>
      </c>
      <c r="BD16" s="567"/>
      <c r="BE16" s="563"/>
      <c r="BF16" s="545"/>
      <c r="BG16" s="571"/>
      <c r="BH16" s="567" t="s">
        <v>1342</v>
      </c>
      <c r="BI16" s="563" t="s">
        <v>1343</v>
      </c>
      <c r="BJ16" s="545">
        <v>3696</v>
      </c>
      <c r="BK16" s="569">
        <v>926.54</v>
      </c>
      <c r="BL16" s="567"/>
      <c r="BM16" s="563"/>
      <c r="BN16" s="545"/>
      <c r="BO16" s="571"/>
      <c r="BP16" s="152" t="s">
        <v>1344</v>
      </c>
      <c r="BQ16" s="153" t="s">
        <v>1345</v>
      </c>
      <c r="BR16" s="545">
        <v>5175</v>
      </c>
      <c r="BS16" s="559">
        <v>1623.26</v>
      </c>
      <c r="BT16" s="567"/>
      <c r="BU16" s="563"/>
      <c r="BV16" s="545"/>
      <c r="BW16" s="547"/>
      <c r="BX16" s="565"/>
      <c r="BY16" s="561"/>
      <c r="BZ16" s="545"/>
      <c r="CA16" s="547"/>
      <c r="CB16" s="565"/>
      <c r="CC16" s="561"/>
      <c r="CD16" s="545"/>
      <c r="CE16" s="547"/>
      <c r="CF16" s="565" t="s">
        <v>1346</v>
      </c>
      <c r="CG16" s="561" t="s">
        <v>1347</v>
      </c>
      <c r="CH16" s="545">
        <v>14353</v>
      </c>
      <c r="CI16" s="559">
        <v>3702.78</v>
      </c>
      <c r="CJ16" s="561" t="s">
        <v>1348</v>
      </c>
      <c r="CK16" s="561" t="s">
        <v>1349</v>
      </c>
      <c r="CL16" s="545">
        <v>8067</v>
      </c>
      <c r="CM16" s="559">
        <v>2371.4499999999998</v>
      </c>
      <c r="CN16" s="561" t="s">
        <v>1350</v>
      </c>
      <c r="CO16" s="563" t="s">
        <v>1350</v>
      </c>
      <c r="CP16" s="545">
        <v>22420</v>
      </c>
      <c r="CQ16" s="547">
        <v>6074.23</v>
      </c>
      <c r="CR16" s="561" t="s">
        <v>1350</v>
      </c>
      <c r="CS16" s="563" t="s">
        <v>1350</v>
      </c>
      <c r="CT16" s="545">
        <v>22420</v>
      </c>
      <c r="CU16" s="547">
        <v>6074.23</v>
      </c>
      <c r="CV16" s="561"/>
      <c r="CW16" s="563"/>
      <c r="CX16" s="545"/>
      <c r="CY16" s="547"/>
      <c r="CZ16" s="561"/>
      <c r="DA16" s="563"/>
      <c r="DB16" s="545"/>
      <c r="DC16" s="547"/>
      <c r="DD16" s="561"/>
      <c r="DE16" s="563"/>
      <c r="DF16" s="545"/>
      <c r="DG16" s="547"/>
      <c r="DH16" s="561"/>
      <c r="DI16" s="563"/>
      <c r="DJ16" s="545"/>
      <c r="DK16" s="547"/>
      <c r="DL16" s="561"/>
      <c r="DM16" s="563"/>
      <c r="DN16" s="545"/>
      <c r="DO16" s="547"/>
      <c r="DP16" s="154" t="s">
        <v>1351</v>
      </c>
      <c r="DQ16" s="154" t="s">
        <v>1351</v>
      </c>
      <c r="DR16" s="545">
        <v>11634</v>
      </c>
      <c r="DS16" s="559">
        <v>3184.79</v>
      </c>
      <c r="DT16" s="154" t="s">
        <v>1351</v>
      </c>
      <c r="DU16" s="154" t="s">
        <v>1351</v>
      </c>
      <c r="DV16" s="545">
        <v>11634</v>
      </c>
      <c r="DW16" s="547">
        <v>3184.79</v>
      </c>
      <c r="DX16" s="154" t="s">
        <v>1351</v>
      </c>
      <c r="DY16" s="154" t="s">
        <v>1351</v>
      </c>
      <c r="DZ16" s="545">
        <v>11634</v>
      </c>
      <c r="EA16" s="547">
        <v>3184.79</v>
      </c>
      <c r="EB16" s="155"/>
    </row>
    <row r="17" spans="1:132" ht="114.75" x14ac:dyDescent="0.2">
      <c r="A17" s="574"/>
      <c r="B17" s="576"/>
      <c r="C17" s="576"/>
      <c r="D17" s="576"/>
      <c r="E17" s="147" t="s">
        <v>1385</v>
      </c>
      <c r="F17" s="148" t="s">
        <v>1386</v>
      </c>
      <c r="G17" s="149" t="s">
        <v>1382</v>
      </c>
      <c r="H17" s="562"/>
      <c r="I17" s="564"/>
      <c r="J17" s="546"/>
      <c r="K17" s="560"/>
      <c r="L17" s="562"/>
      <c r="M17" s="564"/>
      <c r="N17" s="546"/>
      <c r="O17" s="560"/>
      <c r="P17" s="562"/>
      <c r="Q17" s="564"/>
      <c r="R17" s="546"/>
      <c r="S17" s="572"/>
      <c r="T17" s="562"/>
      <c r="U17" s="564"/>
      <c r="V17" s="546"/>
      <c r="W17" s="572"/>
      <c r="X17" s="562"/>
      <c r="Y17" s="564"/>
      <c r="Z17" s="546"/>
      <c r="AA17" s="570"/>
      <c r="AB17" s="562"/>
      <c r="AC17" s="564"/>
      <c r="AD17" s="546"/>
      <c r="AE17" s="572"/>
      <c r="AF17" s="562"/>
      <c r="AG17" s="564"/>
      <c r="AH17" s="546"/>
      <c r="AI17" s="570"/>
      <c r="AJ17" s="562"/>
      <c r="AK17" s="564"/>
      <c r="AL17" s="546"/>
      <c r="AM17" s="572"/>
      <c r="AN17" s="562"/>
      <c r="AO17" s="564"/>
      <c r="AP17" s="546"/>
      <c r="AQ17" s="570"/>
      <c r="AR17" s="562"/>
      <c r="AS17" s="564"/>
      <c r="AT17" s="546"/>
      <c r="AU17" s="570"/>
      <c r="AV17" s="156"/>
      <c r="AW17" s="157"/>
      <c r="AX17" s="546"/>
      <c r="AY17" s="572"/>
      <c r="AZ17" s="156" t="s">
        <v>1340</v>
      </c>
      <c r="BA17" s="157" t="s">
        <v>1341</v>
      </c>
      <c r="BB17" s="546"/>
      <c r="BC17" s="570"/>
      <c r="BD17" s="568"/>
      <c r="BE17" s="564"/>
      <c r="BF17" s="546"/>
      <c r="BG17" s="572"/>
      <c r="BH17" s="568"/>
      <c r="BI17" s="564"/>
      <c r="BJ17" s="546"/>
      <c r="BK17" s="570"/>
      <c r="BL17" s="568"/>
      <c r="BM17" s="564"/>
      <c r="BN17" s="546"/>
      <c r="BO17" s="572"/>
      <c r="BP17" s="152" t="s">
        <v>1344</v>
      </c>
      <c r="BQ17" s="153" t="s">
        <v>1345</v>
      </c>
      <c r="BR17" s="546"/>
      <c r="BS17" s="560"/>
      <c r="BT17" s="568"/>
      <c r="BU17" s="564"/>
      <c r="BV17" s="546"/>
      <c r="BW17" s="548"/>
      <c r="BX17" s="566"/>
      <c r="BY17" s="562"/>
      <c r="BZ17" s="546"/>
      <c r="CA17" s="548"/>
      <c r="CB17" s="566"/>
      <c r="CC17" s="562"/>
      <c r="CD17" s="546"/>
      <c r="CE17" s="548"/>
      <c r="CF17" s="566"/>
      <c r="CG17" s="562"/>
      <c r="CH17" s="546"/>
      <c r="CI17" s="560"/>
      <c r="CJ17" s="562"/>
      <c r="CK17" s="562"/>
      <c r="CL17" s="546"/>
      <c r="CM17" s="560"/>
      <c r="CN17" s="562"/>
      <c r="CO17" s="564"/>
      <c r="CP17" s="546"/>
      <c r="CQ17" s="548"/>
      <c r="CR17" s="562"/>
      <c r="CS17" s="564"/>
      <c r="CT17" s="546"/>
      <c r="CU17" s="548"/>
      <c r="CV17" s="562"/>
      <c r="CW17" s="564"/>
      <c r="CX17" s="546"/>
      <c r="CY17" s="548"/>
      <c r="CZ17" s="562"/>
      <c r="DA17" s="564"/>
      <c r="DB17" s="546"/>
      <c r="DC17" s="548"/>
      <c r="DD17" s="562"/>
      <c r="DE17" s="564"/>
      <c r="DF17" s="546"/>
      <c r="DG17" s="548"/>
      <c r="DH17" s="562"/>
      <c r="DI17" s="564"/>
      <c r="DJ17" s="546"/>
      <c r="DK17" s="548"/>
      <c r="DL17" s="562"/>
      <c r="DM17" s="564"/>
      <c r="DN17" s="546"/>
      <c r="DO17" s="548"/>
      <c r="DP17" s="154" t="s">
        <v>1351</v>
      </c>
      <c r="DQ17" s="154" t="s">
        <v>1351</v>
      </c>
      <c r="DR17" s="546"/>
      <c r="DS17" s="560"/>
      <c r="DT17" s="154" t="s">
        <v>1351</v>
      </c>
      <c r="DU17" s="154" t="s">
        <v>1351</v>
      </c>
      <c r="DV17" s="546"/>
      <c r="DW17" s="548"/>
      <c r="DX17" s="154" t="s">
        <v>1351</v>
      </c>
      <c r="DY17" s="154" t="s">
        <v>1351</v>
      </c>
      <c r="DZ17" s="546"/>
      <c r="EA17" s="548"/>
      <c r="EB17" s="155"/>
    </row>
    <row r="18" spans="1:132" ht="114.75" x14ac:dyDescent="0.2">
      <c r="A18" s="130" t="s">
        <v>1387</v>
      </c>
      <c r="B18" s="131" t="s">
        <v>1388</v>
      </c>
      <c r="C18" s="131" t="s">
        <v>1326</v>
      </c>
      <c r="D18" s="131" t="s">
        <v>1327</v>
      </c>
      <c r="E18" s="132" t="s">
        <v>1328</v>
      </c>
      <c r="F18" s="133" t="s">
        <v>1389</v>
      </c>
      <c r="G18" s="134" t="s">
        <v>1390</v>
      </c>
      <c r="H18" s="123" t="s">
        <v>1331</v>
      </c>
      <c r="I18" s="122" t="s">
        <v>1331</v>
      </c>
      <c r="J18" s="135">
        <v>18</v>
      </c>
      <c r="K18" s="136">
        <v>163.22</v>
      </c>
      <c r="L18" s="123" t="s">
        <v>1332</v>
      </c>
      <c r="M18" s="122" t="s">
        <v>1332</v>
      </c>
      <c r="N18" s="135">
        <v>14</v>
      </c>
      <c r="O18" s="136">
        <v>156.52000000000001</v>
      </c>
      <c r="P18" s="123"/>
      <c r="Q18" s="122"/>
      <c r="R18" s="135"/>
      <c r="S18" s="136"/>
      <c r="T18" s="123"/>
      <c r="U18" s="122"/>
      <c r="V18" s="135"/>
      <c r="W18" s="136"/>
      <c r="X18" s="123" t="s">
        <v>1333</v>
      </c>
      <c r="Y18" s="122" t="s">
        <v>1334</v>
      </c>
      <c r="Z18" s="135">
        <v>16</v>
      </c>
      <c r="AA18" s="136">
        <v>161.02000000000001</v>
      </c>
      <c r="AB18" s="123"/>
      <c r="AC18" s="122"/>
      <c r="AD18" s="135"/>
      <c r="AE18" s="136"/>
      <c r="AF18" s="123" t="s">
        <v>1335</v>
      </c>
      <c r="AG18" s="122" t="s">
        <v>1335</v>
      </c>
      <c r="AH18" s="135">
        <v>14</v>
      </c>
      <c r="AI18" s="136">
        <v>155.91999999999999</v>
      </c>
      <c r="AJ18" s="123"/>
      <c r="AK18" s="122"/>
      <c r="AL18" s="135"/>
      <c r="AM18" s="136"/>
      <c r="AN18" s="123" t="s">
        <v>1336</v>
      </c>
      <c r="AO18" s="122" t="s">
        <v>1337</v>
      </c>
      <c r="AP18" s="135">
        <v>15</v>
      </c>
      <c r="AQ18" s="136">
        <v>160.24</v>
      </c>
      <c r="AR18" s="123" t="s">
        <v>1338</v>
      </c>
      <c r="AS18" s="122" t="s">
        <v>1356</v>
      </c>
      <c r="AT18" s="135">
        <v>14</v>
      </c>
      <c r="AU18" s="136">
        <v>161.47999999999999</v>
      </c>
      <c r="AV18" s="123"/>
      <c r="AW18" s="122"/>
      <c r="AX18" s="135"/>
      <c r="AY18" s="136"/>
      <c r="AZ18" s="123" t="s">
        <v>1340</v>
      </c>
      <c r="BA18" s="122" t="s">
        <v>1341</v>
      </c>
      <c r="BB18" s="135">
        <v>14</v>
      </c>
      <c r="BC18" s="136">
        <v>157.47999999999999</v>
      </c>
      <c r="BD18" s="123"/>
      <c r="BE18" s="122"/>
      <c r="BF18" s="135"/>
      <c r="BG18" s="136"/>
      <c r="BH18" s="123" t="s">
        <v>1342</v>
      </c>
      <c r="BI18" s="122" t="s">
        <v>1391</v>
      </c>
      <c r="BJ18" s="135">
        <v>15</v>
      </c>
      <c r="BK18" s="136">
        <v>162.46</v>
      </c>
      <c r="BL18" s="123"/>
      <c r="BM18" s="122"/>
      <c r="BN18" s="135"/>
      <c r="BO18" s="136"/>
      <c r="BP18" s="125" t="s">
        <v>1344</v>
      </c>
      <c r="BQ18" s="122" t="s">
        <v>1345</v>
      </c>
      <c r="BR18" s="135">
        <v>17</v>
      </c>
      <c r="BS18" s="139">
        <v>158.71</v>
      </c>
      <c r="BT18" s="123"/>
      <c r="BU18" s="122"/>
      <c r="BV18" s="135"/>
      <c r="BW18" s="139"/>
      <c r="BX18" s="127"/>
      <c r="BY18" s="127"/>
      <c r="BZ18" s="135"/>
      <c r="CA18" s="139"/>
      <c r="CB18" s="127"/>
      <c r="CC18" s="127"/>
      <c r="CD18" s="135"/>
      <c r="CE18" s="139"/>
      <c r="CF18" s="127" t="s">
        <v>1346</v>
      </c>
      <c r="CG18" s="127" t="s">
        <v>1347</v>
      </c>
      <c r="CH18" s="135">
        <v>16</v>
      </c>
      <c r="CI18" s="139">
        <v>153.88999999999999</v>
      </c>
      <c r="CJ18" s="127" t="s">
        <v>1348</v>
      </c>
      <c r="CK18" s="127" t="s">
        <v>1349</v>
      </c>
      <c r="CL18" s="135">
        <v>9</v>
      </c>
      <c r="CM18" s="139">
        <v>221.95</v>
      </c>
      <c r="CN18" s="158" t="s">
        <v>1350</v>
      </c>
      <c r="CO18" s="128" t="s">
        <v>1350</v>
      </c>
      <c r="CP18" s="135">
        <v>25</v>
      </c>
      <c r="CQ18" s="139">
        <v>375.84</v>
      </c>
      <c r="CR18" s="158" t="s">
        <v>1350</v>
      </c>
      <c r="CS18" s="128" t="s">
        <v>1350</v>
      </c>
      <c r="CT18" s="135">
        <v>25</v>
      </c>
      <c r="CU18" s="139">
        <v>375.84</v>
      </c>
      <c r="CV18" s="158"/>
      <c r="CW18" s="122"/>
      <c r="CX18" s="135"/>
      <c r="CY18" s="139"/>
      <c r="CZ18" s="158"/>
      <c r="DA18" s="122"/>
      <c r="DB18" s="135"/>
      <c r="DC18" s="139"/>
      <c r="DD18" s="158"/>
      <c r="DE18" s="122"/>
      <c r="DF18" s="135"/>
      <c r="DG18" s="139"/>
      <c r="DH18" s="158"/>
      <c r="DI18" s="122"/>
      <c r="DJ18" s="135"/>
      <c r="DK18" s="139"/>
      <c r="DL18" s="158"/>
      <c r="DM18" s="122"/>
      <c r="DN18" s="135"/>
      <c r="DO18" s="139"/>
      <c r="DP18" s="127" t="s">
        <v>1351</v>
      </c>
      <c r="DQ18" s="127" t="s">
        <v>1351</v>
      </c>
      <c r="DR18" s="135">
        <v>17</v>
      </c>
      <c r="DS18" s="139">
        <v>164.28</v>
      </c>
      <c r="DT18" s="127" t="s">
        <v>1351</v>
      </c>
      <c r="DU18" s="127" t="s">
        <v>1351</v>
      </c>
      <c r="DV18" s="135">
        <v>17</v>
      </c>
      <c r="DW18" s="139">
        <v>164.28</v>
      </c>
      <c r="DX18" s="127" t="s">
        <v>1351</v>
      </c>
      <c r="DY18" s="127" t="s">
        <v>1351</v>
      </c>
      <c r="DZ18" s="135">
        <v>17</v>
      </c>
      <c r="EA18" s="139">
        <v>164.28</v>
      </c>
    </row>
    <row r="19" spans="1:132" ht="89.25" x14ac:dyDescent="0.2">
      <c r="A19" s="130" t="s">
        <v>1392</v>
      </c>
      <c r="B19" s="131" t="s">
        <v>1393</v>
      </c>
      <c r="C19" s="131" t="s">
        <v>1326</v>
      </c>
      <c r="D19" s="131" t="s">
        <v>1327</v>
      </c>
      <c r="E19" s="132" t="s">
        <v>1328</v>
      </c>
      <c r="F19" s="133" t="s">
        <v>1394</v>
      </c>
      <c r="G19" s="134" t="s">
        <v>1395</v>
      </c>
      <c r="H19" s="123" t="s">
        <v>1331</v>
      </c>
      <c r="I19" s="122" t="s">
        <v>1331</v>
      </c>
      <c r="J19" s="135">
        <v>378</v>
      </c>
      <c r="K19" s="136">
        <v>309.12</v>
      </c>
      <c r="L19" s="123" t="s">
        <v>1332</v>
      </c>
      <c r="M19" s="122" t="s">
        <v>1332</v>
      </c>
      <c r="N19" s="135">
        <v>108</v>
      </c>
      <c r="O19" s="136">
        <v>237.06</v>
      </c>
      <c r="P19" s="123"/>
      <c r="Q19" s="122"/>
      <c r="R19" s="135"/>
      <c r="S19" s="136"/>
      <c r="T19" s="123"/>
      <c r="U19" s="122"/>
      <c r="V19" s="135"/>
      <c r="W19" s="136"/>
      <c r="X19" s="123" t="s">
        <v>1333</v>
      </c>
      <c r="Y19" s="122" t="s">
        <v>1334</v>
      </c>
      <c r="Z19" s="135">
        <v>41</v>
      </c>
      <c r="AA19" s="136">
        <v>229.68</v>
      </c>
      <c r="AB19" s="123"/>
      <c r="AC19" s="122"/>
      <c r="AD19" s="135"/>
      <c r="AE19" s="136"/>
      <c r="AF19" s="123" t="s">
        <v>1335</v>
      </c>
      <c r="AG19" s="122" t="s">
        <v>1335</v>
      </c>
      <c r="AH19" s="135">
        <v>32</v>
      </c>
      <c r="AI19" s="136">
        <v>221.54</v>
      </c>
      <c r="AJ19" s="123"/>
      <c r="AK19" s="122"/>
      <c r="AL19" s="135"/>
      <c r="AM19" s="136"/>
      <c r="AN19" s="123" t="s">
        <v>1336</v>
      </c>
      <c r="AO19" s="122" t="s">
        <v>1337</v>
      </c>
      <c r="AP19" s="135">
        <v>26</v>
      </c>
      <c r="AQ19" s="136">
        <v>226.84</v>
      </c>
      <c r="AR19" s="123" t="s">
        <v>1338</v>
      </c>
      <c r="AS19" s="122" t="s">
        <v>1356</v>
      </c>
      <c r="AT19" s="135">
        <v>27</v>
      </c>
      <c r="AU19" s="136">
        <v>229.93</v>
      </c>
      <c r="AV19" s="123"/>
      <c r="AW19" s="122"/>
      <c r="AX19" s="135"/>
      <c r="AY19" s="136"/>
      <c r="AZ19" s="123" t="s">
        <v>1340</v>
      </c>
      <c r="BA19" s="122" t="s">
        <v>1341</v>
      </c>
      <c r="BB19" s="135">
        <v>22</v>
      </c>
      <c r="BC19" s="136">
        <v>222.07</v>
      </c>
      <c r="BD19" s="123"/>
      <c r="BE19" s="122"/>
      <c r="BF19" s="135"/>
      <c r="BG19" s="136"/>
      <c r="BH19" s="123" t="s">
        <v>1342</v>
      </c>
      <c r="BI19" s="122" t="s">
        <v>1343</v>
      </c>
      <c r="BJ19" s="135">
        <v>36</v>
      </c>
      <c r="BK19" s="136">
        <v>230.99</v>
      </c>
      <c r="BL19" s="123"/>
      <c r="BM19" s="122"/>
      <c r="BN19" s="135"/>
      <c r="BO19" s="136"/>
      <c r="BP19" s="137" t="s">
        <v>1344</v>
      </c>
      <c r="BQ19" s="138" t="s">
        <v>1345</v>
      </c>
      <c r="BR19" s="135">
        <v>111</v>
      </c>
      <c r="BS19" s="139">
        <v>241.78</v>
      </c>
      <c r="BT19" s="123"/>
      <c r="BU19" s="122"/>
      <c r="BV19" s="135"/>
      <c r="BW19" s="139"/>
      <c r="BX19" s="127"/>
      <c r="BY19" s="127"/>
      <c r="BZ19" s="135"/>
      <c r="CA19" s="139"/>
      <c r="CB19" s="127"/>
      <c r="CC19" s="127"/>
      <c r="CD19" s="135"/>
      <c r="CE19" s="139"/>
      <c r="CF19" s="127" t="s">
        <v>1346</v>
      </c>
      <c r="CG19" s="127" t="s">
        <v>1347</v>
      </c>
      <c r="CH19" s="135">
        <v>409</v>
      </c>
      <c r="CI19" s="139">
        <v>301.98</v>
      </c>
      <c r="CJ19" s="127" t="s">
        <v>1348</v>
      </c>
      <c r="CK19" s="127" t="s">
        <v>1349</v>
      </c>
      <c r="CL19" s="135">
        <v>233</v>
      </c>
      <c r="CM19" s="139">
        <v>358.87</v>
      </c>
      <c r="CN19" s="122" t="s">
        <v>1350</v>
      </c>
      <c r="CO19" s="128" t="s">
        <v>1350</v>
      </c>
      <c r="CP19" s="135">
        <v>642</v>
      </c>
      <c r="CQ19" s="139">
        <v>660.85</v>
      </c>
      <c r="CR19" s="122" t="s">
        <v>1350</v>
      </c>
      <c r="CS19" s="128" t="s">
        <v>1350</v>
      </c>
      <c r="CT19" s="135">
        <v>642</v>
      </c>
      <c r="CU19" s="139">
        <v>660.85</v>
      </c>
      <c r="CV19" s="122"/>
      <c r="CW19" s="122"/>
      <c r="CX19" s="135"/>
      <c r="CY19" s="139"/>
      <c r="CZ19" s="122"/>
      <c r="DA19" s="122"/>
      <c r="DB19" s="135"/>
      <c r="DC19" s="139"/>
      <c r="DD19" s="122"/>
      <c r="DE19" s="122"/>
      <c r="DF19" s="135"/>
      <c r="DG19" s="139"/>
      <c r="DH19" s="122"/>
      <c r="DI19" s="122"/>
      <c r="DJ19" s="135"/>
      <c r="DK19" s="139"/>
      <c r="DL19" s="122"/>
      <c r="DM19" s="122"/>
      <c r="DN19" s="135"/>
      <c r="DO19" s="139"/>
      <c r="DP19" s="127" t="s">
        <v>1351</v>
      </c>
      <c r="DQ19" s="127" t="s">
        <v>1351</v>
      </c>
      <c r="DR19" s="135">
        <v>356</v>
      </c>
      <c r="DS19" s="139">
        <v>306.69</v>
      </c>
      <c r="DT19" s="127" t="s">
        <v>1351</v>
      </c>
      <c r="DU19" s="127" t="s">
        <v>1351</v>
      </c>
      <c r="DV19" s="135">
        <v>356</v>
      </c>
      <c r="DW19" s="139">
        <v>306.69</v>
      </c>
      <c r="DX19" s="127" t="s">
        <v>1351</v>
      </c>
      <c r="DY19" s="127" t="s">
        <v>1351</v>
      </c>
      <c r="DZ19" s="135">
        <v>356</v>
      </c>
      <c r="EA19" s="139">
        <v>306.69</v>
      </c>
    </row>
    <row r="20" spans="1:132" ht="76.5" x14ac:dyDescent="0.2">
      <c r="A20" s="130" t="s">
        <v>1396</v>
      </c>
      <c r="B20" s="131" t="s">
        <v>1397</v>
      </c>
      <c r="C20" s="131" t="s">
        <v>1326</v>
      </c>
      <c r="D20" s="131" t="s">
        <v>1327</v>
      </c>
      <c r="E20" s="132" t="s">
        <v>1328</v>
      </c>
      <c r="F20" s="133" t="s">
        <v>1398</v>
      </c>
      <c r="G20" s="134" t="s">
        <v>1399</v>
      </c>
      <c r="H20" s="123" t="s">
        <v>1331</v>
      </c>
      <c r="I20" s="122" t="s">
        <v>1331</v>
      </c>
      <c r="J20" s="135">
        <v>3789</v>
      </c>
      <c r="K20" s="136">
        <v>1298.3800000000001</v>
      </c>
      <c r="L20" s="123" t="s">
        <v>1332</v>
      </c>
      <c r="M20" s="122" t="s">
        <v>1332</v>
      </c>
      <c r="N20" s="135">
        <v>2363</v>
      </c>
      <c r="O20" s="136">
        <v>815.04</v>
      </c>
      <c r="P20" s="123"/>
      <c r="Q20" s="122"/>
      <c r="R20" s="135"/>
      <c r="S20" s="136"/>
      <c r="T20" s="123"/>
      <c r="U20" s="122"/>
      <c r="V20" s="135"/>
      <c r="W20" s="136"/>
      <c r="X20" s="123" t="s">
        <v>1333</v>
      </c>
      <c r="Y20" s="122" t="s">
        <v>1334</v>
      </c>
      <c r="Z20" s="135">
        <v>2107</v>
      </c>
      <c r="AA20" s="136">
        <v>683.27</v>
      </c>
      <c r="AB20" s="123"/>
      <c r="AC20" s="122"/>
      <c r="AD20" s="135"/>
      <c r="AE20" s="136"/>
      <c r="AF20" s="123" t="s">
        <v>1335</v>
      </c>
      <c r="AG20" s="122" t="s">
        <v>1335</v>
      </c>
      <c r="AH20" s="135">
        <v>2034</v>
      </c>
      <c r="AI20" s="136">
        <v>659.72</v>
      </c>
      <c r="AJ20" s="123"/>
      <c r="AK20" s="122"/>
      <c r="AL20" s="135"/>
      <c r="AM20" s="136"/>
      <c r="AN20" s="123" t="s">
        <v>1336</v>
      </c>
      <c r="AO20" s="122" t="s">
        <v>1337</v>
      </c>
      <c r="AP20" s="135">
        <v>1770</v>
      </c>
      <c r="AQ20" s="136">
        <v>641.80999999999995</v>
      </c>
      <c r="AR20" s="123" t="s">
        <v>1338</v>
      </c>
      <c r="AS20" s="122" t="s">
        <v>1356</v>
      </c>
      <c r="AT20" s="135">
        <v>1916</v>
      </c>
      <c r="AU20" s="136">
        <v>670.57</v>
      </c>
      <c r="AV20" s="123"/>
      <c r="AW20" s="122"/>
      <c r="AX20" s="135"/>
      <c r="AY20" s="136"/>
      <c r="AZ20" s="123" t="s">
        <v>1340</v>
      </c>
      <c r="BA20" s="122" t="s">
        <v>1341</v>
      </c>
      <c r="BB20" s="135">
        <v>1995</v>
      </c>
      <c r="BC20" s="136">
        <v>666.52</v>
      </c>
      <c r="BD20" s="123"/>
      <c r="BE20" s="122"/>
      <c r="BF20" s="135"/>
      <c r="BG20" s="136"/>
      <c r="BH20" s="123" t="s">
        <v>1342</v>
      </c>
      <c r="BI20" s="122" t="s">
        <v>1391</v>
      </c>
      <c r="BJ20" s="135">
        <v>2871</v>
      </c>
      <c r="BK20" s="136">
        <v>791.98</v>
      </c>
      <c r="BL20" s="123"/>
      <c r="BM20" s="122"/>
      <c r="BN20" s="135"/>
      <c r="BO20" s="136"/>
      <c r="BP20" s="125" t="s">
        <v>1344</v>
      </c>
      <c r="BQ20" s="122" t="s">
        <v>1345</v>
      </c>
      <c r="BR20" s="135">
        <v>3177</v>
      </c>
      <c r="BS20" s="139">
        <v>986.33</v>
      </c>
      <c r="BT20" s="123"/>
      <c r="BU20" s="122"/>
      <c r="BV20" s="135"/>
      <c r="BW20" s="139"/>
      <c r="BX20" s="127"/>
      <c r="BY20" s="127"/>
      <c r="BZ20" s="135"/>
      <c r="CA20" s="139"/>
      <c r="CB20" s="127"/>
      <c r="CC20" s="127"/>
      <c r="CD20" s="135"/>
      <c r="CE20" s="139"/>
      <c r="CF20" s="127" t="s">
        <v>1346</v>
      </c>
      <c r="CG20" s="127" t="s">
        <v>1347</v>
      </c>
      <c r="CH20" s="135">
        <v>3443</v>
      </c>
      <c r="CI20" s="139">
        <v>1164.52</v>
      </c>
      <c r="CJ20" s="127" t="s">
        <v>1348</v>
      </c>
      <c r="CK20" s="127" t="s">
        <v>1349</v>
      </c>
      <c r="CL20" s="135">
        <v>2279</v>
      </c>
      <c r="CM20" s="139">
        <v>1059.3900000000001</v>
      </c>
      <c r="CN20" s="127" t="s">
        <v>1350</v>
      </c>
      <c r="CO20" s="128" t="s">
        <v>1350</v>
      </c>
      <c r="CP20" s="135">
        <v>5722</v>
      </c>
      <c r="CQ20" s="139">
        <v>2223.91</v>
      </c>
      <c r="CR20" s="127" t="s">
        <v>1350</v>
      </c>
      <c r="CS20" s="128" t="s">
        <v>1350</v>
      </c>
      <c r="CT20" s="135">
        <v>5722</v>
      </c>
      <c r="CU20" s="139">
        <v>2223.91</v>
      </c>
      <c r="CV20" s="127"/>
      <c r="CW20" s="122"/>
      <c r="CX20" s="135"/>
      <c r="CY20" s="139"/>
      <c r="CZ20" s="127"/>
      <c r="DA20" s="122"/>
      <c r="DB20" s="135"/>
      <c r="DC20" s="139"/>
      <c r="DD20" s="127"/>
      <c r="DE20" s="122"/>
      <c r="DF20" s="135"/>
      <c r="DG20" s="139"/>
      <c r="DH20" s="127"/>
      <c r="DI20" s="122"/>
      <c r="DJ20" s="135"/>
      <c r="DK20" s="139"/>
      <c r="DL20" s="127"/>
      <c r="DM20" s="122"/>
      <c r="DN20" s="135"/>
      <c r="DO20" s="139"/>
      <c r="DP20" s="127" t="s">
        <v>1351</v>
      </c>
      <c r="DQ20" s="127" t="s">
        <v>1351</v>
      </c>
      <c r="DR20" s="135">
        <v>3620</v>
      </c>
      <c r="DS20" s="139">
        <v>1247.8900000000001</v>
      </c>
      <c r="DT20" s="127" t="s">
        <v>1351</v>
      </c>
      <c r="DU20" s="127" t="s">
        <v>1351</v>
      </c>
      <c r="DV20" s="135">
        <v>3620</v>
      </c>
      <c r="DW20" s="139">
        <v>1247.8900000000001</v>
      </c>
      <c r="DX20" s="127" t="s">
        <v>1351</v>
      </c>
      <c r="DY20" s="127" t="s">
        <v>1351</v>
      </c>
      <c r="DZ20" s="135">
        <v>3620</v>
      </c>
      <c r="EA20" s="139">
        <v>1247.8900000000001</v>
      </c>
    </row>
    <row r="21" spans="1:132" ht="51" x14ac:dyDescent="0.2">
      <c r="A21" s="130" t="s">
        <v>1400</v>
      </c>
      <c r="B21" s="131" t="s">
        <v>1401</v>
      </c>
      <c r="C21" s="131" t="s">
        <v>1326</v>
      </c>
      <c r="D21" s="131" t="s">
        <v>1327</v>
      </c>
      <c r="E21" s="132" t="s">
        <v>1328</v>
      </c>
      <c r="F21" s="133" t="s">
        <v>1402</v>
      </c>
      <c r="G21" s="134" t="s">
        <v>1403</v>
      </c>
      <c r="H21" s="123" t="s">
        <v>1331</v>
      </c>
      <c r="I21" s="123" t="s">
        <v>1331</v>
      </c>
      <c r="J21" s="135">
        <v>3443</v>
      </c>
      <c r="K21" s="136">
        <v>1198.3399999999999</v>
      </c>
      <c r="L21" s="123" t="s">
        <v>1332</v>
      </c>
      <c r="M21" s="123" t="s">
        <v>1332</v>
      </c>
      <c r="N21" s="135">
        <v>2787</v>
      </c>
      <c r="O21" s="136">
        <v>880.84</v>
      </c>
      <c r="P21" s="123"/>
      <c r="Q21" s="123"/>
      <c r="R21" s="135"/>
      <c r="S21" s="136"/>
      <c r="T21" s="123"/>
      <c r="U21" s="123"/>
      <c r="V21" s="135"/>
      <c r="W21" s="136"/>
      <c r="X21" s="123" t="s">
        <v>1333</v>
      </c>
      <c r="Y21" s="123" t="s">
        <v>1334</v>
      </c>
      <c r="Z21" s="135">
        <v>2881</v>
      </c>
      <c r="AA21" s="136">
        <v>740.26</v>
      </c>
      <c r="AB21" s="123"/>
      <c r="AC21" s="123"/>
      <c r="AD21" s="135"/>
      <c r="AE21" s="136"/>
      <c r="AF21" s="123" t="s">
        <v>1372</v>
      </c>
      <c r="AG21" s="123" t="s">
        <v>1372</v>
      </c>
      <c r="AH21" s="135">
        <v>1742</v>
      </c>
      <c r="AI21" s="136">
        <v>574.98</v>
      </c>
      <c r="AJ21" s="123"/>
      <c r="AK21" s="122"/>
      <c r="AL21" s="135"/>
      <c r="AM21" s="136"/>
      <c r="AN21" s="123" t="s">
        <v>1336</v>
      </c>
      <c r="AO21" s="122" t="s">
        <v>1337</v>
      </c>
      <c r="AP21" s="135">
        <v>1076</v>
      </c>
      <c r="AQ21" s="136">
        <v>496.99</v>
      </c>
      <c r="AR21" s="123" t="s">
        <v>1338</v>
      </c>
      <c r="AS21" s="122" t="s">
        <v>1339</v>
      </c>
      <c r="AT21" s="135">
        <v>1944</v>
      </c>
      <c r="AU21" s="136">
        <v>627.79</v>
      </c>
      <c r="AV21" s="123"/>
      <c r="AW21" s="122"/>
      <c r="AX21" s="135"/>
      <c r="AY21" s="136"/>
      <c r="AZ21" s="123" t="s">
        <v>1340</v>
      </c>
      <c r="BA21" s="122" t="s">
        <v>1341</v>
      </c>
      <c r="BB21" s="135">
        <v>1885</v>
      </c>
      <c r="BC21" s="136">
        <v>608.69000000000005</v>
      </c>
      <c r="BD21" s="123"/>
      <c r="BE21" s="122"/>
      <c r="BF21" s="135"/>
      <c r="BG21" s="136"/>
      <c r="BH21" s="123" t="s">
        <v>1342</v>
      </c>
      <c r="BI21" s="122" t="s">
        <v>1391</v>
      </c>
      <c r="BJ21" s="135">
        <v>1930</v>
      </c>
      <c r="BK21" s="136">
        <v>625.01</v>
      </c>
      <c r="BL21" s="123"/>
      <c r="BM21" s="122"/>
      <c r="BN21" s="135"/>
      <c r="BO21" s="136"/>
      <c r="BP21" s="125" t="s">
        <v>1344</v>
      </c>
      <c r="BQ21" s="122" t="s">
        <v>1345</v>
      </c>
      <c r="BR21" s="135">
        <v>2267</v>
      </c>
      <c r="BS21" s="139">
        <v>961.25</v>
      </c>
      <c r="BT21" s="123"/>
      <c r="BU21" s="122"/>
      <c r="BV21" s="135"/>
      <c r="BW21" s="139"/>
      <c r="BX21" s="127"/>
      <c r="BY21" s="127"/>
      <c r="BZ21" s="135"/>
      <c r="CA21" s="139"/>
      <c r="CB21" s="127"/>
      <c r="CC21" s="127"/>
      <c r="CD21" s="135"/>
      <c r="CE21" s="139"/>
      <c r="CF21" s="127" t="s">
        <v>1346</v>
      </c>
      <c r="CG21" s="127" t="s">
        <v>1347</v>
      </c>
      <c r="CH21" s="135">
        <v>3209</v>
      </c>
      <c r="CI21" s="139">
        <v>1086.95</v>
      </c>
      <c r="CJ21" s="127" t="s">
        <v>1366</v>
      </c>
      <c r="CK21" s="127" t="s">
        <v>1349</v>
      </c>
      <c r="CL21" s="135">
        <v>1520</v>
      </c>
      <c r="CM21" s="139">
        <v>831.87</v>
      </c>
      <c r="CN21" s="127" t="s">
        <v>1404</v>
      </c>
      <c r="CO21" s="128" t="s">
        <v>1350</v>
      </c>
      <c r="CP21" s="135">
        <v>4729</v>
      </c>
      <c r="CQ21" s="139">
        <v>1918.82</v>
      </c>
      <c r="CR21" s="127" t="s">
        <v>1404</v>
      </c>
      <c r="CS21" s="128" t="s">
        <v>1350</v>
      </c>
      <c r="CT21" s="135">
        <v>4729</v>
      </c>
      <c r="CU21" s="139">
        <v>1918.82</v>
      </c>
      <c r="CV21" s="127"/>
      <c r="CW21" s="122"/>
      <c r="CX21" s="135"/>
      <c r="CY21" s="139"/>
      <c r="CZ21" s="127"/>
      <c r="DA21" s="122"/>
      <c r="DB21" s="135"/>
      <c r="DC21" s="139"/>
      <c r="DD21" s="127"/>
      <c r="DE21" s="122"/>
      <c r="DF21" s="135"/>
      <c r="DG21" s="139"/>
      <c r="DH21" s="127"/>
      <c r="DI21" s="122"/>
      <c r="DJ21" s="135"/>
      <c r="DK21" s="139"/>
      <c r="DL21" s="127"/>
      <c r="DM21" s="122"/>
      <c r="DN21" s="135"/>
      <c r="DO21" s="139"/>
      <c r="DP21" s="127" t="s">
        <v>1351</v>
      </c>
      <c r="DQ21" s="127" t="s">
        <v>1351</v>
      </c>
      <c r="DR21" s="135">
        <v>3080</v>
      </c>
      <c r="DS21" s="139">
        <v>1093.1600000000001</v>
      </c>
      <c r="DT21" s="127" t="s">
        <v>1351</v>
      </c>
      <c r="DU21" s="127" t="s">
        <v>1351</v>
      </c>
      <c r="DV21" s="135">
        <v>3080</v>
      </c>
      <c r="DW21" s="139">
        <v>1093.1600000000001</v>
      </c>
      <c r="DX21" s="127" t="s">
        <v>1351</v>
      </c>
      <c r="DY21" s="127" t="s">
        <v>1351</v>
      </c>
      <c r="DZ21" s="135">
        <v>3080</v>
      </c>
      <c r="EA21" s="139">
        <v>1093.1600000000001</v>
      </c>
    </row>
    <row r="22" spans="1:132" ht="63.75" x14ac:dyDescent="0.2">
      <c r="A22" s="130" t="s">
        <v>1405</v>
      </c>
      <c r="B22" s="131" t="s">
        <v>1406</v>
      </c>
      <c r="C22" s="131" t="s">
        <v>1407</v>
      </c>
      <c r="D22" s="131" t="s">
        <v>1408</v>
      </c>
      <c r="E22" s="132" t="s">
        <v>1385</v>
      </c>
      <c r="F22" s="133" t="s">
        <v>1409</v>
      </c>
      <c r="G22" s="133" t="s">
        <v>1410</v>
      </c>
      <c r="H22" s="37"/>
      <c r="I22" s="37"/>
      <c r="J22" s="37"/>
      <c r="K22" s="37"/>
      <c r="L22" s="159"/>
      <c r="M22" s="123"/>
      <c r="N22" s="135"/>
      <c r="O22" s="136"/>
      <c r="P22" s="123" t="s">
        <v>1411</v>
      </c>
      <c r="Q22" s="123" t="s">
        <v>1412</v>
      </c>
      <c r="R22" s="135">
        <v>720</v>
      </c>
      <c r="S22" s="136">
        <v>129</v>
      </c>
      <c r="T22" s="123" t="s">
        <v>1413</v>
      </c>
      <c r="U22" s="123" t="s">
        <v>1413</v>
      </c>
      <c r="V22" s="135">
        <v>744</v>
      </c>
      <c r="W22" s="136">
        <v>132.37</v>
      </c>
      <c r="X22" s="123"/>
      <c r="Y22" s="123"/>
      <c r="Z22" s="135"/>
      <c r="AA22" s="136"/>
      <c r="AB22" s="123" t="s">
        <v>1414</v>
      </c>
      <c r="AC22" s="123" t="s">
        <v>1414</v>
      </c>
      <c r="AD22" s="135">
        <v>720</v>
      </c>
      <c r="AE22" s="136">
        <v>129</v>
      </c>
      <c r="AF22" s="123"/>
      <c r="AG22" s="123"/>
      <c r="AH22" s="135"/>
      <c r="AI22" s="136"/>
      <c r="AJ22" s="123" t="s">
        <v>1337</v>
      </c>
      <c r="AK22" s="123" t="s">
        <v>1337</v>
      </c>
      <c r="AL22" s="135">
        <v>744</v>
      </c>
      <c r="AM22" s="136">
        <v>132.37</v>
      </c>
      <c r="AN22" s="123"/>
      <c r="AO22" s="123"/>
      <c r="AP22" s="135"/>
      <c r="AQ22" s="136"/>
      <c r="AR22" s="123"/>
      <c r="AS22" s="123"/>
      <c r="AT22" s="135"/>
      <c r="AU22" s="136"/>
      <c r="AV22" s="123" t="s">
        <v>1415</v>
      </c>
      <c r="AW22" s="123" t="s">
        <v>1415</v>
      </c>
      <c r="AX22" s="135">
        <v>744</v>
      </c>
      <c r="AY22" s="136">
        <v>135.56</v>
      </c>
      <c r="AZ22" s="123"/>
      <c r="BA22" s="122"/>
      <c r="BB22" s="135"/>
      <c r="BC22" s="136"/>
      <c r="BD22" s="123" t="s">
        <v>1416</v>
      </c>
      <c r="BE22" s="122" t="s">
        <v>1416</v>
      </c>
      <c r="BF22" s="135">
        <v>720</v>
      </c>
      <c r="BG22" s="136">
        <v>129.78</v>
      </c>
      <c r="BH22" s="123"/>
      <c r="BI22" s="122"/>
      <c r="BJ22" s="135"/>
      <c r="BK22" s="136"/>
      <c r="BL22" s="123" t="s">
        <v>1417</v>
      </c>
      <c r="BM22" s="122" t="s">
        <v>1417</v>
      </c>
      <c r="BN22" s="135">
        <v>744</v>
      </c>
      <c r="BO22" s="136">
        <v>133.33000000000001</v>
      </c>
      <c r="BP22" s="137"/>
      <c r="BQ22" s="138"/>
      <c r="BR22" s="135"/>
      <c r="BS22" s="139"/>
      <c r="BT22" s="123" t="s">
        <v>1418</v>
      </c>
      <c r="BU22" s="122" t="s">
        <v>1418</v>
      </c>
      <c r="BV22" s="135">
        <v>720</v>
      </c>
      <c r="BW22" s="139">
        <v>129.78</v>
      </c>
      <c r="BX22" s="127" t="s">
        <v>1419</v>
      </c>
      <c r="BY22" s="127" t="s">
        <v>1419</v>
      </c>
      <c r="BZ22" s="135">
        <v>720</v>
      </c>
      <c r="CA22" s="139">
        <v>128.25</v>
      </c>
      <c r="CB22" s="127" t="s">
        <v>1420</v>
      </c>
      <c r="CC22" s="127" t="s">
        <v>1420</v>
      </c>
      <c r="CD22" s="135">
        <v>672</v>
      </c>
      <c r="CE22" s="139">
        <v>121.95</v>
      </c>
      <c r="CF22" s="127"/>
      <c r="CG22" s="122"/>
      <c r="CH22" s="135"/>
      <c r="CI22" s="139"/>
      <c r="CJ22" s="127"/>
      <c r="CK22" s="122"/>
      <c r="CL22" s="135"/>
      <c r="CM22" s="139"/>
      <c r="CN22" s="127"/>
      <c r="CO22" s="122"/>
      <c r="CP22" s="135"/>
      <c r="CQ22" s="139"/>
      <c r="CR22" s="127"/>
      <c r="CS22" s="122"/>
      <c r="CT22" s="135"/>
      <c r="CU22" s="139"/>
      <c r="CV22" s="127" t="s">
        <v>1349</v>
      </c>
      <c r="CW22" s="127" t="s">
        <v>1349</v>
      </c>
      <c r="CX22" s="135">
        <v>1392</v>
      </c>
      <c r="CY22" s="139">
        <v>250.31</v>
      </c>
      <c r="CZ22" s="127" t="s">
        <v>1349</v>
      </c>
      <c r="DA22" s="127" t="s">
        <v>1349</v>
      </c>
      <c r="DB22" s="135">
        <v>1392</v>
      </c>
      <c r="DC22" s="139">
        <v>250.31</v>
      </c>
      <c r="DD22" s="127" t="s">
        <v>1421</v>
      </c>
      <c r="DE22" s="127" t="s">
        <v>1421</v>
      </c>
      <c r="DF22" s="135">
        <v>744</v>
      </c>
      <c r="DG22" s="139">
        <v>133.33000000000001</v>
      </c>
      <c r="DH22" s="127" t="s">
        <v>1421</v>
      </c>
      <c r="DI22" s="127" t="s">
        <v>1421</v>
      </c>
      <c r="DJ22" s="135">
        <v>744</v>
      </c>
      <c r="DK22" s="139">
        <v>133.33000000000001</v>
      </c>
      <c r="DL22" s="127" t="s">
        <v>1421</v>
      </c>
      <c r="DM22" s="127" t="s">
        <v>1421</v>
      </c>
      <c r="DN22" s="135">
        <v>744</v>
      </c>
      <c r="DO22" s="139">
        <v>133.33000000000001</v>
      </c>
      <c r="DP22" s="127"/>
      <c r="DQ22" s="127"/>
      <c r="DR22" s="135"/>
      <c r="DS22" s="139"/>
      <c r="DT22" s="127"/>
      <c r="DU22" s="127"/>
      <c r="DV22" s="135"/>
      <c r="DW22" s="139"/>
      <c r="DX22" s="127"/>
      <c r="DY22" s="127"/>
      <c r="DZ22" s="135"/>
      <c r="EA22" s="139"/>
    </row>
    <row r="23" spans="1:132" ht="76.5" x14ac:dyDescent="0.2">
      <c r="A23" s="130" t="s">
        <v>1422</v>
      </c>
      <c r="B23" s="131" t="s">
        <v>1423</v>
      </c>
      <c r="C23" s="131" t="s">
        <v>1407</v>
      </c>
      <c r="D23" s="131" t="s">
        <v>1408</v>
      </c>
      <c r="E23" s="132" t="s">
        <v>1385</v>
      </c>
      <c r="F23" s="133" t="s">
        <v>1424</v>
      </c>
      <c r="G23" s="133" t="s">
        <v>1425</v>
      </c>
      <c r="H23" s="37"/>
      <c r="I23" s="37"/>
      <c r="J23" s="37"/>
      <c r="K23" s="37"/>
      <c r="L23" s="159"/>
      <c r="M23" s="123"/>
      <c r="N23" s="135"/>
      <c r="O23" s="136"/>
      <c r="P23" s="123" t="s">
        <v>1411</v>
      </c>
      <c r="Q23" s="123" t="s">
        <v>1412</v>
      </c>
      <c r="R23" s="135">
        <v>720</v>
      </c>
      <c r="S23" s="136">
        <v>129</v>
      </c>
      <c r="T23" s="123" t="s">
        <v>1413</v>
      </c>
      <c r="U23" s="123" t="s">
        <v>1413</v>
      </c>
      <c r="V23" s="135">
        <v>744</v>
      </c>
      <c r="W23" s="136">
        <v>131.37</v>
      </c>
      <c r="X23" s="123"/>
      <c r="Y23" s="123"/>
      <c r="Z23" s="135"/>
      <c r="AA23" s="136"/>
      <c r="AB23" s="123" t="s">
        <v>1414</v>
      </c>
      <c r="AC23" s="123" t="s">
        <v>1414</v>
      </c>
      <c r="AD23" s="135">
        <v>720</v>
      </c>
      <c r="AE23" s="136">
        <v>129</v>
      </c>
      <c r="AF23" s="123"/>
      <c r="AG23" s="123"/>
      <c r="AH23" s="135"/>
      <c r="AI23" s="136"/>
      <c r="AJ23" s="123" t="s">
        <v>1337</v>
      </c>
      <c r="AK23" s="123" t="s">
        <v>1337</v>
      </c>
      <c r="AL23" s="135">
        <v>744</v>
      </c>
      <c r="AM23" s="136">
        <v>132.37</v>
      </c>
      <c r="AN23" s="123"/>
      <c r="AO23" s="123"/>
      <c r="AP23" s="135"/>
      <c r="AQ23" s="136"/>
      <c r="AR23" s="123"/>
      <c r="AS23" s="123"/>
      <c r="AT23" s="135"/>
      <c r="AU23" s="136"/>
      <c r="AV23" s="123" t="s">
        <v>1415</v>
      </c>
      <c r="AW23" s="123" t="s">
        <v>1415</v>
      </c>
      <c r="AX23" s="135">
        <v>744</v>
      </c>
      <c r="AY23" s="136">
        <v>135.56</v>
      </c>
      <c r="AZ23" s="123"/>
      <c r="BA23" s="122"/>
      <c r="BB23" s="135"/>
      <c r="BC23" s="136"/>
      <c r="BD23" s="123" t="s">
        <v>1416</v>
      </c>
      <c r="BE23" s="122" t="s">
        <v>1416</v>
      </c>
      <c r="BF23" s="135">
        <v>720</v>
      </c>
      <c r="BG23" s="136">
        <v>129.78</v>
      </c>
      <c r="BH23" s="123"/>
      <c r="BI23" s="122"/>
      <c r="BJ23" s="135"/>
      <c r="BK23" s="136"/>
      <c r="BL23" s="123" t="s">
        <v>1417</v>
      </c>
      <c r="BM23" s="122" t="s">
        <v>1417</v>
      </c>
      <c r="BN23" s="135">
        <v>744</v>
      </c>
      <c r="BO23" s="136">
        <v>133.33000000000001</v>
      </c>
      <c r="BP23" s="137"/>
      <c r="BQ23" s="138"/>
      <c r="BR23" s="135"/>
      <c r="BS23" s="139"/>
      <c r="BT23" s="123" t="s">
        <v>1418</v>
      </c>
      <c r="BU23" s="122" t="s">
        <v>1418</v>
      </c>
      <c r="BV23" s="135">
        <v>720</v>
      </c>
      <c r="BW23" s="139">
        <v>129.78</v>
      </c>
      <c r="BX23" s="127" t="s">
        <v>1419</v>
      </c>
      <c r="BY23" s="127" t="s">
        <v>1419</v>
      </c>
      <c r="BZ23" s="135">
        <v>720</v>
      </c>
      <c r="CA23" s="139">
        <v>128.25</v>
      </c>
      <c r="CB23" s="127" t="s">
        <v>1420</v>
      </c>
      <c r="CC23" s="127" t="s">
        <v>1420</v>
      </c>
      <c r="CD23" s="135">
        <v>672</v>
      </c>
      <c r="CE23" s="139">
        <v>121.95</v>
      </c>
      <c r="CF23" s="127"/>
      <c r="CG23" s="122"/>
      <c r="CH23" s="135"/>
      <c r="CI23" s="139"/>
      <c r="CJ23" s="127"/>
      <c r="CK23" s="122"/>
      <c r="CL23" s="135"/>
      <c r="CM23" s="139"/>
      <c r="CN23" s="127"/>
      <c r="CO23" s="122"/>
      <c r="CP23" s="135"/>
      <c r="CQ23" s="139"/>
      <c r="CR23" s="127"/>
      <c r="CS23" s="122"/>
      <c r="CT23" s="135"/>
      <c r="CU23" s="139"/>
      <c r="CV23" s="127" t="s">
        <v>1349</v>
      </c>
      <c r="CW23" s="127" t="s">
        <v>1349</v>
      </c>
      <c r="CX23" s="135">
        <v>1392</v>
      </c>
      <c r="CY23" s="139">
        <v>250.31</v>
      </c>
      <c r="CZ23" s="127" t="s">
        <v>1349</v>
      </c>
      <c r="DA23" s="127" t="s">
        <v>1349</v>
      </c>
      <c r="DB23" s="135">
        <v>1392</v>
      </c>
      <c r="DC23" s="139">
        <v>250.31</v>
      </c>
      <c r="DD23" s="127" t="s">
        <v>1421</v>
      </c>
      <c r="DE23" s="127" t="s">
        <v>1421</v>
      </c>
      <c r="DF23" s="135">
        <v>744</v>
      </c>
      <c r="DG23" s="139">
        <v>133.33000000000001</v>
      </c>
      <c r="DH23" s="127" t="s">
        <v>1421</v>
      </c>
      <c r="DI23" s="127" t="s">
        <v>1421</v>
      </c>
      <c r="DJ23" s="135">
        <v>744</v>
      </c>
      <c r="DK23" s="139">
        <v>133.33000000000001</v>
      </c>
      <c r="DL23" s="127" t="s">
        <v>1421</v>
      </c>
      <c r="DM23" s="127" t="s">
        <v>1421</v>
      </c>
      <c r="DN23" s="135">
        <v>744</v>
      </c>
      <c r="DO23" s="139">
        <v>133.33000000000001</v>
      </c>
      <c r="DP23" s="127"/>
      <c r="DQ23" s="127"/>
      <c r="DR23" s="135"/>
      <c r="DS23" s="139"/>
      <c r="DT23" s="127"/>
      <c r="DU23" s="127"/>
      <c r="DV23" s="135"/>
      <c r="DW23" s="139"/>
      <c r="DX23" s="127"/>
      <c r="DY23" s="127"/>
      <c r="DZ23" s="135"/>
      <c r="EA23" s="139"/>
    </row>
    <row r="24" spans="1:132" ht="63.75" x14ac:dyDescent="0.2">
      <c r="A24" s="130" t="s">
        <v>591</v>
      </c>
      <c r="B24" s="131" t="s">
        <v>1426</v>
      </c>
      <c r="C24" s="131" t="s">
        <v>1407</v>
      </c>
      <c r="D24" s="131" t="s">
        <v>1427</v>
      </c>
      <c r="E24" s="132" t="s">
        <v>1328</v>
      </c>
      <c r="F24" s="133" t="s">
        <v>1428</v>
      </c>
      <c r="G24" s="133" t="s">
        <v>1429</v>
      </c>
      <c r="H24" s="37"/>
      <c r="I24" s="37"/>
      <c r="J24" s="37"/>
      <c r="K24" s="37"/>
      <c r="L24" s="159"/>
      <c r="M24" s="123"/>
      <c r="N24" s="135"/>
      <c r="O24" s="136"/>
      <c r="P24" s="123" t="s">
        <v>1411</v>
      </c>
      <c r="Q24" s="123" t="s">
        <v>1412</v>
      </c>
      <c r="R24" s="135">
        <v>1566</v>
      </c>
      <c r="S24" s="136">
        <v>374.65</v>
      </c>
      <c r="T24" s="123" t="s">
        <v>1413</v>
      </c>
      <c r="U24" s="123" t="s">
        <v>1413</v>
      </c>
      <c r="V24" s="135">
        <v>1427</v>
      </c>
      <c r="W24" s="136">
        <v>260.58</v>
      </c>
      <c r="X24" s="123"/>
      <c r="Y24" s="123"/>
      <c r="Z24" s="135"/>
      <c r="AA24" s="136"/>
      <c r="AB24" s="123" t="s">
        <v>1414</v>
      </c>
      <c r="AC24" s="123" t="s">
        <v>1414</v>
      </c>
      <c r="AD24" s="135">
        <v>1372</v>
      </c>
      <c r="AE24" s="136">
        <v>252.14</v>
      </c>
      <c r="AF24" s="123"/>
      <c r="AG24" s="123"/>
      <c r="AH24" s="135"/>
      <c r="AI24" s="136"/>
      <c r="AJ24" s="123" t="s">
        <v>1337</v>
      </c>
      <c r="AK24" s="123" t="s">
        <v>1337</v>
      </c>
      <c r="AL24" s="135">
        <v>1472</v>
      </c>
      <c r="AM24" s="136">
        <v>266.77999999999997</v>
      </c>
      <c r="AN24" s="123"/>
      <c r="AO24" s="123"/>
      <c r="AP24" s="135"/>
      <c r="AQ24" s="136"/>
      <c r="AR24" s="123"/>
      <c r="AS24" s="123"/>
      <c r="AT24" s="135"/>
      <c r="AU24" s="136"/>
      <c r="AV24" s="123" t="s">
        <v>1415</v>
      </c>
      <c r="AW24" s="123" t="s">
        <v>1415</v>
      </c>
      <c r="AX24" s="135">
        <v>1487</v>
      </c>
      <c r="AY24" s="136">
        <v>274.74</v>
      </c>
      <c r="AZ24" s="123"/>
      <c r="BA24" s="122"/>
      <c r="BB24" s="135"/>
      <c r="BC24" s="136"/>
      <c r="BD24" s="123" t="s">
        <v>1416</v>
      </c>
      <c r="BE24" s="122" t="s">
        <v>1416</v>
      </c>
      <c r="BF24" s="135">
        <v>1438</v>
      </c>
      <c r="BG24" s="136">
        <v>263.10000000000002</v>
      </c>
      <c r="BH24" s="123"/>
      <c r="BI24" s="122"/>
      <c r="BJ24" s="135"/>
      <c r="BK24" s="136"/>
      <c r="BL24" s="123" t="s">
        <v>1417</v>
      </c>
      <c r="BM24" s="122" t="s">
        <v>1417</v>
      </c>
      <c r="BN24" s="135">
        <v>1370</v>
      </c>
      <c r="BO24" s="136">
        <v>251.28</v>
      </c>
      <c r="BP24" s="137"/>
      <c r="BQ24" s="138"/>
      <c r="BR24" s="135"/>
      <c r="BS24" s="139"/>
      <c r="BT24" s="123" t="s">
        <v>1418</v>
      </c>
      <c r="BU24" s="122" t="s">
        <v>1418</v>
      </c>
      <c r="BV24" s="135">
        <v>1603</v>
      </c>
      <c r="BW24" s="139">
        <v>287.25</v>
      </c>
      <c r="BX24" s="127" t="s">
        <v>1419</v>
      </c>
      <c r="BY24" s="127" t="s">
        <v>1419</v>
      </c>
      <c r="BZ24" s="135">
        <v>2241</v>
      </c>
      <c r="CA24" s="139">
        <v>513.04999999999995</v>
      </c>
      <c r="CB24" s="127" t="s">
        <v>1420</v>
      </c>
      <c r="CC24" s="127" t="s">
        <v>1420</v>
      </c>
      <c r="CD24" s="135">
        <v>2160</v>
      </c>
      <c r="CE24" s="139">
        <v>517.63</v>
      </c>
      <c r="CF24" s="127"/>
      <c r="CG24" s="127"/>
      <c r="CH24" s="135"/>
      <c r="CI24" s="139"/>
      <c r="CJ24" s="127"/>
      <c r="CK24" s="127"/>
      <c r="CL24" s="135"/>
      <c r="CM24" s="139"/>
      <c r="CN24" s="127"/>
      <c r="CO24" s="127"/>
      <c r="CP24" s="135"/>
      <c r="CQ24" s="139"/>
      <c r="CR24" s="127"/>
      <c r="CS24" s="127"/>
      <c r="CT24" s="135"/>
      <c r="CU24" s="139"/>
      <c r="CV24" s="127" t="s">
        <v>1349</v>
      </c>
      <c r="CW24" s="127" t="s">
        <v>1349</v>
      </c>
      <c r="CX24" s="135">
        <v>4401</v>
      </c>
      <c r="CY24" s="139">
        <v>1031.01</v>
      </c>
      <c r="CZ24" s="127" t="s">
        <v>1349</v>
      </c>
      <c r="DA24" s="127" t="s">
        <v>1349</v>
      </c>
      <c r="DB24" s="135">
        <v>4401</v>
      </c>
      <c r="DC24" s="139">
        <v>1031.01</v>
      </c>
      <c r="DD24" s="127" t="s">
        <v>1421</v>
      </c>
      <c r="DE24" s="127" t="s">
        <v>1421</v>
      </c>
      <c r="DF24" s="135">
        <v>2056</v>
      </c>
      <c r="DG24" s="139">
        <v>491.54</v>
      </c>
      <c r="DH24" s="127" t="s">
        <v>1421</v>
      </c>
      <c r="DI24" s="127" t="s">
        <v>1421</v>
      </c>
      <c r="DJ24" s="135">
        <v>2056</v>
      </c>
      <c r="DK24" s="139">
        <v>491.54</v>
      </c>
      <c r="DL24" s="127" t="s">
        <v>1421</v>
      </c>
      <c r="DM24" s="127" t="s">
        <v>1421</v>
      </c>
      <c r="DN24" s="135">
        <v>2056</v>
      </c>
      <c r="DO24" s="139">
        <v>491.54</v>
      </c>
      <c r="DP24" s="127"/>
      <c r="DQ24" s="127"/>
      <c r="DR24" s="135"/>
      <c r="DS24" s="139"/>
      <c r="DT24" s="127"/>
      <c r="DU24" s="127"/>
      <c r="DV24" s="135"/>
      <c r="DW24" s="139"/>
      <c r="DX24" s="127"/>
      <c r="DY24" s="127"/>
      <c r="DZ24" s="135"/>
      <c r="EA24" s="139"/>
    </row>
    <row r="25" spans="1:132" ht="51" x14ac:dyDescent="0.2">
      <c r="A25" s="130" t="s">
        <v>1430</v>
      </c>
      <c r="B25" s="131" t="s">
        <v>1431</v>
      </c>
      <c r="C25" s="131" t="s">
        <v>1407</v>
      </c>
      <c r="D25" s="131" t="s">
        <v>1432</v>
      </c>
      <c r="E25" s="132" t="s">
        <v>1328</v>
      </c>
      <c r="F25" s="133" t="s">
        <v>1433</v>
      </c>
      <c r="G25" s="133" t="s">
        <v>1434</v>
      </c>
      <c r="H25" s="37"/>
      <c r="I25" s="37"/>
      <c r="J25" s="37"/>
      <c r="K25" s="37"/>
      <c r="L25" s="159"/>
      <c r="M25" s="123"/>
      <c r="N25" s="135"/>
      <c r="O25" s="136"/>
      <c r="P25" s="123" t="s">
        <v>1411</v>
      </c>
      <c r="Q25" s="123" t="s">
        <v>1412</v>
      </c>
      <c r="R25" s="135">
        <v>680</v>
      </c>
      <c r="S25" s="136">
        <v>156.18</v>
      </c>
      <c r="T25" s="123" t="s">
        <v>1413</v>
      </c>
      <c r="U25" s="123" t="s">
        <v>1413</v>
      </c>
      <c r="V25" s="135">
        <v>650</v>
      </c>
      <c r="W25" s="136">
        <v>167.48</v>
      </c>
      <c r="X25" s="123"/>
      <c r="Y25" s="123"/>
      <c r="Z25" s="135"/>
      <c r="AA25" s="136"/>
      <c r="AB25" s="123" t="s">
        <v>1414</v>
      </c>
      <c r="AC25" s="123" t="s">
        <v>1414</v>
      </c>
      <c r="AD25" s="135">
        <v>584</v>
      </c>
      <c r="AE25" s="136">
        <v>142.28</v>
      </c>
      <c r="AF25" s="123"/>
      <c r="AG25" s="123"/>
      <c r="AH25" s="135"/>
      <c r="AI25" s="136"/>
      <c r="AJ25" s="123" t="s">
        <v>1337</v>
      </c>
      <c r="AK25" s="123" t="s">
        <v>1337</v>
      </c>
      <c r="AL25" s="135">
        <v>571</v>
      </c>
      <c r="AM25" s="136">
        <v>134.28</v>
      </c>
      <c r="AN25" s="123"/>
      <c r="AO25" s="123"/>
      <c r="AP25" s="135"/>
      <c r="AQ25" s="136"/>
      <c r="AR25" s="123"/>
      <c r="AS25" s="123"/>
      <c r="AT25" s="135"/>
      <c r="AU25" s="136"/>
      <c r="AV25" s="123" t="s">
        <v>1415</v>
      </c>
      <c r="AW25" s="123" t="s">
        <v>1415</v>
      </c>
      <c r="AX25" s="135">
        <v>559</v>
      </c>
      <c r="AY25" s="136">
        <v>148.09</v>
      </c>
      <c r="AZ25" s="123"/>
      <c r="BA25" s="122"/>
      <c r="BB25" s="135"/>
      <c r="BC25" s="136"/>
      <c r="BD25" s="123" t="s">
        <v>1416</v>
      </c>
      <c r="BE25" s="122" t="s">
        <v>1416</v>
      </c>
      <c r="BF25" s="135">
        <v>568</v>
      </c>
      <c r="BG25" s="136">
        <v>134.82</v>
      </c>
      <c r="BH25" s="123"/>
      <c r="BI25" s="122"/>
      <c r="BJ25" s="135"/>
      <c r="BK25" s="136"/>
      <c r="BL25" s="123" t="s">
        <v>1417</v>
      </c>
      <c r="BM25" s="122" t="s">
        <v>1417</v>
      </c>
      <c r="BN25" s="135">
        <v>619</v>
      </c>
      <c r="BO25" s="136">
        <v>144.81</v>
      </c>
      <c r="BP25" s="137"/>
      <c r="BQ25" s="138"/>
      <c r="BR25" s="135"/>
      <c r="BS25" s="139"/>
      <c r="BT25" s="123" t="s">
        <v>1418</v>
      </c>
      <c r="BU25" s="122" t="s">
        <v>1418</v>
      </c>
      <c r="BV25" s="135">
        <v>639</v>
      </c>
      <c r="BW25" s="139">
        <v>149.22999999999999</v>
      </c>
      <c r="BX25" s="127" t="s">
        <v>1419</v>
      </c>
      <c r="BY25" s="127" t="s">
        <v>1419</v>
      </c>
      <c r="BZ25" s="135">
        <v>766</v>
      </c>
      <c r="CA25" s="139">
        <v>173.1</v>
      </c>
      <c r="CB25" s="127" t="s">
        <v>1420</v>
      </c>
      <c r="CC25" s="127" t="s">
        <v>1420</v>
      </c>
      <c r="CD25" s="135">
        <v>710</v>
      </c>
      <c r="CE25" s="139">
        <v>163.36000000000001</v>
      </c>
      <c r="CF25" s="127"/>
      <c r="CG25" s="127"/>
      <c r="CH25" s="135"/>
      <c r="CI25" s="139"/>
      <c r="CJ25" s="127"/>
      <c r="CK25" s="127"/>
      <c r="CL25" s="135"/>
      <c r="CM25" s="139"/>
      <c r="CN25" s="127"/>
      <c r="CO25" s="127"/>
      <c r="CP25" s="135"/>
      <c r="CQ25" s="139"/>
      <c r="CR25" s="127"/>
      <c r="CS25" s="127"/>
      <c r="CT25" s="135"/>
      <c r="CU25" s="139"/>
      <c r="CV25" s="127" t="s">
        <v>1349</v>
      </c>
      <c r="CW25" s="127" t="s">
        <v>1349</v>
      </c>
      <c r="CX25" s="135">
        <v>1476</v>
      </c>
      <c r="CY25" s="139">
        <v>336.56</v>
      </c>
      <c r="CZ25" s="127" t="s">
        <v>1349</v>
      </c>
      <c r="DA25" s="127" t="s">
        <v>1349</v>
      </c>
      <c r="DB25" s="135">
        <v>1476</v>
      </c>
      <c r="DC25" s="139">
        <v>336.56</v>
      </c>
      <c r="DD25" s="127" t="s">
        <v>1421</v>
      </c>
      <c r="DE25" s="127" t="s">
        <v>1421</v>
      </c>
      <c r="DF25" s="135">
        <v>726</v>
      </c>
      <c r="DG25" s="139">
        <v>166.51</v>
      </c>
      <c r="DH25" s="127" t="s">
        <v>1421</v>
      </c>
      <c r="DI25" s="127" t="s">
        <v>1421</v>
      </c>
      <c r="DJ25" s="135">
        <v>726</v>
      </c>
      <c r="DK25" s="139">
        <v>166.51</v>
      </c>
      <c r="DL25" s="127" t="s">
        <v>1421</v>
      </c>
      <c r="DM25" s="127" t="s">
        <v>1421</v>
      </c>
      <c r="DN25" s="135">
        <v>726</v>
      </c>
      <c r="DO25" s="139">
        <v>166.51</v>
      </c>
      <c r="DP25" s="127"/>
      <c r="DQ25" s="127"/>
      <c r="DR25" s="135"/>
      <c r="DS25" s="139"/>
      <c r="DT25" s="127"/>
      <c r="DU25" s="127"/>
      <c r="DV25" s="135"/>
      <c r="DW25" s="139"/>
      <c r="DX25" s="127"/>
      <c r="DY25" s="127"/>
      <c r="DZ25" s="135"/>
      <c r="EA25" s="139"/>
    </row>
    <row r="26" spans="1:132" ht="63.75" x14ac:dyDescent="0.2">
      <c r="A26" s="130" t="s">
        <v>1435</v>
      </c>
      <c r="B26" s="131" t="s">
        <v>1436</v>
      </c>
      <c r="C26" s="131" t="s">
        <v>1407</v>
      </c>
      <c r="D26" s="131" t="s">
        <v>1427</v>
      </c>
      <c r="E26" s="132" t="s">
        <v>1328</v>
      </c>
      <c r="F26" s="133" t="s">
        <v>1437</v>
      </c>
      <c r="G26" s="133" t="s">
        <v>1438</v>
      </c>
      <c r="H26" s="37"/>
      <c r="I26" s="37"/>
      <c r="J26" s="37"/>
      <c r="K26" s="37"/>
      <c r="L26" s="159"/>
      <c r="M26" s="123"/>
      <c r="N26" s="135"/>
      <c r="O26" s="136"/>
      <c r="P26" s="123" t="s">
        <v>1411</v>
      </c>
      <c r="Q26" s="123" t="s">
        <v>1412</v>
      </c>
      <c r="R26" s="135">
        <v>1703</v>
      </c>
      <c r="S26" s="136">
        <v>363.4</v>
      </c>
      <c r="T26" s="123" t="s">
        <v>1413</v>
      </c>
      <c r="U26" s="123" t="s">
        <v>1413</v>
      </c>
      <c r="V26" s="135">
        <v>1509</v>
      </c>
      <c r="W26" s="136">
        <v>250.55</v>
      </c>
      <c r="X26" s="123"/>
      <c r="Y26" s="123"/>
      <c r="Z26" s="135"/>
      <c r="AA26" s="136"/>
      <c r="AB26" s="123" t="s">
        <v>1414</v>
      </c>
      <c r="AC26" s="123" t="s">
        <v>1414</v>
      </c>
      <c r="AD26" s="135">
        <v>874</v>
      </c>
      <c r="AE26" s="136">
        <v>155.46</v>
      </c>
      <c r="AF26" s="123"/>
      <c r="AG26" s="123"/>
      <c r="AH26" s="135"/>
      <c r="AI26" s="136"/>
      <c r="AJ26" s="123" t="s">
        <v>1337</v>
      </c>
      <c r="AK26" s="123" t="s">
        <v>1337</v>
      </c>
      <c r="AL26" s="135">
        <v>423</v>
      </c>
      <c r="AM26" s="136">
        <v>88.86</v>
      </c>
      <c r="AN26" s="123"/>
      <c r="AO26" s="123"/>
      <c r="AP26" s="135"/>
      <c r="AQ26" s="136"/>
      <c r="AR26" s="123"/>
      <c r="AS26" s="123"/>
      <c r="AT26" s="135"/>
      <c r="AU26" s="136"/>
      <c r="AV26" s="123" t="s">
        <v>1415</v>
      </c>
      <c r="AW26" s="123" t="s">
        <v>1415</v>
      </c>
      <c r="AX26" s="135">
        <v>618</v>
      </c>
      <c r="AY26" s="136">
        <v>118.95</v>
      </c>
      <c r="AZ26" s="123"/>
      <c r="BA26" s="122"/>
      <c r="BB26" s="135"/>
      <c r="BC26" s="136"/>
      <c r="BD26" s="123" t="s">
        <v>1416</v>
      </c>
      <c r="BE26" s="122" t="s">
        <v>1416</v>
      </c>
      <c r="BF26" s="135">
        <v>652</v>
      </c>
      <c r="BG26" s="136">
        <v>119.14</v>
      </c>
      <c r="BH26" s="123"/>
      <c r="BI26" s="122"/>
      <c r="BJ26" s="135"/>
      <c r="BK26" s="136"/>
      <c r="BL26" s="123" t="s">
        <v>1417</v>
      </c>
      <c r="BM26" s="122" t="s">
        <v>1417</v>
      </c>
      <c r="BN26" s="135">
        <v>785</v>
      </c>
      <c r="BO26" s="136">
        <v>142.11000000000001</v>
      </c>
      <c r="BP26" s="137"/>
      <c r="BQ26" s="138"/>
      <c r="BR26" s="135"/>
      <c r="BS26" s="139"/>
      <c r="BT26" s="123" t="s">
        <v>1418</v>
      </c>
      <c r="BU26" s="122" t="s">
        <v>1418</v>
      </c>
      <c r="BV26" s="135">
        <v>1446</v>
      </c>
      <c r="BW26" s="139">
        <v>239.49</v>
      </c>
      <c r="BX26" s="127" t="s">
        <v>1419</v>
      </c>
      <c r="BY26" s="127" t="s">
        <v>1419</v>
      </c>
      <c r="BZ26" s="135">
        <v>2778</v>
      </c>
      <c r="CA26" s="139">
        <v>562.39</v>
      </c>
      <c r="CB26" s="127" t="s">
        <v>1420</v>
      </c>
      <c r="CC26" s="127" t="s">
        <v>1420</v>
      </c>
      <c r="CD26" s="135">
        <v>1947</v>
      </c>
      <c r="CE26" s="139">
        <v>426.53</v>
      </c>
      <c r="CF26" s="127"/>
      <c r="CG26" s="127"/>
      <c r="CH26" s="135"/>
      <c r="CI26" s="139"/>
      <c r="CJ26" s="127"/>
      <c r="CK26" s="127"/>
      <c r="CL26" s="135"/>
      <c r="CM26" s="139"/>
      <c r="CN26" s="127"/>
      <c r="CO26" s="127"/>
      <c r="CP26" s="135"/>
      <c r="CQ26" s="139"/>
      <c r="CR26" s="127"/>
      <c r="CS26" s="127"/>
      <c r="CT26" s="135"/>
      <c r="CU26" s="139"/>
      <c r="CV26" s="127" t="s">
        <v>1349</v>
      </c>
      <c r="CW26" s="127" t="s">
        <v>1349</v>
      </c>
      <c r="CX26" s="135">
        <v>4725</v>
      </c>
      <c r="CY26" s="139">
        <v>989.29</v>
      </c>
      <c r="CZ26" s="127" t="s">
        <v>1349</v>
      </c>
      <c r="DA26" s="127" t="s">
        <v>1349</v>
      </c>
      <c r="DB26" s="135">
        <v>4725</v>
      </c>
      <c r="DC26" s="139">
        <v>989.29</v>
      </c>
      <c r="DD26" s="127" t="s">
        <v>1421</v>
      </c>
      <c r="DE26" s="127" t="s">
        <v>1421</v>
      </c>
      <c r="DF26" s="135">
        <v>2633</v>
      </c>
      <c r="DG26" s="139">
        <v>567.02</v>
      </c>
      <c r="DH26" s="127" t="s">
        <v>1421</v>
      </c>
      <c r="DI26" s="127" t="s">
        <v>1421</v>
      </c>
      <c r="DJ26" s="135">
        <v>2633</v>
      </c>
      <c r="DK26" s="139">
        <v>567.02</v>
      </c>
      <c r="DL26" s="127" t="s">
        <v>1421</v>
      </c>
      <c r="DM26" s="127" t="s">
        <v>1421</v>
      </c>
      <c r="DN26" s="135">
        <v>2633</v>
      </c>
      <c r="DO26" s="139">
        <v>567.02</v>
      </c>
      <c r="DP26" s="127"/>
      <c r="DQ26" s="127"/>
      <c r="DR26" s="135"/>
      <c r="DS26" s="139"/>
      <c r="DT26" s="127"/>
      <c r="DU26" s="127"/>
      <c r="DV26" s="135"/>
      <c r="DW26" s="139"/>
      <c r="DX26" s="127"/>
      <c r="DY26" s="127"/>
      <c r="DZ26" s="135"/>
      <c r="EA26" s="139"/>
    </row>
    <row r="27" spans="1:132" ht="89.25" x14ac:dyDescent="0.2">
      <c r="A27" s="130" t="s">
        <v>1439</v>
      </c>
      <c r="B27" s="131" t="s">
        <v>1440</v>
      </c>
      <c r="C27" s="131" t="s">
        <v>1407</v>
      </c>
      <c r="D27" s="131" t="s">
        <v>1427</v>
      </c>
      <c r="E27" s="132" t="s">
        <v>1385</v>
      </c>
      <c r="F27" s="133" t="s">
        <v>1441</v>
      </c>
      <c r="G27" s="133" t="s">
        <v>1442</v>
      </c>
      <c r="H27" s="37"/>
      <c r="I27" s="37"/>
      <c r="J27" s="37"/>
      <c r="K27" s="37"/>
      <c r="L27" s="159"/>
      <c r="M27" s="123"/>
      <c r="N27" s="135"/>
      <c r="O27" s="136"/>
      <c r="P27" s="123" t="s">
        <v>1411</v>
      </c>
      <c r="Q27" s="123" t="s">
        <v>1412</v>
      </c>
      <c r="R27" s="135">
        <v>95</v>
      </c>
      <c r="S27" s="136">
        <v>25.31</v>
      </c>
      <c r="T27" s="123" t="s">
        <v>1413</v>
      </c>
      <c r="U27" s="123" t="s">
        <v>1413</v>
      </c>
      <c r="V27" s="135">
        <v>91</v>
      </c>
      <c r="W27" s="136">
        <v>24.66</v>
      </c>
      <c r="X27" s="123"/>
      <c r="Y27" s="123"/>
      <c r="Z27" s="135"/>
      <c r="AA27" s="136"/>
      <c r="AB27" s="123" t="s">
        <v>1414</v>
      </c>
      <c r="AC27" s="123" t="s">
        <v>1414</v>
      </c>
      <c r="AD27" s="135">
        <v>94</v>
      </c>
      <c r="AE27" s="136">
        <v>25.16</v>
      </c>
      <c r="AF27" s="123"/>
      <c r="AG27" s="123"/>
      <c r="AH27" s="135"/>
      <c r="AI27" s="136"/>
      <c r="AJ27" s="123" t="s">
        <v>1337</v>
      </c>
      <c r="AK27" s="123" t="s">
        <v>1337</v>
      </c>
      <c r="AL27" s="135">
        <v>92</v>
      </c>
      <c r="AM27" s="136">
        <v>24.82</v>
      </c>
      <c r="AN27" s="123"/>
      <c r="AO27" s="123"/>
      <c r="AP27" s="135"/>
      <c r="AQ27" s="136"/>
      <c r="AR27" s="123"/>
      <c r="AS27" s="123"/>
      <c r="AT27" s="135"/>
      <c r="AU27" s="136"/>
      <c r="AV27" s="123" t="s">
        <v>1415</v>
      </c>
      <c r="AW27" s="123" t="s">
        <v>1415</v>
      </c>
      <c r="AX27" s="135">
        <v>90</v>
      </c>
      <c r="AY27" s="136">
        <v>24.48</v>
      </c>
      <c r="AZ27" s="123"/>
      <c r="BA27" s="122"/>
      <c r="BB27" s="135"/>
      <c r="BC27" s="136"/>
      <c r="BD27" s="123" t="s">
        <v>1416</v>
      </c>
      <c r="BE27" s="122" t="s">
        <v>1416</v>
      </c>
      <c r="BF27" s="135">
        <v>93</v>
      </c>
      <c r="BG27" s="136">
        <v>24.14</v>
      </c>
      <c r="BH27" s="123"/>
      <c r="BI27" s="122"/>
      <c r="BJ27" s="135"/>
      <c r="BK27" s="136"/>
      <c r="BL27" s="123" t="s">
        <v>1417</v>
      </c>
      <c r="BM27" s="122" t="s">
        <v>1417</v>
      </c>
      <c r="BN27" s="135">
        <v>90</v>
      </c>
      <c r="BO27" s="136">
        <v>23.62</v>
      </c>
      <c r="BP27" s="137"/>
      <c r="BQ27" s="138"/>
      <c r="BR27" s="135"/>
      <c r="BS27" s="139"/>
      <c r="BT27" s="123" t="s">
        <v>1418</v>
      </c>
      <c r="BU27" s="122" t="s">
        <v>1418</v>
      </c>
      <c r="BV27" s="135">
        <v>90</v>
      </c>
      <c r="BW27" s="139">
        <v>23.68</v>
      </c>
      <c r="BX27" s="127" t="s">
        <v>1419</v>
      </c>
      <c r="BY27" s="127" t="s">
        <v>1419</v>
      </c>
      <c r="BZ27" s="135">
        <v>72</v>
      </c>
      <c r="CA27" s="139">
        <v>24.26</v>
      </c>
      <c r="CB27" s="127" t="s">
        <v>1420</v>
      </c>
      <c r="CC27" s="127" t="s">
        <v>1420</v>
      </c>
      <c r="CD27" s="135">
        <v>89</v>
      </c>
      <c r="CE27" s="139">
        <v>23.24</v>
      </c>
      <c r="CF27" s="127"/>
      <c r="CG27" s="127"/>
      <c r="CH27" s="135"/>
      <c r="CI27" s="139"/>
      <c r="CJ27" s="127"/>
      <c r="CK27" s="127"/>
      <c r="CL27" s="135"/>
      <c r="CM27" s="139"/>
      <c r="CN27" s="127"/>
      <c r="CO27" s="127"/>
      <c r="CP27" s="135"/>
      <c r="CQ27" s="139"/>
      <c r="CR27" s="127"/>
      <c r="CS27" s="127"/>
      <c r="CT27" s="135"/>
      <c r="CU27" s="139"/>
      <c r="CV27" s="127" t="s">
        <v>1349</v>
      </c>
      <c r="CW27" s="127" t="s">
        <v>1349</v>
      </c>
      <c r="CX27" s="135">
        <v>161</v>
      </c>
      <c r="CY27" s="139">
        <v>47.51</v>
      </c>
      <c r="CZ27" s="127" t="s">
        <v>1349</v>
      </c>
      <c r="DA27" s="127" t="s">
        <v>1349</v>
      </c>
      <c r="DB27" s="135">
        <v>161</v>
      </c>
      <c r="DC27" s="139">
        <v>47.51</v>
      </c>
      <c r="DD27" s="127" t="s">
        <v>1421</v>
      </c>
      <c r="DE27" s="127" t="s">
        <v>1421</v>
      </c>
      <c r="DF27" s="135">
        <v>87</v>
      </c>
      <c r="DG27" s="139">
        <v>23.15</v>
      </c>
      <c r="DH27" s="127" t="s">
        <v>1421</v>
      </c>
      <c r="DI27" s="127" t="s">
        <v>1421</v>
      </c>
      <c r="DJ27" s="135">
        <v>87</v>
      </c>
      <c r="DK27" s="139">
        <v>23.15</v>
      </c>
      <c r="DL27" s="127" t="s">
        <v>1421</v>
      </c>
      <c r="DM27" s="127" t="s">
        <v>1421</v>
      </c>
      <c r="DN27" s="135">
        <v>87</v>
      </c>
      <c r="DO27" s="139">
        <v>23.15</v>
      </c>
      <c r="DP27" s="127"/>
      <c r="DQ27" s="127"/>
      <c r="DR27" s="135"/>
      <c r="DS27" s="139"/>
      <c r="DT27" s="127"/>
      <c r="DU27" s="127"/>
      <c r="DV27" s="135"/>
      <c r="DW27" s="139"/>
      <c r="DX27" s="127"/>
      <c r="DY27" s="127"/>
      <c r="DZ27" s="135"/>
      <c r="EA27" s="139"/>
    </row>
    <row r="28" spans="1:132" ht="127.5" x14ac:dyDescent="0.2">
      <c r="A28" s="160" t="s">
        <v>1443</v>
      </c>
      <c r="B28" s="161" t="s">
        <v>1444</v>
      </c>
      <c r="C28" s="161" t="s">
        <v>1407</v>
      </c>
      <c r="D28" s="161" t="s">
        <v>1427</v>
      </c>
      <c r="E28" s="162" t="s">
        <v>1328</v>
      </c>
      <c r="F28" s="163" t="s">
        <v>1445</v>
      </c>
      <c r="G28" s="163" t="s">
        <v>1446</v>
      </c>
      <c r="H28" s="37"/>
      <c r="I28" s="37"/>
      <c r="J28" s="37"/>
      <c r="K28" s="37"/>
      <c r="L28" s="159"/>
      <c r="M28" s="123"/>
      <c r="N28" s="135"/>
      <c r="O28" s="136"/>
      <c r="P28" s="123" t="s">
        <v>1411</v>
      </c>
      <c r="Q28" s="123" t="s">
        <v>1412</v>
      </c>
      <c r="R28" s="135">
        <v>861</v>
      </c>
      <c r="S28" s="136">
        <v>235.86</v>
      </c>
      <c r="T28" s="123" t="s">
        <v>1413</v>
      </c>
      <c r="U28" s="123" t="s">
        <v>1413</v>
      </c>
      <c r="V28" s="135">
        <v>818</v>
      </c>
      <c r="W28" s="136">
        <v>185.27</v>
      </c>
      <c r="X28" s="123"/>
      <c r="Y28" s="123"/>
      <c r="Z28" s="135"/>
      <c r="AA28" s="136"/>
      <c r="AB28" s="123" t="s">
        <v>1414</v>
      </c>
      <c r="AC28" s="123" t="s">
        <v>1414</v>
      </c>
      <c r="AD28" s="135">
        <v>295</v>
      </c>
      <c r="AE28" s="136">
        <v>101.98</v>
      </c>
      <c r="AF28" s="123"/>
      <c r="AG28" s="123"/>
      <c r="AH28" s="135"/>
      <c r="AI28" s="136"/>
      <c r="AJ28" s="123" t="s">
        <v>1337</v>
      </c>
      <c r="AK28" s="123" t="s">
        <v>1337</v>
      </c>
      <c r="AL28" s="135">
        <v>128</v>
      </c>
      <c r="AM28" s="136">
        <v>73.569999999999993</v>
      </c>
      <c r="AN28" s="123"/>
      <c r="AO28" s="123"/>
      <c r="AP28" s="135"/>
      <c r="AQ28" s="136"/>
      <c r="AR28" s="123"/>
      <c r="AS28" s="123"/>
      <c r="AT28" s="135"/>
      <c r="AU28" s="136"/>
      <c r="AV28" s="123" t="s">
        <v>1415</v>
      </c>
      <c r="AW28" s="123" t="s">
        <v>1415</v>
      </c>
      <c r="AX28" s="135">
        <v>226</v>
      </c>
      <c r="AY28" s="136">
        <v>91.71</v>
      </c>
      <c r="AZ28" s="123"/>
      <c r="BA28" s="122"/>
      <c r="BB28" s="135"/>
      <c r="BC28" s="136"/>
      <c r="BD28" s="123" t="s">
        <v>1416</v>
      </c>
      <c r="BE28" s="122" t="s">
        <v>1416</v>
      </c>
      <c r="BF28" s="135">
        <v>317</v>
      </c>
      <c r="BG28" s="136">
        <v>101.22</v>
      </c>
      <c r="BH28" s="123"/>
      <c r="BI28" s="122"/>
      <c r="BJ28" s="135"/>
      <c r="BK28" s="136"/>
      <c r="BL28" s="123" t="s">
        <v>1417</v>
      </c>
      <c r="BM28" s="122" t="s">
        <v>1417</v>
      </c>
      <c r="BN28" s="135">
        <v>302</v>
      </c>
      <c r="BO28" s="136">
        <v>96.36</v>
      </c>
      <c r="BP28" s="137"/>
      <c r="BQ28" s="138"/>
      <c r="BR28" s="135"/>
      <c r="BS28" s="139"/>
      <c r="BT28" s="123" t="s">
        <v>1418</v>
      </c>
      <c r="BU28" s="122" t="s">
        <v>1418</v>
      </c>
      <c r="BV28" s="135">
        <v>-779</v>
      </c>
      <c r="BW28" s="139">
        <v>-153.66</v>
      </c>
      <c r="BX28" s="127" t="s">
        <v>1419</v>
      </c>
      <c r="BY28" s="127" t="s">
        <v>1419</v>
      </c>
      <c r="BZ28" s="135">
        <v>2220</v>
      </c>
      <c r="CA28" s="139">
        <v>520.15</v>
      </c>
      <c r="CB28" s="127" t="s">
        <v>1420</v>
      </c>
      <c r="CC28" s="127" t="s">
        <v>1420</v>
      </c>
      <c r="CD28" s="135">
        <v>394</v>
      </c>
      <c r="CE28" s="139">
        <v>136.57</v>
      </c>
      <c r="CF28" s="127"/>
      <c r="CG28" s="127"/>
      <c r="CH28" s="135"/>
      <c r="CI28" s="139"/>
      <c r="CJ28" s="127"/>
      <c r="CK28" s="127"/>
      <c r="CL28" s="135"/>
      <c r="CM28" s="139"/>
      <c r="CN28" s="127"/>
      <c r="CO28" s="127"/>
      <c r="CP28" s="135"/>
      <c r="CQ28" s="139"/>
      <c r="CR28" s="127"/>
      <c r="CS28" s="127"/>
      <c r="CT28" s="135"/>
      <c r="CU28" s="139"/>
      <c r="CV28" s="127" t="s">
        <v>1349</v>
      </c>
      <c r="CW28" s="127" t="s">
        <v>1349</v>
      </c>
      <c r="CX28" s="135">
        <v>2614</v>
      </c>
      <c r="CY28" s="139">
        <v>656.89</v>
      </c>
      <c r="CZ28" s="127" t="s">
        <v>1349</v>
      </c>
      <c r="DA28" s="127" t="s">
        <v>1349</v>
      </c>
      <c r="DB28" s="135">
        <v>2614</v>
      </c>
      <c r="DC28" s="139">
        <v>656.89</v>
      </c>
      <c r="DD28" s="127" t="s">
        <v>1421</v>
      </c>
      <c r="DE28" s="127" t="s">
        <v>1421</v>
      </c>
      <c r="DF28" s="135">
        <v>1019</v>
      </c>
      <c r="DG28" s="139">
        <v>268.22000000000003</v>
      </c>
      <c r="DH28" s="127" t="s">
        <v>1421</v>
      </c>
      <c r="DI28" s="127" t="s">
        <v>1421</v>
      </c>
      <c r="DJ28" s="135">
        <v>1019</v>
      </c>
      <c r="DK28" s="139">
        <v>268.22000000000003</v>
      </c>
      <c r="DL28" s="127" t="s">
        <v>1421</v>
      </c>
      <c r="DM28" s="127" t="s">
        <v>1421</v>
      </c>
      <c r="DN28" s="135">
        <v>1019</v>
      </c>
      <c r="DO28" s="139">
        <v>268.22000000000003</v>
      </c>
      <c r="DP28" s="127"/>
      <c r="DQ28" s="127"/>
      <c r="DR28" s="135"/>
      <c r="DS28" s="139"/>
      <c r="DT28" s="127"/>
      <c r="DU28" s="127"/>
      <c r="DV28" s="135"/>
      <c r="DW28" s="139"/>
      <c r="DX28" s="127"/>
      <c r="DY28" s="127"/>
      <c r="DZ28" s="135"/>
      <c r="EA28" s="139"/>
    </row>
    <row r="29" spans="1:132" ht="114.75" x14ac:dyDescent="0.2">
      <c r="A29" s="130">
        <v>335</v>
      </c>
      <c r="B29" s="131" t="s">
        <v>1447</v>
      </c>
      <c r="C29" s="131" t="s">
        <v>1407</v>
      </c>
      <c r="D29" s="131" t="s">
        <v>1427</v>
      </c>
      <c r="E29" s="132" t="s">
        <v>1328</v>
      </c>
      <c r="F29" s="133" t="s">
        <v>1448</v>
      </c>
      <c r="G29" s="133" t="s">
        <v>1449</v>
      </c>
      <c r="H29" s="37"/>
      <c r="I29" s="37"/>
      <c r="J29" s="37"/>
      <c r="K29" s="37"/>
      <c r="L29" s="159"/>
      <c r="M29" s="123"/>
      <c r="N29" s="122"/>
      <c r="O29" s="136"/>
      <c r="P29" s="123" t="s">
        <v>1411</v>
      </c>
      <c r="Q29" s="123" t="s">
        <v>1412</v>
      </c>
      <c r="R29" s="122">
        <v>0</v>
      </c>
      <c r="S29" s="136">
        <v>17.100000000000001</v>
      </c>
      <c r="T29" s="123" t="s">
        <v>1413</v>
      </c>
      <c r="U29" s="123" t="s">
        <v>1413</v>
      </c>
      <c r="V29" s="122">
        <v>0</v>
      </c>
      <c r="W29" s="136">
        <v>16.86</v>
      </c>
      <c r="X29" s="123"/>
      <c r="Y29" s="123"/>
      <c r="Z29" s="122"/>
      <c r="AA29" s="136"/>
      <c r="AB29" s="123" t="s">
        <v>1414</v>
      </c>
      <c r="AC29" s="123" t="s">
        <v>1414</v>
      </c>
      <c r="AD29" s="122">
        <v>0</v>
      </c>
      <c r="AE29" s="136">
        <v>17.100000000000001</v>
      </c>
      <c r="AF29" s="123"/>
      <c r="AG29" s="123"/>
      <c r="AH29" s="122"/>
      <c r="AI29" s="136"/>
      <c r="AJ29" s="123" t="s">
        <v>1337</v>
      </c>
      <c r="AK29" s="123" t="s">
        <v>1337</v>
      </c>
      <c r="AL29" s="122">
        <v>0</v>
      </c>
      <c r="AM29" s="136">
        <v>16.86</v>
      </c>
      <c r="AN29" s="123"/>
      <c r="AO29" s="123"/>
      <c r="AP29" s="122"/>
      <c r="AQ29" s="136"/>
      <c r="AR29" s="123"/>
      <c r="AS29" s="123"/>
      <c r="AT29" s="122"/>
      <c r="AU29" s="136"/>
      <c r="AV29" s="123" t="s">
        <v>1415</v>
      </c>
      <c r="AW29" s="123" t="s">
        <v>1415</v>
      </c>
      <c r="AX29" s="122">
        <v>0</v>
      </c>
      <c r="AY29" s="136">
        <v>16.66</v>
      </c>
      <c r="AZ29" s="123"/>
      <c r="BA29" s="122"/>
      <c r="BB29" s="122"/>
      <c r="BC29" s="136"/>
      <c r="BD29" s="123" t="s">
        <v>1416</v>
      </c>
      <c r="BE29" s="123" t="s">
        <v>1416</v>
      </c>
      <c r="BF29" s="122">
        <v>0</v>
      </c>
      <c r="BG29" s="136">
        <v>15.09</v>
      </c>
      <c r="BH29" s="123"/>
      <c r="BI29" s="122"/>
      <c r="BJ29" s="122"/>
      <c r="BK29" s="136"/>
      <c r="BL29" s="123" t="s">
        <v>1417</v>
      </c>
      <c r="BM29" s="122" t="s">
        <v>1417</v>
      </c>
      <c r="BN29" s="122">
        <v>0</v>
      </c>
      <c r="BO29" s="136">
        <v>14.85</v>
      </c>
      <c r="BP29" s="137"/>
      <c r="BQ29" s="138"/>
      <c r="BR29" s="122"/>
      <c r="BS29" s="139"/>
      <c r="BT29" s="123" t="s">
        <v>1418</v>
      </c>
      <c r="BU29" s="122" t="s">
        <v>1418</v>
      </c>
      <c r="BV29" s="122">
        <v>-236</v>
      </c>
      <c r="BW29" s="139">
        <v>-36.32</v>
      </c>
      <c r="BX29" s="127" t="s">
        <v>1419</v>
      </c>
      <c r="BY29" s="127" t="s">
        <v>1419</v>
      </c>
      <c r="BZ29" s="122">
        <v>295</v>
      </c>
      <c r="CA29" s="139">
        <v>82.31</v>
      </c>
      <c r="CB29" s="127" t="s">
        <v>1420</v>
      </c>
      <c r="CC29" s="127" t="s">
        <v>1420</v>
      </c>
      <c r="CD29" s="122">
        <v>-59</v>
      </c>
      <c r="CE29" s="139">
        <v>2.06</v>
      </c>
      <c r="CF29" s="127"/>
      <c r="CG29" s="127"/>
      <c r="CH29" s="122"/>
      <c r="CI29" s="139"/>
      <c r="CJ29" s="127"/>
      <c r="CK29" s="127"/>
      <c r="CL29" s="122"/>
      <c r="CM29" s="139"/>
      <c r="CN29" s="127"/>
      <c r="CO29" s="127"/>
      <c r="CP29" s="122"/>
      <c r="CQ29" s="139"/>
      <c r="CR29" s="127"/>
      <c r="CS29" s="127"/>
      <c r="CT29" s="122"/>
      <c r="CU29" s="139"/>
      <c r="CV29" s="127" t="s">
        <v>1349</v>
      </c>
      <c r="CW29" s="127" t="s">
        <v>1349</v>
      </c>
      <c r="CX29" s="122">
        <v>1265</v>
      </c>
      <c r="CY29" s="139">
        <v>332.41</v>
      </c>
      <c r="CZ29" s="127" t="s">
        <v>1349</v>
      </c>
      <c r="DA29" s="127" t="s">
        <v>1349</v>
      </c>
      <c r="DB29" s="122">
        <v>1265</v>
      </c>
      <c r="DC29" s="139">
        <v>332.41</v>
      </c>
      <c r="DD29" s="127" t="s">
        <v>1421</v>
      </c>
      <c r="DE29" s="127" t="s">
        <v>1421</v>
      </c>
      <c r="DF29" s="122">
        <v>0</v>
      </c>
      <c r="DG29" s="139">
        <v>14.85</v>
      </c>
      <c r="DH29" s="127" t="s">
        <v>1421</v>
      </c>
      <c r="DI29" s="127" t="s">
        <v>1421</v>
      </c>
      <c r="DJ29" s="122">
        <v>0</v>
      </c>
      <c r="DK29" s="139">
        <v>14.85</v>
      </c>
      <c r="DL29" s="127" t="s">
        <v>1421</v>
      </c>
      <c r="DM29" s="127" t="s">
        <v>1421</v>
      </c>
      <c r="DN29" s="122">
        <v>0</v>
      </c>
      <c r="DO29" s="139">
        <v>14.85</v>
      </c>
      <c r="DP29" s="127"/>
      <c r="DQ29" s="127"/>
      <c r="DR29" s="122"/>
      <c r="DS29" s="139"/>
      <c r="DT29" s="127"/>
      <c r="DU29" s="127"/>
      <c r="DV29" s="122"/>
      <c r="DW29" s="139"/>
      <c r="DX29" s="127"/>
      <c r="DY29" s="127"/>
      <c r="DZ29" s="122"/>
      <c r="EA29" s="139"/>
    </row>
    <row r="30" spans="1:132" ht="102" x14ac:dyDescent="0.2">
      <c r="A30" s="130" t="s">
        <v>1450</v>
      </c>
      <c r="B30" s="131" t="s">
        <v>1451</v>
      </c>
      <c r="C30" s="131" t="s">
        <v>1407</v>
      </c>
      <c r="D30" s="131" t="s">
        <v>1427</v>
      </c>
      <c r="E30" s="132" t="s">
        <v>1328</v>
      </c>
      <c r="F30" s="133" t="s">
        <v>1452</v>
      </c>
      <c r="G30" s="133" t="s">
        <v>1453</v>
      </c>
      <c r="H30" s="37"/>
      <c r="I30" s="37"/>
      <c r="J30" s="37"/>
      <c r="K30" s="37"/>
      <c r="L30" s="159"/>
      <c r="M30" s="123"/>
      <c r="N30" s="135"/>
      <c r="O30" s="136"/>
      <c r="P30" s="123" t="s">
        <v>1411</v>
      </c>
      <c r="Q30" s="123" t="s">
        <v>1412</v>
      </c>
      <c r="R30" s="135">
        <v>49</v>
      </c>
      <c r="S30" s="136">
        <v>36.659999999999997</v>
      </c>
      <c r="T30" s="123" t="s">
        <v>1413</v>
      </c>
      <c r="U30" s="123" t="s">
        <v>1413</v>
      </c>
      <c r="V30" s="135">
        <v>37</v>
      </c>
      <c r="W30" s="136">
        <v>30.02</v>
      </c>
      <c r="X30" s="123"/>
      <c r="Y30" s="123"/>
      <c r="Z30" s="135"/>
      <c r="AA30" s="136"/>
      <c r="AB30" s="123" t="s">
        <v>1414</v>
      </c>
      <c r="AC30" s="123" t="s">
        <v>1414</v>
      </c>
      <c r="AD30" s="135">
        <v>27</v>
      </c>
      <c r="AE30" s="136">
        <v>28.8</v>
      </c>
      <c r="AF30" s="123"/>
      <c r="AG30" s="123"/>
      <c r="AH30" s="135"/>
      <c r="AI30" s="136"/>
      <c r="AJ30" s="123" t="s">
        <v>1337</v>
      </c>
      <c r="AK30" s="123" t="s">
        <v>1337</v>
      </c>
      <c r="AL30" s="135">
        <v>25</v>
      </c>
      <c r="AM30" s="136">
        <v>28.01</v>
      </c>
      <c r="AN30" s="123"/>
      <c r="AO30" s="123"/>
      <c r="AP30" s="135"/>
      <c r="AQ30" s="136"/>
      <c r="AR30" s="123"/>
      <c r="AS30" s="123"/>
      <c r="AT30" s="135"/>
      <c r="AU30" s="136"/>
      <c r="AV30" s="123" t="s">
        <v>1415</v>
      </c>
      <c r="AW30" s="123" t="s">
        <v>1415</v>
      </c>
      <c r="AX30" s="135">
        <v>28</v>
      </c>
      <c r="AY30" s="136">
        <v>28.6</v>
      </c>
      <c r="AZ30" s="123"/>
      <c r="BA30" s="122"/>
      <c r="BB30" s="135"/>
      <c r="BC30" s="136"/>
      <c r="BD30" s="123" t="s">
        <v>1416</v>
      </c>
      <c r="BE30" s="123" t="s">
        <v>1416</v>
      </c>
      <c r="BF30" s="135">
        <v>19</v>
      </c>
      <c r="BG30" s="136">
        <v>24.74</v>
      </c>
      <c r="BH30" s="123"/>
      <c r="BI30" s="122"/>
      <c r="BJ30" s="135"/>
      <c r="BK30" s="136"/>
      <c r="BL30" s="123" t="s">
        <v>1417</v>
      </c>
      <c r="BM30" s="122" t="s">
        <v>1417</v>
      </c>
      <c r="BN30" s="135">
        <v>11</v>
      </c>
      <c r="BO30" s="136">
        <v>23.03</v>
      </c>
      <c r="BP30" s="137"/>
      <c r="BQ30" s="138"/>
      <c r="BR30" s="135"/>
      <c r="BS30" s="139"/>
      <c r="BT30" s="123" t="s">
        <v>1418</v>
      </c>
      <c r="BU30" s="122" t="s">
        <v>1418</v>
      </c>
      <c r="BV30" s="135">
        <v>36</v>
      </c>
      <c r="BW30" s="139">
        <v>26.59</v>
      </c>
      <c r="BX30" s="127" t="s">
        <v>1419</v>
      </c>
      <c r="BY30" s="127" t="s">
        <v>1419</v>
      </c>
      <c r="BZ30" s="135">
        <v>130</v>
      </c>
      <c r="CA30" s="139">
        <v>63.38</v>
      </c>
      <c r="CB30" s="127" t="s">
        <v>1420</v>
      </c>
      <c r="CC30" s="127" t="s">
        <v>1420</v>
      </c>
      <c r="CD30" s="135">
        <v>150</v>
      </c>
      <c r="CE30" s="139">
        <v>56.19</v>
      </c>
      <c r="CF30" s="127"/>
      <c r="CG30" s="127"/>
      <c r="CH30" s="135"/>
      <c r="CI30" s="139"/>
      <c r="CJ30" s="127"/>
      <c r="CK30" s="127"/>
      <c r="CL30" s="135"/>
      <c r="CM30" s="139"/>
      <c r="CN30" s="127"/>
      <c r="CO30" s="127"/>
      <c r="CP30" s="135"/>
      <c r="CQ30" s="139"/>
      <c r="CR30" s="127"/>
      <c r="CS30" s="127"/>
      <c r="CT30" s="135"/>
      <c r="CU30" s="139"/>
      <c r="CV30" s="127" t="s">
        <v>1349</v>
      </c>
      <c r="CW30" s="127" t="s">
        <v>1349</v>
      </c>
      <c r="CX30" s="135">
        <v>280</v>
      </c>
      <c r="CY30" s="139">
        <v>119.6</v>
      </c>
      <c r="CZ30" s="127" t="s">
        <v>1349</v>
      </c>
      <c r="DA30" s="127" t="s">
        <v>1349</v>
      </c>
      <c r="DB30" s="135">
        <v>280</v>
      </c>
      <c r="DC30" s="139">
        <v>119.6</v>
      </c>
      <c r="DD30" s="127" t="s">
        <v>1421</v>
      </c>
      <c r="DE30" s="127" t="s">
        <v>1421</v>
      </c>
      <c r="DF30" s="135">
        <v>348</v>
      </c>
      <c r="DG30" s="139">
        <v>98.55</v>
      </c>
      <c r="DH30" s="127" t="s">
        <v>1421</v>
      </c>
      <c r="DI30" s="127" t="s">
        <v>1421</v>
      </c>
      <c r="DJ30" s="135">
        <v>348</v>
      </c>
      <c r="DK30" s="139">
        <v>98.55</v>
      </c>
      <c r="DL30" s="127" t="s">
        <v>1421</v>
      </c>
      <c r="DM30" s="127" t="s">
        <v>1421</v>
      </c>
      <c r="DN30" s="135">
        <v>348</v>
      </c>
      <c r="DO30" s="139">
        <v>98.55</v>
      </c>
      <c r="DP30" s="127"/>
      <c r="DQ30" s="127"/>
      <c r="DR30" s="135"/>
      <c r="DS30" s="139"/>
      <c r="DT30" s="127"/>
      <c r="DU30" s="127"/>
      <c r="DV30" s="135"/>
      <c r="DW30" s="139"/>
      <c r="DX30" s="127"/>
      <c r="DY30" s="127"/>
      <c r="DZ30" s="135"/>
      <c r="EA30" s="139"/>
    </row>
    <row r="31" spans="1:132" ht="76.5" x14ac:dyDescent="0.2">
      <c r="A31" s="130" t="s">
        <v>1454</v>
      </c>
      <c r="B31" s="131" t="s">
        <v>1455</v>
      </c>
      <c r="C31" s="131" t="s">
        <v>1407</v>
      </c>
      <c r="D31" s="131" t="s">
        <v>1427</v>
      </c>
      <c r="E31" s="132" t="s">
        <v>1328</v>
      </c>
      <c r="F31" s="133" t="s">
        <v>1456</v>
      </c>
      <c r="G31" s="133" t="s">
        <v>1403</v>
      </c>
      <c r="H31" s="37"/>
      <c r="I31" s="37"/>
      <c r="J31" s="37"/>
      <c r="K31" s="37"/>
      <c r="L31" s="159"/>
      <c r="M31" s="123"/>
      <c r="N31" s="135"/>
      <c r="O31" s="136"/>
      <c r="P31" s="123" t="s">
        <v>1411</v>
      </c>
      <c r="Q31" s="123" t="s">
        <v>1412</v>
      </c>
      <c r="R31" s="135">
        <v>115</v>
      </c>
      <c r="S31" s="136">
        <v>65.23</v>
      </c>
      <c r="T31" s="123" t="s">
        <v>1413</v>
      </c>
      <c r="U31" s="123" t="s">
        <v>1413</v>
      </c>
      <c r="V31" s="135">
        <v>35</v>
      </c>
      <c r="W31" s="136">
        <v>37.130000000000003</v>
      </c>
      <c r="X31" s="123"/>
      <c r="Y31" s="123"/>
      <c r="Z31" s="135"/>
      <c r="AA31" s="136"/>
      <c r="AB31" s="123" t="s">
        <v>1414</v>
      </c>
      <c r="AC31" s="123" t="s">
        <v>1414</v>
      </c>
      <c r="AD31" s="135">
        <v>48</v>
      </c>
      <c r="AE31" s="136">
        <v>39.5</v>
      </c>
      <c r="AF31" s="123"/>
      <c r="AG31" s="123"/>
      <c r="AH31" s="135"/>
      <c r="AI31" s="136"/>
      <c r="AJ31" s="123" t="s">
        <v>1337</v>
      </c>
      <c r="AK31" s="123" t="s">
        <v>1337</v>
      </c>
      <c r="AL31" s="135">
        <v>1</v>
      </c>
      <c r="AM31" s="136">
        <v>31.67</v>
      </c>
      <c r="AN31" s="123"/>
      <c r="AO31" s="123"/>
      <c r="AP31" s="135"/>
      <c r="AQ31" s="136"/>
      <c r="AR31" s="123"/>
      <c r="AS31" s="123"/>
      <c r="AT31" s="135"/>
      <c r="AU31" s="136"/>
      <c r="AV31" s="123" t="s">
        <v>1415</v>
      </c>
      <c r="AW31" s="123" t="s">
        <v>1415</v>
      </c>
      <c r="AX31" s="135">
        <v>-2</v>
      </c>
      <c r="AY31" s="136">
        <v>31.41</v>
      </c>
      <c r="AZ31" s="123"/>
      <c r="BA31" s="122"/>
      <c r="BB31" s="135"/>
      <c r="BC31" s="136"/>
      <c r="BD31" s="123" t="s">
        <v>1416</v>
      </c>
      <c r="BE31" s="123" t="s">
        <v>1416</v>
      </c>
      <c r="BF31" s="135">
        <v>-28</v>
      </c>
      <c r="BG31" s="136">
        <v>16</v>
      </c>
      <c r="BH31" s="123"/>
      <c r="BI31" s="122"/>
      <c r="BJ31" s="135"/>
      <c r="BK31" s="136"/>
      <c r="BL31" s="123" t="s">
        <v>1417</v>
      </c>
      <c r="BM31" s="122" t="s">
        <v>1417</v>
      </c>
      <c r="BN31" s="135">
        <v>15</v>
      </c>
      <c r="BO31" s="136">
        <v>30.04</v>
      </c>
      <c r="BP31" s="137"/>
      <c r="BQ31" s="138"/>
      <c r="BR31" s="135"/>
      <c r="BS31" s="139"/>
      <c r="BT31" s="123" t="s">
        <v>1418</v>
      </c>
      <c r="BU31" s="122" t="s">
        <v>1418</v>
      </c>
      <c r="BV31" s="135">
        <v>-188</v>
      </c>
      <c r="BW31" s="139">
        <v>-38.06</v>
      </c>
      <c r="BX31" s="127" t="s">
        <v>1457</v>
      </c>
      <c r="BY31" s="127" t="s">
        <v>1457</v>
      </c>
      <c r="BZ31" s="135">
        <v>1703</v>
      </c>
      <c r="CA31" s="139">
        <v>390.56</v>
      </c>
      <c r="CB31" s="127" t="s">
        <v>1420</v>
      </c>
      <c r="CC31" s="127" t="s">
        <v>1420</v>
      </c>
      <c r="CD31" s="135">
        <v>1190</v>
      </c>
      <c r="CE31" s="139">
        <v>291.77</v>
      </c>
      <c r="CF31" s="127"/>
      <c r="CG31" s="127"/>
      <c r="CH31" s="135"/>
      <c r="CI31" s="139"/>
      <c r="CJ31" s="127"/>
      <c r="CK31" s="127"/>
      <c r="CL31" s="135"/>
      <c r="CM31" s="139"/>
      <c r="CN31" s="127"/>
      <c r="CO31" s="127"/>
      <c r="CP31" s="135"/>
      <c r="CQ31" s="139"/>
      <c r="CR31" s="127"/>
      <c r="CS31" s="127"/>
      <c r="CT31" s="135"/>
      <c r="CU31" s="139"/>
      <c r="CV31" s="127" t="s">
        <v>1349</v>
      </c>
      <c r="CW31" s="127" t="s">
        <v>1349</v>
      </c>
      <c r="CX31" s="135">
        <v>2893</v>
      </c>
      <c r="CY31" s="139">
        <v>682.53</v>
      </c>
      <c r="CZ31" s="127" t="s">
        <v>1349</v>
      </c>
      <c r="DA31" s="127" t="s">
        <v>1349</v>
      </c>
      <c r="DB31" s="135">
        <v>2893</v>
      </c>
      <c r="DC31" s="139">
        <v>682.53</v>
      </c>
      <c r="DD31" s="127" t="s">
        <v>1421</v>
      </c>
      <c r="DE31" s="127" t="s">
        <v>1421</v>
      </c>
      <c r="DF31" s="135">
        <v>627</v>
      </c>
      <c r="DG31" s="139">
        <v>166.92</v>
      </c>
      <c r="DH31" s="127" t="s">
        <v>1421</v>
      </c>
      <c r="DI31" s="127" t="s">
        <v>1421</v>
      </c>
      <c r="DJ31" s="135">
        <v>627</v>
      </c>
      <c r="DK31" s="139">
        <v>166.92</v>
      </c>
      <c r="DL31" s="127" t="s">
        <v>1421</v>
      </c>
      <c r="DM31" s="127" t="s">
        <v>1421</v>
      </c>
      <c r="DN31" s="135">
        <v>627</v>
      </c>
      <c r="DO31" s="139">
        <v>166.92</v>
      </c>
      <c r="DP31" s="127"/>
      <c r="DQ31" s="127"/>
      <c r="DR31" s="135"/>
      <c r="DS31" s="139"/>
      <c r="DT31" s="127"/>
      <c r="DU31" s="127"/>
      <c r="DV31" s="135"/>
      <c r="DW31" s="139"/>
      <c r="DX31" s="127"/>
      <c r="DY31" s="127"/>
      <c r="DZ31" s="135"/>
      <c r="EA31" s="139"/>
    </row>
    <row r="32" spans="1:132" ht="127.5" x14ac:dyDescent="0.2">
      <c r="A32" s="130">
        <v>336</v>
      </c>
      <c r="B32" s="131" t="s">
        <v>1458</v>
      </c>
      <c r="C32" s="131" t="s">
        <v>1407</v>
      </c>
      <c r="D32" s="131" t="s">
        <v>1427</v>
      </c>
      <c r="E32" s="132" t="s">
        <v>1328</v>
      </c>
      <c r="F32" s="133" t="s">
        <v>1459</v>
      </c>
      <c r="G32" s="133" t="s">
        <v>1449</v>
      </c>
      <c r="H32" s="37"/>
      <c r="I32" s="37"/>
      <c r="J32" s="37"/>
      <c r="K32" s="37"/>
      <c r="L32" s="159"/>
      <c r="M32" s="123"/>
      <c r="N32" s="135"/>
      <c r="O32" s="136"/>
      <c r="P32" s="123" t="s">
        <v>1412</v>
      </c>
      <c r="Q32" s="123" t="s">
        <v>1412</v>
      </c>
      <c r="R32" s="135">
        <v>80</v>
      </c>
      <c r="S32" s="136">
        <v>40.31</v>
      </c>
      <c r="T32" s="123" t="s">
        <v>1413</v>
      </c>
      <c r="U32" s="123" t="s">
        <v>1413</v>
      </c>
      <c r="V32" s="135">
        <v>47</v>
      </c>
      <c r="W32" s="136">
        <v>24.06</v>
      </c>
      <c r="X32" s="123"/>
      <c r="Y32" s="123"/>
      <c r="Z32" s="135"/>
      <c r="AA32" s="136"/>
      <c r="AB32" s="123" t="s">
        <v>1414</v>
      </c>
      <c r="AC32" s="123" t="s">
        <v>1414</v>
      </c>
      <c r="AD32" s="135">
        <v>0</v>
      </c>
      <c r="AE32" s="136">
        <v>17.059999999999999</v>
      </c>
      <c r="AF32" s="123"/>
      <c r="AG32" s="123"/>
      <c r="AH32" s="135"/>
      <c r="AI32" s="136"/>
      <c r="AJ32" s="123" t="s">
        <v>1337</v>
      </c>
      <c r="AK32" s="123" t="s">
        <v>1337</v>
      </c>
      <c r="AL32" s="135">
        <v>0</v>
      </c>
      <c r="AM32" s="136">
        <v>16.86</v>
      </c>
      <c r="AN32" s="123"/>
      <c r="AO32" s="123"/>
      <c r="AP32" s="135"/>
      <c r="AQ32" s="136"/>
      <c r="AR32" s="123"/>
      <c r="AS32" s="123"/>
      <c r="AT32" s="135"/>
      <c r="AU32" s="136"/>
      <c r="AV32" s="123" t="s">
        <v>1415</v>
      </c>
      <c r="AW32" s="123" t="s">
        <v>1415</v>
      </c>
      <c r="AX32" s="135">
        <v>-3</v>
      </c>
      <c r="AY32" s="136">
        <v>16.239999999999998</v>
      </c>
      <c r="AZ32" s="123"/>
      <c r="BA32" s="122"/>
      <c r="BB32" s="135"/>
      <c r="BC32" s="136"/>
      <c r="BD32" s="123" t="s">
        <v>1416</v>
      </c>
      <c r="BE32" s="123" t="s">
        <v>1416</v>
      </c>
      <c r="BF32" s="135">
        <v>553</v>
      </c>
      <c r="BG32" s="136">
        <v>101.92</v>
      </c>
      <c r="BH32" s="123"/>
      <c r="BI32" s="122"/>
      <c r="BJ32" s="135"/>
      <c r="BK32" s="136"/>
      <c r="BL32" s="123" t="s">
        <v>1417</v>
      </c>
      <c r="BM32" s="122" t="s">
        <v>1417</v>
      </c>
      <c r="BN32" s="135">
        <v>545</v>
      </c>
      <c r="BO32" s="136">
        <v>100.52</v>
      </c>
      <c r="BP32" s="137"/>
      <c r="BQ32" s="138"/>
      <c r="BR32" s="135"/>
      <c r="BS32" s="139"/>
      <c r="BT32" s="123" t="s">
        <v>1418</v>
      </c>
      <c r="BU32" s="122" t="s">
        <v>1418</v>
      </c>
      <c r="BV32" s="135">
        <v>487</v>
      </c>
      <c r="BW32" s="139">
        <v>101.47</v>
      </c>
      <c r="BX32" s="127" t="s">
        <v>1457</v>
      </c>
      <c r="BY32" s="127" t="s">
        <v>1457</v>
      </c>
      <c r="BZ32" s="135">
        <v>239</v>
      </c>
      <c r="CA32" s="139">
        <v>72.069999999999993</v>
      </c>
      <c r="CB32" s="127" t="s">
        <v>1420</v>
      </c>
      <c r="CC32" s="127" t="s">
        <v>1420</v>
      </c>
      <c r="CD32" s="135">
        <v>731</v>
      </c>
      <c r="CE32" s="139">
        <v>175.86</v>
      </c>
      <c r="CF32" s="127"/>
      <c r="CG32" s="127"/>
      <c r="CH32" s="135"/>
      <c r="CI32" s="139"/>
      <c r="CJ32" s="127"/>
      <c r="CK32" s="127"/>
      <c r="CL32" s="135"/>
      <c r="CM32" s="139"/>
      <c r="CN32" s="127"/>
      <c r="CO32" s="127"/>
      <c r="CP32" s="135"/>
      <c r="CQ32" s="139"/>
      <c r="CR32" s="127"/>
      <c r="CS32" s="127"/>
      <c r="CT32" s="135"/>
      <c r="CU32" s="139"/>
      <c r="CV32" s="127"/>
      <c r="CW32" s="127"/>
      <c r="CX32" s="135"/>
      <c r="CY32" s="139"/>
      <c r="CZ32" s="127"/>
      <c r="DA32" s="127"/>
      <c r="DB32" s="135"/>
      <c r="DC32" s="139"/>
      <c r="DD32" s="127" t="s">
        <v>1421</v>
      </c>
      <c r="DE32" s="127" t="s">
        <v>1421</v>
      </c>
      <c r="DF32" s="135">
        <v>530</v>
      </c>
      <c r="DG32" s="139">
        <v>131.87</v>
      </c>
      <c r="DH32" s="127" t="s">
        <v>1421</v>
      </c>
      <c r="DI32" s="127" t="s">
        <v>1421</v>
      </c>
      <c r="DJ32" s="135">
        <v>530</v>
      </c>
      <c r="DK32" s="139">
        <v>131.87</v>
      </c>
      <c r="DL32" s="127" t="s">
        <v>1421</v>
      </c>
      <c r="DM32" s="127" t="s">
        <v>1421</v>
      </c>
      <c r="DN32" s="135">
        <v>530</v>
      </c>
      <c r="DO32" s="139">
        <v>131.87</v>
      </c>
      <c r="DP32" s="127"/>
      <c r="DQ32" s="127"/>
      <c r="DR32" s="135"/>
      <c r="DS32" s="139"/>
      <c r="DT32" s="127"/>
      <c r="DU32" s="127"/>
      <c r="DV32" s="135"/>
      <c r="DW32" s="139"/>
      <c r="DX32" s="127"/>
      <c r="DY32" s="127"/>
      <c r="DZ32" s="135"/>
      <c r="EA32" s="139"/>
    </row>
    <row r="33" spans="1:131" ht="63.75" x14ac:dyDescent="0.2">
      <c r="A33" s="164">
        <v>331</v>
      </c>
      <c r="B33" s="165" t="s">
        <v>1460</v>
      </c>
      <c r="C33" s="166" t="s">
        <v>1407</v>
      </c>
      <c r="D33" s="166" t="s">
        <v>1461</v>
      </c>
      <c r="E33" s="167" t="s">
        <v>1328</v>
      </c>
      <c r="F33" s="168" t="s">
        <v>1462</v>
      </c>
      <c r="G33" s="134" t="s">
        <v>1463</v>
      </c>
      <c r="H33" s="123" t="s">
        <v>1331</v>
      </c>
      <c r="I33" s="122" t="s">
        <v>1331</v>
      </c>
      <c r="J33" s="135">
        <v>15195</v>
      </c>
      <c r="K33" s="136">
        <v>4161.55</v>
      </c>
      <c r="L33" s="123" t="s">
        <v>1332</v>
      </c>
      <c r="M33" s="122" t="s">
        <v>1332</v>
      </c>
      <c r="N33" s="135">
        <v>8907</v>
      </c>
      <c r="O33" s="136">
        <v>2214.5</v>
      </c>
      <c r="P33" s="123"/>
      <c r="Q33" s="122"/>
      <c r="R33" s="135"/>
      <c r="S33" s="136"/>
      <c r="T33" s="123"/>
      <c r="U33" s="122"/>
      <c r="V33" s="135"/>
      <c r="W33" s="136"/>
      <c r="X33" s="123" t="s">
        <v>1333</v>
      </c>
      <c r="Y33" s="122" t="s">
        <v>1334</v>
      </c>
      <c r="Z33" s="135">
        <v>7832</v>
      </c>
      <c r="AA33" s="136">
        <v>1611.04</v>
      </c>
      <c r="AB33" s="123"/>
      <c r="AC33" s="122"/>
      <c r="AD33" s="135"/>
      <c r="AE33" s="136"/>
      <c r="AF33" s="123" t="s">
        <v>1335</v>
      </c>
      <c r="AG33" s="122" t="s">
        <v>1372</v>
      </c>
      <c r="AH33" s="135">
        <v>4204</v>
      </c>
      <c r="AI33" s="136">
        <v>1123.18</v>
      </c>
      <c r="AJ33" s="123"/>
      <c r="AK33" s="122"/>
      <c r="AL33" s="135"/>
      <c r="AM33" s="136"/>
      <c r="AN33" s="123" t="s">
        <v>1336</v>
      </c>
      <c r="AO33" s="122" t="s">
        <v>1337</v>
      </c>
      <c r="AP33" s="135">
        <v>4809</v>
      </c>
      <c r="AQ33" s="136">
        <v>1236.05</v>
      </c>
      <c r="AR33" s="123" t="s">
        <v>1338</v>
      </c>
      <c r="AS33" s="122" t="s">
        <v>1339</v>
      </c>
      <c r="AT33" s="135">
        <v>5863</v>
      </c>
      <c r="AU33" s="136">
        <v>1399.98</v>
      </c>
      <c r="AV33" s="123"/>
      <c r="AW33" s="122"/>
      <c r="AX33" s="135"/>
      <c r="AY33" s="136"/>
      <c r="AZ33" s="123" t="s">
        <v>1340</v>
      </c>
      <c r="BA33" s="122" t="s">
        <v>1341</v>
      </c>
      <c r="BB33" s="135">
        <v>6327</v>
      </c>
      <c r="BC33" s="136">
        <v>1431.14</v>
      </c>
      <c r="BD33" s="123"/>
      <c r="BE33" s="122"/>
      <c r="BF33" s="135"/>
      <c r="BG33" s="136"/>
      <c r="BH33" s="123" t="s">
        <v>1464</v>
      </c>
      <c r="BI33" s="122" t="s">
        <v>1343</v>
      </c>
      <c r="BJ33" s="135">
        <v>7511</v>
      </c>
      <c r="BK33" s="136">
        <v>1619.75</v>
      </c>
      <c r="BL33" s="123"/>
      <c r="BM33" s="122"/>
      <c r="BN33" s="135"/>
      <c r="BO33" s="136"/>
      <c r="BP33" s="125" t="s">
        <v>1344</v>
      </c>
      <c r="BQ33" s="122" t="s">
        <v>1345</v>
      </c>
      <c r="BR33" s="135">
        <v>7623</v>
      </c>
      <c r="BS33" s="139">
        <v>2587.8000000000002</v>
      </c>
      <c r="BT33" s="123"/>
      <c r="BU33" s="122"/>
      <c r="BV33" s="135"/>
      <c r="BW33" s="139"/>
      <c r="BX33" s="127"/>
      <c r="BY33" s="127"/>
      <c r="BZ33" s="135"/>
      <c r="CA33" s="139"/>
      <c r="CB33" s="127"/>
      <c r="CC33" s="127"/>
      <c r="CD33" s="135"/>
      <c r="CE33" s="139"/>
      <c r="CF33" s="127" t="s">
        <v>1346</v>
      </c>
      <c r="CG33" s="127" t="s">
        <v>1347</v>
      </c>
      <c r="CH33" s="135">
        <v>15240</v>
      </c>
      <c r="CI33" s="139">
        <v>3967.15</v>
      </c>
      <c r="CJ33" s="127" t="s">
        <v>1348</v>
      </c>
      <c r="CK33" s="127" t="s">
        <v>1349</v>
      </c>
      <c r="CL33" s="135">
        <v>8624</v>
      </c>
      <c r="CM33" s="139">
        <v>2686.46</v>
      </c>
      <c r="CN33" s="127" t="s">
        <v>1350</v>
      </c>
      <c r="CO33" s="128" t="s">
        <v>1350</v>
      </c>
      <c r="CP33" s="135">
        <v>23864</v>
      </c>
      <c r="CQ33" s="139">
        <v>6653.61</v>
      </c>
      <c r="CR33" s="127" t="s">
        <v>1350</v>
      </c>
      <c r="CS33" s="128" t="s">
        <v>1350</v>
      </c>
      <c r="CT33" s="135">
        <v>23864</v>
      </c>
      <c r="CU33" s="139">
        <v>6653.61</v>
      </c>
      <c r="CV33" s="127"/>
      <c r="CW33" s="122"/>
      <c r="CX33" s="135"/>
      <c r="CY33" s="139"/>
      <c r="CZ33" s="127"/>
      <c r="DA33" s="122"/>
      <c r="DB33" s="135"/>
      <c r="DC33" s="139"/>
      <c r="DD33" s="127"/>
      <c r="DE33" s="122"/>
      <c r="DF33" s="135"/>
      <c r="DG33" s="139"/>
      <c r="DH33" s="127"/>
      <c r="DI33" s="122"/>
      <c r="DJ33" s="135"/>
      <c r="DK33" s="139"/>
      <c r="DL33" s="127"/>
      <c r="DM33" s="122"/>
      <c r="DN33" s="135"/>
      <c r="DO33" s="139"/>
      <c r="DP33" s="127" t="s">
        <v>1351</v>
      </c>
      <c r="DQ33" s="127" t="s">
        <v>1351</v>
      </c>
      <c r="DR33" s="135">
        <v>15573</v>
      </c>
      <c r="DS33" s="139">
        <v>4211.96</v>
      </c>
      <c r="DT33" s="127" t="s">
        <v>1351</v>
      </c>
      <c r="DU33" s="127" t="s">
        <v>1351</v>
      </c>
      <c r="DV33" s="135">
        <v>15573</v>
      </c>
      <c r="DW33" s="139">
        <v>4211.96</v>
      </c>
      <c r="DX33" s="127" t="s">
        <v>1351</v>
      </c>
      <c r="DY33" s="127" t="s">
        <v>1351</v>
      </c>
      <c r="DZ33" s="135">
        <v>15573</v>
      </c>
      <c r="EA33" s="139">
        <v>4211.96</v>
      </c>
    </row>
    <row r="34" spans="1:131" ht="63.75" x14ac:dyDescent="0.2">
      <c r="A34" s="164">
        <v>331</v>
      </c>
      <c r="B34" s="165" t="s">
        <v>1465</v>
      </c>
      <c r="C34" s="166" t="s">
        <v>1407</v>
      </c>
      <c r="D34" s="166" t="s">
        <v>1461</v>
      </c>
      <c r="E34" s="167" t="s">
        <v>1328</v>
      </c>
      <c r="F34" s="168" t="s">
        <v>1462</v>
      </c>
      <c r="G34" s="134" t="s">
        <v>1463</v>
      </c>
      <c r="H34" s="123"/>
      <c r="I34" s="122"/>
      <c r="J34" s="159"/>
      <c r="K34" s="169"/>
      <c r="L34" s="123"/>
      <c r="M34" s="122"/>
      <c r="N34" s="159"/>
      <c r="O34" s="169"/>
      <c r="P34" s="123"/>
      <c r="Q34" s="122"/>
      <c r="R34" s="159"/>
      <c r="S34" s="169"/>
      <c r="T34" s="123"/>
      <c r="U34" s="122"/>
      <c r="V34" s="159"/>
      <c r="W34" s="169"/>
      <c r="X34" s="123"/>
      <c r="Y34" s="122"/>
      <c r="Z34" s="159"/>
      <c r="AA34" s="169"/>
      <c r="AB34" s="123"/>
      <c r="AC34" s="122"/>
      <c r="AD34" s="159"/>
      <c r="AE34" s="169"/>
      <c r="AF34" s="123"/>
      <c r="AG34" s="122"/>
      <c r="AH34" s="159"/>
      <c r="AI34" s="169"/>
      <c r="AJ34" s="123"/>
      <c r="AK34" s="122"/>
      <c r="AL34" s="159"/>
      <c r="AM34" s="169"/>
      <c r="AN34" s="123"/>
      <c r="AO34" s="122"/>
      <c r="AP34" s="159"/>
      <c r="AQ34" s="169"/>
      <c r="AR34" s="123"/>
      <c r="AS34" s="122"/>
      <c r="AT34" s="159"/>
      <c r="AU34" s="169"/>
      <c r="AV34" s="123"/>
      <c r="AW34" s="122"/>
      <c r="AX34" s="159"/>
      <c r="AY34" s="169"/>
      <c r="AZ34" s="123"/>
      <c r="BA34" s="122"/>
      <c r="BB34" s="159"/>
      <c r="BC34" s="169"/>
      <c r="BD34" s="123"/>
      <c r="BE34" s="122"/>
      <c r="BF34" s="159"/>
      <c r="BG34" s="169"/>
      <c r="BH34" s="123"/>
      <c r="BI34" s="122"/>
      <c r="BJ34" s="159"/>
      <c r="BK34" s="169"/>
      <c r="BL34" s="123"/>
      <c r="BM34" s="122"/>
      <c r="BN34" s="159"/>
      <c r="BO34" s="169"/>
      <c r="BP34" s="137"/>
      <c r="BQ34" s="138"/>
      <c r="BR34" s="159"/>
      <c r="BS34" s="170"/>
      <c r="BT34" s="123"/>
      <c r="BU34" s="122"/>
      <c r="BV34" s="159"/>
      <c r="BW34" s="170"/>
      <c r="BX34" s="123"/>
      <c r="BY34" s="122"/>
      <c r="BZ34" s="159"/>
      <c r="CA34" s="170"/>
      <c r="CB34" s="123"/>
      <c r="CC34" s="122"/>
      <c r="CD34" s="159"/>
      <c r="CE34" s="170"/>
      <c r="CF34" s="123"/>
      <c r="CG34" s="122"/>
      <c r="CH34" s="159"/>
      <c r="CI34" s="170"/>
      <c r="CJ34" s="123"/>
      <c r="CK34" s="122"/>
      <c r="CL34" s="159"/>
      <c r="CM34" s="170"/>
      <c r="CN34" s="123"/>
      <c r="CO34" s="122"/>
      <c r="CP34" s="159"/>
      <c r="CQ34" s="170"/>
      <c r="CR34" s="123"/>
      <c r="CS34" s="122"/>
      <c r="CT34" s="159"/>
      <c r="CU34" s="170"/>
      <c r="CV34" s="123"/>
      <c r="CW34" s="122"/>
      <c r="CX34" s="159"/>
      <c r="CY34" s="170"/>
      <c r="CZ34" s="123"/>
      <c r="DA34" s="122"/>
      <c r="DB34" s="159"/>
      <c r="DC34" s="170"/>
      <c r="DD34" s="123"/>
      <c r="DE34" s="122"/>
      <c r="DF34" s="159"/>
      <c r="DG34" s="170"/>
      <c r="DH34" s="123"/>
      <c r="DI34" s="122"/>
      <c r="DJ34" s="159"/>
      <c r="DK34" s="170"/>
      <c r="DL34" s="123"/>
      <c r="DM34" s="122"/>
      <c r="DN34" s="159"/>
      <c r="DO34" s="170"/>
      <c r="DP34" s="123"/>
      <c r="DQ34" s="122"/>
      <c r="DR34" s="159"/>
      <c r="DS34" s="170"/>
      <c r="DT34" s="123"/>
      <c r="DU34" s="122"/>
      <c r="DV34" s="159"/>
      <c r="DW34" s="170"/>
      <c r="DX34" s="123"/>
      <c r="DY34" s="122"/>
      <c r="DZ34" s="159"/>
      <c r="EA34" s="170"/>
    </row>
    <row r="35" spans="1:131" ht="76.5" x14ac:dyDescent="0.2">
      <c r="A35" s="130" t="s">
        <v>1466</v>
      </c>
      <c r="B35" s="131" t="s">
        <v>1467</v>
      </c>
      <c r="C35" s="131" t="s">
        <v>1407</v>
      </c>
      <c r="D35" s="131" t="s">
        <v>1427</v>
      </c>
      <c r="E35" s="171" t="s">
        <v>1328</v>
      </c>
      <c r="F35" s="133" t="s">
        <v>1468</v>
      </c>
      <c r="G35" s="133" t="s">
        <v>1469</v>
      </c>
      <c r="H35" s="37"/>
      <c r="I35" s="37"/>
      <c r="J35" s="37"/>
      <c r="K35" s="37"/>
      <c r="L35" s="159"/>
      <c r="M35" s="123"/>
      <c r="N35" s="135"/>
      <c r="O35" s="136"/>
      <c r="P35" s="123" t="s">
        <v>1412</v>
      </c>
      <c r="Q35" s="123" t="s">
        <v>1412</v>
      </c>
      <c r="R35" s="135">
        <v>118</v>
      </c>
      <c r="S35" s="136">
        <v>42.59</v>
      </c>
      <c r="T35" s="123" t="s">
        <v>1413</v>
      </c>
      <c r="U35" s="123" t="s">
        <v>1413</v>
      </c>
      <c r="V35" s="135">
        <v>98</v>
      </c>
      <c r="W35" s="136">
        <v>33.659999999999997</v>
      </c>
      <c r="X35" s="123"/>
      <c r="Y35" s="123"/>
      <c r="Z35" s="135"/>
      <c r="AA35" s="136"/>
      <c r="AB35" s="123" t="s">
        <v>1414</v>
      </c>
      <c r="AC35" s="123" t="s">
        <v>1414</v>
      </c>
      <c r="AD35" s="135">
        <v>58</v>
      </c>
      <c r="AE35" s="136">
        <v>27.71</v>
      </c>
      <c r="AF35" s="123"/>
      <c r="AG35" s="123"/>
      <c r="AH35" s="135"/>
      <c r="AI35" s="136"/>
      <c r="AJ35" s="123" t="s">
        <v>1337</v>
      </c>
      <c r="AK35" s="123" t="s">
        <v>1337</v>
      </c>
      <c r="AL35" s="135">
        <v>47</v>
      </c>
      <c r="AM35" s="136">
        <v>25.68</v>
      </c>
      <c r="AN35" s="123"/>
      <c r="AO35" s="123"/>
      <c r="AP35" s="135"/>
      <c r="AQ35" s="136"/>
      <c r="AR35" s="123"/>
      <c r="AS35" s="123"/>
      <c r="AT35" s="135"/>
      <c r="AU35" s="136"/>
      <c r="AV35" s="123" t="s">
        <v>1415</v>
      </c>
      <c r="AW35" s="123" t="s">
        <v>1415</v>
      </c>
      <c r="AX35" s="135">
        <v>43</v>
      </c>
      <c r="AY35" s="136">
        <v>25.06</v>
      </c>
      <c r="AZ35" s="123"/>
      <c r="BA35" s="122"/>
      <c r="BB35" s="135"/>
      <c r="BC35" s="136"/>
      <c r="BD35" s="123" t="s">
        <v>1416</v>
      </c>
      <c r="BE35" s="123" t="s">
        <v>1416</v>
      </c>
      <c r="BF35" s="135">
        <v>32</v>
      </c>
      <c r="BG35" s="136">
        <v>21.42</v>
      </c>
      <c r="BH35" s="123"/>
      <c r="BI35" s="122"/>
      <c r="BJ35" s="135"/>
      <c r="BK35" s="136"/>
      <c r="BL35" s="123" t="s">
        <v>1417</v>
      </c>
      <c r="BM35" s="122" t="s">
        <v>1417</v>
      </c>
      <c r="BN35" s="135">
        <v>-45</v>
      </c>
      <c r="BO35" s="136">
        <v>8.92</v>
      </c>
      <c r="BP35" s="137"/>
      <c r="BQ35" s="138"/>
      <c r="BR35" s="135"/>
      <c r="BS35" s="139"/>
      <c r="BT35" s="123" t="s">
        <v>1418</v>
      </c>
      <c r="BU35" s="123" t="s">
        <v>1418</v>
      </c>
      <c r="BV35" s="135">
        <v>123</v>
      </c>
      <c r="BW35" s="139">
        <v>29.17</v>
      </c>
      <c r="BX35" s="127" t="s">
        <v>1470</v>
      </c>
      <c r="BY35" s="127" t="s">
        <v>1470</v>
      </c>
      <c r="BZ35" s="135">
        <v>5</v>
      </c>
      <c r="CA35" s="139">
        <v>12.75</v>
      </c>
      <c r="CB35" s="127" t="s">
        <v>1420</v>
      </c>
      <c r="CC35" s="127" t="s">
        <v>1420</v>
      </c>
      <c r="CD35" s="135">
        <v>252</v>
      </c>
      <c r="CE35" s="139">
        <v>70.14</v>
      </c>
      <c r="CF35" s="127"/>
      <c r="CG35" s="127"/>
      <c r="CH35" s="135"/>
      <c r="CI35" s="139"/>
      <c r="CJ35" s="127"/>
      <c r="CK35" s="127"/>
      <c r="CL35" s="135"/>
      <c r="CM35" s="139"/>
      <c r="CN35" s="127"/>
      <c r="CO35" s="127"/>
      <c r="CP35" s="135"/>
      <c r="CQ35" s="139"/>
      <c r="CR35" s="127"/>
      <c r="CS35" s="127"/>
      <c r="CT35" s="135"/>
      <c r="CU35" s="139"/>
      <c r="CV35" s="127" t="s">
        <v>1349</v>
      </c>
      <c r="CW35" s="127" t="s">
        <v>1349</v>
      </c>
      <c r="CX35" s="135">
        <v>257</v>
      </c>
      <c r="CY35" s="139">
        <v>82.91</v>
      </c>
      <c r="CZ35" s="127" t="s">
        <v>1349</v>
      </c>
      <c r="DA35" s="127" t="s">
        <v>1349</v>
      </c>
      <c r="DB35" s="135">
        <v>257</v>
      </c>
      <c r="DC35" s="139">
        <v>82.91</v>
      </c>
      <c r="DD35" s="127" t="s">
        <v>1421</v>
      </c>
      <c r="DE35" s="127" t="s">
        <v>1421</v>
      </c>
      <c r="DF35" s="135">
        <v>119</v>
      </c>
      <c r="DG35" s="139">
        <v>41.89</v>
      </c>
      <c r="DH35" s="127" t="s">
        <v>1421</v>
      </c>
      <c r="DI35" s="127" t="s">
        <v>1421</v>
      </c>
      <c r="DJ35" s="135">
        <v>119</v>
      </c>
      <c r="DK35" s="139">
        <v>41.89</v>
      </c>
      <c r="DL35" s="127" t="s">
        <v>1421</v>
      </c>
      <c r="DM35" s="127" t="s">
        <v>1421</v>
      </c>
      <c r="DN35" s="135">
        <v>119</v>
      </c>
      <c r="DO35" s="139">
        <v>41.89</v>
      </c>
      <c r="DP35" s="127"/>
      <c r="DQ35" s="127"/>
      <c r="DR35" s="135"/>
      <c r="DS35" s="139"/>
      <c r="DT35" s="127"/>
      <c r="DU35" s="127"/>
      <c r="DV35" s="135"/>
      <c r="DW35" s="139"/>
      <c r="DX35" s="127"/>
      <c r="DY35" s="127"/>
      <c r="DZ35" s="135"/>
      <c r="EA35" s="139"/>
    </row>
    <row r="36" spans="1:131" ht="51" x14ac:dyDescent="0.2">
      <c r="A36" s="130" t="s">
        <v>1471</v>
      </c>
      <c r="B36" s="131" t="s">
        <v>1472</v>
      </c>
      <c r="C36" s="131" t="s">
        <v>1407</v>
      </c>
      <c r="D36" s="131" t="s">
        <v>1427</v>
      </c>
      <c r="E36" s="171" t="s">
        <v>1328</v>
      </c>
      <c r="F36" s="133" t="s">
        <v>1473</v>
      </c>
      <c r="G36" s="133" t="s">
        <v>1474</v>
      </c>
      <c r="H36" s="37"/>
      <c r="I36" s="37"/>
      <c r="J36" s="37"/>
      <c r="K36" s="37"/>
      <c r="L36" s="159"/>
      <c r="M36" s="123"/>
      <c r="N36" s="135"/>
      <c r="O36" s="136"/>
      <c r="P36" s="123" t="s">
        <v>1412</v>
      </c>
      <c r="Q36" s="123" t="s">
        <v>1412</v>
      </c>
      <c r="R36" s="135">
        <v>487</v>
      </c>
      <c r="S36" s="136">
        <v>167.36</v>
      </c>
      <c r="T36" s="123" t="s">
        <v>1413</v>
      </c>
      <c r="U36" s="123" t="s">
        <v>1413</v>
      </c>
      <c r="V36" s="135">
        <v>528</v>
      </c>
      <c r="W36" s="136">
        <v>137.88999999999999</v>
      </c>
      <c r="X36" s="123"/>
      <c r="Y36" s="123"/>
      <c r="Z36" s="135"/>
      <c r="AA36" s="136"/>
      <c r="AB36" s="123" t="s">
        <v>1414</v>
      </c>
      <c r="AC36" s="123" t="s">
        <v>1414</v>
      </c>
      <c r="AD36" s="135">
        <v>241</v>
      </c>
      <c r="AE36" s="136">
        <v>93.52</v>
      </c>
      <c r="AF36" s="123"/>
      <c r="AG36" s="123"/>
      <c r="AH36" s="135"/>
      <c r="AI36" s="136"/>
      <c r="AJ36" s="123" t="s">
        <v>1337</v>
      </c>
      <c r="AK36" s="123" t="s">
        <v>1337</v>
      </c>
      <c r="AL36" s="135">
        <v>87</v>
      </c>
      <c r="AM36" s="136">
        <v>67.2</v>
      </c>
      <c r="AN36" s="123"/>
      <c r="AO36" s="123"/>
      <c r="AP36" s="135"/>
      <c r="AQ36" s="136"/>
      <c r="AR36" s="123"/>
      <c r="AS36" s="123"/>
      <c r="AT36" s="135"/>
      <c r="AU36" s="136"/>
      <c r="AV36" s="123" t="s">
        <v>1415</v>
      </c>
      <c r="AW36" s="123" t="s">
        <v>1415</v>
      </c>
      <c r="AX36" s="135">
        <v>395</v>
      </c>
      <c r="AY36" s="136">
        <v>117.96</v>
      </c>
      <c r="AZ36" s="123"/>
      <c r="BA36" s="122"/>
      <c r="BB36" s="135"/>
      <c r="BC36" s="136"/>
      <c r="BD36" s="123" t="s">
        <v>1416</v>
      </c>
      <c r="BE36" s="123" t="s">
        <v>1416</v>
      </c>
      <c r="BF36" s="135">
        <v>467</v>
      </c>
      <c r="BG36" s="136">
        <v>123.04</v>
      </c>
      <c r="BH36" s="123"/>
      <c r="BI36" s="122"/>
      <c r="BJ36" s="135"/>
      <c r="BK36" s="136"/>
      <c r="BL36" s="123" t="s">
        <v>1417</v>
      </c>
      <c r="BM36" s="122" t="s">
        <v>1417</v>
      </c>
      <c r="BN36" s="135">
        <v>351</v>
      </c>
      <c r="BO36" s="136">
        <v>101.95</v>
      </c>
      <c r="BP36" s="137"/>
      <c r="BQ36" s="138"/>
      <c r="BR36" s="135"/>
      <c r="BS36" s="139"/>
      <c r="BT36" s="123" t="s">
        <v>1418</v>
      </c>
      <c r="BU36" s="123" t="s">
        <v>1418</v>
      </c>
      <c r="BV36" s="135">
        <v>-881</v>
      </c>
      <c r="BW36" s="139">
        <v>-176.46</v>
      </c>
      <c r="BX36" s="127" t="s">
        <v>1457</v>
      </c>
      <c r="BY36" s="127" t="s">
        <v>1457</v>
      </c>
      <c r="BZ36" s="135">
        <v>2485</v>
      </c>
      <c r="CA36" s="139">
        <v>588.54999999999995</v>
      </c>
      <c r="CB36" s="127" t="s">
        <v>1420</v>
      </c>
      <c r="CC36" s="127" t="s">
        <v>1420</v>
      </c>
      <c r="CD36" s="135">
        <v>227</v>
      </c>
      <c r="CE36" s="139">
        <v>100.5</v>
      </c>
      <c r="CF36" s="127"/>
      <c r="CG36" s="127"/>
      <c r="CH36" s="135"/>
      <c r="CI36" s="139"/>
      <c r="CJ36" s="127"/>
      <c r="CK36" s="127"/>
      <c r="CL36" s="135"/>
      <c r="CM36" s="139"/>
      <c r="CN36" s="127"/>
      <c r="CO36" s="127"/>
      <c r="CP36" s="135"/>
      <c r="CQ36" s="139"/>
      <c r="CR36" s="127"/>
      <c r="CS36" s="127"/>
      <c r="CT36" s="135"/>
      <c r="CU36" s="139"/>
      <c r="CV36" s="127" t="s">
        <v>1349</v>
      </c>
      <c r="CW36" s="127" t="s">
        <v>1349</v>
      </c>
      <c r="CX36" s="135">
        <v>2712</v>
      </c>
      <c r="CY36" s="139">
        <v>689.25</v>
      </c>
      <c r="CZ36" s="127" t="s">
        <v>1349</v>
      </c>
      <c r="DA36" s="127" t="s">
        <v>1349</v>
      </c>
      <c r="DB36" s="135">
        <v>2712</v>
      </c>
      <c r="DC36" s="139">
        <v>689.25</v>
      </c>
      <c r="DD36" s="127" t="s">
        <v>1421</v>
      </c>
      <c r="DE36" s="127" t="s">
        <v>1421</v>
      </c>
      <c r="DF36" s="135">
        <v>394</v>
      </c>
      <c r="DG36" s="139">
        <v>135.29</v>
      </c>
      <c r="DH36" s="127" t="s">
        <v>1421</v>
      </c>
      <c r="DI36" s="127" t="s">
        <v>1421</v>
      </c>
      <c r="DJ36" s="135">
        <v>394</v>
      </c>
      <c r="DK36" s="139">
        <v>135.29</v>
      </c>
      <c r="DL36" s="127" t="s">
        <v>1421</v>
      </c>
      <c r="DM36" s="127" t="s">
        <v>1421</v>
      </c>
      <c r="DN36" s="135">
        <v>394</v>
      </c>
      <c r="DO36" s="139">
        <v>135.29</v>
      </c>
      <c r="DP36" s="127"/>
      <c r="DQ36" s="127"/>
      <c r="DR36" s="135"/>
      <c r="DS36" s="139"/>
      <c r="DT36" s="127"/>
      <c r="DU36" s="127"/>
      <c r="DV36" s="135"/>
      <c r="DW36" s="139"/>
      <c r="DX36" s="127"/>
      <c r="DY36" s="127"/>
      <c r="DZ36" s="135"/>
      <c r="EA36" s="139"/>
    </row>
    <row r="37" spans="1:131" ht="51" x14ac:dyDescent="0.2">
      <c r="A37" s="130" t="s">
        <v>1466</v>
      </c>
      <c r="B37" s="131" t="s">
        <v>1475</v>
      </c>
      <c r="C37" s="131" t="s">
        <v>1407</v>
      </c>
      <c r="D37" s="131" t="s">
        <v>1427</v>
      </c>
      <c r="E37" s="171" t="s">
        <v>1328</v>
      </c>
      <c r="F37" s="133" t="s">
        <v>1476</v>
      </c>
      <c r="G37" s="133" t="s">
        <v>1477</v>
      </c>
      <c r="H37" s="37"/>
      <c r="I37" s="37"/>
      <c r="J37" s="37"/>
      <c r="K37" s="37"/>
      <c r="L37" s="159"/>
      <c r="M37" s="123"/>
      <c r="N37" s="122"/>
      <c r="O37" s="136"/>
      <c r="P37" s="123" t="s">
        <v>1412</v>
      </c>
      <c r="Q37" s="123" t="s">
        <v>1412</v>
      </c>
      <c r="R37" s="122">
        <v>0</v>
      </c>
      <c r="S37" s="136">
        <v>79.010000000000005</v>
      </c>
      <c r="T37" s="123" t="s">
        <v>1413</v>
      </c>
      <c r="U37" s="123" t="s">
        <v>1413</v>
      </c>
      <c r="V37" s="122">
        <v>0</v>
      </c>
      <c r="W37" s="136">
        <v>76.760000000000005</v>
      </c>
      <c r="X37" s="123"/>
      <c r="Y37" s="123"/>
      <c r="Z37" s="122"/>
      <c r="AA37" s="136"/>
      <c r="AB37" s="123" t="s">
        <v>1414</v>
      </c>
      <c r="AC37" s="123" t="s">
        <v>1414</v>
      </c>
      <c r="AD37" s="122">
        <v>0</v>
      </c>
      <c r="AE37" s="136">
        <v>79.010000000000005</v>
      </c>
      <c r="AF37" s="123"/>
      <c r="AG37" s="123"/>
      <c r="AH37" s="122"/>
      <c r="AI37" s="136"/>
      <c r="AJ37" s="123" t="s">
        <v>1337</v>
      </c>
      <c r="AK37" s="123" t="s">
        <v>1337</v>
      </c>
      <c r="AL37" s="122">
        <v>0</v>
      </c>
      <c r="AM37" s="136">
        <v>76.760000000000005</v>
      </c>
      <c r="AN37" s="123"/>
      <c r="AO37" s="123"/>
      <c r="AP37" s="122"/>
      <c r="AQ37" s="136"/>
      <c r="AR37" s="123"/>
      <c r="AS37" s="123"/>
      <c r="AT37" s="122"/>
      <c r="AU37" s="136"/>
      <c r="AV37" s="123" t="s">
        <v>1415</v>
      </c>
      <c r="AW37" s="123" t="s">
        <v>1415</v>
      </c>
      <c r="AX37" s="122">
        <v>0</v>
      </c>
      <c r="AY37" s="136">
        <v>78.569999999999993</v>
      </c>
      <c r="AZ37" s="123"/>
      <c r="BA37" s="122"/>
      <c r="BB37" s="122"/>
      <c r="BC37" s="136"/>
      <c r="BD37" s="123" t="s">
        <v>1416</v>
      </c>
      <c r="BE37" s="123" t="s">
        <v>1416</v>
      </c>
      <c r="BF37" s="122">
        <v>0</v>
      </c>
      <c r="BG37" s="136">
        <v>68.42</v>
      </c>
      <c r="BH37" s="123"/>
      <c r="BI37" s="122"/>
      <c r="BJ37" s="122"/>
      <c r="BK37" s="136"/>
      <c r="BL37" s="123" t="s">
        <v>1417</v>
      </c>
      <c r="BM37" s="122" t="s">
        <v>1417</v>
      </c>
      <c r="BN37" s="122">
        <v>0</v>
      </c>
      <c r="BO37" s="136">
        <v>66.47</v>
      </c>
      <c r="BP37" s="137"/>
      <c r="BQ37" s="138"/>
      <c r="BR37" s="122"/>
      <c r="BS37" s="139"/>
      <c r="BT37" s="123" t="s">
        <v>1418</v>
      </c>
      <c r="BU37" s="123" t="s">
        <v>1418</v>
      </c>
      <c r="BV37" s="122">
        <v>0</v>
      </c>
      <c r="BW37" s="139">
        <v>68.42</v>
      </c>
      <c r="BX37" s="127" t="s">
        <v>1457</v>
      </c>
      <c r="BY37" s="127" t="s">
        <v>1457</v>
      </c>
      <c r="BZ37" s="122">
        <v>0</v>
      </c>
      <c r="CA37" s="139">
        <v>122.06</v>
      </c>
      <c r="CB37" s="127" t="s">
        <v>1420</v>
      </c>
      <c r="CC37" s="127" t="s">
        <v>1420</v>
      </c>
      <c r="CD37" s="122">
        <v>0</v>
      </c>
      <c r="CE37" s="139">
        <v>68.13</v>
      </c>
      <c r="CF37" s="127"/>
      <c r="CG37" s="127"/>
      <c r="CH37" s="122"/>
      <c r="CI37" s="139"/>
      <c r="CJ37" s="127"/>
      <c r="CK37" s="127"/>
      <c r="CL37" s="122"/>
      <c r="CM37" s="139"/>
      <c r="CN37" s="127"/>
      <c r="CO37" s="127"/>
      <c r="CP37" s="122"/>
      <c r="CQ37" s="139"/>
      <c r="CR37" s="127"/>
      <c r="CS37" s="127"/>
      <c r="CT37" s="122"/>
      <c r="CU37" s="139"/>
      <c r="CV37" s="127" t="s">
        <v>1349</v>
      </c>
      <c r="CW37" s="127" t="s">
        <v>1349</v>
      </c>
      <c r="CX37" s="122">
        <v>0</v>
      </c>
      <c r="CY37" s="139">
        <v>190.19</v>
      </c>
      <c r="CZ37" s="127" t="s">
        <v>1349</v>
      </c>
      <c r="DA37" s="127" t="s">
        <v>1349</v>
      </c>
      <c r="DB37" s="122">
        <v>0</v>
      </c>
      <c r="DC37" s="139">
        <v>190.19</v>
      </c>
      <c r="DD37" s="127" t="s">
        <v>1421</v>
      </c>
      <c r="DE37" s="127" t="s">
        <v>1421</v>
      </c>
      <c r="DF37" s="122">
        <v>0</v>
      </c>
      <c r="DG37" s="139">
        <v>66.47</v>
      </c>
      <c r="DH37" s="127" t="s">
        <v>1421</v>
      </c>
      <c r="DI37" s="127" t="s">
        <v>1421</v>
      </c>
      <c r="DJ37" s="122">
        <v>0</v>
      </c>
      <c r="DK37" s="139">
        <v>66.47</v>
      </c>
      <c r="DL37" s="127" t="s">
        <v>1421</v>
      </c>
      <c r="DM37" s="127" t="s">
        <v>1421</v>
      </c>
      <c r="DN37" s="122">
        <v>0</v>
      </c>
      <c r="DO37" s="139">
        <v>66.47</v>
      </c>
      <c r="DP37" s="127"/>
      <c r="DQ37" s="127"/>
      <c r="DR37" s="122"/>
      <c r="DS37" s="139"/>
      <c r="DT37" s="127"/>
      <c r="DU37" s="127"/>
      <c r="DV37" s="122"/>
      <c r="DW37" s="139"/>
      <c r="DX37" s="127"/>
      <c r="DY37" s="127"/>
      <c r="DZ37" s="122"/>
      <c r="EA37" s="139"/>
    </row>
    <row r="38" spans="1:131" ht="127.5" x14ac:dyDescent="0.2">
      <c r="A38" s="130" t="s">
        <v>1478</v>
      </c>
      <c r="B38" s="131" t="s">
        <v>1479</v>
      </c>
      <c r="C38" s="131" t="s">
        <v>1407</v>
      </c>
      <c r="D38" s="131" t="s">
        <v>1427</v>
      </c>
      <c r="E38" s="171" t="s">
        <v>1328</v>
      </c>
      <c r="F38" s="133" t="s">
        <v>1480</v>
      </c>
      <c r="G38" s="133" t="s">
        <v>1481</v>
      </c>
      <c r="H38" s="37"/>
      <c r="I38" s="37"/>
      <c r="J38" s="37"/>
      <c r="K38" s="37"/>
      <c r="L38" s="159"/>
      <c r="M38" s="123"/>
      <c r="N38" s="135"/>
      <c r="O38" s="136"/>
      <c r="P38" s="123" t="s">
        <v>1412</v>
      </c>
      <c r="Q38" s="123" t="s">
        <v>1412</v>
      </c>
      <c r="R38" s="135">
        <v>0</v>
      </c>
      <c r="S38" s="136">
        <v>24.64</v>
      </c>
      <c r="T38" s="123" t="s">
        <v>1413</v>
      </c>
      <c r="U38" s="123" t="s">
        <v>1413</v>
      </c>
      <c r="V38" s="135">
        <v>0</v>
      </c>
      <c r="W38" s="136">
        <v>24.16</v>
      </c>
      <c r="X38" s="123"/>
      <c r="Y38" s="123"/>
      <c r="Z38" s="135"/>
      <c r="AA38" s="136"/>
      <c r="AB38" s="123" t="s">
        <v>1414</v>
      </c>
      <c r="AC38" s="123" t="s">
        <v>1414</v>
      </c>
      <c r="AD38" s="135">
        <v>0</v>
      </c>
      <c r="AE38" s="136">
        <v>24.64</v>
      </c>
      <c r="AF38" s="123"/>
      <c r="AG38" s="123"/>
      <c r="AH38" s="135"/>
      <c r="AI38" s="136"/>
      <c r="AJ38" s="123" t="s">
        <v>1337</v>
      </c>
      <c r="AK38" s="123" t="s">
        <v>1337</v>
      </c>
      <c r="AL38" s="135">
        <v>0</v>
      </c>
      <c r="AM38" s="136">
        <v>24.16</v>
      </c>
      <c r="AN38" s="123"/>
      <c r="AO38" s="123"/>
      <c r="AP38" s="135"/>
      <c r="AQ38" s="136"/>
      <c r="AR38" s="123"/>
      <c r="AS38" s="123"/>
      <c r="AT38" s="135"/>
      <c r="AU38" s="136"/>
      <c r="AV38" s="123" t="s">
        <v>1415</v>
      </c>
      <c r="AW38" s="123" t="s">
        <v>1415</v>
      </c>
      <c r="AX38" s="135">
        <v>0</v>
      </c>
      <c r="AY38" s="136">
        <v>24.2</v>
      </c>
      <c r="AZ38" s="123"/>
      <c r="BA38" s="122"/>
      <c r="BB38" s="135"/>
      <c r="BC38" s="136"/>
      <c r="BD38" s="123" t="s">
        <v>1416</v>
      </c>
      <c r="BE38" s="123" t="s">
        <v>1416</v>
      </c>
      <c r="BF38" s="135">
        <v>0</v>
      </c>
      <c r="BG38" s="136">
        <v>21.69</v>
      </c>
      <c r="BH38" s="123"/>
      <c r="BI38" s="122"/>
      <c r="BJ38" s="135"/>
      <c r="BK38" s="136"/>
      <c r="BL38" s="123" t="s">
        <v>1417</v>
      </c>
      <c r="BM38" s="122" t="s">
        <v>1417</v>
      </c>
      <c r="BN38" s="135">
        <v>0</v>
      </c>
      <c r="BO38" s="136">
        <v>21.25</v>
      </c>
      <c r="BP38" s="137"/>
      <c r="BQ38" s="138"/>
      <c r="BR38" s="135"/>
      <c r="BS38" s="139"/>
      <c r="BT38" s="123" t="s">
        <v>1418</v>
      </c>
      <c r="BU38" s="123" t="s">
        <v>1418</v>
      </c>
      <c r="BV38" s="135">
        <v>0</v>
      </c>
      <c r="BW38" s="139">
        <v>21.69</v>
      </c>
      <c r="BX38" s="127" t="s">
        <v>1457</v>
      </c>
      <c r="BY38" s="127" t="s">
        <v>1457</v>
      </c>
      <c r="BZ38" s="135">
        <v>0</v>
      </c>
      <c r="CA38" s="139">
        <v>36.450000000000003</v>
      </c>
      <c r="CB38" s="127" t="s">
        <v>1420</v>
      </c>
      <c r="CC38" s="127" t="s">
        <v>1420</v>
      </c>
      <c r="CD38" s="135">
        <v>0</v>
      </c>
      <c r="CE38" s="139">
        <v>21.41</v>
      </c>
      <c r="CF38" s="127"/>
      <c r="CG38" s="127"/>
      <c r="CH38" s="135"/>
      <c r="CI38" s="139"/>
      <c r="CJ38" s="127"/>
      <c r="CK38" s="127"/>
      <c r="CL38" s="135"/>
      <c r="CM38" s="139"/>
      <c r="CN38" s="127"/>
      <c r="CO38" s="127"/>
      <c r="CP38" s="135"/>
      <c r="CQ38" s="139"/>
      <c r="CR38" s="127"/>
      <c r="CS38" s="127"/>
      <c r="CT38" s="135"/>
      <c r="CU38" s="139"/>
      <c r="CV38" s="127" t="s">
        <v>1349</v>
      </c>
      <c r="CW38" s="127" t="s">
        <v>1349</v>
      </c>
      <c r="CX38" s="135">
        <v>0</v>
      </c>
      <c r="CY38" s="139">
        <v>57.86</v>
      </c>
      <c r="CZ38" s="127" t="s">
        <v>1349</v>
      </c>
      <c r="DA38" s="127" t="s">
        <v>1349</v>
      </c>
      <c r="DB38" s="135">
        <v>0</v>
      </c>
      <c r="DC38" s="139">
        <v>57.86</v>
      </c>
      <c r="DD38" s="127" t="s">
        <v>1421</v>
      </c>
      <c r="DE38" s="127" t="s">
        <v>1421</v>
      </c>
      <c r="DF38" s="135">
        <v>0</v>
      </c>
      <c r="DG38" s="139">
        <v>21.25</v>
      </c>
      <c r="DH38" s="127" t="s">
        <v>1421</v>
      </c>
      <c r="DI38" s="127" t="s">
        <v>1421</v>
      </c>
      <c r="DJ38" s="135">
        <v>0</v>
      </c>
      <c r="DK38" s="139">
        <v>21.25</v>
      </c>
      <c r="DL38" s="127" t="s">
        <v>1421</v>
      </c>
      <c r="DM38" s="127" t="s">
        <v>1421</v>
      </c>
      <c r="DN38" s="135">
        <v>0</v>
      </c>
      <c r="DO38" s="139">
        <v>21.25</v>
      </c>
      <c r="DP38" s="127"/>
      <c r="DQ38" s="127"/>
      <c r="DR38" s="135"/>
      <c r="DS38" s="139"/>
      <c r="DT38" s="127"/>
      <c r="DU38" s="127"/>
      <c r="DV38" s="135"/>
      <c r="DW38" s="139"/>
      <c r="DX38" s="127"/>
      <c r="DY38" s="127"/>
      <c r="DZ38" s="135"/>
      <c r="EA38" s="139"/>
    </row>
    <row r="39" spans="1:131" ht="51" x14ac:dyDescent="0.2">
      <c r="A39" s="130" t="s">
        <v>1482</v>
      </c>
      <c r="B39" s="131" t="s">
        <v>1483</v>
      </c>
      <c r="C39" s="131" t="s">
        <v>1407</v>
      </c>
      <c r="D39" s="131" t="s">
        <v>1427</v>
      </c>
      <c r="E39" s="171" t="s">
        <v>1328</v>
      </c>
      <c r="F39" s="133" t="s">
        <v>1484</v>
      </c>
      <c r="G39" s="133" t="s">
        <v>1485</v>
      </c>
      <c r="H39" s="37"/>
      <c r="I39" s="37"/>
      <c r="J39" s="37"/>
      <c r="K39" s="37"/>
      <c r="L39" s="159"/>
      <c r="M39" s="123"/>
      <c r="N39" s="135"/>
      <c r="O39" s="136"/>
      <c r="P39" s="123" t="s">
        <v>1412</v>
      </c>
      <c r="Q39" s="123" t="s">
        <v>1412</v>
      </c>
      <c r="R39" s="135">
        <v>16</v>
      </c>
      <c r="S39" s="136">
        <v>20.57</v>
      </c>
      <c r="T39" s="123" t="s">
        <v>1413</v>
      </c>
      <c r="U39" s="123" t="s">
        <v>1413</v>
      </c>
      <c r="V39" s="135">
        <v>39</v>
      </c>
      <c r="W39" s="136">
        <v>23.26</v>
      </c>
      <c r="X39" s="123"/>
      <c r="Y39" s="123"/>
      <c r="Z39" s="135"/>
      <c r="AA39" s="136"/>
      <c r="AB39" s="123" t="s">
        <v>1414</v>
      </c>
      <c r="AC39" s="123" t="s">
        <v>1414</v>
      </c>
      <c r="AD39" s="135">
        <v>44</v>
      </c>
      <c r="AE39" s="136">
        <v>24.37</v>
      </c>
      <c r="AF39" s="123"/>
      <c r="AG39" s="123"/>
      <c r="AH39" s="135"/>
      <c r="AI39" s="136"/>
      <c r="AJ39" s="123" t="s">
        <v>1337</v>
      </c>
      <c r="AK39" s="123" t="s">
        <v>1337</v>
      </c>
      <c r="AL39" s="135">
        <v>42</v>
      </c>
      <c r="AM39" s="136">
        <v>23.66</v>
      </c>
      <c r="AN39" s="123"/>
      <c r="AO39" s="123"/>
      <c r="AP39" s="135"/>
      <c r="AQ39" s="136"/>
      <c r="AR39" s="123"/>
      <c r="AS39" s="123"/>
      <c r="AT39" s="135"/>
      <c r="AU39" s="136"/>
      <c r="AV39" s="123" t="s">
        <v>1415</v>
      </c>
      <c r="AW39" s="123" t="s">
        <v>1415</v>
      </c>
      <c r="AX39" s="135">
        <v>40</v>
      </c>
      <c r="AY39" s="136">
        <v>23.43</v>
      </c>
      <c r="AZ39" s="123"/>
      <c r="BA39" s="122"/>
      <c r="BB39" s="135"/>
      <c r="BC39" s="136"/>
      <c r="BD39" s="123" t="s">
        <v>1416</v>
      </c>
      <c r="BE39" s="123" t="s">
        <v>1416</v>
      </c>
      <c r="BF39" s="135">
        <v>37</v>
      </c>
      <c r="BG39" s="136">
        <v>21.27</v>
      </c>
      <c r="BH39" s="123"/>
      <c r="BI39" s="122"/>
      <c r="BJ39" s="135"/>
      <c r="BK39" s="136"/>
      <c r="BL39" s="123" t="s">
        <v>1417</v>
      </c>
      <c r="BM39" s="122" t="s">
        <v>1417</v>
      </c>
      <c r="BN39" s="135">
        <v>40</v>
      </c>
      <c r="BO39" s="136">
        <v>21.58</v>
      </c>
      <c r="BP39" s="137"/>
      <c r="BQ39" s="138"/>
      <c r="BR39" s="135"/>
      <c r="BS39" s="139"/>
      <c r="BT39" s="123" t="s">
        <v>1418</v>
      </c>
      <c r="BU39" s="123" t="s">
        <v>1418</v>
      </c>
      <c r="BV39" s="135">
        <v>-164</v>
      </c>
      <c r="BW39" s="139">
        <v>-23.19</v>
      </c>
      <c r="BX39" s="127" t="s">
        <v>1457</v>
      </c>
      <c r="BY39" s="127" t="s">
        <v>1457</v>
      </c>
      <c r="BZ39" s="135">
        <v>305</v>
      </c>
      <c r="CA39" s="139">
        <v>84.39</v>
      </c>
      <c r="CB39" s="127" t="s">
        <v>1420</v>
      </c>
      <c r="CC39" s="127" t="s">
        <v>1420</v>
      </c>
      <c r="CD39" s="135">
        <v>-56</v>
      </c>
      <c r="CE39" s="139">
        <v>2.73</v>
      </c>
      <c r="CF39" s="127"/>
      <c r="CG39" s="127"/>
      <c r="CH39" s="135"/>
      <c r="CI39" s="139"/>
      <c r="CJ39" s="127"/>
      <c r="CK39" s="127"/>
      <c r="CL39" s="135"/>
      <c r="CM39" s="139"/>
      <c r="CN39" s="127"/>
      <c r="CO39" s="127"/>
      <c r="CP39" s="135"/>
      <c r="CQ39" s="139"/>
      <c r="CR39" s="127"/>
      <c r="CS39" s="127"/>
      <c r="CT39" s="135"/>
      <c r="CU39" s="139"/>
      <c r="CV39" s="127" t="s">
        <v>1349</v>
      </c>
      <c r="CW39" s="127" t="s">
        <v>1349</v>
      </c>
      <c r="CX39" s="135">
        <v>305</v>
      </c>
      <c r="CY39" s="139">
        <v>87.14</v>
      </c>
      <c r="CZ39" s="127" t="s">
        <v>1349</v>
      </c>
      <c r="DA39" s="127" t="s">
        <v>1349</v>
      </c>
      <c r="DB39" s="135">
        <v>305</v>
      </c>
      <c r="DC39" s="139">
        <v>87.14</v>
      </c>
      <c r="DD39" s="127" t="s">
        <v>1421</v>
      </c>
      <c r="DE39" s="127" t="s">
        <v>1421</v>
      </c>
      <c r="DF39" s="135">
        <v>3</v>
      </c>
      <c r="DG39" s="139">
        <v>15.51</v>
      </c>
      <c r="DH39" s="127" t="s">
        <v>1421</v>
      </c>
      <c r="DI39" s="127" t="s">
        <v>1421</v>
      </c>
      <c r="DJ39" s="135">
        <v>3</v>
      </c>
      <c r="DK39" s="139">
        <v>15.51</v>
      </c>
      <c r="DL39" s="127" t="s">
        <v>1421</v>
      </c>
      <c r="DM39" s="127" t="s">
        <v>1421</v>
      </c>
      <c r="DN39" s="135">
        <v>3</v>
      </c>
      <c r="DO39" s="139">
        <v>15.51</v>
      </c>
      <c r="DP39" s="127"/>
      <c r="DQ39" s="127"/>
      <c r="DR39" s="135"/>
      <c r="DS39" s="139"/>
      <c r="DT39" s="127"/>
      <c r="DU39" s="127"/>
      <c r="DV39" s="135"/>
      <c r="DW39" s="139"/>
      <c r="DX39" s="127"/>
      <c r="DY39" s="127"/>
      <c r="DZ39" s="135"/>
      <c r="EA39" s="139"/>
    </row>
    <row r="40" spans="1:131" ht="89.25" x14ac:dyDescent="0.2">
      <c r="A40" s="172" t="s">
        <v>1486</v>
      </c>
      <c r="B40" s="173" t="s">
        <v>1487</v>
      </c>
      <c r="C40" s="131" t="s">
        <v>1407</v>
      </c>
      <c r="D40" s="131" t="s">
        <v>1427</v>
      </c>
      <c r="E40" s="171" t="s">
        <v>1328</v>
      </c>
      <c r="F40" s="174" t="s">
        <v>1488</v>
      </c>
      <c r="G40" s="134" t="s">
        <v>1489</v>
      </c>
      <c r="H40" s="123"/>
      <c r="I40" s="122"/>
      <c r="J40" s="135"/>
      <c r="K40" s="175"/>
      <c r="L40" s="123"/>
      <c r="M40" s="122"/>
      <c r="N40" s="135"/>
      <c r="O40" s="175"/>
      <c r="P40" s="123"/>
      <c r="Q40" s="122"/>
      <c r="R40" s="135"/>
      <c r="S40" s="175"/>
      <c r="T40" s="123"/>
      <c r="U40" s="122"/>
      <c r="V40" s="135"/>
      <c r="W40" s="175"/>
      <c r="X40" s="123"/>
      <c r="Y40" s="122"/>
      <c r="Z40" s="135"/>
      <c r="AA40" s="175"/>
      <c r="AB40" s="123"/>
      <c r="AC40" s="122"/>
      <c r="AD40" s="135"/>
      <c r="AE40" s="175"/>
      <c r="AF40" s="123"/>
      <c r="AG40" s="122"/>
      <c r="AH40" s="135"/>
      <c r="AI40" s="175"/>
      <c r="AJ40" s="123"/>
      <c r="AK40" s="122"/>
      <c r="AL40" s="135"/>
      <c r="AM40" s="175"/>
      <c r="AN40" s="123"/>
      <c r="AO40" s="122"/>
      <c r="AP40" s="135"/>
      <c r="AQ40" s="175"/>
      <c r="AR40" s="123"/>
      <c r="AS40" s="122"/>
      <c r="AT40" s="135"/>
      <c r="AU40" s="175"/>
      <c r="AV40" s="123"/>
      <c r="AW40" s="122"/>
      <c r="AX40" s="135"/>
      <c r="AY40" s="175"/>
      <c r="AZ40" s="123"/>
      <c r="BA40" s="122"/>
      <c r="BB40" s="135"/>
      <c r="BC40" s="175"/>
      <c r="BD40" s="123"/>
      <c r="BE40" s="122"/>
      <c r="BF40" s="135"/>
      <c r="BG40" s="175"/>
      <c r="BH40" s="123"/>
      <c r="BI40" s="122"/>
      <c r="BJ40" s="135"/>
      <c r="BK40" s="175"/>
      <c r="BL40" s="123"/>
      <c r="BM40" s="122"/>
      <c r="BN40" s="135"/>
      <c r="BO40" s="175"/>
      <c r="BP40" s="137"/>
      <c r="BQ40" s="138"/>
      <c r="BR40" s="135"/>
      <c r="BS40" s="176"/>
      <c r="BT40" s="123"/>
      <c r="BU40" s="122"/>
      <c r="BV40" s="135"/>
      <c r="BW40" s="176"/>
      <c r="BX40" s="127"/>
      <c r="BY40" s="122"/>
      <c r="BZ40" s="135"/>
      <c r="CA40" s="176"/>
      <c r="CB40" s="127"/>
      <c r="CC40" s="122"/>
      <c r="CD40" s="135"/>
      <c r="CE40" s="176"/>
      <c r="CF40" s="127"/>
      <c r="CG40" s="122"/>
      <c r="CH40" s="135"/>
      <c r="CI40" s="176"/>
      <c r="CJ40" s="127"/>
      <c r="CK40" s="122"/>
      <c r="CL40" s="135"/>
      <c r="CM40" s="176"/>
      <c r="CN40" s="127"/>
      <c r="CO40" s="122"/>
      <c r="CP40" s="135"/>
      <c r="CQ40" s="176"/>
      <c r="CR40" s="127"/>
      <c r="CS40" s="122"/>
      <c r="CT40" s="135"/>
      <c r="CU40" s="176"/>
      <c r="CV40" s="127"/>
      <c r="CW40" s="122"/>
      <c r="CX40" s="135"/>
      <c r="CY40" s="176"/>
      <c r="CZ40" s="127"/>
      <c r="DA40" s="122"/>
      <c r="DB40" s="135"/>
      <c r="DC40" s="176"/>
      <c r="DD40" s="127"/>
      <c r="DE40" s="122"/>
      <c r="DF40" s="135"/>
      <c r="DG40" s="176"/>
      <c r="DH40" s="127"/>
      <c r="DI40" s="122"/>
      <c r="DJ40" s="135"/>
      <c r="DK40" s="176"/>
      <c r="DL40" s="127"/>
      <c r="DM40" s="122"/>
      <c r="DN40" s="135"/>
      <c r="DO40" s="176"/>
      <c r="DP40" s="127"/>
      <c r="DQ40" s="122"/>
      <c r="DR40" s="135"/>
      <c r="DS40" s="176"/>
      <c r="DT40" s="127"/>
      <c r="DU40" s="122"/>
      <c r="DV40" s="135"/>
      <c r="DW40" s="176"/>
      <c r="DX40" s="127"/>
      <c r="DY40" s="122"/>
      <c r="DZ40" s="135"/>
      <c r="EA40" s="176"/>
    </row>
    <row r="41" spans="1:131" ht="51" x14ac:dyDescent="0.2">
      <c r="A41" s="130" t="s">
        <v>1490</v>
      </c>
      <c r="B41" s="131" t="s">
        <v>1491</v>
      </c>
      <c r="C41" s="131" t="s">
        <v>1407</v>
      </c>
      <c r="D41" s="131" t="s">
        <v>1427</v>
      </c>
      <c r="E41" s="171" t="s">
        <v>1328</v>
      </c>
      <c r="F41" s="133" t="s">
        <v>1492</v>
      </c>
      <c r="G41" s="133" t="s">
        <v>1493</v>
      </c>
      <c r="H41" s="37"/>
      <c r="I41" s="37"/>
      <c r="J41" s="37"/>
      <c r="K41" s="37"/>
      <c r="L41" s="159"/>
      <c r="M41" s="123"/>
      <c r="N41" s="135"/>
      <c r="O41" s="136"/>
      <c r="P41" s="177" t="s">
        <v>1412</v>
      </c>
      <c r="Q41" s="119" t="s">
        <v>1494</v>
      </c>
      <c r="R41" s="135">
        <v>2080</v>
      </c>
      <c r="S41" s="136">
        <v>578.83000000000004</v>
      </c>
      <c r="T41" s="123" t="s">
        <v>1413</v>
      </c>
      <c r="U41" s="123" t="s">
        <v>1413</v>
      </c>
      <c r="V41" s="135">
        <v>232</v>
      </c>
      <c r="W41" s="136">
        <v>90.11</v>
      </c>
      <c r="X41" s="123"/>
      <c r="Y41" s="123"/>
      <c r="Z41" s="135"/>
      <c r="AA41" s="136"/>
      <c r="AB41" s="123" t="s">
        <v>1414</v>
      </c>
      <c r="AC41" s="123" t="s">
        <v>1414</v>
      </c>
      <c r="AD41" s="135">
        <v>358</v>
      </c>
      <c r="AE41" s="136">
        <v>110.2</v>
      </c>
      <c r="AF41" s="123"/>
      <c r="AG41" s="123"/>
      <c r="AH41" s="135"/>
      <c r="AI41" s="136"/>
      <c r="AJ41" s="123" t="s">
        <v>1337</v>
      </c>
      <c r="AK41" s="123" t="s">
        <v>1337</v>
      </c>
      <c r="AL41" s="135">
        <v>48</v>
      </c>
      <c r="AM41" s="136">
        <v>61.25</v>
      </c>
      <c r="AN41" s="123"/>
      <c r="AO41" s="123"/>
      <c r="AP41" s="135"/>
      <c r="AQ41" s="136"/>
      <c r="AR41" s="123"/>
      <c r="AS41" s="123"/>
      <c r="AT41" s="135"/>
      <c r="AU41" s="136"/>
      <c r="AV41" s="123" t="s">
        <v>1415</v>
      </c>
      <c r="AW41" s="123" t="s">
        <v>1415</v>
      </c>
      <c r="AX41" s="135">
        <v>35</v>
      </c>
      <c r="AY41" s="136">
        <v>60.57</v>
      </c>
      <c r="AZ41" s="123"/>
      <c r="BA41" s="122"/>
      <c r="BB41" s="135"/>
      <c r="BC41" s="136"/>
      <c r="BD41" s="177" t="s">
        <v>1416</v>
      </c>
      <c r="BE41" s="119" t="s">
        <v>1416</v>
      </c>
      <c r="BF41" s="135">
        <v>-465</v>
      </c>
      <c r="BG41" s="136">
        <v>-24</v>
      </c>
      <c r="BH41" s="123"/>
      <c r="BI41" s="122"/>
      <c r="BJ41" s="135"/>
      <c r="BK41" s="136"/>
      <c r="BL41" s="123" t="s">
        <v>1417</v>
      </c>
      <c r="BM41" s="122" t="s">
        <v>1417</v>
      </c>
      <c r="BN41" s="135">
        <v>-571</v>
      </c>
      <c r="BO41" s="136">
        <v>4.37</v>
      </c>
      <c r="BP41" s="137"/>
      <c r="BQ41" s="138"/>
      <c r="BR41" s="135"/>
      <c r="BS41" s="139"/>
      <c r="BT41" s="123" t="s">
        <v>1418</v>
      </c>
      <c r="BU41" s="123" t="s">
        <v>1418</v>
      </c>
      <c r="BV41" s="135">
        <v>2898</v>
      </c>
      <c r="BW41" s="139">
        <v>507.48</v>
      </c>
      <c r="BX41" s="127" t="s">
        <v>1457</v>
      </c>
      <c r="BY41" s="127" t="s">
        <v>1457</v>
      </c>
      <c r="BZ41" s="135">
        <v>6124</v>
      </c>
      <c r="CA41" s="139">
        <v>1311.91</v>
      </c>
      <c r="CB41" s="127" t="s">
        <v>1420</v>
      </c>
      <c r="CC41" s="127" t="s">
        <v>1420</v>
      </c>
      <c r="CD41" s="135">
        <v>7718</v>
      </c>
      <c r="CE41" s="139">
        <v>1751.96</v>
      </c>
      <c r="CF41" s="119"/>
      <c r="CG41" s="127"/>
      <c r="CH41" s="135"/>
      <c r="CI41" s="139"/>
      <c r="CJ41" s="119"/>
      <c r="CK41" s="127"/>
      <c r="CL41" s="135"/>
      <c r="CM41" s="139"/>
      <c r="CN41" s="119"/>
      <c r="CO41" s="127"/>
      <c r="CP41" s="135"/>
      <c r="CQ41" s="139"/>
      <c r="CR41" s="119"/>
      <c r="CS41" s="127"/>
      <c r="CT41" s="135"/>
      <c r="CU41" s="139"/>
      <c r="CV41" s="119" t="s">
        <v>1349</v>
      </c>
      <c r="CW41" s="127" t="s">
        <v>1349</v>
      </c>
      <c r="CX41" s="135">
        <v>13842</v>
      </c>
      <c r="CY41" s="139">
        <v>3064.88</v>
      </c>
      <c r="CZ41" s="119" t="s">
        <v>1349</v>
      </c>
      <c r="DA41" s="127" t="s">
        <v>1349</v>
      </c>
      <c r="DB41" s="135">
        <v>13842</v>
      </c>
      <c r="DC41" s="139">
        <v>3064.88</v>
      </c>
      <c r="DD41" s="119" t="s">
        <v>1421</v>
      </c>
      <c r="DE41" s="178" t="s">
        <v>1421</v>
      </c>
      <c r="DF41" s="135">
        <v>5402</v>
      </c>
      <c r="DG41" s="139">
        <v>1237.54</v>
      </c>
      <c r="DH41" s="119" t="s">
        <v>1421</v>
      </c>
      <c r="DI41" s="178" t="s">
        <v>1421</v>
      </c>
      <c r="DJ41" s="135">
        <v>5402</v>
      </c>
      <c r="DK41" s="139">
        <v>1237.54</v>
      </c>
      <c r="DL41" s="119" t="s">
        <v>1421</v>
      </c>
      <c r="DM41" s="178" t="s">
        <v>1421</v>
      </c>
      <c r="DN41" s="135">
        <v>5402</v>
      </c>
      <c r="DO41" s="139">
        <v>1237.54</v>
      </c>
      <c r="DP41" s="119"/>
      <c r="DQ41" s="178"/>
      <c r="DR41" s="135"/>
      <c r="DS41" s="139"/>
      <c r="DT41" s="119"/>
      <c r="DU41" s="178"/>
      <c r="DV41" s="135"/>
      <c r="DW41" s="139"/>
      <c r="DX41" s="119"/>
      <c r="DY41" s="178"/>
      <c r="DZ41" s="135"/>
      <c r="EA41" s="139"/>
    </row>
    <row r="42" spans="1:131" ht="89.25" x14ac:dyDescent="0.2">
      <c r="A42" s="130" t="s">
        <v>1466</v>
      </c>
      <c r="B42" s="131" t="s">
        <v>1495</v>
      </c>
      <c r="C42" s="131" t="s">
        <v>1407</v>
      </c>
      <c r="D42" s="131" t="s">
        <v>1427</v>
      </c>
      <c r="E42" s="171" t="s">
        <v>1328</v>
      </c>
      <c r="F42" s="133" t="s">
        <v>1496</v>
      </c>
      <c r="G42" s="133" t="s">
        <v>1469</v>
      </c>
      <c r="H42" s="37"/>
      <c r="I42" s="37"/>
      <c r="J42" s="37"/>
      <c r="K42" s="37"/>
      <c r="L42" s="159"/>
      <c r="M42" s="123"/>
      <c r="N42" s="135"/>
      <c r="O42" s="136"/>
      <c r="P42" s="177" t="s">
        <v>1412</v>
      </c>
      <c r="Q42" s="119" t="s">
        <v>1494</v>
      </c>
      <c r="R42" s="135">
        <v>1098</v>
      </c>
      <c r="S42" s="136">
        <v>269.77</v>
      </c>
      <c r="T42" s="123" t="s">
        <v>1413</v>
      </c>
      <c r="U42" s="123" t="s">
        <v>1413</v>
      </c>
      <c r="V42" s="135">
        <v>976</v>
      </c>
      <c r="W42" s="136">
        <v>182.16</v>
      </c>
      <c r="X42" s="123"/>
      <c r="Y42" s="123"/>
      <c r="Z42" s="135"/>
      <c r="AA42" s="136"/>
      <c r="AB42" s="123" t="s">
        <v>1414</v>
      </c>
      <c r="AC42" s="123" t="s">
        <v>1414</v>
      </c>
      <c r="AD42" s="135">
        <v>854</v>
      </c>
      <c r="AE42" s="136">
        <v>161.93</v>
      </c>
      <c r="AF42" s="123"/>
      <c r="AG42" s="123"/>
      <c r="AH42" s="135"/>
      <c r="AI42" s="136"/>
      <c r="AJ42" s="123" t="s">
        <v>1337</v>
      </c>
      <c r="AK42" s="123" t="s">
        <v>1337</v>
      </c>
      <c r="AL42" s="135">
        <v>854</v>
      </c>
      <c r="AM42" s="136">
        <v>163.4</v>
      </c>
      <c r="AN42" s="123"/>
      <c r="AO42" s="123"/>
      <c r="AP42" s="135"/>
      <c r="AQ42" s="136"/>
      <c r="AR42" s="123"/>
      <c r="AS42" s="123"/>
      <c r="AT42" s="135"/>
      <c r="AU42" s="136"/>
      <c r="AV42" s="123" t="s">
        <v>1415</v>
      </c>
      <c r="AW42" s="123" t="s">
        <v>1415</v>
      </c>
      <c r="AX42" s="135">
        <v>854</v>
      </c>
      <c r="AY42" s="136">
        <v>167.09</v>
      </c>
      <c r="AZ42" s="123"/>
      <c r="BA42" s="122"/>
      <c r="BB42" s="135"/>
      <c r="BC42" s="136"/>
      <c r="BD42" s="177" t="s">
        <v>1416</v>
      </c>
      <c r="BE42" s="119" t="s">
        <v>1416</v>
      </c>
      <c r="BF42" s="135">
        <v>976</v>
      </c>
      <c r="BG42" s="136">
        <v>186.7</v>
      </c>
      <c r="BH42" s="123"/>
      <c r="BI42" s="122"/>
      <c r="BJ42" s="135"/>
      <c r="BK42" s="136"/>
      <c r="BL42" s="123" t="s">
        <v>1417</v>
      </c>
      <c r="BM42" s="122" t="s">
        <v>1417</v>
      </c>
      <c r="BN42" s="135">
        <v>854</v>
      </c>
      <c r="BO42" s="136">
        <v>164.46</v>
      </c>
      <c r="BP42" s="137"/>
      <c r="BQ42" s="138"/>
      <c r="BR42" s="135"/>
      <c r="BS42" s="139"/>
      <c r="BT42" s="123" t="s">
        <v>1418</v>
      </c>
      <c r="BU42" s="123" t="s">
        <v>1418</v>
      </c>
      <c r="BV42" s="135">
        <v>1098</v>
      </c>
      <c r="BW42" s="139">
        <v>215.14</v>
      </c>
      <c r="BX42" s="127"/>
      <c r="BY42" s="127"/>
      <c r="BZ42" s="135"/>
      <c r="CA42" s="139"/>
      <c r="CB42" s="127" t="s">
        <v>1497</v>
      </c>
      <c r="CC42" s="127" t="s">
        <v>1497</v>
      </c>
      <c r="CD42" s="135">
        <v>732</v>
      </c>
      <c r="CE42" s="139">
        <v>200.86</v>
      </c>
      <c r="CF42" s="143"/>
      <c r="CG42" s="122"/>
      <c r="CH42" s="135"/>
      <c r="CI42" s="139"/>
      <c r="CJ42" s="143"/>
      <c r="CK42" s="122"/>
      <c r="CL42" s="135"/>
      <c r="CM42" s="139"/>
      <c r="CN42" s="143"/>
      <c r="CO42" s="122"/>
      <c r="CP42" s="135"/>
      <c r="CQ42" s="139"/>
      <c r="CR42" s="143"/>
      <c r="CS42" s="122"/>
      <c r="CT42" s="135"/>
      <c r="CU42" s="139"/>
      <c r="CV42" s="143" t="s">
        <v>1497</v>
      </c>
      <c r="CW42" s="143" t="s">
        <v>1497</v>
      </c>
      <c r="CX42" s="135">
        <v>732</v>
      </c>
      <c r="CY42" s="139">
        <v>200.91</v>
      </c>
      <c r="CZ42" s="143" t="s">
        <v>1497</v>
      </c>
      <c r="DA42" s="143" t="s">
        <v>1497</v>
      </c>
      <c r="DB42" s="135">
        <v>732</v>
      </c>
      <c r="DC42" s="139">
        <v>200.91</v>
      </c>
      <c r="DD42" s="119" t="s">
        <v>1421</v>
      </c>
      <c r="DE42" s="178" t="s">
        <v>1421</v>
      </c>
      <c r="DF42" s="135">
        <v>1098</v>
      </c>
      <c r="DG42" s="139">
        <v>271.51</v>
      </c>
      <c r="DH42" s="119" t="s">
        <v>1421</v>
      </c>
      <c r="DI42" s="178" t="s">
        <v>1421</v>
      </c>
      <c r="DJ42" s="135">
        <v>1098</v>
      </c>
      <c r="DK42" s="139">
        <v>271.51</v>
      </c>
      <c r="DL42" s="119" t="s">
        <v>1421</v>
      </c>
      <c r="DM42" s="178" t="s">
        <v>1421</v>
      </c>
      <c r="DN42" s="135">
        <v>1098</v>
      </c>
      <c r="DO42" s="139">
        <v>271.51</v>
      </c>
      <c r="DP42" s="119"/>
      <c r="DQ42" s="178"/>
      <c r="DR42" s="135"/>
      <c r="DS42" s="139"/>
      <c r="DT42" s="119"/>
      <c r="DU42" s="178"/>
      <c r="DV42" s="135"/>
      <c r="DW42" s="139"/>
      <c r="DX42" s="119"/>
      <c r="DY42" s="178"/>
      <c r="DZ42" s="135"/>
      <c r="EA42" s="139"/>
    </row>
    <row r="43" spans="1:131" ht="89.25" x14ac:dyDescent="0.2">
      <c r="A43" s="549" t="s">
        <v>1498</v>
      </c>
      <c r="B43" s="551" t="s">
        <v>1499</v>
      </c>
      <c r="C43" s="551" t="s">
        <v>1407</v>
      </c>
      <c r="D43" s="551" t="s">
        <v>1427</v>
      </c>
      <c r="E43" s="553" t="s">
        <v>1500</v>
      </c>
      <c r="F43" s="133" t="s">
        <v>1501</v>
      </c>
      <c r="G43" s="555" t="s">
        <v>1502</v>
      </c>
      <c r="H43" s="37"/>
      <c r="I43" s="37"/>
      <c r="J43" s="37"/>
      <c r="K43" s="37"/>
      <c r="L43" s="557"/>
      <c r="M43" s="531"/>
      <c r="N43" s="535"/>
      <c r="O43" s="537"/>
      <c r="P43" s="543" t="s">
        <v>1412</v>
      </c>
      <c r="Q43" s="531" t="s">
        <v>1494</v>
      </c>
      <c r="R43" s="535">
        <v>1028</v>
      </c>
      <c r="S43" s="541">
        <v>211.72</v>
      </c>
      <c r="T43" s="543" t="s">
        <v>1413</v>
      </c>
      <c r="U43" s="531" t="s">
        <v>1413</v>
      </c>
      <c r="V43" s="535">
        <v>881</v>
      </c>
      <c r="W43" s="541">
        <v>141.66999999999999</v>
      </c>
      <c r="X43" s="543"/>
      <c r="Y43" s="531"/>
      <c r="Z43" s="535"/>
      <c r="AA43" s="541"/>
      <c r="AB43" s="543" t="s">
        <v>1414</v>
      </c>
      <c r="AC43" s="531" t="s">
        <v>1414</v>
      </c>
      <c r="AD43" s="535">
        <v>893</v>
      </c>
      <c r="AE43" s="541">
        <v>140.59</v>
      </c>
      <c r="AF43" s="543"/>
      <c r="AG43" s="531"/>
      <c r="AH43" s="535"/>
      <c r="AI43" s="541"/>
      <c r="AJ43" s="543" t="s">
        <v>1337</v>
      </c>
      <c r="AK43" s="531" t="s">
        <v>1337</v>
      </c>
      <c r="AL43" s="535">
        <v>673</v>
      </c>
      <c r="AM43" s="541">
        <v>106.56</v>
      </c>
      <c r="AN43" s="543"/>
      <c r="AO43" s="531"/>
      <c r="AP43" s="535"/>
      <c r="AQ43" s="541"/>
      <c r="AR43" s="543"/>
      <c r="AS43" s="531"/>
      <c r="AT43" s="535"/>
      <c r="AU43" s="541"/>
      <c r="AV43" s="543" t="s">
        <v>1415</v>
      </c>
      <c r="AW43" s="531" t="s">
        <v>1415</v>
      </c>
      <c r="AX43" s="535">
        <v>593</v>
      </c>
      <c r="AY43" s="541">
        <v>96.14</v>
      </c>
      <c r="AZ43" s="531"/>
      <c r="BA43" s="533"/>
      <c r="BB43" s="535"/>
      <c r="BC43" s="541"/>
      <c r="BD43" s="543" t="s">
        <v>1416</v>
      </c>
      <c r="BE43" s="531" t="s">
        <v>1416</v>
      </c>
      <c r="BF43" s="535">
        <v>527</v>
      </c>
      <c r="BG43" s="541">
        <v>84.38</v>
      </c>
      <c r="BH43" s="531"/>
      <c r="BI43" s="533"/>
      <c r="BJ43" s="535"/>
      <c r="BK43" s="541"/>
      <c r="BL43" s="531" t="s">
        <v>1417</v>
      </c>
      <c r="BM43" s="533" t="s">
        <v>1417</v>
      </c>
      <c r="BN43" s="535">
        <v>672</v>
      </c>
      <c r="BO43" s="541">
        <v>107.19</v>
      </c>
      <c r="BP43" s="137"/>
      <c r="BQ43" s="138"/>
      <c r="BR43" s="535"/>
      <c r="BS43" s="537"/>
      <c r="BT43" s="531" t="s">
        <v>1418</v>
      </c>
      <c r="BU43" s="531" t="s">
        <v>1418</v>
      </c>
      <c r="BV43" s="535">
        <v>780</v>
      </c>
      <c r="BW43" s="537">
        <v>126.11</v>
      </c>
      <c r="BX43" s="127" t="s">
        <v>1457</v>
      </c>
      <c r="BY43" s="127" t="s">
        <v>1457</v>
      </c>
      <c r="BZ43" s="535">
        <v>1046</v>
      </c>
      <c r="CA43" s="537">
        <v>221.37</v>
      </c>
      <c r="CB43" s="127" t="s">
        <v>1420</v>
      </c>
      <c r="CC43" s="127" t="s">
        <v>1420</v>
      </c>
      <c r="CD43" s="535">
        <v>930</v>
      </c>
      <c r="CE43" s="537">
        <v>206.87</v>
      </c>
      <c r="CF43" s="531"/>
      <c r="CG43" s="533"/>
      <c r="CH43" s="535"/>
      <c r="CI43" s="537"/>
      <c r="CJ43" s="531"/>
      <c r="CK43" s="533"/>
      <c r="CL43" s="535"/>
      <c r="CM43" s="537"/>
      <c r="CN43" s="531"/>
      <c r="CO43" s="533"/>
      <c r="CP43" s="535"/>
      <c r="CQ43" s="537"/>
      <c r="CR43" s="531"/>
      <c r="CS43" s="533"/>
      <c r="CT43" s="535"/>
      <c r="CU43" s="537"/>
      <c r="CV43" s="531" t="s">
        <v>1349</v>
      </c>
      <c r="CW43" s="533" t="s">
        <v>1349</v>
      </c>
      <c r="CX43" s="535">
        <v>1976</v>
      </c>
      <c r="CY43" s="537">
        <v>428.41</v>
      </c>
      <c r="CZ43" s="531" t="s">
        <v>1349</v>
      </c>
      <c r="DA43" s="533" t="s">
        <v>1349</v>
      </c>
      <c r="DB43" s="535">
        <v>1976</v>
      </c>
      <c r="DC43" s="537">
        <v>428.41</v>
      </c>
      <c r="DD43" s="531" t="s">
        <v>1421</v>
      </c>
      <c r="DE43" s="533" t="s">
        <v>1421</v>
      </c>
      <c r="DF43" s="535">
        <v>850</v>
      </c>
      <c r="DG43" s="537">
        <v>188</v>
      </c>
      <c r="DH43" s="531" t="s">
        <v>1421</v>
      </c>
      <c r="DI43" s="533" t="s">
        <v>1421</v>
      </c>
      <c r="DJ43" s="535">
        <v>850</v>
      </c>
      <c r="DK43" s="537">
        <v>188</v>
      </c>
      <c r="DL43" s="531" t="s">
        <v>1421</v>
      </c>
      <c r="DM43" s="533" t="s">
        <v>1421</v>
      </c>
      <c r="DN43" s="535">
        <v>850</v>
      </c>
      <c r="DO43" s="537">
        <v>188</v>
      </c>
      <c r="DP43" s="531"/>
      <c r="DQ43" s="533"/>
      <c r="DR43" s="535"/>
      <c r="DS43" s="537"/>
      <c r="DT43" s="531"/>
      <c r="DU43" s="533"/>
      <c r="DV43" s="535"/>
      <c r="DW43" s="537"/>
      <c r="DX43" s="531"/>
      <c r="DY43" s="533"/>
      <c r="DZ43" s="535"/>
      <c r="EA43" s="537"/>
    </row>
    <row r="44" spans="1:131" ht="76.5" x14ac:dyDescent="0.2">
      <c r="A44" s="550"/>
      <c r="B44" s="552"/>
      <c r="C44" s="552"/>
      <c r="D44" s="552"/>
      <c r="E44" s="554"/>
      <c r="F44" s="133" t="s">
        <v>1503</v>
      </c>
      <c r="G44" s="556"/>
      <c r="H44" s="37"/>
      <c r="I44" s="37"/>
      <c r="J44" s="37"/>
      <c r="K44" s="37"/>
      <c r="L44" s="558"/>
      <c r="M44" s="532"/>
      <c r="N44" s="536"/>
      <c r="O44" s="538"/>
      <c r="P44" s="544"/>
      <c r="Q44" s="532"/>
      <c r="R44" s="536"/>
      <c r="S44" s="542"/>
      <c r="T44" s="544"/>
      <c r="U44" s="532"/>
      <c r="V44" s="536"/>
      <c r="W44" s="542"/>
      <c r="X44" s="544"/>
      <c r="Y44" s="532"/>
      <c r="Z44" s="536"/>
      <c r="AA44" s="542"/>
      <c r="AB44" s="544"/>
      <c r="AC44" s="532"/>
      <c r="AD44" s="536"/>
      <c r="AE44" s="542"/>
      <c r="AF44" s="544"/>
      <c r="AG44" s="532"/>
      <c r="AH44" s="536"/>
      <c r="AI44" s="542"/>
      <c r="AJ44" s="544"/>
      <c r="AK44" s="532"/>
      <c r="AL44" s="536"/>
      <c r="AM44" s="542"/>
      <c r="AN44" s="544"/>
      <c r="AO44" s="532"/>
      <c r="AP44" s="536"/>
      <c r="AQ44" s="542"/>
      <c r="AR44" s="544"/>
      <c r="AS44" s="532"/>
      <c r="AT44" s="536"/>
      <c r="AU44" s="542"/>
      <c r="AV44" s="544"/>
      <c r="AW44" s="532"/>
      <c r="AX44" s="536"/>
      <c r="AY44" s="542"/>
      <c r="AZ44" s="532"/>
      <c r="BA44" s="534"/>
      <c r="BB44" s="536"/>
      <c r="BC44" s="542"/>
      <c r="BD44" s="544"/>
      <c r="BE44" s="532"/>
      <c r="BF44" s="536"/>
      <c r="BG44" s="542"/>
      <c r="BH44" s="532"/>
      <c r="BI44" s="534"/>
      <c r="BJ44" s="536"/>
      <c r="BK44" s="542"/>
      <c r="BL44" s="532"/>
      <c r="BM44" s="534"/>
      <c r="BN44" s="536"/>
      <c r="BO44" s="542"/>
      <c r="BP44" s="137"/>
      <c r="BQ44" s="138"/>
      <c r="BR44" s="536"/>
      <c r="BS44" s="538"/>
      <c r="BT44" s="532"/>
      <c r="BU44" s="532"/>
      <c r="BV44" s="536"/>
      <c r="BW44" s="538"/>
      <c r="BX44" s="127" t="s">
        <v>1457</v>
      </c>
      <c r="BY44" s="127" t="s">
        <v>1457</v>
      </c>
      <c r="BZ44" s="536"/>
      <c r="CA44" s="538"/>
      <c r="CB44" s="127" t="s">
        <v>1420</v>
      </c>
      <c r="CC44" s="127" t="s">
        <v>1420</v>
      </c>
      <c r="CD44" s="536"/>
      <c r="CE44" s="538"/>
      <c r="CF44" s="532"/>
      <c r="CG44" s="534"/>
      <c r="CH44" s="536"/>
      <c r="CI44" s="538"/>
      <c r="CJ44" s="532"/>
      <c r="CK44" s="534"/>
      <c r="CL44" s="536"/>
      <c r="CM44" s="538"/>
      <c r="CN44" s="532"/>
      <c r="CO44" s="534"/>
      <c r="CP44" s="536"/>
      <c r="CQ44" s="538"/>
      <c r="CR44" s="532"/>
      <c r="CS44" s="534"/>
      <c r="CT44" s="536"/>
      <c r="CU44" s="538"/>
      <c r="CV44" s="532"/>
      <c r="CW44" s="534"/>
      <c r="CX44" s="536"/>
      <c r="CY44" s="538"/>
      <c r="CZ44" s="532"/>
      <c r="DA44" s="534"/>
      <c r="DB44" s="536"/>
      <c r="DC44" s="538"/>
      <c r="DD44" s="532"/>
      <c r="DE44" s="534"/>
      <c r="DF44" s="536"/>
      <c r="DG44" s="538"/>
      <c r="DH44" s="532"/>
      <c r="DI44" s="534"/>
      <c r="DJ44" s="536"/>
      <c r="DK44" s="538"/>
      <c r="DL44" s="532"/>
      <c r="DM44" s="534"/>
      <c r="DN44" s="536"/>
      <c r="DO44" s="538"/>
      <c r="DP44" s="532"/>
      <c r="DQ44" s="534"/>
      <c r="DR44" s="536"/>
      <c r="DS44" s="538"/>
      <c r="DT44" s="532"/>
      <c r="DU44" s="534"/>
      <c r="DV44" s="536"/>
      <c r="DW44" s="538"/>
      <c r="DX44" s="532"/>
      <c r="DY44" s="534"/>
      <c r="DZ44" s="536"/>
      <c r="EA44" s="538"/>
    </row>
    <row r="45" spans="1:131" ht="76.5" x14ac:dyDescent="0.2">
      <c r="A45" s="130" t="s">
        <v>1504</v>
      </c>
      <c r="B45" s="131" t="s">
        <v>1505</v>
      </c>
      <c r="C45" s="131" t="s">
        <v>1407</v>
      </c>
      <c r="D45" s="131" t="s">
        <v>1427</v>
      </c>
      <c r="E45" s="132" t="s">
        <v>1500</v>
      </c>
      <c r="F45" s="133" t="s">
        <v>1506</v>
      </c>
      <c r="G45" s="133" t="s">
        <v>1507</v>
      </c>
      <c r="H45" s="37"/>
      <c r="I45" s="37"/>
      <c r="J45" s="37"/>
      <c r="K45" s="37"/>
      <c r="L45" s="159"/>
      <c r="M45" s="123"/>
      <c r="N45" s="135"/>
      <c r="O45" s="136"/>
      <c r="P45" s="123" t="s">
        <v>1412</v>
      </c>
      <c r="Q45" s="123" t="s">
        <v>1494</v>
      </c>
      <c r="R45" s="135">
        <v>429</v>
      </c>
      <c r="S45" s="136">
        <v>89.26</v>
      </c>
      <c r="T45" s="123" t="s">
        <v>1413</v>
      </c>
      <c r="U45" s="123" t="s">
        <v>1413</v>
      </c>
      <c r="V45" s="135">
        <v>440</v>
      </c>
      <c r="W45" s="136">
        <v>90.52</v>
      </c>
      <c r="X45" s="123"/>
      <c r="Y45" s="123"/>
      <c r="Z45" s="135"/>
      <c r="AA45" s="136"/>
      <c r="AB45" s="123" t="s">
        <v>1414</v>
      </c>
      <c r="AC45" s="123" t="s">
        <v>1414</v>
      </c>
      <c r="AD45" s="135">
        <v>411</v>
      </c>
      <c r="AE45" s="136">
        <v>86.51</v>
      </c>
      <c r="AF45" s="123"/>
      <c r="AG45" s="123"/>
      <c r="AH45" s="135"/>
      <c r="AI45" s="136"/>
      <c r="AJ45" s="123" t="s">
        <v>1337</v>
      </c>
      <c r="AK45" s="123" t="s">
        <v>1337</v>
      </c>
      <c r="AL45" s="135">
        <v>379</v>
      </c>
      <c r="AM45" s="136">
        <v>81.16</v>
      </c>
      <c r="AN45" s="123"/>
      <c r="AO45" s="123"/>
      <c r="AP45" s="135"/>
      <c r="AQ45" s="136"/>
      <c r="AR45" s="123"/>
      <c r="AS45" s="123"/>
      <c r="AT45" s="135"/>
      <c r="AU45" s="136"/>
      <c r="AV45" s="123" t="s">
        <v>1415</v>
      </c>
      <c r="AW45" s="123" t="s">
        <v>1415</v>
      </c>
      <c r="AX45" s="135">
        <v>381</v>
      </c>
      <c r="AY45" s="136">
        <v>83.12</v>
      </c>
      <c r="AZ45" s="123"/>
      <c r="BA45" s="122"/>
      <c r="BB45" s="135"/>
      <c r="BC45" s="136"/>
      <c r="BD45" s="123" t="s">
        <v>1416</v>
      </c>
      <c r="BE45" s="123" t="s">
        <v>1416</v>
      </c>
      <c r="BF45" s="135">
        <v>295</v>
      </c>
      <c r="BG45" s="136">
        <v>67.010000000000005</v>
      </c>
      <c r="BH45" s="123"/>
      <c r="BI45" s="122"/>
      <c r="BJ45" s="135"/>
      <c r="BK45" s="136"/>
      <c r="BL45" s="123" t="s">
        <v>1417</v>
      </c>
      <c r="BM45" s="122" t="s">
        <v>1417</v>
      </c>
      <c r="BN45" s="135">
        <v>488</v>
      </c>
      <c r="BO45" s="136">
        <v>97.06</v>
      </c>
      <c r="BP45" s="137"/>
      <c r="BQ45" s="138"/>
      <c r="BR45" s="135"/>
      <c r="BS45" s="139"/>
      <c r="BT45" s="123" t="s">
        <v>1418</v>
      </c>
      <c r="BU45" s="122" t="s">
        <v>1418</v>
      </c>
      <c r="BV45" s="135">
        <v>256</v>
      </c>
      <c r="BW45" s="139">
        <v>60.86</v>
      </c>
      <c r="BX45" s="127" t="s">
        <v>1457</v>
      </c>
      <c r="BY45" s="127" t="s">
        <v>1457</v>
      </c>
      <c r="BZ45" s="135">
        <v>369</v>
      </c>
      <c r="CA45" s="139">
        <v>86.41</v>
      </c>
      <c r="CB45" s="127" t="s">
        <v>1420</v>
      </c>
      <c r="CC45" s="127" t="s">
        <v>1420</v>
      </c>
      <c r="CD45" s="135">
        <v>320</v>
      </c>
      <c r="CE45" s="139">
        <v>70.66</v>
      </c>
      <c r="CF45" s="119"/>
      <c r="CG45" s="127"/>
      <c r="CH45" s="135"/>
      <c r="CI45" s="139"/>
      <c r="CJ45" s="119"/>
      <c r="CK45" s="127"/>
      <c r="CL45" s="135"/>
      <c r="CM45" s="139"/>
      <c r="CN45" s="119"/>
      <c r="CO45" s="127"/>
      <c r="CP45" s="135"/>
      <c r="CQ45" s="139"/>
      <c r="CR45" s="119"/>
      <c r="CS45" s="127"/>
      <c r="CT45" s="135"/>
      <c r="CU45" s="139"/>
      <c r="CV45" s="119" t="s">
        <v>1349</v>
      </c>
      <c r="CW45" s="127" t="s">
        <v>1349</v>
      </c>
      <c r="CX45" s="135">
        <v>689</v>
      </c>
      <c r="CY45" s="139">
        <v>157.12</v>
      </c>
      <c r="CZ45" s="119" t="s">
        <v>1349</v>
      </c>
      <c r="DA45" s="127" t="s">
        <v>1349</v>
      </c>
      <c r="DB45" s="135">
        <v>689</v>
      </c>
      <c r="DC45" s="139">
        <v>157.12</v>
      </c>
      <c r="DD45" s="127" t="s">
        <v>1421</v>
      </c>
      <c r="DE45" s="127" t="s">
        <v>1421</v>
      </c>
      <c r="DF45" s="135">
        <v>473</v>
      </c>
      <c r="DG45" s="139">
        <v>94.7</v>
      </c>
      <c r="DH45" s="127" t="s">
        <v>1421</v>
      </c>
      <c r="DI45" s="127" t="s">
        <v>1421</v>
      </c>
      <c r="DJ45" s="135">
        <v>473</v>
      </c>
      <c r="DK45" s="139">
        <v>94.7</v>
      </c>
      <c r="DL45" s="127" t="s">
        <v>1421</v>
      </c>
      <c r="DM45" s="127" t="s">
        <v>1421</v>
      </c>
      <c r="DN45" s="135">
        <v>473</v>
      </c>
      <c r="DO45" s="139">
        <v>94.7</v>
      </c>
      <c r="DP45" s="127"/>
      <c r="DQ45" s="127"/>
      <c r="DR45" s="135"/>
      <c r="DS45" s="139"/>
      <c r="DT45" s="127"/>
      <c r="DU45" s="127"/>
      <c r="DV45" s="135"/>
      <c r="DW45" s="139"/>
      <c r="DX45" s="127"/>
      <c r="DY45" s="127"/>
      <c r="DZ45" s="135"/>
      <c r="EA45" s="139"/>
    </row>
    <row r="46" spans="1:131" ht="89.25" x14ac:dyDescent="0.2">
      <c r="A46" s="130" t="s">
        <v>1508</v>
      </c>
      <c r="B46" s="131" t="s">
        <v>1509</v>
      </c>
      <c r="C46" s="131" t="s">
        <v>1407</v>
      </c>
      <c r="D46" s="131" t="s">
        <v>1427</v>
      </c>
      <c r="E46" s="132" t="s">
        <v>1385</v>
      </c>
      <c r="F46" s="133" t="s">
        <v>1510</v>
      </c>
      <c r="G46" s="133" t="s">
        <v>1511</v>
      </c>
      <c r="H46" s="37"/>
      <c r="I46" s="37"/>
      <c r="J46" s="37"/>
      <c r="K46" s="37"/>
      <c r="L46" s="159"/>
      <c r="M46" s="123"/>
      <c r="N46" s="135"/>
      <c r="O46" s="136"/>
      <c r="P46" s="123" t="s">
        <v>1412</v>
      </c>
      <c r="Q46" s="123" t="s">
        <v>1494</v>
      </c>
      <c r="R46" s="135">
        <v>3857</v>
      </c>
      <c r="S46" s="136">
        <v>749.44</v>
      </c>
      <c r="T46" s="123" t="s">
        <v>1413</v>
      </c>
      <c r="U46" s="123" t="s">
        <v>1413</v>
      </c>
      <c r="V46" s="135">
        <v>4205</v>
      </c>
      <c r="W46" s="136">
        <v>798.06</v>
      </c>
      <c r="X46" s="123"/>
      <c r="Y46" s="123"/>
      <c r="Z46" s="135"/>
      <c r="AA46" s="136"/>
      <c r="AB46" s="123" t="s">
        <v>1414</v>
      </c>
      <c r="AC46" s="123" t="s">
        <v>1414</v>
      </c>
      <c r="AD46" s="135">
        <v>3711</v>
      </c>
      <c r="AE46" s="136">
        <v>727.07</v>
      </c>
      <c r="AF46" s="123"/>
      <c r="AG46" s="123"/>
      <c r="AH46" s="135"/>
      <c r="AI46" s="136"/>
      <c r="AJ46" s="123" t="s">
        <v>1337</v>
      </c>
      <c r="AK46" s="123" t="s">
        <v>1337</v>
      </c>
      <c r="AL46" s="135">
        <v>3135</v>
      </c>
      <c r="AM46" s="136">
        <v>633.9</v>
      </c>
      <c r="AN46" s="123"/>
      <c r="AO46" s="123"/>
      <c r="AP46" s="135"/>
      <c r="AQ46" s="136"/>
      <c r="AR46" s="123"/>
      <c r="AS46" s="123"/>
      <c r="AT46" s="135"/>
      <c r="AU46" s="136"/>
      <c r="AV46" s="123" t="s">
        <v>1415</v>
      </c>
      <c r="AW46" s="123" t="s">
        <v>1415</v>
      </c>
      <c r="AX46" s="135">
        <v>3025</v>
      </c>
      <c r="AY46" s="136">
        <v>634.5</v>
      </c>
      <c r="AZ46" s="123"/>
      <c r="BA46" s="122"/>
      <c r="BB46" s="135"/>
      <c r="BC46" s="136"/>
      <c r="BD46" s="123" t="s">
        <v>1416</v>
      </c>
      <c r="BE46" s="123" t="s">
        <v>1416</v>
      </c>
      <c r="BF46" s="135">
        <v>2227</v>
      </c>
      <c r="BG46" s="136">
        <v>487.7</v>
      </c>
      <c r="BH46" s="123"/>
      <c r="BI46" s="122"/>
      <c r="BJ46" s="135"/>
      <c r="BK46" s="136"/>
      <c r="BL46" s="123" t="s">
        <v>1417</v>
      </c>
      <c r="BM46" s="122" t="s">
        <v>1417</v>
      </c>
      <c r="BN46" s="135">
        <v>3576</v>
      </c>
      <c r="BO46" s="136">
        <v>696.37</v>
      </c>
      <c r="BP46" s="137"/>
      <c r="BQ46" s="138"/>
      <c r="BR46" s="135"/>
      <c r="BS46" s="139"/>
      <c r="BT46" s="123" t="s">
        <v>1418</v>
      </c>
      <c r="BU46" s="122" t="s">
        <v>1418</v>
      </c>
      <c r="BV46" s="135">
        <v>2734</v>
      </c>
      <c r="BW46" s="139">
        <v>567.70000000000005</v>
      </c>
      <c r="BX46" s="127" t="s">
        <v>1457</v>
      </c>
      <c r="BY46" s="127" t="s">
        <v>1457</v>
      </c>
      <c r="BZ46" s="135">
        <v>4910</v>
      </c>
      <c r="CA46" s="139">
        <v>941.06</v>
      </c>
      <c r="CB46" s="127" t="s">
        <v>1420</v>
      </c>
      <c r="CC46" s="127" t="s">
        <v>1420</v>
      </c>
      <c r="CD46" s="135">
        <v>3417</v>
      </c>
      <c r="CE46" s="139">
        <v>675.16</v>
      </c>
      <c r="CF46" s="119"/>
      <c r="CG46" s="127"/>
      <c r="CH46" s="135"/>
      <c r="CI46" s="139"/>
      <c r="CJ46" s="119"/>
      <c r="CK46" s="127"/>
      <c r="CL46" s="135"/>
      <c r="CM46" s="139"/>
      <c r="CN46" s="119"/>
      <c r="CO46" s="127"/>
      <c r="CP46" s="135"/>
      <c r="CQ46" s="139"/>
      <c r="CR46" s="119"/>
      <c r="CS46" s="127"/>
      <c r="CT46" s="135"/>
      <c r="CU46" s="139"/>
      <c r="CV46" s="119" t="s">
        <v>1349</v>
      </c>
      <c r="CW46" s="127" t="s">
        <v>1349</v>
      </c>
      <c r="CX46" s="135">
        <v>8327</v>
      </c>
      <c r="CY46" s="139">
        <v>1616.85</v>
      </c>
      <c r="CZ46" s="119" t="s">
        <v>1349</v>
      </c>
      <c r="DA46" s="127" t="s">
        <v>1349</v>
      </c>
      <c r="DB46" s="135">
        <v>8327</v>
      </c>
      <c r="DC46" s="139">
        <v>1616.85</v>
      </c>
      <c r="DD46" s="127" t="s">
        <v>1421</v>
      </c>
      <c r="DE46" s="127" t="s">
        <v>1421</v>
      </c>
      <c r="DF46" s="135">
        <v>4915</v>
      </c>
      <c r="DG46" s="139">
        <v>907.62</v>
      </c>
      <c r="DH46" s="127" t="s">
        <v>1421</v>
      </c>
      <c r="DI46" s="127" t="s">
        <v>1421</v>
      </c>
      <c r="DJ46" s="135">
        <v>4915</v>
      </c>
      <c r="DK46" s="139">
        <v>907.62</v>
      </c>
      <c r="DL46" s="127" t="s">
        <v>1421</v>
      </c>
      <c r="DM46" s="127" t="s">
        <v>1421</v>
      </c>
      <c r="DN46" s="135">
        <v>4915</v>
      </c>
      <c r="DO46" s="139">
        <v>907.62</v>
      </c>
      <c r="DP46" s="127"/>
      <c r="DQ46" s="127"/>
      <c r="DR46" s="135"/>
      <c r="DS46" s="139"/>
      <c r="DT46" s="127"/>
      <c r="DU46" s="127"/>
      <c r="DV46" s="135"/>
      <c r="DW46" s="139"/>
      <c r="DX46" s="127"/>
      <c r="DY46" s="127"/>
      <c r="DZ46" s="135"/>
      <c r="EA46" s="139"/>
    </row>
    <row r="47" spans="1:131" ht="89.25" x14ac:dyDescent="0.2">
      <c r="A47" s="130" t="s">
        <v>1512</v>
      </c>
      <c r="B47" s="131" t="s">
        <v>1513</v>
      </c>
      <c r="C47" s="131" t="s">
        <v>1407</v>
      </c>
      <c r="D47" s="131" t="s">
        <v>1427</v>
      </c>
      <c r="E47" s="132" t="s">
        <v>1500</v>
      </c>
      <c r="F47" s="133" t="s">
        <v>1514</v>
      </c>
      <c r="G47" s="133" t="s">
        <v>1515</v>
      </c>
      <c r="H47" s="37"/>
      <c r="I47" s="37"/>
      <c r="J47" s="37"/>
      <c r="K47" s="37"/>
      <c r="L47" s="159"/>
      <c r="M47" s="123"/>
      <c r="N47" s="135"/>
      <c r="O47" s="136"/>
      <c r="P47" s="123" t="s">
        <v>1412</v>
      </c>
      <c r="Q47" s="123" t="s">
        <v>1494</v>
      </c>
      <c r="R47" s="135">
        <v>108</v>
      </c>
      <c r="S47" s="136">
        <v>34.26</v>
      </c>
      <c r="T47" s="123" t="s">
        <v>1413</v>
      </c>
      <c r="U47" s="123" t="s">
        <v>1413</v>
      </c>
      <c r="V47" s="135">
        <v>121</v>
      </c>
      <c r="W47" s="136">
        <v>35.979999999999997</v>
      </c>
      <c r="X47" s="123"/>
      <c r="Y47" s="123"/>
      <c r="Z47" s="135"/>
      <c r="AA47" s="136"/>
      <c r="AB47" s="123" t="s">
        <v>1414</v>
      </c>
      <c r="AC47" s="123" t="s">
        <v>1414</v>
      </c>
      <c r="AD47" s="135">
        <v>104</v>
      </c>
      <c r="AE47" s="136">
        <v>33.65</v>
      </c>
      <c r="AF47" s="123"/>
      <c r="AG47" s="123"/>
      <c r="AH47" s="135"/>
      <c r="AI47" s="136"/>
      <c r="AJ47" s="123" t="s">
        <v>1337</v>
      </c>
      <c r="AK47" s="123" t="s">
        <v>1337</v>
      </c>
      <c r="AL47" s="135">
        <v>87</v>
      </c>
      <c r="AM47" s="136">
        <v>30.77</v>
      </c>
      <c r="AN47" s="123"/>
      <c r="AO47" s="123"/>
      <c r="AP47" s="135"/>
      <c r="AQ47" s="136"/>
      <c r="AR47" s="123"/>
      <c r="AS47" s="123"/>
      <c r="AT47" s="135"/>
      <c r="AU47" s="136"/>
      <c r="AV47" s="123" t="s">
        <v>1415</v>
      </c>
      <c r="AW47" s="123" t="s">
        <v>1415</v>
      </c>
      <c r="AX47" s="135">
        <v>83</v>
      </c>
      <c r="AY47" s="136">
        <v>30.35</v>
      </c>
      <c r="AZ47" s="123"/>
      <c r="BA47" s="122"/>
      <c r="BB47" s="135"/>
      <c r="BC47" s="136"/>
      <c r="BD47" s="123" t="s">
        <v>1416</v>
      </c>
      <c r="BE47" s="123" t="s">
        <v>1416</v>
      </c>
      <c r="BF47" s="135">
        <v>60</v>
      </c>
      <c r="BG47" s="136">
        <v>24.94</v>
      </c>
      <c r="BH47" s="123"/>
      <c r="BI47" s="122"/>
      <c r="BJ47" s="135"/>
      <c r="BK47" s="136"/>
      <c r="BL47" s="123" t="s">
        <v>1417</v>
      </c>
      <c r="BM47" s="122" t="s">
        <v>1417</v>
      </c>
      <c r="BN47" s="135">
        <v>19</v>
      </c>
      <c r="BO47" s="136">
        <v>18.21</v>
      </c>
      <c r="BP47" s="137"/>
      <c r="BQ47" s="138"/>
      <c r="BR47" s="135"/>
      <c r="BS47" s="139"/>
      <c r="BT47" s="123" t="s">
        <v>1418</v>
      </c>
      <c r="BU47" s="122" t="s">
        <v>1418</v>
      </c>
      <c r="BV47" s="135">
        <v>150</v>
      </c>
      <c r="BW47" s="139">
        <v>39.14</v>
      </c>
      <c r="BX47" s="127" t="s">
        <v>1457</v>
      </c>
      <c r="BY47" s="127" t="s">
        <v>1457</v>
      </c>
      <c r="BZ47" s="135">
        <v>147</v>
      </c>
      <c r="CA47" s="139">
        <v>45.86</v>
      </c>
      <c r="CB47" s="127" t="s">
        <v>1420</v>
      </c>
      <c r="CC47" s="127" t="s">
        <v>1420</v>
      </c>
      <c r="CD47" s="135">
        <v>187</v>
      </c>
      <c r="CE47" s="139">
        <v>44.69</v>
      </c>
      <c r="CF47" s="127"/>
      <c r="CG47" s="127"/>
      <c r="CH47" s="135"/>
      <c r="CI47" s="139"/>
      <c r="CJ47" s="127"/>
      <c r="CK47" s="127"/>
      <c r="CL47" s="135"/>
      <c r="CM47" s="139"/>
      <c r="CN47" s="127"/>
      <c r="CO47" s="127"/>
      <c r="CP47" s="135"/>
      <c r="CQ47" s="139"/>
      <c r="CR47" s="127"/>
      <c r="CS47" s="127"/>
      <c r="CT47" s="135"/>
      <c r="CU47" s="139"/>
      <c r="CV47" s="127" t="s">
        <v>1349</v>
      </c>
      <c r="CW47" s="127" t="s">
        <v>1349</v>
      </c>
      <c r="CX47" s="135">
        <v>334</v>
      </c>
      <c r="CY47" s="139">
        <v>90.57</v>
      </c>
      <c r="CZ47" s="127" t="s">
        <v>1349</v>
      </c>
      <c r="DA47" s="127" t="s">
        <v>1349</v>
      </c>
      <c r="DB47" s="135">
        <v>334</v>
      </c>
      <c r="DC47" s="139">
        <v>90.57</v>
      </c>
      <c r="DD47" s="127" t="s">
        <v>1421</v>
      </c>
      <c r="DE47" s="127" t="s">
        <v>1421</v>
      </c>
      <c r="DF47" s="135">
        <v>49</v>
      </c>
      <c r="DG47" s="139">
        <v>22.96</v>
      </c>
      <c r="DH47" s="127" t="s">
        <v>1421</v>
      </c>
      <c r="DI47" s="127" t="s">
        <v>1421</v>
      </c>
      <c r="DJ47" s="135">
        <v>49</v>
      </c>
      <c r="DK47" s="139">
        <v>22.96</v>
      </c>
      <c r="DL47" s="127" t="s">
        <v>1421</v>
      </c>
      <c r="DM47" s="127" t="s">
        <v>1421</v>
      </c>
      <c r="DN47" s="135">
        <v>49</v>
      </c>
      <c r="DO47" s="139">
        <v>22.96</v>
      </c>
      <c r="DP47" s="127"/>
      <c r="DQ47" s="127"/>
      <c r="DR47" s="135"/>
      <c r="DS47" s="139"/>
      <c r="DT47" s="127"/>
      <c r="DU47" s="127"/>
      <c r="DV47" s="135"/>
      <c r="DW47" s="139"/>
      <c r="DX47" s="127"/>
      <c r="DY47" s="127"/>
      <c r="DZ47" s="135"/>
      <c r="EA47" s="139"/>
    </row>
    <row r="48" spans="1:131" ht="89.25" x14ac:dyDescent="0.2">
      <c r="A48" s="130" t="s">
        <v>1443</v>
      </c>
      <c r="B48" s="131" t="s">
        <v>1516</v>
      </c>
      <c r="C48" s="131" t="s">
        <v>1407</v>
      </c>
      <c r="D48" s="131" t="s">
        <v>1432</v>
      </c>
      <c r="E48" s="132" t="s">
        <v>1328</v>
      </c>
      <c r="F48" s="133" t="s">
        <v>1517</v>
      </c>
      <c r="G48" s="133" t="s">
        <v>1518</v>
      </c>
      <c r="H48" s="37"/>
      <c r="I48" s="37"/>
      <c r="J48" s="37"/>
      <c r="K48" s="37"/>
      <c r="L48" s="159"/>
      <c r="M48" s="123"/>
      <c r="N48" s="135"/>
      <c r="O48" s="136"/>
      <c r="P48" s="123" t="s">
        <v>1412</v>
      </c>
      <c r="Q48" s="123" t="s">
        <v>1494</v>
      </c>
      <c r="R48" s="135">
        <v>2720</v>
      </c>
      <c r="S48" s="136">
        <v>611.58000000000004</v>
      </c>
      <c r="T48" s="123" t="s">
        <v>1413</v>
      </c>
      <c r="U48" s="123" t="s">
        <v>1413</v>
      </c>
      <c r="V48" s="135">
        <v>2597</v>
      </c>
      <c r="W48" s="136">
        <v>586.78</v>
      </c>
      <c r="X48" s="123"/>
      <c r="Y48" s="123"/>
      <c r="Z48" s="135"/>
      <c r="AA48" s="136"/>
      <c r="AB48" s="123" t="s">
        <v>1414</v>
      </c>
      <c r="AC48" s="123" t="s">
        <v>1414</v>
      </c>
      <c r="AD48" s="135">
        <v>2336</v>
      </c>
      <c r="AE48" s="136">
        <v>526.26</v>
      </c>
      <c r="AF48" s="123"/>
      <c r="AG48" s="123"/>
      <c r="AH48" s="135"/>
      <c r="AI48" s="136"/>
      <c r="AJ48" s="123" t="s">
        <v>1337</v>
      </c>
      <c r="AK48" s="123" t="s">
        <v>1337</v>
      </c>
      <c r="AL48" s="135">
        <v>2281</v>
      </c>
      <c r="AM48" s="136">
        <v>507.73</v>
      </c>
      <c r="AN48" s="123"/>
      <c r="AO48" s="123"/>
      <c r="AP48" s="135"/>
      <c r="AQ48" s="136"/>
      <c r="AR48" s="123"/>
      <c r="AS48" s="123"/>
      <c r="AT48" s="135"/>
      <c r="AU48" s="136"/>
      <c r="AV48" s="123" t="s">
        <v>1415</v>
      </c>
      <c r="AW48" s="123" t="s">
        <v>1415</v>
      </c>
      <c r="AX48" s="135">
        <v>2234</v>
      </c>
      <c r="AY48" s="136">
        <v>512.02</v>
      </c>
      <c r="AZ48" s="123"/>
      <c r="BA48" s="122"/>
      <c r="BB48" s="135"/>
      <c r="BC48" s="136"/>
      <c r="BD48" s="123" t="s">
        <v>1416</v>
      </c>
      <c r="BE48" s="123" t="s">
        <v>1416</v>
      </c>
      <c r="BF48" s="135">
        <v>2269</v>
      </c>
      <c r="BG48" s="136">
        <v>513.29</v>
      </c>
      <c r="BH48" s="123"/>
      <c r="BI48" s="122"/>
      <c r="BJ48" s="135"/>
      <c r="BK48" s="136"/>
      <c r="BL48" s="123" t="s">
        <v>1417</v>
      </c>
      <c r="BM48" s="122" t="s">
        <v>1417</v>
      </c>
      <c r="BN48" s="135">
        <v>2475</v>
      </c>
      <c r="BO48" s="136">
        <v>553.66999999999996</v>
      </c>
      <c r="BP48" s="137"/>
      <c r="BQ48" s="138"/>
      <c r="BR48" s="135"/>
      <c r="BS48" s="139"/>
      <c r="BT48" s="123" t="s">
        <v>1418</v>
      </c>
      <c r="BU48" s="122" t="s">
        <v>1418</v>
      </c>
      <c r="BV48" s="135">
        <v>2555</v>
      </c>
      <c r="BW48" s="139">
        <v>571.32000000000005</v>
      </c>
      <c r="BX48" s="127" t="s">
        <v>1457</v>
      </c>
      <c r="BY48" s="127" t="s">
        <v>1457</v>
      </c>
      <c r="BZ48" s="135">
        <v>3062</v>
      </c>
      <c r="CA48" s="139">
        <v>655.23</v>
      </c>
      <c r="CB48" s="127" t="s">
        <v>1420</v>
      </c>
      <c r="CC48" s="127" t="s">
        <v>1420</v>
      </c>
      <c r="CD48" s="135">
        <v>2840</v>
      </c>
      <c r="CE48" s="139">
        <v>628.9</v>
      </c>
      <c r="CF48" s="127"/>
      <c r="CG48" s="127"/>
      <c r="CH48" s="135"/>
      <c r="CI48" s="139"/>
      <c r="CJ48" s="127"/>
      <c r="CK48" s="127"/>
      <c r="CL48" s="135"/>
      <c r="CM48" s="139"/>
      <c r="CN48" s="127"/>
      <c r="CO48" s="127"/>
      <c r="CP48" s="135"/>
      <c r="CQ48" s="139"/>
      <c r="CR48" s="127"/>
      <c r="CS48" s="127"/>
      <c r="CT48" s="135"/>
      <c r="CU48" s="139"/>
      <c r="CV48" s="127" t="s">
        <v>1349</v>
      </c>
      <c r="CW48" s="127" t="s">
        <v>1349</v>
      </c>
      <c r="CX48" s="135">
        <v>5902</v>
      </c>
      <c r="CY48" s="139">
        <v>1284.53</v>
      </c>
      <c r="CZ48" s="127" t="s">
        <v>1349</v>
      </c>
      <c r="DA48" s="127" t="s">
        <v>1349</v>
      </c>
      <c r="DB48" s="135">
        <v>5902</v>
      </c>
      <c r="DC48" s="139">
        <v>1284.53</v>
      </c>
      <c r="DD48" s="127" t="s">
        <v>1421</v>
      </c>
      <c r="DE48" s="127" t="s">
        <v>1421</v>
      </c>
      <c r="DF48" s="135">
        <v>2903</v>
      </c>
      <c r="DG48" s="139">
        <v>640.52</v>
      </c>
      <c r="DH48" s="127" t="s">
        <v>1421</v>
      </c>
      <c r="DI48" s="127" t="s">
        <v>1421</v>
      </c>
      <c r="DJ48" s="135">
        <v>2903</v>
      </c>
      <c r="DK48" s="139">
        <v>640.52</v>
      </c>
      <c r="DL48" s="127" t="s">
        <v>1421</v>
      </c>
      <c r="DM48" s="127" t="s">
        <v>1421</v>
      </c>
      <c r="DN48" s="135">
        <v>2903</v>
      </c>
      <c r="DO48" s="139">
        <v>640.52</v>
      </c>
      <c r="DP48" s="127"/>
      <c r="DQ48" s="127"/>
      <c r="DR48" s="135"/>
      <c r="DS48" s="139"/>
      <c r="DT48" s="127"/>
      <c r="DU48" s="127"/>
      <c r="DV48" s="135"/>
      <c r="DW48" s="139"/>
      <c r="DX48" s="127"/>
      <c r="DY48" s="127"/>
      <c r="DZ48" s="135"/>
      <c r="EA48" s="139"/>
    </row>
    <row r="49" spans="1:131" ht="63.75" x14ac:dyDescent="0.2">
      <c r="A49" s="130" t="s">
        <v>1519</v>
      </c>
      <c r="B49" s="179">
        <v>22397395045555</v>
      </c>
      <c r="C49" s="131" t="s">
        <v>1407</v>
      </c>
      <c r="D49" s="131" t="s">
        <v>1427</v>
      </c>
      <c r="E49" s="171" t="s">
        <v>1500</v>
      </c>
      <c r="F49" s="133" t="s">
        <v>1520</v>
      </c>
      <c r="G49" s="133" t="s">
        <v>1410</v>
      </c>
      <c r="H49" s="37"/>
      <c r="I49" s="37"/>
      <c r="J49" s="37"/>
      <c r="K49" s="37"/>
      <c r="L49" s="159"/>
      <c r="M49" s="123"/>
      <c r="N49" s="135"/>
      <c r="O49" s="136"/>
      <c r="P49" s="123" t="s">
        <v>1412</v>
      </c>
      <c r="Q49" s="123" t="s">
        <v>1494</v>
      </c>
      <c r="R49" s="135">
        <v>2163</v>
      </c>
      <c r="S49" s="136">
        <v>423.6</v>
      </c>
      <c r="T49" s="123" t="s">
        <v>1413</v>
      </c>
      <c r="U49" s="123" t="s">
        <v>1413</v>
      </c>
      <c r="V49" s="135">
        <v>2288</v>
      </c>
      <c r="W49" s="136">
        <v>440.11</v>
      </c>
      <c r="X49" s="123"/>
      <c r="Y49" s="123"/>
      <c r="Z49" s="135"/>
      <c r="AA49" s="136"/>
      <c r="AB49" s="123" t="s">
        <v>1414</v>
      </c>
      <c r="AC49" s="123" t="s">
        <v>1414</v>
      </c>
      <c r="AD49" s="135">
        <v>2087</v>
      </c>
      <c r="AE49" s="136">
        <v>411.94</v>
      </c>
      <c r="AF49" s="123"/>
      <c r="AG49" s="123"/>
      <c r="AH49" s="135"/>
      <c r="AI49" s="136"/>
      <c r="AJ49" s="123" t="s">
        <v>1337</v>
      </c>
      <c r="AK49" s="123" t="s">
        <v>1337</v>
      </c>
      <c r="AL49" s="135">
        <v>1782</v>
      </c>
      <c r="AM49" s="136">
        <v>362.48</v>
      </c>
      <c r="AN49" s="123"/>
      <c r="AO49" s="123"/>
      <c r="AP49" s="135"/>
      <c r="AQ49" s="136"/>
      <c r="AR49" s="123"/>
      <c r="AS49" s="123"/>
      <c r="AT49" s="135"/>
      <c r="AU49" s="136"/>
      <c r="AV49" s="123" t="s">
        <v>1415</v>
      </c>
      <c r="AW49" s="123" t="s">
        <v>1415</v>
      </c>
      <c r="AX49" s="135">
        <v>1742</v>
      </c>
      <c r="AY49" s="136">
        <v>366.12</v>
      </c>
      <c r="AZ49" s="123"/>
      <c r="BA49" s="122"/>
      <c r="BB49" s="135"/>
      <c r="BC49" s="136"/>
      <c r="BD49" s="123" t="s">
        <v>1416</v>
      </c>
      <c r="BE49" s="123" t="s">
        <v>1416</v>
      </c>
      <c r="BF49" s="135">
        <v>1293</v>
      </c>
      <c r="BG49" s="136">
        <v>283.39999999999998</v>
      </c>
      <c r="BH49" s="123"/>
      <c r="BI49" s="122"/>
      <c r="BJ49" s="135"/>
      <c r="BK49" s="136"/>
      <c r="BL49" s="123" t="s">
        <v>1417</v>
      </c>
      <c r="BM49" s="122" t="s">
        <v>1417</v>
      </c>
      <c r="BN49" s="135">
        <v>2096</v>
      </c>
      <c r="BO49" s="136">
        <v>407.8</v>
      </c>
      <c r="BP49" s="137"/>
      <c r="BQ49" s="138"/>
      <c r="BR49" s="135"/>
      <c r="BS49" s="139"/>
      <c r="BT49" s="123" t="s">
        <v>1418</v>
      </c>
      <c r="BU49" s="122" t="s">
        <v>1418</v>
      </c>
      <c r="BV49" s="135">
        <v>1516</v>
      </c>
      <c r="BW49" s="139">
        <v>318.58999999999997</v>
      </c>
      <c r="BX49" s="127" t="s">
        <v>1457</v>
      </c>
      <c r="BY49" s="127" t="s">
        <v>1457</v>
      </c>
      <c r="BZ49" s="135">
        <v>2624</v>
      </c>
      <c r="CA49" s="139">
        <v>513.36</v>
      </c>
      <c r="CB49" s="127" t="s">
        <v>1420</v>
      </c>
      <c r="CC49" s="127" t="s">
        <v>1420</v>
      </c>
      <c r="CD49" s="135">
        <v>1885</v>
      </c>
      <c r="CE49" s="139">
        <v>378.1</v>
      </c>
      <c r="CF49" s="127"/>
      <c r="CG49" s="127"/>
      <c r="CH49" s="135"/>
      <c r="CI49" s="139"/>
      <c r="CJ49" s="127"/>
      <c r="CK49" s="127"/>
      <c r="CL49" s="135"/>
      <c r="CM49" s="139"/>
      <c r="CN49" s="127"/>
      <c r="CO49" s="127"/>
      <c r="CP49" s="135"/>
      <c r="CQ49" s="139"/>
      <c r="CR49" s="127"/>
      <c r="CS49" s="127"/>
      <c r="CT49" s="135"/>
      <c r="CU49" s="139"/>
      <c r="CV49" s="127" t="s">
        <v>1349</v>
      </c>
      <c r="CW49" s="127" t="s">
        <v>1349</v>
      </c>
      <c r="CX49" s="135">
        <v>4519</v>
      </c>
      <c r="CY49" s="139">
        <v>891.79</v>
      </c>
      <c r="CZ49" s="127" t="s">
        <v>1349</v>
      </c>
      <c r="DA49" s="127" t="s">
        <v>1349</v>
      </c>
      <c r="DB49" s="135">
        <v>4519</v>
      </c>
      <c r="DC49" s="139">
        <v>891.79</v>
      </c>
      <c r="DD49" s="127" t="s">
        <v>1421</v>
      </c>
      <c r="DE49" s="127" t="s">
        <v>1421</v>
      </c>
      <c r="DF49" s="135">
        <v>2655</v>
      </c>
      <c r="DG49" s="139">
        <v>495.96</v>
      </c>
      <c r="DH49" s="127" t="s">
        <v>1421</v>
      </c>
      <c r="DI49" s="127" t="s">
        <v>1421</v>
      </c>
      <c r="DJ49" s="135">
        <v>2655</v>
      </c>
      <c r="DK49" s="139">
        <v>495.96</v>
      </c>
      <c r="DL49" s="127" t="s">
        <v>1421</v>
      </c>
      <c r="DM49" s="127" t="s">
        <v>1421</v>
      </c>
      <c r="DN49" s="135">
        <v>2655</v>
      </c>
      <c r="DO49" s="139">
        <v>495.96</v>
      </c>
      <c r="DP49" s="127"/>
      <c r="DQ49" s="127"/>
      <c r="DR49" s="135"/>
      <c r="DS49" s="139"/>
      <c r="DT49" s="127"/>
      <c r="DU49" s="127"/>
      <c r="DV49" s="135"/>
      <c r="DW49" s="139"/>
      <c r="DX49" s="127"/>
      <c r="DY49" s="127"/>
      <c r="DZ49" s="135"/>
      <c r="EA49" s="139"/>
    </row>
    <row r="50" spans="1:131" ht="89.25" x14ac:dyDescent="0.2">
      <c r="A50" s="130" t="s">
        <v>1443</v>
      </c>
      <c r="B50" s="179">
        <v>22393487610405</v>
      </c>
      <c r="C50" s="131" t="s">
        <v>1407</v>
      </c>
      <c r="D50" s="131" t="s">
        <v>1427</v>
      </c>
      <c r="E50" s="171" t="s">
        <v>1328</v>
      </c>
      <c r="F50" s="133" t="s">
        <v>1521</v>
      </c>
      <c r="G50" s="133" t="s">
        <v>1446</v>
      </c>
      <c r="H50" s="37"/>
      <c r="I50" s="37"/>
      <c r="J50" s="37"/>
      <c r="K50" s="37"/>
      <c r="L50" s="159"/>
      <c r="M50" s="123"/>
      <c r="N50" s="135"/>
      <c r="O50" s="136"/>
      <c r="P50" s="123" t="s">
        <v>1412</v>
      </c>
      <c r="Q50" s="123" t="s">
        <v>1494</v>
      </c>
      <c r="R50" s="135">
        <v>905</v>
      </c>
      <c r="S50" s="136">
        <v>247.34</v>
      </c>
      <c r="T50" s="123" t="s">
        <v>1413</v>
      </c>
      <c r="U50" s="123" t="s">
        <v>1413</v>
      </c>
      <c r="V50" s="135">
        <v>739</v>
      </c>
      <c r="W50" s="136">
        <v>170.09</v>
      </c>
      <c r="X50" s="123"/>
      <c r="Y50" s="123"/>
      <c r="Z50" s="135"/>
      <c r="AA50" s="136"/>
      <c r="AB50" s="123" t="s">
        <v>1414</v>
      </c>
      <c r="AC50" s="123" t="s">
        <v>1414</v>
      </c>
      <c r="AD50" s="135">
        <v>605</v>
      </c>
      <c r="AE50" s="136">
        <v>148.97</v>
      </c>
      <c r="AF50" s="123"/>
      <c r="AG50" s="123"/>
      <c r="AH50" s="135"/>
      <c r="AI50" s="136"/>
      <c r="AJ50" s="123" t="s">
        <v>1337</v>
      </c>
      <c r="AK50" s="123" t="s">
        <v>1337</v>
      </c>
      <c r="AL50" s="135">
        <v>517</v>
      </c>
      <c r="AM50" s="136">
        <v>133.33000000000001</v>
      </c>
      <c r="AN50" s="123"/>
      <c r="AO50" s="123"/>
      <c r="AP50" s="135"/>
      <c r="AQ50" s="136"/>
      <c r="AR50" s="123"/>
      <c r="AS50" s="123"/>
      <c r="AT50" s="135"/>
      <c r="AU50" s="136"/>
      <c r="AV50" s="123" t="s">
        <v>1415</v>
      </c>
      <c r="AW50" s="123" t="s">
        <v>1415</v>
      </c>
      <c r="AX50" s="135">
        <v>595</v>
      </c>
      <c r="AY50" s="136">
        <v>148.44</v>
      </c>
      <c r="AZ50" s="123"/>
      <c r="BA50" s="122"/>
      <c r="BB50" s="135"/>
      <c r="BC50" s="136"/>
      <c r="BD50" s="123" t="s">
        <v>1416</v>
      </c>
      <c r="BE50" s="123" t="s">
        <v>1416</v>
      </c>
      <c r="BF50" s="135">
        <v>794</v>
      </c>
      <c r="BG50" s="136">
        <v>173.76</v>
      </c>
      <c r="BH50" s="123"/>
      <c r="BI50" s="122"/>
      <c r="BJ50" s="135"/>
      <c r="BK50" s="136"/>
      <c r="BL50" s="123" t="s">
        <v>1417</v>
      </c>
      <c r="BM50" s="122" t="s">
        <v>1417</v>
      </c>
      <c r="BN50" s="135">
        <v>1072</v>
      </c>
      <c r="BO50" s="136">
        <v>216.77</v>
      </c>
      <c r="BP50" s="137"/>
      <c r="BQ50" s="138"/>
      <c r="BR50" s="135"/>
      <c r="BS50" s="139"/>
      <c r="BT50" s="123" t="s">
        <v>1418</v>
      </c>
      <c r="BU50" s="122" t="s">
        <v>1418</v>
      </c>
      <c r="BV50" s="135">
        <v>789</v>
      </c>
      <c r="BW50" s="139">
        <v>174.49</v>
      </c>
      <c r="BX50" s="127" t="s">
        <v>1457</v>
      </c>
      <c r="BY50" s="127" t="s">
        <v>1457</v>
      </c>
      <c r="BZ50" s="135">
        <v>549</v>
      </c>
      <c r="CA50" s="139">
        <v>196.31</v>
      </c>
      <c r="CB50" s="127" t="s">
        <v>1420</v>
      </c>
      <c r="CC50" s="127" t="s">
        <v>1420</v>
      </c>
      <c r="CD50" s="135">
        <v>694</v>
      </c>
      <c r="CE50" s="139">
        <v>207.57</v>
      </c>
      <c r="CF50" s="127"/>
      <c r="CG50" s="127"/>
      <c r="CH50" s="135"/>
      <c r="CI50" s="139"/>
      <c r="CJ50" s="127"/>
      <c r="CK50" s="127"/>
      <c r="CL50" s="135"/>
      <c r="CM50" s="139"/>
      <c r="CN50" s="127"/>
      <c r="CO50" s="127"/>
      <c r="CP50" s="135"/>
      <c r="CQ50" s="139"/>
      <c r="CR50" s="127"/>
      <c r="CS50" s="127"/>
      <c r="CT50" s="135"/>
      <c r="CU50" s="139"/>
      <c r="CV50" s="127" t="s">
        <v>1349</v>
      </c>
      <c r="CW50" s="127" t="s">
        <v>1349</v>
      </c>
      <c r="CX50" s="135">
        <v>1243</v>
      </c>
      <c r="CY50" s="139">
        <v>403.97</v>
      </c>
      <c r="CZ50" s="127" t="s">
        <v>1349</v>
      </c>
      <c r="DA50" s="127" t="s">
        <v>1349</v>
      </c>
      <c r="DB50" s="135">
        <v>1243</v>
      </c>
      <c r="DC50" s="139">
        <v>403.97</v>
      </c>
      <c r="DD50" s="127" t="s">
        <v>1421</v>
      </c>
      <c r="DE50" s="127" t="s">
        <v>1421</v>
      </c>
      <c r="DF50" s="135">
        <v>466</v>
      </c>
      <c r="DG50" s="139">
        <v>152.66999999999999</v>
      </c>
      <c r="DH50" s="127" t="s">
        <v>1421</v>
      </c>
      <c r="DI50" s="127" t="s">
        <v>1421</v>
      </c>
      <c r="DJ50" s="135">
        <v>466</v>
      </c>
      <c r="DK50" s="139">
        <v>152.66999999999999</v>
      </c>
      <c r="DL50" s="127" t="s">
        <v>1421</v>
      </c>
      <c r="DM50" s="127" t="s">
        <v>1421</v>
      </c>
      <c r="DN50" s="135">
        <v>466</v>
      </c>
      <c r="DO50" s="139">
        <v>152.66999999999999</v>
      </c>
      <c r="DP50" s="127"/>
      <c r="DQ50" s="127"/>
      <c r="DR50" s="135"/>
      <c r="DS50" s="139"/>
      <c r="DT50" s="127"/>
      <c r="DU50" s="127"/>
      <c r="DV50" s="135"/>
      <c r="DW50" s="139"/>
      <c r="DX50" s="127"/>
      <c r="DY50" s="127"/>
      <c r="DZ50" s="135"/>
      <c r="EA50" s="139"/>
    </row>
    <row r="51" spans="1:131" ht="76.5" x14ac:dyDescent="0.2">
      <c r="A51" s="130" t="s">
        <v>1522</v>
      </c>
      <c r="B51" s="131" t="s">
        <v>1523</v>
      </c>
      <c r="C51" s="131" t="s">
        <v>1407</v>
      </c>
      <c r="D51" s="131" t="s">
        <v>1427</v>
      </c>
      <c r="E51" s="171" t="s">
        <v>1500</v>
      </c>
      <c r="F51" s="133" t="s">
        <v>1524</v>
      </c>
      <c r="G51" s="133" t="s">
        <v>1525</v>
      </c>
      <c r="H51" s="37"/>
      <c r="I51" s="37"/>
      <c r="J51" s="37"/>
      <c r="K51" s="37"/>
      <c r="L51" s="159"/>
      <c r="M51" s="123"/>
      <c r="N51" s="135"/>
      <c r="O51" s="136"/>
      <c r="P51" s="123" t="s">
        <v>1412</v>
      </c>
      <c r="Q51" s="123" t="s">
        <v>1494</v>
      </c>
      <c r="R51" s="135">
        <v>4118</v>
      </c>
      <c r="S51" s="136">
        <v>827.71</v>
      </c>
      <c r="T51" s="123" t="s">
        <v>1413</v>
      </c>
      <c r="U51" s="123" t="s">
        <v>1413</v>
      </c>
      <c r="V51" s="135">
        <v>4253</v>
      </c>
      <c r="W51" s="136">
        <v>842.39</v>
      </c>
      <c r="X51" s="123"/>
      <c r="Y51" s="123"/>
      <c r="Z51" s="135"/>
      <c r="AA51" s="136"/>
      <c r="AB51" s="123" t="s">
        <v>1414</v>
      </c>
      <c r="AC51" s="123" t="s">
        <v>1414</v>
      </c>
      <c r="AD51" s="135">
        <v>3868</v>
      </c>
      <c r="AE51" s="136">
        <v>789.34</v>
      </c>
      <c r="AF51" s="123"/>
      <c r="AG51" s="123"/>
      <c r="AH51" s="135"/>
      <c r="AI51" s="136"/>
      <c r="AJ51" s="123" t="s">
        <v>1337</v>
      </c>
      <c r="AK51" s="123" t="s">
        <v>1337</v>
      </c>
      <c r="AL51" s="135">
        <v>3258</v>
      </c>
      <c r="AM51" s="136">
        <v>689.75</v>
      </c>
      <c r="AN51" s="123"/>
      <c r="AO51" s="123"/>
      <c r="AP51" s="135"/>
      <c r="AQ51" s="136"/>
      <c r="AR51" s="123"/>
      <c r="AS51" s="123"/>
      <c r="AT51" s="135"/>
      <c r="AU51" s="136"/>
      <c r="AV51" s="123" t="s">
        <v>1415</v>
      </c>
      <c r="AW51" s="123" t="s">
        <v>1415</v>
      </c>
      <c r="AX51" s="135">
        <v>3179</v>
      </c>
      <c r="AY51" s="136">
        <v>696.99</v>
      </c>
      <c r="AZ51" s="123"/>
      <c r="BA51" s="122"/>
      <c r="BB51" s="135"/>
      <c r="BC51" s="136"/>
      <c r="BD51" s="123" t="s">
        <v>1416</v>
      </c>
      <c r="BE51" s="123" t="s">
        <v>1416</v>
      </c>
      <c r="BF51" s="135">
        <v>2236</v>
      </c>
      <c r="BG51" s="136">
        <v>522.07000000000005</v>
      </c>
      <c r="BH51" s="123"/>
      <c r="BI51" s="122"/>
      <c r="BJ51" s="135"/>
      <c r="BK51" s="136"/>
      <c r="BL51" s="123" t="s">
        <v>1417</v>
      </c>
      <c r="BM51" s="122" t="s">
        <v>1417</v>
      </c>
      <c r="BN51" s="135">
        <v>2755</v>
      </c>
      <c r="BO51" s="136">
        <v>598.74</v>
      </c>
      <c r="BP51" s="137"/>
      <c r="BQ51" s="138"/>
      <c r="BR51" s="135"/>
      <c r="BS51" s="139"/>
      <c r="BT51" s="123" t="s">
        <v>1418</v>
      </c>
      <c r="BU51" s="122" t="s">
        <v>1418</v>
      </c>
      <c r="BV51" s="135">
        <v>3795</v>
      </c>
      <c r="BW51" s="139">
        <v>768.04</v>
      </c>
      <c r="BX51" s="127" t="s">
        <v>1457</v>
      </c>
      <c r="BY51" s="127" t="s">
        <v>1457</v>
      </c>
      <c r="BZ51" s="135">
        <v>4925</v>
      </c>
      <c r="CA51" s="139">
        <v>1003.57</v>
      </c>
      <c r="CB51" s="127" t="s">
        <v>1420</v>
      </c>
      <c r="CC51" s="127" t="s">
        <v>1420</v>
      </c>
      <c r="CD51" s="135">
        <v>4899</v>
      </c>
      <c r="CE51" s="139">
        <v>941.92</v>
      </c>
      <c r="CF51" s="127"/>
      <c r="CG51" s="127"/>
      <c r="CH51" s="135"/>
      <c r="CI51" s="139"/>
      <c r="CJ51" s="127"/>
      <c r="CK51" s="127"/>
      <c r="CL51" s="135"/>
      <c r="CM51" s="139"/>
      <c r="CN51" s="127"/>
      <c r="CO51" s="127"/>
      <c r="CP51" s="135"/>
      <c r="CQ51" s="139"/>
      <c r="CR51" s="127"/>
      <c r="CS51" s="127"/>
      <c r="CT51" s="135"/>
      <c r="CU51" s="139"/>
      <c r="CV51" s="127" t="s">
        <v>1349</v>
      </c>
      <c r="CW51" s="127" t="s">
        <v>1349</v>
      </c>
      <c r="CX51" s="135">
        <v>9824</v>
      </c>
      <c r="CY51" s="139">
        <v>1946.24</v>
      </c>
      <c r="CZ51" s="127" t="s">
        <v>1349</v>
      </c>
      <c r="DA51" s="127" t="s">
        <v>1349</v>
      </c>
      <c r="DB51" s="135">
        <v>9824</v>
      </c>
      <c r="DC51" s="139">
        <v>1946.24</v>
      </c>
      <c r="DD51" s="127" t="s">
        <v>1421</v>
      </c>
      <c r="DE51" s="127" t="s">
        <v>1421</v>
      </c>
      <c r="DF51" s="135">
        <v>3562</v>
      </c>
      <c r="DG51" s="139">
        <v>726.07</v>
      </c>
      <c r="DH51" s="127" t="s">
        <v>1421</v>
      </c>
      <c r="DI51" s="127" t="s">
        <v>1421</v>
      </c>
      <c r="DJ51" s="135">
        <v>3562</v>
      </c>
      <c r="DK51" s="139">
        <v>726.07</v>
      </c>
      <c r="DL51" s="127" t="s">
        <v>1421</v>
      </c>
      <c r="DM51" s="127" t="s">
        <v>1421</v>
      </c>
      <c r="DN51" s="135">
        <v>3562</v>
      </c>
      <c r="DO51" s="139">
        <v>726.07</v>
      </c>
      <c r="DP51" s="127"/>
      <c r="DQ51" s="127"/>
      <c r="DR51" s="135"/>
      <c r="DS51" s="139"/>
      <c r="DT51" s="127"/>
      <c r="DU51" s="127"/>
      <c r="DV51" s="135"/>
      <c r="DW51" s="139"/>
      <c r="DX51" s="127"/>
      <c r="DY51" s="127"/>
      <c r="DZ51" s="135"/>
      <c r="EA51" s="139"/>
    </row>
    <row r="52" spans="1:131" ht="89.25" x14ac:dyDescent="0.2">
      <c r="A52" s="130" t="s">
        <v>1526</v>
      </c>
      <c r="B52" s="131" t="s">
        <v>1527</v>
      </c>
      <c r="C52" s="131" t="s">
        <v>1407</v>
      </c>
      <c r="D52" s="131" t="s">
        <v>1427</v>
      </c>
      <c r="E52" s="171" t="s">
        <v>1500</v>
      </c>
      <c r="F52" s="133" t="s">
        <v>1528</v>
      </c>
      <c r="G52" s="133" t="s">
        <v>1529</v>
      </c>
      <c r="H52" s="37"/>
      <c r="I52" s="37"/>
      <c r="J52" s="37"/>
      <c r="K52" s="37"/>
      <c r="L52" s="159"/>
      <c r="M52" s="123"/>
      <c r="N52" s="135"/>
      <c r="O52" s="136"/>
      <c r="P52" s="123" t="s">
        <v>1412</v>
      </c>
      <c r="Q52" s="123" t="s">
        <v>1494</v>
      </c>
      <c r="R52" s="135">
        <v>4106</v>
      </c>
      <c r="S52" s="136">
        <v>828.18</v>
      </c>
      <c r="T52" s="123" t="s">
        <v>1413</v>
      </c>
      <c r="U52" s="123" t="s">
        <v>1413</v>
      </c>
      <c r="V52" s="135">
        <v>4113</v>
      </c>
      <c r="W52" s="136">
        <v>823.14</v>
      </c>
      <c r="X52" s="123"/>
      <c r="Y52" s="123"/>
      <c r="Z52" s="135"/>
      <c r="AA52" s="136"/>
      <c r="AB52" s="123" t="s">
        <v>1414</v>
      </c>
      <c r="AC52" s="123" t="s">
        <v>1414</v>
      </c>
      <c r="AD52" s="135">
        <v>3792</v>
      </c>
      <c r="AE52" s="136">
        <v>780</v>
      </c>
      <c r="AF52" s="123"/>
      <c r="AG52" s="123"/>
      <c r="AH52" s="135"/>
      <c r="AI52" s="136"/>
      <c r="AJ52" s="123" t="s">
        <v>1337</v>
      </c>
      <c r="AK52" s="123" t="s">
        <v>1337</v>
      </c>
      <c r="AL52" s="135">
        <v>3214</v>
      </c>
      <c r="AM52" s="136">
        <v>685.21</v>
      </c>
      <c r="AN52" s="123"/>
      <c r="AO52" s="123"/>
      <c r="AP52" s="135"/>
      <c r="AQ52" s="136"/>
      <c r="AR52" s="123"/>
      <c r="AS52" s="123"/>
      <c r="AT52" s="135"/>
      <c r="AU52" s="136"/>
      <c r="AV52" s="123" t="s">
        <v>1415</v>
      </c>
      <c r="AW52" s="123" t="s">
        <v>1415</v>
      </c>
      <c r="AX52" s="135">
        <v>3128</v>
      </c>
      <c r="AY52" s="136">
        <v>691.28</v>
      </c>
      <c r="AZ52" s="123"/>
      <c r="BA52" s="122"/>
      <c r="BB52" s="135"/>
      <c r="BC52" s="136"/>
      <c r="BD52" s="123" t="s">
        <v>1416</v>
      </c>
      <c r="BE52" s="123" t="s">
        <v>1416</v>
      </c>
      <c r="BF52" s="135">
        <v>2212</v>
      </c>
      <c r="BG52" s="136">
        <v>520.29</v>
      </c>
      <c r="BH52" s="123"/>
      <c r="BI52" s="122"/>
      <c r="BJ52" s="135"/>
      <c r="BK52" s="136"/>
      <c r="BL52" s="123" t="s">
        <v>1417</v>
      </c>
      <c r="BM52" s="122" t="s">
        <v>1417</v>
      </c>
      <c r="BN52" s="135">
        <v>2800</v>
      </c>
      <c r="BO52" s="136">
        <v>607.78</v>
      </c>
      <c r="BP52" s="137"/>
      <c r="BQ52" s="138"/>
      <c r="BR52" s="135"/>
      <c r="BS52" s="139"/>
      <c r="BT52" s="123" t="s">
        <v>1418</v>
      </c>
      <c r="BU52" s="122" t="s">
        <v>1418</v>
      </c>
      <c r="BV52" s="135">
        <v>3677</v>
      </c>
      <c r="BW52" s="139">
        <v>751.42</v>
      </c>
      <c r="BX52" s="127" t="s">
        <v>1457</v>
      </c>
      <c r="BY52" s="127" t="s">
        <v>1457</v>
      </c>
      <c r="BZ52" s="135">
        <v>5091</v>
      </c>
      <c r="CA52" s="139">
        <v>1030.72</v>
      </c>
      <c r="CB52" s="127" t="s">
        <v>1420</v>
      </c>
      <c r="CC52" s="127" t="s">
        <v>1420</v>
      </c>
      <c r="CD52" s="135">
        <v>4606</v>
      </c>
      <c r="CE52" s="139">
        <v>897.7</v>
      </c>
      <c r="CF52" s="127"/>
      <c r="CG52" s="127"/>
      <c r="CH52" s="135"/>
      <c r="CI52" s="139"/>
      <c r="CJ52" s="127"/>
      <c r="CK52" s="127"/>
      <c r="CL52" s="135"/>
      <c r="CM52" s="139"/>
      <c r="CN52" s="127"/>
      <c r="CO52" s="127"/>
      <c r="CP52" s="135"/>
      <c r="CQ52" s="139"/>
      <c r="CR52" s="127"/>
      <c r="CS52" s="127"/>
      <c r="CT52" s="135"/>
      <c r="CU52" s="139"/>
      <c r="CV52" s="127" t="s">
        <v>1349</v>
      </c>
      <c r="CW52" s="127" t="s">
        <v>1349</v>
      </c>
      <c r="CX52" s="135">
        <v>9697</v>
      </c>
      <c r="CY52" s="139">
        <v>1929.17</v>
      </c>
      <c r="CZ52" s="127" t="s">
        <v>1349</v>
      </c>
      <c r="DA52" s="127" t="s">
        <v>1349</v>
      </c>
      <c r="DB52" s="135">
        <v>9697</v>
      </c>
      <c r="DC52" s="139">
        <v>1929.17</v>
      </c>
      <c r="DD52" s="127" t="s">
        <v>1421</v>
      </c>
      <c r="DE52" s="127" t="s">
        <v>1421</v>
      </c>
      <c r="DF52" s="135">
        <v>4016</v>
      </c>
      <c r="DG52" s="139">
        <v>799.64</v>
      </c>
      <c r="DH52" s="127" t="s">
        <v>1421</v>
      </c>
      <c r="DI52" s="127" t="s">
        <v>1421</v>
      </c>
      <c r="DJ52" s="135">
        <v>4016</v>
      </c>
      <c r="DK52" s="139">
        <v>799.64</v>
      </c>
      <c r="DL52" s="127" t="s">
        <v>1421</v>
      </c>
      <c r="DM52" s="127" t="s">
        <v>1421</v>
      </c>
      <c r="DN52" s="135">
        <v>4016</v>
      </c>
      <c r="DO52" s="139">
        <v>799.64</v>
      </c>
      <c r="DP52" s="127"/>
      <c r="DQ52" s="127"/>
      <c r="DR52" s="135"/>
      <c r="DS52" s="139"/>
      <c r="DT52" s="127"/>
      <c r="DU52" s="127"/>
      <c r="DV52" s="135"/>
      <c r="DW52" s="139"/>
      <c r="DX52" s="127"/>
      <c r="DY52" s="127"/>
      <c r="DZ52" s="135"/>
      <c r="EA52" s="139"/>
    </row>
    <row r="53" spans="1:131" ht="76.5" x14ac:dyDescent="0.2">
      <c r="A53" s="130" t="s">
        <v>1530</v>
      </c>
      <c r="B53" s="179" t="s">
        <v>1531</v>
      </c>
      <c r="C53" s="131" t="s">
        <v>1407</v>
      </c>
      <c r="D53" s="131" t="s">
        <v>1427</v>
      </c>
      <c r="E53" s="171" t="s">
        <v>1500</v>
      </c>
      <c r="F53" s="133" t="s">
        <v>1532</v>
      </c>
      <c r="G53" s="133" t="s">
        <v>1533</v>
      </c>
      <c r="H53" s="37"/>
      <c r="I53" s="37"/>
      <c r="J53" s="37"/>
      <c r="K53" s="37"/>
      <c r="L53" s="159"/>
      <c r="M53" s="123"/>
      <c r="N53" s="135"/>
      <c r="O53" s="136"/>
      <c r="P53" s="123" t="s">
        <v>1412</v>
      </c>
      <c r="Q53" s="123" t="s">
        <v>1494</v>
      </c>
      <c r="R53" s="135">
        <v>1250</v>
      </c>
      <c r="S53" s="136">
        <v>263.69</v>
      </c>
      <c r="T53" s="123" t="s">
        <v>1413</v>
      </c>
      <c r="U53" s="123" t="s">
        <v>1413</v>
      </c>
      <c r="V53" s="135">
        <v>1198</v>
      </c>
      <c r="W53" s="136">
        <v>253.69</v>
      </c>
      <c r="X53" s="123"/>
      <c r="Y53" s="123"/>
      <c r="Z53" s="135"/>
      <c r="AA53" s="136"/>
      <c r="AB53" s="123" t="s">
        <v>1414</v>
      </c>
      <c r="AC53" s="123" t="s">
        <v>1414</v>
      </c>
      <c r="AD53" s="135">
        <v>1079</v>
      </c>
      <c r="AE53" s="136">
        <v>237.48</v>
      </c>
      <c r="AF53" s="123"/>
      <c r="AG53" s="123"/>
      <c r="AH53" s="135"/>
      <c r="AI53" s="136"/>
      <c r="AJ53" s="123" t="s">
        <v>1337</v>
      </c>
      <c r="AK53" s="123" t="s">
        <v>1337</v>
      </c>
      <c r="AL53" s="135">
        <v>1054</v>
      </c>
      <c r="AM53" s="136">
        <v>231.61</v>
      </c>
      <c r="AN53" s="123"/>
      <c r="AO53" s="123"/>
      <c r="AP53" s="135"/>
      <c r="AQ53" s="136"/>
      <c r="AR53" s="123"/>
      <c r="AS53" s="123"/>
      <c r="AT53" s="135"/>
      <c r="AU53" s="136"/>
      <c r="AV53" s="123" t="s">
        <v>1415</v>
      </c>
      <c r="AW53" s="123" t="s">
        <v>1415</v>
      </c>
      <c r="AX53" s="135">
        <v>1032</v>
      </c>
      <c r="AY53" s="136">
        <v>234.44</v>
      </c>
      <c r="AZ53" s="123"/>
      <c r="BA53" s="122"/>
      <c r="BB53" s="135"/>
      <c r="BC53" s="136"/>
      <c r="BD53" s="123" t="s">
        <v>1416</v>
      </c>
      <c r="BE53" s="123" t="s">
        <v>1416</v>
      </c>
      <c r="BF53" s="135">
        <v>1042</v>
      </c>
      <c r="BG53" s="136">
        <v>226.81</v>
      </c>
      <c r="BH53" s="123"/>
      <c r="BI53" s="122"/>
      <c r="BJ53" s="135"/>
      <c r="BK53" s="136"/>
      <c r="BL53" s="123" t="s">
        <v>1417</v>
      </c>
      <c r="BM53" s="122" t="s">
        <v>1417</v>
      </c>
      <c r="BN53" s="135">
        <v>1137</v>
      </c>
      <c r="BO53" s="136">
        <v>240.05</v>
      </c>
      <c r="BP53" s="137"/>
      <c r="BQ53" s="138"/>
      <c r="BR53" s="135"/>
      <c r="BS53" s="139"/>
      <c r="BT53" s="123" t="s">
        <v>1418</v>
      </c>
      <c r="BU53" s="122" t="s">
        <v>1418</v>
      </c>
      <c r="BV53" s="135">
        <v>1174</v>
      </c>
      <c r="BW53" s="139">
        <v>247.63</v>
      </c>
      <c r="BX53" s="127" t="s">
        <v>1534</v>
      </c>
      <c r="BY53" s="127" t="s">
        <v>1534</v>
      </c>
      <c r="BZ53" s="135">
        <v>141</v>
      </c>
      <c r="CA53" s="139">
        <v>78.2</v>
      </c>
      <c r="CB53" s="127" t="s">
        <v>1420</v>
      </c>
      <c r="CC53" s="127" t="s">
        <v>1420</v>
      </c>
      <c r="CD53" s="135">
        <v>1305</v>
      </c>
      <c r="CE53" s="139">
        <v>268.01</v>
      </c>
      <c r="CF53" s="127"/>
      <c r="CG53" s="122"/>
      <c r="CH53" s="135"/>
      <c r="CI53" s="139"/>
      <c r="CJ53" s="127"/>
      <c r="CK53" s="122"/>
      <c r="CL53" s="135"/>
      <c r="CM53" s="139"/>
      <c r="CN53" s="127"/>
      <c r="CO53" s="122"/>
      <c r="CP53" s="135"/>
      <c r="CQ53" s="139"/>
      <c r="CR53" s="127"/>
      <c r="CS53" s="122"/>
      <c r="CT53" s="135"/>
      <c r="CU53" s="139"/>
      <c r="CV53" s="127" t="s">
        <v>1535</v>
      </c>
      <c r="CW53" s="127" t="s">
        <v>1535</v>
      </c>
      <c r="CX53" s="135">
        <v>1446</v>
      </c>
      <c r="CY53" s="139">
        <v>346.34</v>
      </c>
      <c r="CZ53" s="127" t="s">
        <v>1535</v>
      </c>
      <c r="DA53" s="127" t="s">
        <v>1535</v>
      </c>
      <c r="DB53" s="135">
        <v>1446</v>
      </c>
      <c r="DC53" s="139">
        <v>346.34</v>
      </c>
      <c r="DD53" s="127" t="s">
        <v>1421</v>
      </c>
      <c r="DE53" s="127" t="s">
        <v>1421</v>
      </c>
      <c r="DF53" s="135">
        <v>1333</v>
      </c>
      <c r="DG53" s="139">
        <v>270.95999999999998</v>
      </c>
      <c r="DH53" s="127" t="s">
        <v>1421</v>
      </c>
      <c r="DI53" s="127" t="s">
        <v>1421</v>
      </c>
      <c r="DJ53" s="135">
        <v>1333</v>
      </c>
      <c r="DK53" s="139">
        <v>270.95999999999998</v>
      </c>
      <c r="DL53" s="127" t="s">
        <v>1421</v>
      </c>
      <c r="DM53" s="127" t="s">
        <v>1421</v>
      </c>
      <c r="DN53" s="135">
        <v>1333</v>
      </c>
      <c r="DO53" s="139">
        <v>270.95999999999998</v>
      </c>
      <c r="DP53" s="127"/>
      <c r="DQ53" s="127"/>
      <c r="DR53" s="135"/>
      <c r="DS53" s="139"/>
      <c r="DT53" s="127"/>
      <c r="DU53" s="127"/>
      <c r="DV53" s="135"/>
      <c r="DW53" s="139"/>
      <c r="DX53" s="127"/>
      <c r="DY53" s="127"/>
      <c r="DZ53" s="135"/>
      <c r="EA53" s="139"/>
    </row>
    <row r="54" spans="1:131" ht="76.5" x14ac:dyDescent="0.2">
      <c r="A54" s="130" t="s">
        <v>1536</v>
      </c>
      <c r="B54" s="131" t="s">
        <v>1537</v>
      </c>
      <c r="C54" s="131" t="s">
        <v>1407</v>
      </c>
      <c r="D54" s="131" t="s">
        <v>1427</v>
      </c>
      <c r="E54" s="171" t="s">
        <v>1500</v>
      </c>
      <c r="F54" s="133" t="s">
        <v>1538</v>
      </c>
      <c r="G54" s="133" t="s">
        <v>1539</v>
      </c>
      <c r="H54" s="37"/>
      <c r="I54" s="37"/>
      <c r="J54" s="37"/>
      <c r="K54" s="37"/>
      <c r="L54" s="159"/>
      <c r="M54" s="123"/>
      <c r="N54" s="135"/>
      <c r="O54" s="136"/>
      <c r="P54" s="123" t="s">
        <v>1412</v>
      </c>
      <c r="Q54" s="123" t="s">
        <v>1494</v>
      </c>
      <c r="R54" s="135">
        <v>1391</v>
      </c>
      <c r="S54" s="136">
        <v>328.31</v>
      </c>
      <c r="T54" s="123" t="s">
        <v>1413</v>
      </c>
      <c r="U54" s="123" t="s">
        <v>1413</v>
      </c>
      <c r="V54" s="135">
        <v>1082</v>
      </c>
      <c r="W54" s="136">
        <v>277.51</v>
      </c>
      <c r="X54" s="123"/>
      <c r="Y54" s="123"/>
      <c r="Z54" s="135"/>
      <c r="AA54" s="136"/>
      <c r="AB54" s="123" t="s">
        <v>1414</v>
      </c>
      <c r="AC54" s="123" t="s">
        <v>1414</v>
      </c>
      <c r="AD54" s="135">
        <v>1305</v>
      </c>
      <c r="AE54" s="136">
        <v>315.08</v>
      </c>
      <c r="AF54" s="123"/>
      <c r="AG54" s="123"/>
      <c r="AH54" s="135"/>
      <c r="AI54" s="136"/>
      <c r="AJ54" s="123" t="s">
        <v>1337</v>
      </c>
      <c r="AK54" s="123" t="s">
        <v>1337</v>
      </c>
      <c r="AL54" s="135">
        <v>1073</v>
      </c>
      <c r="AM54" s="136">
        <v>276.12</v>
      </c>
      <c r="AN54" s="123"/>
      <c r="AO54" s="123"/>
      <c r="AP54" s="135"/>
      <c r="AQ54" s="136"/>
      <c r="AR54" s="123"/>
      <c r="AS54" s="123"/>
      <c r="AT54" s="135"/>
      <c r="AU54" s="136"/>
      <c r="AV54" s="123" t="s">
        <v>1415</v>
      </c>
      <c r="AW54" s="123" t="s">
        <v>1415</v>
      </c>
      <c r="AX54" s="135">
        <v>1048</v>
      </c>
      <c r="AY54" s="136">
        <v>279.8</v>
      </c>
      <c r="AZ54" s="123"/>
      <c r="BA54" s="122"/>
      <c r="BB54" s="135"/>
      <c r="BC54" s="136"/>
      <c r="BD54" s="123" t="s">
        <v>1416</v>
      </c>
      <c r="BE54" s="123" t="s">
        <v>1416</v>
      </c>
      <c r="BF54" s="135">
        <v>706</v>
      </c>
      <c r="BG54" s="136">
        <v>210.76</v>
      </c>
      <c r="BH54" s="123"/>
      <c r="BI54" s="122"/>
      <c r="BJ54" s="135"/>
      <c r="BK54" s="136"/>
      <c r="BL54" s="123" t="s">
        <v>1417</v>
      </c>
      <c r="BM54" s="122" t="s">
        <v>1417</v>
      </c>
      <c r="BN54" s="135">
        <v>850</v>
      </c>
      <c r="BO54" s="136">
        <v>230.55</v>
      </c>
      <c r="BP54" s="137"/>
      <c r="BQ54" s="138"/>
      <c r="BR54" s="135"/>
      <c r="BS54" s="139"/>
      <c r="BT54" s="123" t="s">
        <v>1418</v>
      </c>
      <c r="BU54" s="122" t="s">
        <v>1418</v>
      </c>
      <c r="BV54" s="135">
        <v>1271</v>
      </c>
      <c r="BW54" s="139">
        <v>299.89</v>
      </c>
      <c r="BX54" s="127" t="s">
        <v>1457</v>
      </c>
      <c r="BY54" s="127" t="s">
        <v>1457</v>
      </c>
      <c r="BZ54" s="135">
        <v>1895</v>
      </c>
      <c r="CA54" s="139">
        <v>446.85</v>
      </c>
      <c r="CB54" s="127" t="s">
        <v>1420</v>
      </c>
      <c r="CC54" s="127" t="s">
        <v>1420</v>
      </c>
      <c r="CD54" s="135">
        <v>1756</v>
      </c>
      <c r="CE54" s="139">
        <v>376.13</v>
      </c>
      <c r="CF54" s="127"/>
      <c r="CG54" s="127"/>
      <c r="CH54" s="135"/>
      <c r="CI54" s="139"/>
      <c r="CJ54" s="127"/>
      <c r="CK54" s="127"/>
      <c r="CL54" s="135"/>
      <c r="CM54" s="139"/>
      <c r="CN54" s="127"/>
      <c r="CO54" s="127"/>
      <c r="CP54" s="135"/>
      <c r="CQ54" s="139"/>
      <c r="CR54" s="127"/>
      <c r="CS54" s="127"/>
      <c r="CT54" s="135"/>
      <c r="CU54" s="139"/>
      <c r="CV54" s="127" t="s">
        <v>1349</v>
      </c>
      <c r="CW54" s="127" t="s">
        <v>1349</v>
      </c>
      <c r="CX54" s="135">
        <v>3651</v>
      </c>
      <c r="CY54" s="139">
        <v>823.26</v>
      </c>
      <c r="CZ54" s="127" t="s">
        <v>1349</v>
      </c>
      <c r="DA54" s="127" t="s">
        <v>1349</v>
      </c>
      <c r="DB54" s="135">
        <v>3651</v>
      </c>
      <c r="DC54" s="139">
        <v>823.26</v>
      </c>
      <c r="DD54" s="127" t="s">
        <v>1421</v>
      </c>
      <c r="DE54" s="127" t="s">
        <v>1421</v>
      </c>
      <c r="DF54" s="135">
        <v>1274</v>
      </c>
      <c r="DG54" s="139">
        <v>297.43</v>
      </c>
      <c r="DH54" s="127" t="s">
        <v>1421</v>
      </c>
      <c r="DI54" s="127" t="s">
        <v>1421</v>
      </c>
      <c r="DJ54" s="135">
        <v>1274</v>
      </c>
      <c r="DK54" s="139">
        <v>297.43</v>
      </c>
      <c r="DL54" s="127" t="s">
        <v>1421</v>
      </c>
      <c r="DM54" s="127" t="s">
        <v>1421</v>
      </c>
      <c r="DN54" s="135">
        <v>1274</v>
      </c>
      <c r="DO54" s="139">
        <v>297.43</v>
      </c>
      <c r="DP54" s="127"/>
      <c r="DQ54" s="127"/>
      <c r="DR54" s="135"/>
      <c r="DS54" s="139"/>
      <c r="DT54" s="127"/>
      <c r="DU54" s="127"/>
      <c r="DV54" s="135"/>
      <c r="DW54" s="139"/>
      <c r="DX54" s="127"/>
      <c r="DY54" s="127"/>
      <c r="DZ54" s="135"/>
      <c r="EA54" s="139"/>
    </row>
    <row r="55" spans="1:131" ht="102" x14ac:dyDescent="0.2">
      <c r="A55" s="130" t="s">
        <v>1540</v>
      </c>
      <c r="B55" s="131" t="s">
        <v>1541</v>
      </c>
      <c r="C55" s="131" t="s">
        <v>1407</v>
      </c>
      <c r="D55" s="131" t="s">
        <v>1427</v>
      </c>
      <c r="E55" s="171" t="s">
        <v>1500</v>
      </c>
      <c r="F55" s="133" t="s">
        <v>1542</v>
      </c>
      <c r="G55" s="133" t="s">
        <v>1543</v>
      </c>
      <c r="H55" s="37"/>
      <c r="I55" s="37"/>
      <c r="J55" s="37"/>
      <c r="K55" s="37"/>
      <c r="L55" s="159"/>
      <c r="M55" s="123"/>
      <c r="N55" s="135"/>
      <c r="O55" s="136"/>
      <c r="P55" s="123" t="s">
        <v>1412</v>
      </c>
      <c r="Q55" s="123" t="s">
        <v>1494</v>
      </c>
      <c r="R55" s="135">
        <v>1185</v>
      </c>
      <c r="S55" s="136">
        <v>239.98</v>
      </c>
      <c r="T55" s="123" t="s">
        <v>1413</v>
      </c>
      <c r="U55" s="123" t="s">
        <v>1413</v>
      </c>
      <c r="V55" s="135">
        <v>882</v>
      </c>
      <c r="W55" s="136">
        <v>191.92</v>
      </c>
      <c r="X55" s="123"/>
      <c r="Y55" s="123"/>
      <c r="Z55" s="135"/>
      <c r="AA55" s="136"/>
      <c r="AB55" s="123" t="s">
        <v>1414</v>
      </c>
      <c r="AC55" s="123" t="s">
        <v>1414</v>
      </c>
      <c r="AD55" s="135">
        <v>1006</v>
      </c>
      <c r="AE55" s="136">
        <v>212.52</v>
      </c>
      <c r="AF55" s="123"/>
      <c r="AG55" s="123"/>
      <c r="AH55" s="135"/>
      <c r="AI55" s="136"/>
      <c r="AJ55" s="123" t="s">
        <v>1337</v>
      </c>
      <c r="AK55" s="123" t="s">
        <v>1337</v>
      </c>
      <c r="AL55" s="135">
        <v>819</v>
      </c>
      <c r="AM55" s="136">
        <v>182.26</v>
      </c>
      <c r="AN55" s="123"/>
      <c r="AO55" s="123"/>
      <c r="AP55" s="135"/>
      <c r="AQ55" s="136"/>
      <c r="AR55" s="123"/>
      <c r="AS55" s="123"/>
      <c r="AT55" s="135"/>
      <c r="AU55" s="136"/>
      <c r="AV55" s="123" t="s">
        <v>1415</v>
      </c>
      <c r="AW55" s="123" t="s">
        <v>1415</v>
      </c>
      <c r="AX55" s="135">
        <v>875</v>
      </c>
      <c r="AY55" s="136">
        <v>195.78</v>
      </c>
      <c r="AZ55" s="123"/>
      <c r="BA55" s="122"/>
      <c r="BB55" s="135"/>
      <c r="BC55" s="136"/>
      <c r="BD55" s="123" t="s">
        <v>1416</v>
      </c>
      <c r="BE55" s="123" t="s">
        <v>1416</v>
      </c>
      <c r="BF55" s="135">
        <v>566</v>
      </c>
      <c r="BG55" s="136">
        <v>139.74</v>
      </c>
      <c r="BH55" s="123"/>
      <c r="BI55" s="122"/>
      <c r="BJ55" s="135"/>
      <c r="BK55" s="136"/>
      <c r="BL55" s="123" t="s">
        <v>1417</v>
      </c>
      <c r="BM55" s="122" t="s">
        <v>1417</v>
      </c>
      <c r="BN55" s="135">
        <v>1127</v>
      </c>
      <c r="BO55" s="136">
        <v>226.86</v>
      </c>
      <c r="BP55" s="137"/>
      <c r="BQ55" s="138"/>
      <c r="BR55" s="135"/>
      <c r="BS55" s="139"/>
      <c r="BT55" s="123" t="s">
        <v>1418</v>
      </c>
      <c r="BU55" s="122" t="s">
        <v>1418</v>
      </c>
      <c r="BV55" s="135">
        <v>896</v>
      </c>
      <c r="BW55" s="139">
        <v>191.8</v>
      </c>
      <c r="BX55" s="127" t="s">
        <v>1457</v>
      </c>
      <c r="BY55" s="127" t="s">
        <v>1457</v>
      </c>
      <c r="BZ55" s="135">
        <v>1864</v>
      </c>
      <c r="CA55" s="139">
        <v>352.78</v>
      </c>
      <c r="CB55" s="127" t="s">
        <v>1420</v>
      </c>
      <c r="CC55" s="127" t="s">
        <v>1420</v>
      </c>
      <c r="CD55" s="135">
        <v>1121</v>
      </c>
      <c r="CE55" s="139">
        <v>227.01</v>
      </c>
      <c r="CF55" s="127"/>
      <c r="CG55" s="127"/>
      <c r="CH55" s="135"/>
      <c r="CI55" s="139"/>
      <c r="CJ55" s="127"/>
      <c r="CK55" s="127"/>
      <c r="CL55" s="135"/>
      <c r="CM55" s="139"/>
      <c r="CN55" s="127"/>
      <c r="CO55" s="127"/>
      <c r="CP55" s="135"/>
      <c r="CQ55" s="139"/>
      <c r="CR55" s="127"/>
      <c r="CS55" s="127"/>
      <c r="CT55" s="135"/>
      <c r="CU55" s="139"/>
      <c r="CV55" s="127" t="s">
        <v>1349</v>
      </c>
      <c r="CW55" s="127" t="s">
        <v>1349</v>
      </c>
      <c r="CX55" s="135">
        <v>2985</v>
      </c>
      <c r="CY55" s="139">
        <v>580.03</v>
      </c>
      <c r="CZ55" s="127" t="s">
        <v>1349</v>
      </c>
      <c r="DA55" s="127" t="s">
        <v>1349</v>
      </c>
      <c r="DB55" s="135">
        <v>2985</v>
      </c>
      <c r="DC55" s="139">
        <v>580.03</v>
      </c>
      <c r="DD55" s="127" t="s">
        <v>1421</v>
      </c>
      <c r="DE55" s="127" t="s">
        <v>1421</v>
      </c>
      <c r="DF55" s="135">
        <v>2208</v>
      </c>
      <c r="DG55" s="139">
        <v>397.42</v>
      </c>
      <c r="DH55" s="127" t="s">
        <v>1421</v>
      </c>
      <c r="DI55" s="127" t="s">
        <v>1421</v>
      </c>
      <c r="DJ55" s="135">
        <v>2208</v>
      </c>
      <c r="DK55" s="139">
        <v>397.42</v>
      </c>
      <c r="DL55" s="127" t="s">
        <v>1421</v>
      </c>
      <c r="DM55" s="127" t="s">
        <v>1421</v>
      </c>
      <c r="DN55" s="135">
        <v>2208</v>
      </c>
      <c r="DO55" s="139">
        <v>397.42</v>
      </c>
      <c r="DP55" s="127"/>
      <c r="DQ55" s="127"/>
      <c r="DR55" s="135"/>
      <c r="DS55" s="139"/>
      <c r="DT55" s="127"/>
      <c r="DU55" s="127"/>
      <c r="DV55" s="135"/>
      <c r="DW55" s="139"/>
      <c r="DX55" s="127"/>
      <c r="DY55" s="127"/>
      <c r="DZ55" s="135"/>
      <c r="EA55" s="139"/>
    </row>
    <row r="56" spans="1:131" ht="89.25" x14ac:dyDescent="0.2">
      <c r="A56" s="130" t="s">
        <v>1544</v>
      </c>
      <c r="B56" s="131" t="s">
        <v>1545</v>
      </c>
      <c r="C56" s="131" t="s">
        <v>1407</v>
      </c>
      <c r="D56" s="131" t="s">
        <v>1427</v>
      </c>
      <c r="E56" s="171" t="s">
        <v>1500</v>
      </c>
      <c r="F56" s="133" t="s">
        <v>1546</v>
      </c>
      <c r="G56" s="133" t="s">
        <v>1547</v>
      </c>
      <c r="H56" s="37"/>
      <c r="I56" s="37"/>
      <c r="J56" s="37"/>
      <c r="K56" s="37"/>
      <c r="L56" s="159"/>
      <c r="M56" s="123"/>
      <c r="N56" s="135"/>
      <c r="O56" s="136"/>
      <c r="P56" s="123" t="s">
        <v>1412</v>
      </c>
      <c r="Q56" s="123" t="s">
        <v>1494</v>
      </c>
      <c r="R56" s="135">
        <v>2645</v>
      </c>
      <c r="S56" s="136">
        <v>511.44</v>
      </c>
      <c r="T56" s="123" t="s">
        <v>1413</v>
      </c>
      <c r="U56" s="123" t="s">
        <v>1413</v>
      </c>
      <c r="V56" s="135">
        <v>2593</v>
      </c>
      <c r="W56" s="136">
        <v>500.33</v>
      </c>
      <c r="X56" s="123"/>
      <c r="Y56" s="123"/>
      <c r="Z56" s="135"/>
      <c r="AA56" s="136"/>
      <c r="AB56" s="123" t="s">
        <v>1414</v>
      </c>
      <c r="AC56" s="123" t="s">
        <v>1414</v>
      </c>
      <c r="AD56" s="135">
        <v>2474</v>
      </c>
      <c r="AE56" s="136">
        <v>485.2</v>
      </c>
      <c r="AF56" s="123"/>
      <c r="AG56" s="123"/>
      <c r="AH56" s="135"/>
      <c r="AI56" s="136"/>
      <c r="AJ56" s="123" t="s">
        <v>1337</v>
      </c>
      <c r="AK56" s="123" t="s">
        <v>1337</v>
      </c>
      <c r="AL56" s="135">
        <v>2053</v>
      </c>
      <c r="AM56" s="136">
        <v>417.48</v>
      </c>
      <c r="AN56" s="123"/>
      <c r="AO56" s="123"/>
      <c r="AP56" s="135"/>
      <c r="AQ56" s="136"/>
      <c r="AR56" s="123"/>
      <c r="AS56" s="123"/>
      <c r="AT56" s="135"/>
      <c r="AU56" s="136"/>
      <c r="AV56" s="123" t="s">
        <v>1415</v>
      </c>
      <c r="AW56" s="123" t="s">
        <v>1415</v>
      </c>
      <c r="AX56" s="135">
        <v>2010</v>
      </c>
      <c r="AY56" s="136">
        <v>422.3</v>
      </c>
      <c r="AZ56" s="123"/>
      <c r="BA56" s="122"/>
      <c r="BB56" s="135"/>
      <c r="BC56" s="136"/>
      <c r="BD56" s="123" t="s">
        <v>1416</v>
      </c>
      <c r="BE56" s="122" t="s">
        <v>1416</v>
      </c>
      <c r="BF56" s="135">
        <v>1423</v>
      </c>
      <c r="BG56" s="136">
        <v>315.89999999999998</v>
      </c>
      <c r="BH56" s="123"/>
      <c r="BI56" s="122"/>
      <c r="BJ56" s="135"/>
      <c r="BK56" s="136"/>
      <c r="BL56" s="123" t="s">
        <v>1417</v>
      </c>
      <c r="BM56" s="122" t="s">
        <v>1417</v>
      </c>
      <c r="BN56" s="135">
        <v>1798</v>
      </c>
      <c r="BO56" s="136">
        <v>372.38</v>
      </c>
      <c r="BP56" s="137"/>
      <c r="BQ56" s="138"/>
      <c r="BR56" s="135"/>
      <c r="BS56" s="139"/>
      <c r="BT56" s="123" t="s">
        <v>1418</v>
      </c>
      <c r="BU56" s="122" t="s">
        <v>1418</v>
      </c>
      <c r="BV56" s="135">
        <v>2371</v>
      </c>
      <c r="BW56" s="139">
        <v>465.45</v>
      </c>
      <c r="BX56" s="127" t="s">
        <v>1457</v>
      </c>
      <c r="BY56" s="127" t="s">
        <v>1457</v>
      </c>
      <c r="BZ56" s="135">
        <v>3304</v>
      </c>
      <c r="CA56" s="139">
        <v>631.51</v>
      </c>
      <c r="CB56" s="127" t="s">
        <v>1420</v>
      </c>
      <c r="CC56" s="127" t="s">
        <v>1420</v>
      </c>
      <c r="CD56" s="135">
        <v>2975</v>
      </c>
      <c r="CE56" s="139">
        <v>560.47</v>
      </c>
      <c r="CF56" s="127"/>
      <c r="CG56" s="127"/>
      <c r="CH56" s="135"/>
      <c r="CI56" s="139"/>
      <c r="CJ56" s="127"/>
      <c r="CK56" s="127"/>
      <c r="CL56" s="135"/>
      <c r="CM56" s="139"/>
      <c r="CN56" s="127"/>
      <c r="CO56" s="127"/>
      <c r="CP56" s="135"/>
      <c r="CQ56" s="139"/>
      <c r="CR56" s="127"/>
      <c r="CS56" s="127"/>
      <c r="CT56" s="135"/>
      <c r="CU56" s="139"/>
      <c r="CV56" s="127" t="s">
        <v>1349</v>
      </c>
      <c r="CW56" s="127" t="s">
        <v>1349</v>
      </c>
      <c r="CX56" s="135">
        <v>6279</v>
      </c>
      <c r="CY56" s="139">
        <v>1192.45</v>
      </c>
      <c r="CZ56" s="127" t="s">
        <v>1349</v>
      </c>
      <c r="DA56" s="127" t="s">
        <v>1349</v>
      </c>
      <c r="DB56" s="135">
        <v>6279</v>
      </c>
      <c r="DC56" s="139">
        <v>1192.45</v>
      </c>
      <c r="DD56" s="127" t="s">
        <v>1421</v>
      </c>
      <c r="DE56" s="127" t="s">
        <v>1421</v>
      </c>
      <c r="DF56" s="135">
        <v>2622</v>
      </c>
      <c r="DG56" s="139">
        <v>502.35</v>
      </c>
      <c r="DH56" s="127" t="s">
        <v>1421</v>
      </c>
      <c r="DI56" s="127" t="s">
        <v>1421</v>
      </c>
      <c r="DJ56" s="135">
        <v>2622</v>
      </c>
      <c r="DK56" s="139">
        <v>502.35</v>
      </c>
      <c r="DL56" s="127" t="s">
        <v>1421</v>
      </c>
      <c r="DM56" s="127" t="s">
        <v>1421</v>
      </c>
      <c r="DN56" s="135">
        <v>2622</v>
      </c>
      <c r="DO56" s="139">
        <v>502.35</v>
      </c>
      <c r="DP56" s="127"/>
      <c r="DQ56" s="127"/>
      <c r="DR56" s="135"/>
      <c r="DS56" s="139"/>
      <c r="DT56" s="127"/>
      <c r="DU56" s="127"/>
      <c r="DV56" s="135"/>
      <c r="DW56" s="139"/>
      <c r="DX56" s="127"/>
      <c r="DY56" s="127"/>
      <c r="DZ56" s="135"/>
      <c r="EA56" s="139"/>
    </row>
    <row r="57" spans="1:131" ht="76.5" x14ac:dyDescent="0.2">
      <c r="A57" s="130" t="s">
        <v>1548</v>
      </c>
      <c r="B57" s="179" t="s">
        <v>1549</v>
      </c>
      <c r="C57" s="131" t="s">
        <v>1407</v>
      </c>
      <c r="D57" s="131" t="s">
        <v>1427</v>
      </c>
      <c r="E57" s="171" t="s">
        <v>1500</v>
      </c>
      <c r="F57" s="133" t="s">
        <v>1550</v>
      </c>
      <c r="G57" s="133" t="s">
        <v>1551</v>
      </c>
      <c r="H57" s="37"/>
      <c r="I57" s="37"/>
      <c r="J57" s="37"/>
      <c r="K57" s="37"/>
      <c r="L57" s="159"/>
      <c r="M57" s="123"/>
      <c r="N57" s="135"/>
      <c r="O57" s="136"/>
      <c r="P57" s="123" t="s">
        <v>1412</v>
      </c>
      <c r="Q57" s="123" t="s">
        <v>1494</v>
      </c>
      <c r="R57" s="135">
        <v>2084</v>
      </c>
      <c r="S57" s="136">
        <v>406.84</v>
      </c>
      <c r="T57" s="123" t="s">
        <v>1413</v>
      </c>
      <c r="U57" s="123" t="s">
        <v>1413</v>
      </c>
      <c r="V57" s="135">
        <v>2159</v>
      </c>
      <c r="W57" s="136">
        <v>415.86</v>
      </c>
      <c r="X57" s="123"/>
      <c r="Y57" s="123"/>
      <c r="Z57" s="135"/>
      <c r="AA57" s="136"/>
      <c r="AB57" s="123" t="s">
        <v>1414</v>
      </c>
      <c r="AC57" s="123" t="s">
        <v>1414</v>
      </c>
      <c r="AD57" s="135">
        <v>1966</v>
      </c>
      <c r="AE57" s="136">
        <v>388.73</v>
      </c>
      <c r="AF57" s="123"/>
      <c r="AG57" s="123"/>
      <c r="AH57" s="135"/>
      <c r="AI57" s="136"/>
      <c r="AJ57" s="123" t="s">
        <v>1337</v>
      </c>
      <c r="AK57" s="123" t="s">
        <v>1337</v>
      </c>
      <c r="AL57" s="135">
        <v>1647</v>
      </c>
      <c r="AM57" s="136">
        <v>337.31</v>
      </c>
      <c r="AN57" s="123"/>
      <c r="AO57" s="123"/>
      <c r="AP57" s="135"/>
      <c r="AQ57" s="136"/>
      <c r="AR57" s="123"/>
      <c r="AS57" s="123"/>
      <c r="AT57" s="135"/>
      <c r="AU57" s="136"/>
      <c r="AV57" s="123" t="s">
        <v>1415</v>
      </c>
      <c r="AW57" s="123" t="s">
        <v>1415</v>
      </c>
      <c r="AX57" s="135">
        <v>1618</v>
      </c>
      <c r="AY57" s="136">
        <v>341.91</v>
      </c>
      <c r="AZ57" s="123"/>
      <c r="BA57" s="122"/>
      <c r="BB57" s="135"/>
      <c r="BC57" s="136"/>
      <c r="BD57" s="123" t="s">
        <v>1416</v>
      </c>
      <c r="BE57" s="123" t="s">
        <v>1416</v>
      </c>
      <c r="BF57" s="135">
        <v>1145</v>
      </c>
      <c r="BG57" s="136">
        <v>256.04000000000002</v>
      </c>
      <c r="BH57" s="123"/>
      <c r="BI57" s="122"/>
      <c r="BJ57" s="135"/>
      <c r="BK57" s="136"/>
      <c r="BL57" s="123" t="s">
        <v>1417</v>
      </c>
      <c r="BM57" s="122" t="s">
        <v>1417</v>
      </c>
      <c r="BN57" s="135">
        <v>1361</v>
      </c>
      <c r="BO57" s="136">
        <v>287.95999999999998</v>
      </c>
      <c r="BP57" s="137"/>
      <c r="BQ57" s="138"/>
      <c r="BR57" s="135"/>
      <c r="BS57" s="139"/>
      <c r="BT57" s="123" t="s">
        <v>1418</v>
      </c>
      <c r="BU57" s="122" t="s">
        <v>1418</v>
      </c>
      <c r="BV57" s="135">
        <v>1901</v>
      </c>
      <c r="BW57" s="139">
        <v>375.3</v>
      </c>
      <c r="BX57" s="127" t="s">
        <v>1457</v>
      </c>
      <c r="BY57" s="127" t="s">
        <v>1457</v>
      </c>
      <c r="BZ57" s="135">
        <v>2524</v>
      </c>
      <c r="CA57" s="139">
        <v>491.9</v>
      </c>
      <c r="CB57" s="127" t="s">
        <v>1420</v>
      </c>
      <c r="CC57" s="127" t="s">
        <v>1420</v>
      </c>
      <c r="CD57" s="135">
        <v>2420</v>
      </c>
      <c r="CE57" s="139">
        <v>456.91</v>
      </c>
      <c r="CF57" s="127"/>
      <c r="CG57" s="127"/>
      <c r="CH57" s="135"/>
      <c r="CI57" s="139"/>
      <c r="CJ57" s="127"/>
      <c r="CK57" s="127"/>
      <c r="CL57" s="135"/>
      <c r="CM57" s="139"/>
      <c r="CN57" s="127"/>
      <c r="CO57" s="127"/>
      <c r="CP57" s="135"/>
      <c r="CQ57" s="139"/>
      <c r="CR57" s="127"/>
      <c r="CS57" s="127"/>
      <c r="CT57" s="135"/>
      <c r="CU57" s="139"/>
      <c r="CV57" s="127" t="s">
        <v>1349</v>
      </c>
      <c r="CW57" s="127" t="s">
        <v>1349</v>
      </c>
      <c r="CX57" s="135">
        <v>4944</v>
      </c>
      <c r="CY57" s="139">
        <v>949.21</v>
      </c>
      <c r="CZ57" s="127" t="s">
        <v>1349</v>
      </c>
      <c r="DA57" s="127" t="s">
        <v>1349</v>
      </c>
      <c r="DB57" s="135">
        <v>4944</v>
      </c>
      <c r="DC57" s="139">
        <v>949.21</v>
      </c>
      <c r="DD57" s="127" t="s">
        <v>1421</v>
      </c>
      <c r="DE57" s="127" t="s">
        <v>1421</v>
      </c>
      <c r="DF57" s="135">
        <v>1827</v>
      </c>
      <c r="DG57" s="139">
        <v>361.47</v>
      </c>
      <c r="DH57" s="127" t="s">
        <v>1421</v>
      </c>
      <c r="DI57" s="127" t="s">
        <v>1421</v>
      </c>
      <c r="DJ57" s="135">
        <v>1827</v>
      </c>
      <c r="DK57" s="139">
        <v>361.47</v>
      </c>
      <c r="DL57" s="127" t="s">
        <v>1421</v>
      </c>
      <c r="DM57" s="127" t="s">
        <v>1421</v>
      </c>
      <c r="DN57" s="135">
        <v>1827</v>
      </c>
      <c r="DO57" s="139">
        <v>361.47</v>
      </c>
      <c r="DP57" s="127"/>
      <c r="DQ57" s="127"/>
      <c r="DR57" s="135"/>
      <c r="DS57" s="139"/>
      <c r="DT57" s="127"/>
      <c r="DU57" s="127"/>
      <c r="DV57" s="135"/>
      <c r="DW57" s="139"/>
      <c r="DX57" s="127"/>
      <c r="DY57" s="127"/>
      <c r="DZ57" s="135"/>
      <c r="EA57" s="139"/>
    </row>
    <row r="58" spans="1:131" ht="102" x14ac:dyDescent="0.2">
      <c r="A58" s="130" t="s">
        <v>1552</v>
      </c>
      <c r="B58" s="131" t="s">
        <v>1553</v>
      </c>
      <c r="C58" s="131" t="s">
        <v>1407</v>
      </c>
      <c r="D58" s="131" t="s">
        <v>1427</v>
      </c>
      <c r="E58" s="171" t="s">
        <v>1554</v>
      </c>
      <c r="F58" s="133" t="s">
        <v>1555</v>
      </c>
      <c r="G58" s="133" t="s">
        <v>1556</v>
      </c>
      <c r="H58" s="37"/>
      <c r="I58" s="37"/>
      <c r="J58" s="37"/>
      <c r="K58" s="37"/>
      <c r="L58" s="159"/>
      <c r="M58" s="123"/>
      <c r="N58" s="135"/>
      <c r="O58" s="136"/>
      <c r="P58" s="123" t="s">
        <v>1412</v>
      </c>
      <c r="Q58" s="123" t="s">
        <v>1494</v>
      </c>
      <c r="R58" s="135">
        <v>3776</v>
      </c>
      <c r="S58" s="136">
        <v>716.18</v>
      </c>
      <c r="T58" s="123" t="s">
        <v>1413</v>
      </c>
      <c r="U58" s="123" t="s">
        <v>1413</v>
      </c>
      <c r="V58" s="135">
        <v>3365</v>
      </c>
      <c r="W58" s="136">
        <v>649.02</v>
      </c>
      <c r="X58" s="123"/>
      <c r="Y58" s="123"/>
      <c r="Z58" s="135"/>
      <c r="AA58" s="136"/>
      <c r="AB58" s="123" t="s">
        <v>1414</v>
      </c>
      <c r="AC58" s="123" t="s">
        <v>1414</v>
      </c>
      <c r="AD58" s="135">
        <v>3571</v>
      </c>
      <c r="AE58" s="136">
        <v>684.73</v>
      </c>
      <c r="AF58" s="123"/>
      <c r="AG58" s="123"/>
      <c r="AH58" s="135"/>
      <c r="AI58" s="136"/>
      <c r="AJ58" s="123" t="s">
        <v>1337</v>
      </c>
      <c r="AK58" s="123" t="s">
        <v>1337</v>
      </c>
      <c r="AL58" s="135">
        <v>3011</v>
      </c>
      <c r="AM58" s="136">
        <v>594.71</v>
      </c>
      <c r="AN58" s="123"/>
      <c r="AO58" s="123"/>
      <c r="AP58" s="135"/>
      <c r="AQ58" s="136"/>
      <c r="AR58" s="123"/>
      <c r="AS58" s="123"/>
      <c r="AT58" s="135"/>
      <c r="AU58" s="136"/>
      <c r="AV58" s="123" t="s">
        <v>1415</v>
      </c>
      <c r="AW58" s="123" t="s">
        <v>1415</v>
      </c>
      <c r="AX58" s="135">
        <v>2951</v>
      </c>
      <c r="AY58" s="136">
        <v>602</v>
      </c>
      <c r="AZ58" s="123"/>
      <c r="BA58" s="122"/>
      <c r="BB58" s="135"/>
      <c r="BC58" s="136"/>
      <c r="BD58" s="123" t="s">
        <v>1416</v>
      </c>
      <c r="BE58" s="123" t="s">
        <v>1416</v>
      </c>
      <c r="BF58" s="135">
        <v>2086</v>
      </c>
      <c r="BG58" s="136">
        <v>447.49</v>
      </c>
      <c r="BH58" s="123"/>
      <c r="BI58" s="122"/>
      <c r="BJ58" s="135"/>
      <c r="BK58" s="136"/>
      <c r="BL58" s="123" t="s">
        <v>1417</v>
      </c>
      <c r="BM58" s="122" t="s">
        <v>1417</v>
      </c>
      <c r="BN58" s="135">
        <v>2602</v>
      </c>
      <c r="BO58" s="136">
        <v>525.32000000000005</v>
      </c>
      <c r="BP58" s="137"/>
      <c r="BQ58" s="138"/>
      <c r="BR58" s="135"/>
      <c r="BS58" s="139"/>
      <c r="BT58" s="123" t="s">
        <v>1418</v>
      </c>
      <c r="BU58" s="122" t="s">
        <v>1418</v>
      </c>
      <c r="BV58" s="135">
        <v>3448</v>
      </c>
      <c r="BW58" s="139">
        <v>662.35</v>
      </c>
      <c r="BX58" s="127" t="s">
        <v>1457</v>
      </c>
      <c r="BY58" s="127" t="s">
        <v>1457</v>
      </c>
      <c r="BZ58" s="135">
        <v>4697</v>
      </c>
      <c r="CA58" s="139">
        <v>877.97</v>
      </c>
      <c r="CB58" s="127" t="s">
        <v>1420</v>
      </c>
      <c r="CC58" s="127" t="s">
        <v>1420</v>
      </c>
      <c r="CD58" s="135">
        <v>4343</v>
      </c>
      <c r="CE58" s="139">
        <v>803.27</v>
      </c>
      <c r="CF58" s="127"/>
      <c r="CG58" s="127"/>
      <c r="CH58" s="135"/>
      <c r="CI58" s="139"/>
      <c r="CJ58" s="127"/>
      <c r="CK58" s="127"/>
      <c r="CL58" s="135"/>
      <c r="CM58" s="139"/>
      <c r="CN58" s="127"/>
      <c r="CO58" s="127"/>
      <c r="CP58" s="135"/>
      <c r="CQ58" s="139"/>
      <c r="CR58" s="127"/>
      <c r="CS58" s="127"/>
      <c r="CT58" s="135"/>
      <c r="CU58" s="139"/>
      <c r="CV58" s="127" t="s">
        <v>1349</v>
      </c>
      <c r="CW58" s="127" t="s">
        <v>1349</v>
      </c>
      <c r="CX58" s="135">
        <v>9040</v>
      </c>
      <c r="CY58" s="139">
        <v>1681.93</v>
      </c>
      <c r="CZ58" s="127" t="s">
        <v>1349</v>
      </c>
      <c r="DA58" s="127" t="s">
        <v>1349</v>
      </c>
      <c r="DB58" s="135">
        <v>9040</v>
      </c>
      <c r="DC58" s="139">
        <v>1681.93</v>
      </c>
      <c r="DD58" s="127" t="s">
        <v>1421</v>
      </c>
      <c r="DE58" s="127" t="s">
        <v>1421</v>
      </c>
      <c r="DF58" s="135">
        <v>3493</v>
      </c>
      <c r="DG58" s="139">
        <v>665.87</v>
      </c>
      <c r="DH58" s="127" t="s">
        <v>1421</v>
      </c>
      <c r="DI58" s="127" t="s">
        <v>1421</v>
      </c>
      <c r="DJ58" s="135">
        <v>3493</v>
      </c>
      <c r="DK58" s="139">
        <v>665.87</v>
      </c>
      <c r="DL58" s="127" t="s">
        <v>1421</v>
      </c>
      <c r="DM58" s="127" t="s">
        <v>1421</v>
      </c>
      <c r="DN58" s="135">
        <v>3493</v>
      </c>
      <c r="DO58" s="139">
        <v>665.87</v>
      </c>
      <c r="DP58" s="127"/>
      <c r="DQ58" s="127"/>
      <c r="DR58" s="135"/>
      <c r="DS58" s="139"/>
      <c r="DT58" s="127"/>
      <c r="DU58" s="127"/>
      <c r="DV58" s="135"/>
      <c r="DW58" s="139"/>
      <c r="DX58" s="127"/>
      <c r="DY58" s="127"/>
      <c r="DZ58" s="135"/>
      <c r="EA58" s="139"/>
    </row>
    <row r="59" spans="1:131" ht="102" x14ac:dyDescent="0.2">
      <c r="A59" s="130" t="s">
        <v>1557</v>
      </c>
      <c r="B59" s="131" t="s">
        <v>1558</v>
      </c>
      <c r="C59" s="131" t="s">
        <v>1407</v>
      </c>
      <c r="D59" s="131" t="s">
        <v>1427</v>
      </c>
      <c r="E59" s="171" t="s">
        <v>1500</v>
      </c>
      <c r="F59" s="133" t="s">
        <v>1559</v>
      </c>
      <c r="G59" s="133" t="s">
        <v>1560</v>
      </c>
      <c r="H59" s="37"/>
      <c r="I59" s="37"/>
      <c r="J59" s="37"/>
      <c r="K59" s="37"/>
      <c r="L59" s="159"/>
      <c r="M59" s="123"/>
      <c r="N59" s="135"/>
      <c r="O59" s="136"/>
      <c r="P59" s="123" t="s">
        <v>1412</v>
      </c>
      <c r="Q59" s="123" t="s">
        <v>1494</v>
      </c>
      <c r="R59" s="135">
        <v>1173</v>
      </c>
      <c r="S59" s="136">
        <v>232.36</v>
      </c>
      <c r="T59" s="123" t="s">
        <v>1413</v>
      </c>
      <c r="U59" s="123" t="s">
        <v>1413</v>
      </c>
      <c r="V59" s="135">
        <v>1201</v>
      </c>
      <c r="W59" s="136">
        <v>235.27</v>
      </c>
      <c r="X59" s="123"/>
      <c r="Y59" s="123"/>
      <c r="Z59" s="135"/>
      <c r="AA59" s="136"/>
      <c r="AB59" s="123" t="s">
        <v>1414</v>
      </c>
      <c r="AC59" s="123" t="s">
        <v>1414</v>
      </c>
      <c r="AD59" s="135">
        <v>1076</v>
      </c>
      <c r="AE59" s="136">
        <v>217.48</v>
      </c>
      <c r="AF59" s="123"/>
      <c r="AG59" s="123"/>
      <c r="AH59" s="135"/>
      <c r="AI59" s="136"/>
      <c r="AJ59" s="123" t="s">
        <v>1337</v>
      </c>
      <c r="AK59" s="123" t="s">
        <v>1337</v>
      </c>
      <c r="AL59" s="135">
        <v>925</v>
      </c>
      <c r="AM59" s="136">
        <v>192.9</v>
      </c>
      <c r="AN59" s="123" t="s">
        <v>1336</v>
      </c>
      <c r="AO59" s="123" t="s">
        <v>1337</v>
      </c>
      <c r="AP59" s="135">
        <v>3516</v>
      </c>
      <c r="AQ59" s="136">
        <v>935.29</v>
      </c>
      <c r="AR59" s="123"/>
      <c r="AS59" s="123"/>
      <c r="AT59" s="135"/>
      <c r="AU59" s="136"/>
      <c r="AV59" s="123" t="s">
        <v>1415</v>
      </c>
      <c r="AW59" s="123" t="s">
        <v>1415</v>
      </c>
      <c r="AX59" s="135">
        <v>909</v>
      </c>
      <c r="AY59" s="136">
        <v>195.35</v>
      </c>
      <c r="AZ59" s="123"/>
      <c r="BA59" s="122"/>
      <c r="BB59" s="135"/>
      <c r="BC59" s="136"/>
      <c r="BD59" s="123" t="s">
        <v>1416</v>
      </c>
      <c r="BE59" s="123" t="s">
        <v>1416</v>
      </c>
      <c r="BF59" s="135">
        <v>647</v>
      </c>
      <c r="BG59" s="136">
        <v>147.51</v>
      </c>
      <c r="BH59" s="123"/>
      <c r="BI59" s="122"/>
      <c r="BJ59" s="135"/>
      <c r="BK59" s="136"/>
      <c r="BL59" s="123" t="s">
        <v>1417</v>
      </c>
      <c r="BM59" s="122" t="s">
        <v>1417</v>
      </c>
      <c r="BN59" s="135">
        <v>767</v>
      </c>
      <c r="BO59" s="136">
        <v>165.24</v>
      </c>
      <c r="BP59" s="137"/>
      <c r="BQ59" s="138"/>
      <c r="BR59" s="135"/>
      <c r="BS59" s="139"/>
      <c r="BT59" s="123" t="s">
        <v>1418</v>
      </c>
      <c r="BU59" s="122" t="s">
        <v>1418</v>
      </c>
      <c r="BV59" s="135">
        <v>1073</v>
      </c>
      <c r="BW59" s="139">
        <v>214.74</v>
      </c>
      <c r="BX59" s="127" t="s">
        <v>1457</v>
      </c>
      <c r="BY59" s="127" t="s">
        <v>1457</v>
      </c>
      <c r="BZ59" s="135">
        <v>1422</v>
      </c>
      <c r="CA59" s="139">
        <v>281.10000000000002</v>
      </c>
      <c r="CB59" s="127" t="s">
        <v>1420</v>
      </c>
      <c r="CC59" s="127" t="s">
        <v>1420</v>
      </c>
      <c r="CD59" s="135">
        <v>1350</v>
      </c>
      <c r="CE59" s="139">
        <v>258.14</v>
      </c>
      <c r="CF59" s="127"/>
      <c r="CG59" s="127"/>
      <c r="CH59" s="135"/>
      <c r="CI59" s="139"/>
      <c r="CJ59" s="127"/>
      <c r="CK59" s="127"/>
      <c r="CL59" s="135"/>
      <c r="CM59" s="139"/>
      <c r="CN59" s="127"/>
      <c r="CO59" s="127"/>
      <c r="CP59" s="135"/>
      <c r="CQ59" s="139"/>
      <c r="CR59" s="127"/>
      <c r="CS59" s="127"/>
      <c r="CT59" s="135"/>
      <c r="CU59" s="139"/>
      <c r="CV59" s="127" t="s">
        <v>1349</v>
      </c>
      <c r="CW59" s="127" t="s">
        <v>1349</v>
      </c>
      <c r="CX59" s="135">
        <v>2772</v>
      </c>
      <c r="CY59" s="139">
        <v>539.44000000000005</v>
      </c>
      <c r="CZ59" s="127" t="s">
        <v>1349</v>
      </c>
      <c r="DA59" s="127" t="s">
        <v>1349</v>
      </c>
      <c r="DB59" s="135">
        <v>2772</v>
      </c>
      <c r="DC59" s="139">
        <v>539.44000000000005</v>
      </c>
      <c r="DD59" s="127" t="s">
        <v>1421</v>
      </c>
      <c r="DE59" s="127" t="s">
        <v>1421</v>
      </c>
      <c r="DF59" s="135">
        <v>1029</v>
      </c>
      <c r="DG59" s="139">
        <v>206.58</v>
      </c>
      <c r="DH59" s="127" t="s">
        <v>1421</v>
      </c>
      <c r="DI59" s="127" t="s">
        <v>1421</v>
      </c>
      <c r="DJ59" s="135">
        <v>1029</v>
      </c>
      <c r="DK59" s="139">
        <v>206.58</v>
      </c>
      <c r="DL59" s="127" t="s">
        <v>1421</v>
      </c>
      <c r="DM59" s="127" t="s">
        <v>1421</v>
      </c>
      <c r="DN59" s="135">
        <v>1029</v>
      </c>
      <c r="DO59" s="139">
        <v>206.58</v>
      </c>
      <c r="DP59" s="127"/>
      <c r="DQ59" s="127"/>
      <c r="DR59" s="135"/>
      <c r="DS59" s="139"/>
      <c r="DT59" s="127"/>
      <c r="DU59" s="127"/>
      <c r="DV59" s="135"/>
      <c r="DW59" s="139"/>
      <c r="DX59" s="127"/>
      <c r="DY59" s="127"/>
      <c r="DZ59" s="135"/>
      <c r="EA59" s="139"/>
    </row>
    <row r="60" spans="1:131" ht="76.5" x14ac:dyDescent="0.2">
      <c r="A60" s="130" t="s">
        <v>1561</v>
      </c>
      <c r="B60" s="131" t="s">
        <v>1562</v>
      </c>
      <c r="C60" s="131" t="s">
        <v>1407</v>
      </c>
      <c r="D60" s="131" t="s">
        <v>1427</v>
      </c>
      <c r="E60" s="171" t="s">
        <v>1500</v>
      </c>
      <c r="F60" s="133" t="s">
        <v>1563</v>
      </c>
      <c r="G60" s="133" t="s">
        <v>1564</v>
      </c>
      <c r="H60" s="37"/>
      <c r="I60" s="37"/>
      <c r="J60" s="37"/>
      <c r="K60" s="37"/>
      <c r="L60" s="159"/>
      <c r="M60" s="123"/>
      <c r="N60" s="135"/>
      <c r="O60" s="136"/>
      <c r="P60" s="123" t="s">
        <v>1412</v>
      </c>
      <c r="Q60" s="123" t="s">
        <v>1494</v>
      </c>
      <c r="R60" s="135">
        <v>379</v>
      </c>
      <c r="S60" s="136">
        <v>82.76</v>
      </c>
      <c r="T60" s="123" t="s">
        <v>1413</v>
      </c>
      <c r="U60" s="123" t="s">
        <v>1413</v>
      </c>
      <c r="V60" s="135">
        <v>385</v>
      </c>
      <c r="W60" s="136">
        <v>83.2</v>
      </c>
      <c r="X60" s="123"/>
      <c r="Y60" s="123"/>
      <c r="Z60" s="135"/>
      <c r="AA60" s="136"/>
      <c r="AB60" s="123" t="s">
        <v>1414</v>
      </c>
      <c r="AC60" s="123" t="s">
        <v>1414</v>
      </c>
      <c r="AD60" s="135">
        <v>342</v>
      </c>
      <c r="AE60" s="136">
        <v>77.08</v>
      </c>
      <c r="AF60" s="123"/>
      <c r="AG60" s="123"/>
      <c r="AH60" s="135"/>
      <c r="AI60" s="136"/>
      <c r="AJ60" s="123" t="s">
        <v>1337</v>
      </c>
      <c r="AK60" s="123" t="s">
        <v>1337</v>
      </c>
      <c r="AL60" s="135">
        <v>287</v>
      </c>
      <c r="AM60" s="136">
        <v>68.150000000000006</v>
      </c>
      <c r="AN60" s="123"/>
      <c r="AO60" s="123"/>
      <c r="AP60" s="135"/>
      <c r="AQ60" s="136"/>
      <c r="AR60" s="123"/>
      <c r="AS60" s="123"/>
      <c r="AT60" s="135"/>
      <c r="AU60" s="136"/>
      <c r="AV60" s="123" t="s">
        <v>1415</v>
      </c>
      <c r="AW60" s="123" t="s">
        <v>1415</v>
      </c>
      <c r="AX60" s="135">
        <v>285</v>
      </c>
      <c r="AY60" s="136">
        <v>69.12</v>
      </c>
      <c r="AZ60" s="123"/>
      <c r="BA60" s="122"/>
      <c r="BB60" s="135"/>
      <c r="BC60" s="136"/>
      <c r="BD60" s="123" t="s">
        <v>1416</v>
      </c>
      <c r="BE60" s="123" t="s">
        <v>1416</v>
      </c>
      <c r="BF60" s="135">
        <v>195</v>
      </c>
      <c r="BG60" s="136">
        <v>52.23</v>
      </c>
      <c r="BH60" s="123"/>
      <c r="BI60" s="122"/>
      <c r="BJ60" s="135"/>
      <c r="BK60" s="136"/>
      <c r="BL60" s="123" t="s">
        <v>1417</v>
      </c>
      <c r="BM60" s="122" t="s">
        <v>1417</v>
      </c>
      <c r="BN60" s="135">
        <v>215</v>
      </c>
      <c r="BO60" s="136">
        <v>54.97</v>
      </c>
      <c r="BP60" s="137"/>
      <c r="BQ60" s="138"/>
      <c r="BR60" s="135"/>
      <c r="BS60" s="139"/>
      <c r="BT60" s="123" t="s">
        <v>1418</v>
      </c>
      <c r="BU60" s="122" t="s">
        <v>1418</v>
      </c>
      <c r="BV60" s="135">
        <v>352</v>
      </c>
      <c r="BW60" s="139">
        <v>76.98</v>
      </c>
      <c r="BX60" s="127" t="s">
        <v>1457</v>
      </c>
      <c r="BY60" s="127" t="s">
        <v>1457</v>
      </c>
      <c r="BZ60" s="135">
        <v>474</v>
      </c>
      <c r="CA60" s="139">
        <v>103.08</v>
      </c>
      <c r="CB60" s="127" t="s">
        <v>1420</v>
      </c>
      <c r="CC60" s="127" t="s">
        <v>1420</v>
      </c>
      <c r="CD60" s="135">
        <v>444</v>
      </c>
      <c r="CE60" s="139">
        <v>91.22</v>
      </c>
      <c r="CF60" s="127"/>
      <c r="CG60" s="127"/>
      <c r="CH60" s="135"/>
      <c r="CI60" s="139"/>
      <c r="CJ60" s="127"/>
      <c r="CK60" s="127"/>
      <c r="CL60" s="135"/>
      <c r="CM60" s="139"/>
      <c r="CN60" s="127"/>
      <c r="CO60" s="127"/>
      <c r="CP60" s="135"/>
      <c r="CQ60" s="139"/>
      <c r="CR60" s="127"/>
      <c r="CS60" s="127"/>
      <c r="CT60" s="135"/>
      <c r="CU60" s="139"/>
      <c r="CV60" s="127" t="s">
        <v>1349</v>
      </c>
      <c r="CW60" s="127" t="s">
        <v>1349</v>
      </c>
      <c r="CX60" s="135">
        <v>918</v>
      </c>
      <c r="CY60" s="139">
        <v>194.38</v>
      </c>
      <c r="CZ60" s="127" t="s">
        <v>1349</v>
      </c>
      <c r="DA60" s="127" t="s">
        <v>1349</v>
      </c>
      <c r="DB60" s="135">
        <v>918</v>
      </c>
      <c r="DC60" s="139">
        <v>194.38</v>
      </c>
      <c r="DD60" s="127" t="s">
        <v>1421</v>
      </c>
      <c r="DE60" s="127" t="s">
        <v>1421</v>
      </c>
      <c r="DF60" s="135">
        <v>365</v>
      </c>
      <c r="DG60" s="139">
        <v>78.62</v>
      </c>
      <c r="DH60" s="127" t="s">
        <v>1421</v>
      </c>
      <c r="DI60" s="127" t="s">
        <v>1421</v>
      </c>
      <c r="DJ60" s="135">
        <v>365</v>
      </c>
      <c r="DK60" s="139">
        <v>78.62</v>
      </c>
      <c r="DL60" s="127" t="s">
        <v>1421</v>
      </c>
      <c r="DM60" s="127" t="s">
        <v>1421</v>
      </c>
      <c r="DN60" s="135">
        <v>365</v>
      </c>
      <c r="DO60" s="139">
        <v>78.62</v>
      </c>
      <c r="DP60" s="127"/>
      <c r="DQ60" s="127"/>
      <c r="DR60" s="135"/>
      <c r="DS60" s="139"/>
      <c r="DT60" s="127"/>
      <c r="DU60" s="127"/>
      <c r="DV60" s="135"/>
      <c r="DW60" s="139"/>
      <c r="DX60" s="127"/>
      <c r="DY60" s="127"/>
      <c r="DZ60" s="135"/>
      <c r="EA60" s="139"/>
    </row>
    <row r="61" spans="1:131" ht="114.75" x14ac:dyDescent="0.2">
      <c r="A61" s="130">
        <v>114</v>
      </c>
      <c r="B61" s="131" t="s">
        <v>1565</v>
      </c>
      <c r="C61" s="131" t="s">
        <v>1407</v>
      </c>
      <c r="D61" s="131" t="s">
        <v>1427</v>
      </c>
      <c r="E61" s="171" t="s">
        <v>1500</v>
      </c>
      <c r="F61" s="133" t="s">
        <v>1566</v>
      </c>
      <c r="G61" s="133" t="s">
        <v>1567</v>
      </c>
      <c r="H61" s="37"/>
      <c r="I61" s="37"/>
      <c r="J61" s="37"/>
      <c r="K61" s="37"/>
      <c r="L61" s="159"/>
      <c r="M61" s="123"/>
      <c r="N61" s="135"/>
      <c r="O61" s="136"/>
      <c r="P61" s="123" t="s">
        <v>1412</v>
      </c>
      <c r="Q61" s="123" t="s">
        <v>1494</v>
      </c>
      <c r="R61" s="135">
        <v>1471</v>
      </c>
      <c r="S61" s="136">
        <v>285</v>
      </c>
      <c r="T61" s="123" t="s">
        <v>1413</v>
      </c>
      <c r="U61" s="123" t="s">
        <v>1413</v>
      </c>
      <c r="V61" s="135">
        <v>1602</v>
      </c>
      <c r="W61" s="136">
        <v>303.5</v>
      </c>
      <c r="X61" s="123"/>
      <c r="Y61" s="123"/>
      <c r="Z61" s="135"/>
      <c r="AA61" s="136"/>
      <c r="AB61" s="123" t="s">
        <v>1414</v>
      </c>
      <c r="AC61" s="123" t="s">
        <v>1414</v>
      </c>
      <c r="AD61" s="135">
        <v>1423</v>
      </c>
      <c r="AE61" s="136">
        <v>277.64</v>
      </c>
      <c r="AF61" s="123"/>
      <c r="AG61" s="123"/>
      <c r="AH61" s="135"/>
      <c r="AI61" s="136"/>
      <c r="AJ61" s="123" t="s">
        <v>1337</v>
      </c>
      <c r="AK61" s="123" t="s">
        <v>1337</v>
      </c>
      <c r="AL61" s="135">
        <v>1204</v>
      </c>
      <c r="AM61" s="136">
        <v>242.44</v>
      </c>
      <c r="AN61" s="123"/>
      <c r="AO61" s="123"/>
      <c r="AP61" s="135"/>
      <c r="AQ61" s="136"/>
      <c r="AR61" s="123"/>
      <c r="AS61" s="123"/>
      <c r="AT61" s="135"/>
      <c r="AU61" s="136"/>
      <c r="AV61" s="123" t="s">
        <v>1415</v>
      </c>
      <c r="AW61" s="123" t="s">
        <v>1415</v>
      </c>
      <c r="AX61" s="135">
        <v>1162</v>
      </c>
      <c r="AY61" s="136">
        <v>242.21</v>
      </c>
      <c r="AZ61" s="123"/>
      <c r="BA61" s="122"/>
      <c r="BB61" s="135"/>
      <c r="BC61" s="136"/>
      <c r="BD61" s="123" t="s">
        <v>1416</v>
      </c>
      <c r="BE61" s="123" t="s">
        <v>1416</v>
      </c>
      <c r="BF61" s="135">
        <v>851</v>
      </c>
      <c r="BG61" s="136">
        <v>185.69</v>
      </c>
      <c r="BH61" s="123"/>
      <c r="BI61" s="122"/>
      <c r="BJ61" s="135"/>
      <c r="BK61" s="136"/>
      <c r="BL61" s="123" t="s">
        <v>1417</v>
      </c>
      <c r="BM61" s="122" t="s">
        <v>1417</v>
      </c>
      <c r="BN61" s="135">
        <v>1498</v>
      </c>
      <c r="BO61" s="136">
        <v>286.38</v>
      </c>
      <c r="BP61" s="137"/>
      <c r="BQ61" s="138"/>
      <c r="BR61" s="135"/>
      <c r="BS61" s="139"/>
      <c r="BT61" s="123" t="s">
        <v>1418</v>
      </c>
      <c r="BU61" s="122" t="s">
        <v>1418</v>
      </c>
      <c r="BV61" s="135">
        <v>919</v>
      </c>
      <c r="BW61" s="139">
        <v>196.41</v>
      </c>
      <c r="BX61" s="127" t="s">
        <v>1457</v>
      </c>
      <c r="BY61" s="127" t="s">
        <v>1457</v>
      </c>
      <c r="BZ61" s="135">
        <v>1797</v>
      </c>
      <c r="CA61" s="139">
        <v>345.16</v>
      </c>
      <c r="CB61" s="127" t="s">
        <v>1420</v>
      </c>
      <c r="CC61" s="127" t="s">
        <v>1420</v>
      </c>
      <c r="CD61" s="135">
        <v>1148</v>
      </c>
      <c r="CE61" s="139">
        <v>232.27</v>
      </c>
      <c r="CF61" s="127"/>
      <c r="CG61" s="127"/>
      <c r="CH61" s="135"/>
      <c r="CI61" s="139"/>
      <c r="CJ61" s="127"/>
      <c r="CK61" s="127"/>
      <c r="CL61" s="135"/>
      <c r="CM61" s="139"/>
      <c r="CN61" s="127"/>
      <c r="CO61" s="127"/>
      <c r="CP61" s="135"/>
      <c r="CQ61" s="139"/>
      <c r="CR61" s="127"/>
      <c r="CS61" s="127"/>
      <c r="CT61" s="135"/>
      <c r="CU61" s="139"/>
      <c r="CV61" s="127" t="s">
        <v>1349</v>
      </c>
      <c r="CW61" s="127" t="s">
        <v>1349</v>
      </c>
      <c r="CX61" s="135">
        <v>2945</v>
      </c>
      <c r="CY61" s="139">
        <v>577.64</v>
      </c>
      <c r="CZ61" s="127" t="s">
        <v>1349</v>
      </c>
      <c r="DA61" s="127" t="s">
        <v>1349</v>
      </c>
      <c r="DB61" s="135">
        <v>2945</v>
      </c>
      <c r="DC61" s="139">
        <v>577.64</v>
      </c>
      <c r="DD61" s="127" t="s">
        <v>1421</v>
      </c>
      <c r="DE61" s="127" t="s">
        <v>1421</v>
      </c>
      <c r="DF61" s="135">
        <v>2010</v>
      </c>
      <c r="DG61" s="139">
        <v>367.15</v>
      </c>
      <c r="DH61" s="127" t="s">
        <v>1421</v>
      </c>
      <c r="DI61" s="127" t="s">
        <v>1421</v>
      </c>
      <c r="DJ61" s="135">
        <v>2010</v>
      </c>
      <c r="DK61" s="139">
        <v>367.15</v>
      </c>
      <c r="DL61" s="127" t="s">
        <v>1421</v>
      </c>
      <c r="DM61" s="127" t="s">
        <v>1421</v>
      </c>
      <c r="DN61" s="135">
        <v>2010</v>
      </c>
      <c r="DO61" s="139">
        <v>367.15</v>
      </c>
      <c r="DP61" s="127"/>
      <c r="DQ61" s="127"/>
      <c r="DR61" s="135"/>
      <c r="DS61" s="139"/>
      <c r="DT61" s="127"/>
      <c r="DU61" s="127"/>
      <c r="DV61" s="135"/>
      <c r="DW61" s="139"/>
      <c r="DX61" s="127"/>
      <c r="DY61" s="127"/>
      <c r="DZ61" s="135"/>
      <c r="EA61" s="139"/>
    </row>
    <row r="62" spans="1:131" ht="89.25" x14ac:dyDescent="0.2">
      <c r="A62" s="130" t="s">
        <v>1435</v>
      </c>
      <c r="B62" s="131" t="s">
        <v>1568</v>
      </c>
      <c r="C62" s="131" t="s">
        <v>1407</v>
      </c>
      <c r="D62" s="131" t="s">
        <v>1427</v>
      </c>
      <c r="E62" s="171" t="s">
        <v>1500</v>
      </c>
      <c r="F62" s="133" t="s">
        <v>1569</v>
      </c>
      <c r="G62" s="133" t="s">
        <v>1570</v>
      </c>
      <c r="H62" s="37"/>
      <c r="I62" s="37"/>
      <c r="J62" s="37"/>
      <c r="K62" s="37"/>
      <c r="L62" s="159"/>
      <c r="M62" s="123"/>
      <c r="N62" s="135"/>
      <c r="O62" s="136"/>
      <c r="P62" s="123" t="s">
        <v>1412</v>
      </c>
      <c r="Q62" s="123" t="s">
        <v>1494</v>
      </c>
      <c r="R62" s="135">
        <v>2772</v>
      </c>
      <c r="S62" s="136">
        <v>536.70000000000005</v>
      </c>
      <c r="T62" s="123" t="s">
        <v>1413</v>
      </c>
      <c r="U62" s="123" t="s">
        <v>1413</v>
      </c>
      <c r="V62" s="135">
        <v>2921</v>
      </c>
      <c r="W62" s="136">
        <v>556.26</v>
      </c>
      <c r="X62" s="123"/>
      <c r="Y62" s="123"/>
      <c r="Z62" s="135"/>
      <c r="AA62" s="136"/>
      <c r="AB62" s="123" t="s">
        <v>1414</v>
      </c>
      <c r="AC62" s="123" t="s">
        <v>1414</v>
      </c>
      <c r="AD62" s="135">
        <v>2612</v>
      </c>
      <c r="AE62" s="136">
        <v>512.16</v>
      </c>
      <c r="AF62" s="123"/>
      <c r="AG62" s="123"/>
      <c r="AH62" s="135"/>
      <c r="AI62" s="136"/>
      <c r="AJ62" s="123" t="s">
        <v>1337</v>
      </c>
      <c r="AK62" s="123" t="s">
        <v>1337</v>
      </c>
      <c r="AL62" s="135">
        <v>2204</v>
      </c>
      <c r="AM62" s="136">
        <v>446.27</v>
      </c>
      <c r="AN62" s="123"/>
      <c r="AO62" s="123"/>
      <c r="AP62" s="135"/>
      <c r="AQ62" s="136"/>
      <c r="AR62" s="123"/>
      <c r="AS62" s="123"/>
      <c r="AT62" s="135"/>
      <c r="AU62" s="136"/>
      <c r="AV62" s="123" t="s">
        <v>1415</v>
      </c>
      <c r="AW62" s="123" t="s">
        <v>1415</v>
      </c>
      <c r="AX62" s="135">
        <v>2155</v>
      </c>
      <c r="AY62" s="136">
        <v>450.96</v>
      </c>
      <c r="AZ62" s="123"/>
      <c r="BA62" s="122"/>
      <c r="BB62" s="135"/>
      <c r="BC62" s="136"/>
      <c r="BD62" s="123" t="s">
        <v>1416</v>
      </c>
      <c r="BE62" s="123" t="s">
        <v>1416</v>
      </c>
      <c r="BF62" s="135">
        <v>1533</v>
      </c>
      <c r="BG62" s="136">
        <v>338.24</v>
      </c>
      <c r="BH62" s="123"/>
      <c r="BI62" s="122"/>
      <c r="BJ62" s="135"/>
      <c r="BK62" s="136"/>
      <c r="BL62" s="123" t="s">
        <v>1417</v>
      </c>
      <c r="BM62" s="122" t="s">
        <v>1417</v>
      </c>
      <c r="BN62" s="135">
        <v>1969</v>
      </c>
      <c r="BO62" s="136">
        <v>404.2</v>
      </c>
      <c r="BP62" s="137"/>
      <c r="BQ62" s="138"/>
      <c r="BR62" s="135"/>
      <c r="BS62" s="139"/>
      <c r="BT62" s="123" t="s">
        <v>1418</v>
      </c>
      <c r="BU62" s="122" t="s">
        <v>1418</v>
      </c>
      <c r="BV62" s="135">
        <v>2445</v>
      </c>
      <c r="BW62" s="139">
        <v>482.12</v>
      </c>
      <c r="BX62" s="127" t="s">
        <v>1457</v>
      </c>
      <c r="BY62" s="127" t="s">
        <v>1457</v>
      </c>
      <c r="BZ62" s="135">
        <v>3306</v>
      </c>
      <c r="CA62" s="139">
        <v>640.96</v>
      </c>
      <c r="CB62" s="127" t="s">
        <v>1420</v>
      </c>
      <c r="CC62" s="127" t="s">
        <v>1420</v>
      </c>
      <c r="CD62" s="135">
        <v>3069</v>
      </c>
      <c r="CE62" s="139">
        <v>580.29</v>
      </c>
      <c r="CF62" s="127"/>
      <c r="CG62" s="127"/>
      <c r="CH62" s="135"/>
      <c r="CI62" s="139"/>
      <c r="CJ62" s="127"/>
      <c r="CK62" s="127"/>
      <c r="CL62" s="135"/>
      <c r="CM62" s="139"/>
      <c r="CN62" s="127"/>
      <c r="CO62" s="127"/>
      <c r="CP62" s="135"/>
      <c r="CQ62" s="139"/>
      <c r="CR62" s="127"/>
      <c r="CS62" s="127"/>
      <c r="CT62" s="135"/>
      <c r="CU62" s="139"/>
      <c r="CV62" s="127" t="s">
        <v>1349</v>
      </c>
      <c r="CW62" s="127" t="s">
        <v>1349</v>
      </c>
      <c r="CX62" s="135">
        <v>6375</v>
      </c>
      <c r="CY62" s="139">
        <v>1221.74</v>
      </c>
      <c r="CZ62" s="127" t="s">
        <v>1349</v>
      </c>
      <c r="DA62" s="127" t="s">
        <v>1349</v>
      </c>
      <c r="DB62" s="135">
        <v>6375</v>
      </c>
      <c r="DC62" s="139">
        <v>1221.74</v>
      </c>
      <c r="DD62" s="127" t="s">
        <v>1421</v>
      </c>
      <c r="DE62" s="127" t="s">
        <v>1421</v>
      </c>
      <c r="DF62" s="135">
        <v>2708</v>
      </c>
      <c r="DG62" s="139">
        <v>520.78</v>
      </c>
      <c r="DH62" s="127" t="s">
        <v>1421</v>
      </c>
      <c r="DI62" s="127" t="s">
        <v>1421</v>
      </c>
      <c r="DJ62" s="135">
        <v>2708</v>
      </c>
      <c r="DK62" s="139">
        <v>520.78</v>
      </c>
      <c r="DL62" s="127" t="s">
        <v>1421</v>
      </c>
      <c r="DM62" s="127" t="s">
        <v>1421</v>
      </c>
      <c r="DN62" s="135">
        <v>2708</v>
      </c>
      <c r="DO62" s="139">
        <v>520.78</v>
      </c>
      <c r="DP62" s="127"/>
      <c r="DQ62" s="127"/>
      <c r="DR62" s="135"/>
      <c r="DS62" s="139"/>
      <c r="DT62" s="127"/>
      <c r="DU62" s="127"/>
      <c r="DV62" s="135"/>
      <c r="DW62" s="139"/>
      <c r="DX62" s="127"/>
      <c r="DY62" s="127"/>
      <c r="DZ62" s="135"/>
      <c r="EA62" s="139"/>
    </row>
    <row r="63" spans="1:131" ht="89.25" x14ac:dyDescent="0.2">
      <c r="A63" s="130" t="s">
        <v>1571</v>
      </c>
      <c r="B63" s="131" t="s">
        <v>1572</v>
      </c>
      <c r="C63" s="131" t="s">
        <v>1407</v>
      </c>
      <c r="D63" s="131" t="s">
        <v>1427</v>
      </c>
      <c r="E63" s="171" t="s">
        <v>1500</v>
      </c>
      <c r="F63" s="133" t="s">
        <v>1573</v>
      </c>
      <c r="G63" s="133" t="s">
        <v>1574</v>
      </c>
      <c r="H63" s="37"/>
      <c r="I63" s="37"/>
      <c r="J63" s="37"/>
      <c r="K63" s="37"/>
      <c r="L63" s="159"/>
      <c r="M63" s="123"/>
      <c r="N63" s="135"/>
      <c r="O63" s="136"/>
      <c r="P63" s="123" t="s">
        <v>1412</v>
      </c>
      <c r="Q63" s="123" t="s">
        <v>1494</v>
      </c>
      <c r="R63" s="135">
        <v>1212</v>
      </c>
      <c r="S63" s="136">
        <v>241.81</v>
      </c>
      <c r="T63" s="123" t="s">
        <v>1413</v>
      </c>
      <c r="U63" s="123" t="s">
        <v>1413</v>
      </c>
      <c r="V63" s="135">
        <v>1306</v>
      </c>
      <c r="W63" s="136">
        <v>254.72</v>
      </c>
      <c r="X63" s="123"/>
      <c r="Y63" s="123"/>
      <c r="Z63" s="135"/>
      <c r="AA63" s="136"/>
      <c r="AB63" s="123" t="s">
        <v>1414</v>
      </c>
      <c r="AC63" s="123" t="s">
        <v>1414</v>
      </c>
      <c r="AD63" s="135">
        <v>1164</v>
      </c>
      <c r="AE63" s="136">
        <v>234.44</v>
      </c>
      <c r="AF63" s="123"/>
      <c r="AG63" s="123"/>
      <c r="AH63" s="135"/>
      <c r="AI63" s="136"/>
      <c r="AJ63" s="123" t="s">
        <v>1337</v>
      </c>
      <c r="AK63" s="123" t="s">
        <v>1337</v>
      </c>
      <c r="AL63" s="135">
        <v>981</v>
      </c>
      <c r="AM63" s="136">
        <v>204.88</v>
      </c>
      <c r="AN63" s="123"/>
      <c r="AO63" s="123"/>
      <c r="AP63" s="135"/>
      <c r="AQ63" s="136"/>
      <c r="AR63" s="123"/>
      <c r="AS63" s="123"/>
      <c r="AT63" s="135"/>
      <c r="AU63" s="136"/>
      <c r="AV63" s="123" t="s">
        <v>1415</v>
      </c>
      <c r="AW63" s="123" t="s">
        <v>1415</v>
      </c>
      <c r="AX63" s="135">
        <v>951</v>
      </c>
      <c r="AY63" s="136">
        <v>205.46</v>
      </c>
      <c r="AZ63" s="123"/>
      <c r="BA63" s="122"/>
      <c r="BB63" s="135"/>
      <c r="BC63" s="136"/>
      <c r="BD63" s="123" t="s">
        <v>1416</v>
      </c>
      <c r="BE63" s="123" t="s">
        <v>1416</v>
      </c>
      <c r="BF63" s="135">
        <v>690</v>
      </c>
      <c r="BG63" s="136">
        <v>157.30000000000001</v>
      </c>
      <c r="BH63" s="123"/>
      <c r="BI63" s="122"/>
      <c r="BJ63" s="135"/>
      <c r="BK63" s="136"/>
      <c r="BL63" s="123" t="s">
        <v>1417</v>
      </c>
      <c r="BM63" s="122" t="s">
        <v>1417</v>
      </c>
      <c r="BN63" s="135">
        <v>901</v>
      </c>
      <c r="BO63" s="136">
        <v>189.27</v>
      </c>
      <c r="BP63" s="137"/>
      <c r="BQ63" s="138"/>
      <c r="BR63" s="135"/>
      <c r="BS63" s="139"/>
      <c r="BT63" s="123" t="s">
        <v>1418</v>
      </c>
      <c r="BU63" s="122" t="s">
        <v>1418</v>
      </c>
      <c r="BV63" s="135">
        <v>1051</v>
      </c>
      <c r="BW63" s="139">
        <v>214.24</v>
      </c>
      <c r="BX63" s="127" t="s">
        <v>1457</v>
      </c>
      <c r="BY63" s="127" t="s">
        <v>1457</v>
      </c>
      <c r="BZ63" s="135">
        <v>1382</v>
      </c>
      <c r="CA63" s="139">
        <v>281.08999999999997</v>
      </c>
      <c r="CB63" s="127" t="s">
        <v>1420</v>
      </c>
      <c r="CC63" s="127" t="s">
        <v>1420</v>
      </c>
      <c r="CD63" s="135">
        <v>1349</v>
      </c>
      <c r="CE63" s="139">
        <v>260.98</v>
      </c>
      <c r="CF63" s="127"/>
      <c r="CG63" s="127"/>
      <c r="CH63" s="135"/>
      <c r="CI63" s="139"/>
      <c r="CJ63" s="127"/>
      <c r="CK63" s="127"/>
      <c r="CL63" s="135"/>
      <c r="CM63" s="139"/>
      <c r="CN63" s="127"/>
      <c r="CO63" s="127"/>
      <c r="CP63" s="135"/>
      <c r="CQ63" s="139"/>
      <c r="CR63" s="127"/>
      <c r="CS63" s="127"/>
      <c r="CT63" s="135"/>
      <c r="CU63" s="139"/>
      <c r="CV63" s="127" t="s">
        <v>1349</v>
      </c>
      <c r="CW63" s="127" t="s">
        <v>1349</v>
      </c>
      <c r="CX63" s="135">
        <v>2732</v>
      </c>
      <c r="CY63" s="139">
        <v>542.28</v>
      </c>
      <c r="CZ63" s="127" t="s">
        <v>1349</v>
      </c>
      <c r="DA63" s="127" t="s">
        <v>1349</v>
      </c>
      <c r="DB63" s="135">
        <v>2732</v>
      </c>
      <c r="DC63" s="139">
        <v>542.28</v>
      </c>
      <c r="DD63" s="127" t="s">
        <v>1421</v>
      </c>
      <c r="DE63" s="127" t="s">
        <v>1421</v>
      </c>
      <c r="DF63" s="135">
        <v>1192</v>
      </c>
      <c r="DG63" s="139">
        <v>235.18</v>
      </c>
      <c r="DH63" s="127" t="s">
        <v>1421</v>
      </c>
      <c r="DI63" s="127" t="s">
        <v>1421</v>
      </c>
      <c r="DJ63" s="135">
        <v>1192</v>
      </c>
      <c r="DK63" s="139">
        <v>235.18</v>
      </c>
      <c r="DL63" s="127" t="s">
        <v>1421</v>
      </c>
      <c r="DM63" s="127" t="s">
        <v>1421</v>
      </c>
      <c r="DN63" s="135">
        <v>1192</v>
      </c>
      <c r="DO63" s="139">
        <v>235.18</v>
      </c>
      <c r="DP63" s="127"/>
      <c r="DQ63" s="127"/>
      <c r="DR63" s="135"/>
      <c r="DS63" s="139"/>
      <c r="DT63" s="127"/>
      <c r="DU63" s="127"/>
      <c r="DV63" s="135"/>
      <c r="DW63" s="139"/>
      <c r="DX63" s="127"/>
      <c r="DY63" s="127"/>
      <c r="DZ63" s="135"/>
      <c r="EA63" s="139"/>
    </row>
    <row r="64" spans="1:131" ht="76.5" x14ac:dyDescent="0.2">
      <c r="A64" s="130" t="s">
        <v>1575</v>
      </c>
      <c r="B64" s="131" t="s">
        <v>1576</v>
      </c>
      <c r="C64" s="131" t="s">
        <v>1407</v>
      </c>
      <c r="D64" s="131" t="s">
        <v>1427</v>
      </c>
      <c r="E64" s="171" t="s">
        <v>1500</v>
      </c>
      <c r="F64" s="133" t="s">
        <v>1577</v>
      </c>
      <c r="G64" s="133" t="s">
        <v>1578</v>
      </c>
      <c r="H64" s="37"/>
      <c r="I64" s="37"/>
      <c r="J64" s="37"/>
      <c r="K64" s="37"/>
      <c r="L64" s="159"/>
      <c r="M64" s="123"/>
      <c r="N64" s="135"/>
      <c r="O64" s="136"/>
      <c r="P64" s="123" t="s">
        <v>1412</v>
      </c>
      <c r="Q64" s="123" t="s">
        <v>1494</v>
      </c>
      <c r="R64" s="135">
        <v>1160</v>
      </c>
      <c r="S64" s="136">
        <v>219.95</v>
      </c>
      <c r="T64" s="123" t="s">
        <v>1413</v>
      </c>
      <c r="U64" s="123" t="s">
        <v>1413</v>
      </c>
      <c r="V64" s="135">
        <v>1270</v>
      </c>
      <c r="W64" s="136">
        <v>235.78</v>
      </c>
      <c r="X64" s="123"/>
      <c r="Y64" s="123"/>
      <c r="Z64" s="135"/>
      <c r="AA64" s="136"/>
      <c r="AB64" s="123" t="s">
        <v>1414</v>
      </c>
      <c r="AC64" s="123" t="s">
        <v>1414</v>
      </c>
      <c r="AD64" s="135">
        <v>1134</v>
      </c>
      <c r="AE64" s="136">
        <v>215.96</v>
      </c>
      <c r="AF64" s="123"/>
      <c r="AG64" s="123"/>
      <c r="AH64" s="135"/>
      <c r="AI64" s="136"/>
      <c r="AJ64" s="123" t="s">
        <v>1337</v>
      </c>
      <c r="AK64" s="123" t="s">
        <v>1337</v>
      </c>
      <c r="AL64" s="135">
        <v>958</v>
      </c>
      <c r="AM64" s="136">
        <v>187.91</v>
      </c>
      <c r="AN64" s="123"/>
      <c r="AO64" s="123"/>
      <c r="AP64" s="135"/>
      <c r="AQ64" s="136"/>
      <c r="AR64" s="123"/>
      <c r="AS64" s="123"/>
      <c r="AT64" s="135"/>
      <c r="AU64" s="136"/>
      <c r="AV64" s="123" t="s">
        <v>1415</v>
      </c>
      <c r="AW64" s="123" t="s">
        <v>1415</v>
      </c>
      <c r="AX64" s="135">
        <v>920</v>
      </c>
      <c r="AY64" s="136">
        <v>186.66</v>
      </c>
      <c r="AZ64" s="123"/>
      <c r="BA64" s="122"/>
      <c r="BB64" s="135"/>
      <c r="BC64" s="136"/>
      <c r="BD64" s="123" t="s">
        <v>1416</v>
      </c>
      <c r="BE64" s="123" t="s">
        <v>1416</v>
      </c>
      <c r="BF64" s="135">
        <v>679</v>
      </c>
      <c r="BG64" s="136">
        <v>143.57</v>
      </c>
      <c r="BH64" s="123"/>
      <c r="BI64" s="122"/>
      <c r="BJ64" s="135"/>
      <c r="BK64" s="136"/>
      <c r="BL64" s="123" t="s">
        <v>1417</v>
      </c>
      <c r="BM64" s="122" t="s">
        <v>1417</v>
      </c>
      <c r="BN64" s="135">
        <v>1322</v>
      </c>
      <c r="BO64" s="136">
        <v>244.08</v>
      </c>
      <c r="BP64" s="137"/>
      <c r="BQ64" s="138"/>
      <c r="BR64" s="135"/>
      <c r="BS64" s="139"/>
      <c r="BT64" s="123" t="s">
        <v>1418</v>
      </c>
      <c r="BU64" s="122" t="s">
        <v>1418</v>
      </c>
      <c r="BV64" s="135">
        <v>598</v>
      </c>
      <c r="BW64" s="139">
        <v>130.79</v>
      </c>
      <c r="BX64" s="127" t="s">
        <v>1457</v>
      </c>
      <c r="BY64" s="127" t="s">
        <v>1457</v>
      </c>
      <c r="BZ64" s="135">
        <v>1379</v>
      </c>
      <c r="CA64" s="139">
        <v>258.55</v>
      </c>
      <c r="CB64" s="127" t="s">
        <v>1420</v>
      </c>
      <c r="CC64" s="127" t="s">
        <v>1420</v>
      </c>
      <c r="CD64" s="135">
        <v>748</v>
      </c>
      <c r="CE64" s="139">
        <v>154.19</v>
      </c>
      <c r="CF64" s="127"/>
      <c r="CG64" s="127"/>
      <c r="CH64" s="135"/>
      <c r="CI64" s="139"/>
      <c r="CJ64" s="127"/>
      <c r="CK64" s="127"/>
      <c r="CL64" s="135"/>
      <c r="CM64" s="139"/>
      <c r="CN64" s="127"/>
      <c r="CO64" s="127"/>
      <c r="CP64" s="135"/>
      <c r="CQ64" s="139"/>
      <c r="CR64" s="127"/>
      <c r="CS64" s="127"/>
      <c r="CT64" s="135"/>
      <c r="CU64" s="139"/>
      <c r="CV64" s="127" t="s">
        <v>1349</v>
      </c>
      <c r="CW64" s="127" t="s">
        <v>1349</v>
      </c>
      <c r="CX64" s="135">
        <v>2127</v>
      </c>
      <c r="CY64" s="139">
        <v>412.91</v>
      </c>
      <c r="CZ64" s="127" t="s">
        <v>1349</v>
      </c>
      <c r="DA64" s="127" t="s">
        <v>1349</v>
      </c>
      <c r="DB64" s="135">
        <v>2127</v>
      </c>
      <c r="DC64" s="139">
        <v>412.91</v>
      </c>
      <c r="DD64" s="127" t="s">
        <v>1421</v>
      </c>
      <c r="DE64" s="127" t="s">
        <v>1421</v>
      </c>
      <c r="DF64" s="135">
        <v>1704</v>
      </c>
      <c r="DG64" s="139">
        <v>304.33999999999997</v>
      </c>
      <c r="DH64" s="127" t="s">
        <v>1421</v>
      </c>
      <c r="DI64" s="127" t="s">
        <v>1421</v>
      </c>
      <c r="DJ64" s="135">
        <v>1704</v>
      </c>
      <c r="DK64" s="139">
        <v>304.33999999999997</v>
      </c>
      <c r="DL64" s="127" t="s">
        <v>1421</v>
      </c>
      <c r="DM64" s="127" t="s">
        <v>1421</v>
      </c>
      <c r="DN64" s="135">
        <v>1704</v>
      </c>
      <c r="DO64" s="139">
        <v>304.33999999999997</v>
      </c>
      <c r="DP64" s="127"/>
      <c r="DQ64" s="127"/>
      <c r="DR64" s="135"/>
      <c r="DS64" s="139"/>
      <c r="DT64" s="127"/>
      <c r="DU64" s="127"/>
      <c r="DV64" s="135"/>
      <c r="DW64" s="139"/>
      <c r="DX64" s="127"/>
      <c r="DY64" s="127"/>
      <c r="DZ64" s="135"/>
      <c r="EA64" s="139"/>
    </row>
    <row r="65" spans="1:131" ht="76.5" x14ac:dyDescent="0.2">
      <c r="A65" s="130" t="s">
        <v>1579</v>
      </c>
      <c r="B65" s="131" t="s">
        <v>1580</v>
      </c>
      <c r="C65" s="131" t="s">
        <v>1407</v>
      </c>
      <c r="D65" s="131" t="s">
        <v>1408</v>
      </c>
      <c r="E65" s="171" t="s">
        <v>1500</v>
      </c>
      <c r="F65" s="133" t="s">
        <v>1581</v>
      </c>
      <c r="G65" s="133" t="s">
        <v>1582</v>
      </c>
      <c r="H65" s="37"/>
      <c r="I65" s="37"/>
      <c r="J65" s="37"/>
      <c r="K65" s="37"/>
      <c r="L65" s="159"/>
      <c r="M65" s="123"/>
      <c r="N65" s="135"/>
      <c r="O65" s="136"/>
      <c r="P65" s="123" t="s">
        <v>1412</v>
      </c>
      <c r="Q65" s="123" t="s">
        <v>1494</v>
      </c>
      <c r="R65" s="135">
        <v>1440</v>
      </c>
      <c r="S65" s="136">
        <v>250.97</v>
      </c>
      <c r="T65" s="123" t="s">
        <v>1413</v>
      </c>
      <c r="U65" s="123" t="s">
        <v>1413</v>
      </c>
      <c r="V65" s="135">
        <v>1488</v>
      </c>
      <c r="W65" s="136">
        <v>257.63</v>
      </c>
      <c r="X65" s="123"/>
      <c r="Y65" s="123"/>
      <c r="Z65" s="135"/>
      <c r="AA65" s="136"/>
      <c r="AB65" s="123" t="s">
        <v>1414</v>
      </c>
      <c r="AC65" s="123" t="s">
        <v>1414</v>
      </c>
      <c r="AD65" s="135">
        <v>1440</v>
      </c>
      <c r="AE65" s="136">
        <v>250.97</v>
      </c>
      <c r="AF65" s="123"/>
      <c r="AG65" s="123"/>
      <c r="AH65" s="135"/>
      <c r="AI65" s="136"/>
      <c r="AJ65" s="123" t="s">
        <v>1337</v>
      </c>
      <c r="AK65" s="123" t="s">
        <v>1337</v>
      </c>
      <c r="AL65" s="135">
        <v>1488</v>
      </c>
      <c r="AM65" s="136">
        <v>257.63</v>
      </c>
      <c r="AN65" s="123"/>
      <c r="AO65" s="123"/>
      <c r="AP65" s="135"/>
      <c r="AQ65" s="136"/>
      <c r="AR65" s="123"/>
      <c r="AS65" s="123"/>
      <c r="AT65" s="135"/>
      <c r="AU65" s="136"/>
      <c r="AV65" s="123" t="s">
        <v>1415</v>
      </c>
      <c r="AW65" s="123" t="s">
        <v>1415</v>
      </c>
      <c r="AX65" s="135">
        <v>1488</v>
      </c>
      <c r="AY65" s="136">
        <v>264.52</v>
      </c>
      <c r="AZ65" s="123"/>
      <c r="BA65" s="122"/>
      <c r="BB65" s="135"/>
      <c r="BC65" s="136"/>
      <c r="BD65" s="123" t="s">
        <v>1416</v>
      </c>
      <c r="BE65" s="123" t="s">
        <v>1416</v>
      </c>
      <c r="BF65" s="135">
        <v>1440</v>
      </c>
      <c r="BG65" s="136">
        <v>253.39</v>
      </c>
      <c r="BH65" s="123"/>
      <c r="BI65" s="122"/>
      <c r="BJ65" s="135"/>
      <c r="BK65" s="136"/>
      <c r="BL65" s="123" t="s">
        <v>1417</v>
      </c>
      <c r="BM65" s="122" t="s">
        <v>1417</v>
      </c>
      <c r="BN65" s="135">
        <v>1488</v>
      </c>
      <c r="BO65" s="136">
        <v>260.38</v>
      </c>
      <c r="BP65" s="137"/>
      <c r="BQ65" s="138"/>
      <c r="BR65" s="135"/>
      <c r="BS65" s="139"/>
      <c r="BT65" s="123" t="s">
        <v>1418</v>
      </c>
      <c r="BU65" s="122" t="s">
        <v>1418</v>
      </c>
      <c r="BV65" s="135">
        <v>1440</v>
      </c>
      <c r="BW65" s="139">
        <v>253.39</v>
      </c>
      <c r="BX65" s="127" t="s">
        <v>1457</v>
      </c>
      <c r="BY65" s="127" t="s">
        <v>1457</v>
      </c>
      <c r="BZ65" s="135">
        <v>1440</v>
      </c>
      <c r="CA65" s="139">
        <v>248.41</v>
      </c>
      <c r="CB65" s="127" t="s">
        <v>1420</v>
      </c>
      <c r="CC65" s="127" t="s">
        <v>1420</v>
      </c>
      <c r="CD65" s="135">
        <v>1344</v>
      </c>
      <c r="CE65" s="139">
        <v>237.93</v>
      </c>
      <c r="CF65" s="127"/>
      <c r="CG65" s="127"/>
      <c r="CH65" s="135"/>
      <c r="CI65" s="139"/>
      <c r="CJ65" s="127"/>
      <c r="CK65" s="127"/>
      <c r="CL65" s="135"/>
      <c r="CM65" s="139"/>
      <c r="CN65" s="127"/>
      <c r="CO65" s="127"/>
      <c r="CP65" s="135"/>
      <c r="CQ65" s="139"/>
      <c r="CR65" s="127"/>
      <c r="CS65" s="127"/>
      <c r="CT65" s="135"/>
      <c r="CU65" s="139"/>
      <c r="CV65" s="127" t="s">
        <v>1349</v>
      </c>
      <c r="CW65" s="127" t="s">
        <v>1349</v>
      </c>
      <c r="CX65" s="135">
        <v>2784</v>
      </c>
      <c r="CY65" s="139">
        <v>486.56</v>
      </c>
      <c r="CZ65" s="127" t="s">
        <v>1349</v>
      </c>
      <c r="DA65" s="127" t="s">
        <v>1349</v>
      </c>
      <c r="DB65" s="135">
        <v>2784</v>
      </c>
      <c r="DC65" s="139">
        <v>486.56</v>
      </c>
      <c r="DD65" s="127" t="s">
        <v>1421</v>
      </c>
      <c r="DE65" s="127" t="s">
        <v>1421</v>
      </c>
      <c r="DF65" s="135">
        <v>1488</v>
      </c>
      <c r="DG65" s="139">
        <v>260.38</v>
      </c>
      <c r="DH65" s="127" t="s">
        <v>1421</v>
      </c>
      <c r="DI65" s="127" t="s">
        <v>1421</v>
      </c>
      <c r="DJ65" s="135">
        <v>1488</v>
      </c>
      <c r="DK65" s="139">
        <v>260.38</v>
      </c>
      <c r="DL65" s="127" t="s">
        <v>1421</v>
      </c>
      <c r="DM65" s="127" t="s">
        <v>1421</v>
      </c>
      <c r="DN65" s="135">
        <v>1488</v>
      </c>
      <c r="DO65" s="139">
        <v>260.38</v>
      </c>
      <c r="DP65" s="127"/>
      <c r="DQ65" s="127"/>
      <c r="DR65" s="135"/>
      <c r="DS65" s="139"/>
      <c r="DT65" s="127"/>
      <c r="DU65" s="127"/>
      <c r="DV65" s="135"/>
      <c r="DW65" s="139"/>
      <c r="DX65" s="127"/>
      <c r="DY65" s="127"/>
      <c r="DZ65" s="135"/>
      <c r="EA65" s="139"/>
    </row>
    <row r="66" spans="1:131" ht="102" x14ac:dyDescent="0.2">
      <c r="A66" s="130" t="s">
        <v>1443</v>
      </c>
      <c r="B66" s="180">
        <v>50042926719535</v>
      </c>
      <c r="C66" s="131" t="s">
        <v>1407</v>
      </c>
      <c r="D66" s="131" t="s">
        <v>1427</v>
      </c>
      <c r="E66" s="132" t="s">
        <v>1328</v>
      </c>
      <c r="F66" s="133" t="s">
        <v>1583</v>
      </c>
      <c r="G66" s="133" t="s">
        <v>1446</v>
      </c>
      <c r="H66" s="37"/>
      <c r="I66" s="37"/>
      <c r="J66" s="37"/>
      <c r="K66" s="37"/>
      <c r="L66" s="159"/>
      <c r="M66" s="123"/>
      <c r="N66" s="135"/>
      <c r="O66" s="136"/>
      <c r="P66" s="123" t="s">
        <v>1412</v>
      </c>
      <c r="Q66" s="123" t="s">
        <v>1494</v>
      </c>
      <c r="R66" s="135">
        <v>980</v>
      </c>
      <c r="S66" s="136">
        <v>226.91</v>
      </c>
      <c r="T66" s="123" t="s">
        <v>1413</v>
      </c>
      <c r="U66" s="123" t="s">
        <v>1413</v>
      </c>
      <c r="V66" s="135">
        <v>544</v>
      </c>
      <c r="W66" s="136">
        <v>106.18</v>
      </c>
      <c r="X66" s="123"/>
      <c r="Y66" s="123"/>
      <c r="Z66" s="135"/>
      <c r="AA66" s="136"/>
      <c r="AB66" s="123" t="s">
        <v>1414</v>
      </c>
      <c r="AC66" s="123" t="s">
        <v>1414</v>
      </c>
      <c r="AD66" s="135">
        <v>526</v>
      </c>
      <c r="AE66" s="136">
        <v>103.51</v>
      </c>
      <c r="AF66" s="123"/>
      <c r="AG66" s="123"/>
      <c r="AH66" s="135"/>
      <c r="AI66" s="136"/>
      <c r="AJ66" s="123" t="s">
        <v>1337</v>
      </c>
      <c r="AK66" s="123" t="s">
        <v>1337</v>
      </c>
      <c r="AL66" s="135">
        <v>446</v>
      </c>
      <c r="AM66" s="136">
        <v>90.65</v>
      </c>
      <c r="AN66" s="123"/>
      <c r="AO66" s="123"/>
      <c r="AP66" s="135"/>
      <c r="AQ66" s="136"/>
      <c r="AR66" s="123"/>
      <c r="AS66" s="123"/>
      <c r="AT66" s="135"/>
      <c r="AU66" s="136"/>
      <c r="AV66" s="123" t="s">
        <v>1415</v>
      </c>
      <c r="AW66" s="123" t="s">
        <v>1415</v>
      </c>
      <c r="AX66" s="135">
        <v>462</v>
      </c>
      <c r="AY66" s="136">
        <v>94.61</v>
      </c>
      <c r="AZ66" s="123"/>
      <c r="BA66" s="122"/>
      <c r="BB66" s="135"/>
      <c r="BC66" s="136"/>
      <c r="BD66" s="123" t="s">
        <v>1416</v>
      </c>
      <c r="BE66" s="123" t="s">
        <v>1416</v>
      </c>
      <c r="BF66" s="135">
        <v>337</v>
      </c>
      <c r="BG66" s="136">
        <v>72.73</v>
      </c>
      <c r="BH66" s="123"/>
      <c r="BI66" s="122"/>
      <c r="BJ66" s="135"/>
      <c r="BK66" s="136"/>
      <c r="BL66" s="123" t="s">
        <v>1417</v>
      </c>
      <c r="BM66" s="122" t="s">
        <v>1417</v>
      </c>
      <c r="BN66" s="135">
        <v>475</v>
      </c>
      <c r="BO66" s="136">
        <v>94.38</v>
      </c>
      <c r="BP66" s="137"/>
      <c r="BQ66" s="138"/>
      <c r="BR66" s="135"/>
      <c r="BS66" s="139"/>
      <c r="BT66" s="123" t="s">
        <v>1418</v>
      </c>
      <c r="BU66" s="122" t="s">
        <v>1418</v>
      </c>
      <c r="BV66" s="135">
        <v>962</v>
      </c>
      <c r="BW66" s="139">
        <v>183.31</v>
      </c>
      <c r="BX66" s="127" t="s">
        <v>1457</v>
      </c>
      <c r="BY66" s="127" t="s">
        <v>1457</v>
      </c>
      <c r="BZ66" s="135">
        <v>1203</v>
      </c>
      <c r="CA66" s="139">
        <v>274.52</v>
      </c>
      <c r="CB66" s="127" t="s">
        <v>1420</v>
      </c>
      <c r="CC66" s="127" t="s">
        <v>1420</v>
      </c>
      <c r="CD66" s="135">
        <v>1665</v>
      </c>
      <c r="CE66" s="139">
        <v>391.99</v>
      </c>
      <c r="CF66" s="127"/>
      <c r="CG66" s="127"/>
      <c r="CH66" s="135"/>
      <c r="CI66" s="139"/>
      <c r="CJ66" s="127"/>
      <c r="CK66" s="127"/>
      <c r="CL66" s="135"/>
      <c r="CM66" s="139"/>
      <c r="CN66" s="127"/>
      <c r="CO66" s="127"/>
      <c r="CP66" s="135"/>
      <c r="CQ66" s="139"/>
      <c r="CR66" s="127"/>
      <c r="CS66" s="127"/>
      <c r="CT66" s="135"/>
      <c r="CU66" s="139"/>
      <c r="CV66" s="127" t="s">
        <v>1349</v>
      </c>
      <c r="CW66" s="127" t="s">
        <v>1349</v>
      </c>
      <c r="CX66" s="135">
        <v>2868</v>
      </c>
      <c r="CY66" s="139">
        <v>666.69</v>
      </c>
      <c r="CZ66" s="127" t="s">
        <v>1349</v>
      </c>
      <c r="DA66" s="127" t="s">
        <v>1349</v>
      </c>
      <c r="DB66" s="135">
        <v>2868</v>
      </c>
      <c r="DC66" s="139">
        <v>666.69</v>
      </c>
      <c r="DD66" s="127" t="s">
        <v>1421</v>
      </c>
      <c r="DE66" s="127" t="s">
        <v>1421</v>
      </c>
      <c r="DF66" s="135">
        <v>1164</v>
      </c>
      <c r="DG66" s="139">
        <v>278.08999999999997</v>
      </c>
      <c r="DH66" s="127" t="s">
        <v>1421</v>
      </c>
      <c r="DI66" s="127" t="s">
        <v>1421</v>
      </c>
      <c r="DJ66" s="135">
        <v>1164</v>
      </c>
      <c r="DK66" s="139">
        <v>278.08999999999997</v>
      </c>
      <c r="DL66" s="127" t="s">
        <v>1421</v>
      </c>
      <c r="DM66" s="127" t="s">
        <v>1421</v>
      </c>
      <c r="DN66" s="135">
        <v>1164</v>
      </c>
      <c r="DO66" s="139">
        <v>278.08999999999997</v>
      </c>
      <c r="DP66" s="127"/>
      <c r="DQ66" s="127"/>
      <c r="DR66" s="135"/>
      <c r="DS66" s="139"/>
      <c r="DT66" s="127"/>
      <c r="DU66" s="127"/>
      <c r="DV66" s="135"/>
      <c r="DW66" s="139"/>
      <c r="DX66" s="127"/>
      <c r="DY66" s="127"/>
      <c r="DZ66" s="135"/>
      <c r="EA66" s="139"/>
    </row>
    <row r="67" spans="1:131" ht="89.25" x14ac:dyDescent="0.2">
      <c r="A67" s="130" t="s">
        <v>1443</v>
      </c>
      <c r="B67" s="131" t="s">
        <v>1584</v>
      </c>
      <c r="C67" s="131" t="s">
        <v>1407</v>
      </c>
      <c r="D67" s="131" t="s">
        <v>1427</v>
      </c>
      <c r="E67" s="132" t="s">
        <v>1328</v>
      </c>
      <c r="F67" s="133" t="s">
        <v>1585</v>
      </c>
      <c r="G67" s="133" t="s">
        <v>1446</v>
      </c>
      <c r="H67" s="37"/>
      <c r="I67" s="37"/>
      <c r="J67" s="37"/>
      <c r="K67" s="37"/>
      <c r="L67" s="159"/>
      <c r="M67" s="123"/>
      <c r="N67" s="135"/>
      <c r="O67" s="136"/>
      <c r="P67" s="123" t="s">
        <v>1412</v>
      </c>
      <c r="Q67" s="123" t="s">
        <v>1494</v>
      </c>
      <c r="R67" s="135">
        <v>2391</v>
      </c>
      <c r="S67" s="136">
        <v>567.61</v>
      </c>
      <c r="T67" s="123" t="s">
        <v>1413</v>
      </c>
      <c r="U67" s="123" t="s">
        <v>1413</v>
      </c>
      <c r="V67" s="135">
        <v>-93</v>
      </c>
      <c r="W67" s="136">
        <v>38.72</v>
      </c>
      <c r="X67" s="123"/>
      <c r="Y67" s="123"/>
      <c r="Z67" s="135"/>
      <c r="AA67" s="136"/>
      <c r="AB67" s="123" t="s">
        <v>1414</v>
      </c>
      <c r="AC67" s="123" t="s">
        <v>1414</v>
      </c>
      <c r="AD67" s="135">
        <v>144</v>
      </c>
      <c r="AE67" s="136">
        <v>77.34</v>
      </c>
      <c r="AF67" s="123"/>
      <c r="AG67" s="123"/>
      <c r="AH67" s="135"/>
      <c r="AI67" s="136"/>
      <c r="AJ67" s="123" t="s">
        <v>1337</v>
      </c>
      <c r="AK67" s="123" t="s">
        <v>1337</v>
      </c>
      <c r="AL67" s="135">
        <v>-76</v>
      </c>
      <c r="AM67" s="136">
        <v>38.14</v>
      </c>
      <c r="AN67" s="123"/>
      <c r="AO67" s="123"/>
      <c r="AP67" s="135"/>
      <c r="AQ67" s="136"/>
      <c r="AR67" s="123"/>
      <c r="AS67" s="123"/>
      <c r="AT67" s="135"/>
      <c r="AU67" s="136"/>
      <c r="AV67" s="123" t="s">
        <v>1415</v>
      </c>
      <c r="AW67" s="123" t="s">
        <v>1415</v>
      </c>
      <c r="AX67" s="135">
        <v>-130</v>
      </c>
      <c r="AY67" s="136">
        <v>33.44</v>
      </c>
      <c r="AZ67" s="123"/>
      <c r="BA67" s="122"/>
      <c r="BB67" s="135"/>
      <c r="BC67" s="136"/>
      <c r="BD67" s="123" t="s">
        <v>1416</v>
      </c>
      <c r="BE67" s="123" t="s">
        <v>1416</v>
      </c>
      <c r="BF67" s="135">
        <v>-612</v>
      </c>
      <c r="BG67" s="136">
        <v>-50.75</v>
      </c>
      <c r="BH67" s="123"/>
      <c r="BI67" s="122"/>
      <c r="BJ67" s="135"/>
      <c r="BK67" s="136"/>
      <c r="BL67" s="123" t="s">
        <v>1417</v>
      </c>
      <c r="BM67" s="122" t="s">
        <v>1417</v>
      </c>
      <c r="BN67" s="135">
        <v>-450</v>
      </c>
      <c r="BO67" s="136">
        <v>-26.21</v>
      </c>
      <c r="BP67" s="137"/>
      <c r="BQ67" s="138"/>
      <c r="BR67" s="135"/>
      <c r="BS67" s="139"/>
      <c r="BT67" s="123" t="s">
        <v>1418</v>
      </c>
      <c r="BU67" s="122" t="s">
        <v>1418</v>
      </c>
      <c r="BV67" s="135">
        <v>2894</v>
      </c>
      <c r="BW67" s="139">
        <v>524.08000000000004</v>
      </c>
      <c r="BX67" s="127" t="s">
        <v>1457</v>
      </c>
      <c r="BY67" s="127" t="s">
        <v>1457</v>
      </c>
      <c r="BZ67" s="135">
        <v>5700</v>
      </c>
      <c r="CA67" s="139">
        <v>1251.1400000000001</v>
      </c>
      <c r="CB67" s="127" t="s">
        <v>1420</v>
      </c>
      <c r="CC67" s="127" t="s">
        <v>1420</v>
      </c>
      <c r="CD67" s="135">
        <v>6640</v>
      </c>
      <c r="CE67" s="139">
        <v>1562.36</v>
      </c>
      <c r="CF67" s="127"/>
      <c r="CG67" s="127"/>
      <c r="CH67" s="135"/>
      <c r="CI67" s="139"/>
      <c r="CJ67" s="127"/>
      <c r="CK67" s="127"/>
      <c r="CL67" s="135"/>
      <c r="CM67" s="139"/>
      <c r="CN67" s="127"/>
      <c r="CO67" s="127"/>
      <c r="CP67" s="135"/>
      <c r="CQ67" s="139"/>
      <c r="CR67" s="127"/>
      <c r="CS67" s="127"/>
      <c r="CT67" s="135"/>
      <c r="CU67" s="139"/>
      <c r="CV67" s="127" t="s">
        <v>1349</v>
      </c>
      <c r="CW67" s="127" t="s">
        <v>1349</v>
      </c>
      <c r="CX67" s="135">
        <v>12340</v>
      </c>
      <c r="CY67" s="139">
        <v>2814.36</v>
      </c>
      <c r="CZ67" s="127" t="s">
        <v>1349</v>
      </c>
      <c r="DA67" s="127" t="s">
        <v>1349</v>
      </c>
      <c r="DB67" s="135">
        <v>12340</v>
      </c>
      <c r="DC67" s="139">
        <v>2814.36</v>
      </c>
      <c r="DD67" s="127" t="s">
        <v>1421</v>
      </c>
      <c r="DE67" s="127" t="s">
        <v>1421</v>
      </c>
      <c r="DF67" s="135">
        <v>4709</v>
      </c>
      <c r="DG67" s="139">
        <v>1124.03</v>
      </c>
      <c r="DH67" s="127" t="s">
        <v>1421</v>
      </c>
      <c r="DI67" s="127" t="s">
        <v>1421</v>
      </c>
      <c r="DJ67" s="135">
        <v>4709</v>
      </c>
      <c r="DK67" s="139">
        <v>1124.03</v>
      </c>
      <c r="DL67" s="127" t="s">
        <v>1421</v>
      </c>
      <c r="DM67" s="127" t="s">
        <v>1421</v>
      </c>
      <c r="DN67" s="135">
        <v>4709</v>
      </c>
      <c r="DO67" s="139">
        <v>1124.03</v>
      </c>
      <c r="DP67" s="127"/>
      <c r="DQ67" s="127"/>
      <c r="DR67" s="135"/>
      <c r="DS67" s="139"/>
      <c r="DT67" s="127"/>
      <c r="DU67" s="127"/>
      <c r="DV67" s="135"/>
      <c r="DW67" s="139"/>
      <c r="DX67" s="127"/>
      <c r="DY67" s="127"/>
      <c r="DZ67" s="135"/>
      <c r="EA67" s="139"/>
    </row>
    <row r="68" spans="1:131" ht="63.75" x14ac:dyDescent="0.2">
      <c r="A68" s="130" t="s">
        <v>1408</v>
      </c>
      <c r="B68" s="181" t="s">
        <v>1586</v>
      </c>
      <c r="C68" s="131" t="s">
        <v>1407</v>
      </c>
      <c r="D68" s="131" t="s">
        <v>1427</v>
      </c>
      <c r="E68" s="132" t="s">
        <v>1328</v>
      </c>
      <c r="F68" s="133" t="s">
        <v>1587</v>
      </c>
      <c r="G68" s="133" t="s">
        <v>1588</v>
      </c>
      <c r="H68" s="37"/>
      <c r="I68" s="37"/>
      <c r="J68" s="37"/>
      <c r="K68" s="37"/>
      <c r="L68" s="159"/>
      <c r="M68" s="123"/>
      <c r="N68" s="135"/>
      <c r="O68" s="136"/>
      <c r="P68" s="123" t="s">
        <v>1412</v>
      </c>
      <c r="Q68" s="123" t="s">
        <v>1494</v>
      </c>
      <c r="R68" s="135">
        <v>2622</v>
      </c>
      <c r="S68" s="136">
        <v>630.13</v>
      </c>
      <c r="T68" s="123" t="s">
        <v>1413</v>
      </c>
      <c r="U68" s="123" t="s">
        <v>1413</v>
      </c>
      <c r="V68" s="135">
        <v>2039</v>
      </c>
      <c r="W68" s="136">
        <v>390.02</v>
      </c>
      <c r="X68" s="123"/>
      <c r="Y68" s="123"/>
      <c r="Z68" s="135"/>
      <c r="AA68" s="136"/>
      <c r="AB68" s="123" t="s">
        <v>1414</v>
      </c>
      <c r="AC68" s="123" t="s">
        <v>1414</v>
      </c>
      <c r="AD68" s="135">
        <v>1192</v>
      </c>
      <c r="AE68" s="136">
        <v>253.7</v>
      </c>
      <c r="AF68" s="123"/>
      <c r="AG68" s="123"/>
      <c r="AH68" s="135"/>
      <c r="AI68" s="136"/>
      <c r="AJ68" s="123" t="s">
        <v>1337</v>
      </c>
      <c r="AK68" s="123" t="s">
        <v>1337</v>
      </c>
      <c r="AL68" s="135">
        <v>742</v>
      </c>
      <c r="AM68" s="136">
        <v>181.38</v>
      </c>
      <c r="AN68" s="123"/>
      <c r="AO68" s="123"/>
      <c r="AP68" s="135"/>
      <c r="AQ68" s="136"/>
      <c r="AR68" s="123"/>
      <c r="AS68" s="123"/>
      <c r="AT68" s="135"/>
      <c r="AU68" s="136"/>
      <c r="AV68" s="123" t="s">
        <v>1415</v>
      </c>
      <c r="AW68" s="123" t="s">
        <v>1415</v>
      </c>
      <c r="AX68" s="135">
        <v>1298</v>
      </c>
      <c r="AY68" s="136">
        <v>274.42</v>
      </c>
      <c r="AZ68" s="123"/>
      <c r="BA68" s="122"/>
      <c r="BB68" s="135"/>
      <c r="BC68" s="136"/>
      <c r="BD68" s="123" t="s">
        <v>1416</v>
      </c>
      <c r="BE68" s="123" t="s">
        <v>1416</v>
      </c>
      <c r="BF68" s="135">
        <v>1330</v>
      </c>
      <c r="BG68" s="136">
        <v>271.31</v>
      </c>
      <c r="BH68" s="123"/>
      <c r="BI68" s="122"/>
      <c r="BJ68" s="135"/>
      <c r="BK68" s="136"/>
      <c r="BL68" s="123" t="s">
        <v>1417</v>
      </c>
      <c r="BM68" s="122" t="s">
        <v>1417</v>
      </c>
      <c r="BN68" s="135">
        <v>1526</v>
      </c>
      <c r="BO68" s="136">
        <v>303.88</v>
      </c>
      <c r="BP68" s="137"/>
      <c r="BQ68" s="138"/>
      <c r="BR68" s="135"/>
      <c r="BS68" s="139"/>
      <c r="BT68" s="123" t="s">
        <v>1418</v>
      </c>
      <c r="BU68" s="122" t="s">
        <v>1418</v>
      </c>
      <c r="BV68" s="135">
        <v>1923</v>
      </c>
      <c r="BW68" s="139">
        <v>355.99</v>
      </c>
      <c r="BX68" s="127" t="s">
        <v>1457</v>
      </c>
      <c r="BY68" s="127" t="s">
        <v>1457</v>
      </c>
      <c r="BZ68" s="135">
        <v>3531</v>
      </c>
      <c r="CA68" s="139">
        <v>804.69</v>
      </c>
      <c r="CB68" s="127" t="s">
        <v>1420</v>
      </c>
      <c r="CC68" s="127" t="s">
        <v>1420</v>
      </c>
      <c r="CD68" s="135">
        <v>5067</v>
      </c>
      <c r="CE68" s="139">
        <v>1163.4100000000001</v>
      </c>
      <c r="CF68" s="127"/>
      <c r="CG68" s="127"/>
      <c r="CH68" s="135"/>
      <c r="CI68" s="139"/>
      <c r="CJ68" s="127"/>
      <c r="CK68" s="127"/>
      <c r="CL68" s="135"/>
      <c r="CM68" s="139"/>
      <c r="CN68" s="127"/>
      <c r="CO68" s="127"/>
      <c r="CP68" s="135"/>
      <c r="CQ68" s="139"/>
      <c r="CR68" s="127"/>
      <c r="CS68" s="127"/>
      <c r="CT68" s="135"/>
      <c r="CU68" s="139"/>
      <c r="CV68" s="127" t="s">
        <v>1349</v>
      </c>
      <c r="CW68" s="127" t="s">
        <v>1349</v>
      </c>
      <c r="CX68" s="135">
        <v>8598</v>
      </c>
      <c r="CY68" s="139">
        <v>1968.7</v>
      </c>
      <c r="CZ68" s="127" t="s">
        <v>1349</v>
      </c>
      <c r="DA68" s="127" t="s">
        <v>1349</v>
      </c>
      <c r="DB68" s="135">
        <v>8598</v>
      </c>
      <c r="DC68" s="139">
        <v>1968.7</v>
      </c>
      <c r="DD68" s="127" t="s">
        <v>1421</v>
      </c>
      <c r="DE68" s="127" t="s">
        <v>1421</v>
      </c>
      <c r="DF68" s="135">
        <v>2770</v>
      </c>
      <c r="DG68" s="139">
        <v>667.65</v>
      </c>
      <c r="DH68" s="127" t="s">
        <v>1421</v>
      </c>
      <c r="DI68" s="127" t="s">
        <v>1421</v>
      </c>
      <c r="DJ68" s="135">
        <v>2770</v>
      </c>
      <c r="DK68" s="139">
        <v>667.65</v>
      </c>
      <c r="DL68" s="127" t="s">
        <v>1421</v>
      </c>
      <c r="DM68" s="127" t="s">
        <v>1421</v>
      </c>
      <c r="DN68" s="135">
        <v>2770</v>
      </c>
      <c r="DO68" s="139">
        <v>667.65</v>
      </c>
      <c r="DP68" s="127"/>
      <c r="DQ68" s="127"/>
      <c r="DR68" s="135"/>
      <c r="DS68" s="139"/>
      <c r="DT68" s="127"/>
      <c r="DU68" s="127"/>
      <c r="DV68" s="135"/>
      <c r="DW68" s="139"/>
      <c r="DX68" s="127"/>
      <c r="DY68" s="127"/>
      <c r="DZ68" s="135"/>
      <c r="EA68" s="139"/>
    </row>
    <row r="69" spans="1:131" ht="102" x14ac:dyDescent="0.2">
      <c r="A69" s="130" t="s">
        <v>1408</v>
      </c>
      <c r="B69" s="181" t="s">
        <v>1589</v>
      </c>
      <c r="C69" s="131" t="s">
        <v>1407</v>
      </c>
      <c r="D69" s="131" t="s">
        <v>1427</v>
      </c>
      <c r="E69" s="171" t="s">
        <v>1500</v>
      </c>
      <c r="F69" s="133" t="s">
        <v>1590</v>
      </c>
      <c r="G69" s="133" t="s">
        <v>1591</v>
      </c>
      <c r="H69" s="37"/>
      <c r="I69" s="37"/>
      <c r="J69" s="37"/>
      <c r="K69" s="37"/>
      <c r="L69" s="159"/>
      <c r="M69" s="123"/>
      <c r="N69" s="135"/>
      <c r="O69" s="136"/>
      <c r="P69" s="123" t="s">
        <v>1412</v>
      </c>
      <c r="Q69" s="123" t="s">
        <v>1494</v>
      </c>
      <c r="R69" s="135">
        <v>1226</v>
      </c>
      <c r="S69" s="136">
        <v>262.49</v>
      </c>
      <c r="T69" s="123" t="s">
        <v>1413</v>
      </c>
      <c r="U69" s="123" t="s">
        <v>1413</v>
      </c>
      <c r="V69" s="135">
        <v>1073</v>
      </c>
      <c r="W69" s="136">
        <v>236.92</v>
      </c>
      <c r="X69" s="123"/>
      <c r="Y69" s="123"/>
      <c r="Z69" s="135"/>
      <c r="AA69" s="136"/>
      <c r="AB69" s="123" t="s">
        <v>1414</v>
      </c>
      <c r="AC69" s="123" t="s">
        <v>1414</v>
      </c>
      <c r="AD69" s="135">
        <v>1184</v>
      </c>
      <c r="AE69" s="136">
        <v>256.02999999999997</v>
      </c>
      <c r="AF69" s="123"/>
      <c r="AG69" s="123"/>
      <c r="AH69" s="135"/>
      <c r="AI69" s="136"/>
      <c r="AJ69" s="123" t="s">
        <v>1337</v>
      </c>
      <c r="AK69" s="123" t="s">
        <v>1337</v>
      </c>
      <c r="AL69" s="135">
        <v>1030</v>
      </c>
      <c r="AM69" s="136">
        <v>230.3</v>
      </c>
      <c r="AN69" s="123"/>
      <c r="AO69" s="123"/>
      <c r="AP69" s="135"/>
      <c r="AQ69" s="136"/>
      <c r="AR69" s="123"/>
      <c r="AS69" s="123"/>
      <c r="AT69" s="135"/>
      <c r="AU69" s="136"/>
      <c r="AV69" s="123" t="s">
        <v>1415</v>
      </c>
      <c r="AW69" s="123" t="s">
        <v>1415</v>
      </c>
      <c r="AX69" s="135">
        <v>980</v>
      </c>
      <c r="AY69" s="136">
        <v>228.54</v>
      </c>
      <c r="AZ69" s="123"/>
      <c r="BA69" s="122"/>
      <c r="BB69" s="135"/>
      <c r="BC69" s="136"/>
      <c r="BD69" s="123" t="s">
        <v>1416</v>
      </c>
      <c r="BE69" s="123" t="s">
        <v>1416</v>
      </c>
      <c r="BF69" s="135">
        <v>705</v>
      </c>
      <c r="BG69" s="136">
        <v>175.66</v>
      </c>
      <c r="BH69" s="123"/>
      <c r="BI69" s="122"/>
      <c r="BJ69" s="135"/>
      <c r="BK69" s="136"/>
      <c r="BL69" s="123" t="s">
        <v>1417</v>
      </c>
      <c r="BM69" s="122" t="s">
        <v>1417</v>
      </c>
      <c r="BN69" s="135">
        <v>853</v>
      </c>
      <c r="BO69" s="136">
        <v>197.18</v>
      </c>
      <c r="BP69" s="137"/>
      <c r="BQ69" s="138"/>
      <c r="BR69" s="135"/>
      <c r="BS69" s="139"/>
      <c r="BT69" s="123" t="s">
        <v>1418</v>
      </c>
      <c r="BU69" s="122" t="s">
        <v>1418</v>
      </c>
      <c r="BV69" s="135">
        <v>1196</v>
      </c>
      <c r="BW69" s="139">
        <v>253.11</v>
      </c>
      <c r="BX69" s="127" t="s">
        <v>1457</v>
      </c>
      <c r="BY69" s="127" t="s">
        <v>1457</v>
      </c>
      <c r="BZ69" s="135">
        <v>1642</v>
      </c>
      <c r="CA69" s="139">
        <v>347</v>
      </c>
      <c r="CB69" s="127" t="s">
        <v>1420</v>
      </c>
      <c r="CC69" s="127" t="s">
        <v>1420</v>
      </c>
      <c r="CD69" s="135">
        <v>1495</v>
      </c>
      <c r="CE69" s="139">
        <v>299.99</v>
      </c>
      <c r="CF69" s="127"/>
      <c r="CG69" s="127"/>
      <c r="CH69" s="135"/>
      <c r="CI69" s="139"/>
      <c r="CJ69" s="127"/>
      <c r="CK69" s="127"/>
      <c r="CL69" s="135"/>
      <c r="CM69" s="139"/>
      <c r="CN69" s="127"/>
      <c r="CO69" s="127"/>
      <c r="CP69" s="135"/>
      <c r="CQ69" s="139"/>
      <c r="CR69" s="127"/>
      <c r="CS69" s="127"/>
      <c r="CT69" s="135"/>
      <c r="CU69" s="139"/>
      <c r="CV69" s="127" t="s">
        <v>1349</v>
      </c>
      <c r="CW69" s="127" t="s">
        <v>1349</v>
      </c>
      <c r="CX69" s="135">
        <v>3137</v>
      </c>
      <c r="CY69" s="139">
        <v>647.23</v>
      </c>
      <c r="CZ69" s="127" t="s">
        <v>1349</v>
      </c>
      <c r="DA69" s="127" t="s">
        <v>1349</v>
      </c>
      <c r="DB69" s="135">
        <v>3137</v>
      </c>
      <c r="DC69" s="139">
        <v>647.23</v>
      </c>
      <c r="DD69" s="127" t="s">
        <v>1421</v>
      </c>
      <c r="DE69" s="127" t="s">
        <v>1421</v>
      </c>
      <c r="DF69" s="135">
        <v>1284</v>
      </c>
      <c r="DG69" s="139">
        <v>265.16000000000003</v>
      </c>
      <c r="DH69" s="127" t="s">
        <v>1421</v>
      </c>
      <c r="DI69" s="127" t="s">
        <v>1421</v>
      </c>
      <c r="DJ69" s="135">
        <v>1284</v>
      </c>
      <c r="DK69" s="139">
        <v>265.16000000000003</v>
      </c>
      <c r="DL69" s="127" t="s">
        <v>1421</v>
      </c>
      <c r="DM69" s="127" t="s">
        <v>1421</v>
      </c>
      <c r="DN69" s="135">
        <v>1284</v>
      </c>
      <c r="DO69" s="139">
        <v>265.16000000000003</v>
      </c>
      <c r="DP69" s="127"/>
      <c r="DQ69" s="127"/>
      <c r="DR69" s="135"/>
      <c r="DS69" s="139"/>
      <c r="DT69" s="127"/>
      <c r="DU69" s="127"/>
      <c r="DV69" s="135"/>
      <c r="DW69" s="139"/>
      <c r="DX69" s="127"/>
      <c r="DY69" s="127"/>
      <c r="DZ69" s="135"/>
      <c r="EA69" s="139"/>
    </row>
    <row r="70" spans="1:131" ht="63.75" x14ac:dyDescent="0.2">
      <c r="A70" s="130" t="s">
        <v>1408</v>
      </c>
      <c r="B70" s="182">
        <v>22399421094731</v>
      </c>
      <c r="C70" s="131" t="s">
        <v>1407</v>
      </c>
      <c r="D70" s="131" t="s">
        <v>1427</v>
      </c>
      <c r="E70" s="132" t="s">
        <v>1385</v>
      </c>
      <c r="F70" s="133" t="s">
        <v>1592</v>
      </c>
      <c r="G70" s="133" t="s">
        <v>1593</v>
      </c>
      <c r="H70" s="37"/>
      <c r="I70" s="37"/>
      <c r="J70" s="37"/>
      <c r="K70" s="37"/>
      <c r="L70" s="159"/>
      <c r="M70" s="123"/>
      <c r="N70" s="135"/>
      <c r="O70" s="136"/>
      <c r="P70" s="123" t="s">
        <v>1412</v>
      </c>
      <c r="Q70" s="123" t="s">
        <v>1494</v>
      </c>
      <c r="R70" s="135">
        <v>148</v>
      </c>
      <c r="S70" s="136">
        <v>36.9</v>
      </c>
      <c r="T70" s="123" t="s">
        <v>1413</v>
      </c>
      <c r="U70" s="123" t="s">
        <v>1413</v>
      </c>
      <c r="V70" s="135">
        <v>133</v>
      </c>
      <c r="W70" s="136">
        <v>34.44</v>
      </c>
      <c r="X70" s="123"/>
      <c r="Y70" s="123"/>
      <c r="Z70" s="135"/>
      <c r="AA70" s="136"/>
      <c r="AB70" s="123" t="s">
        <v>1414</v>
      </c>
      <c r="AC70" s="123" t="s">
        <v>1414</v>
      </c>
      <c r="AD70" s="135">
        <v>137</v>
      </c>
      <c r="AE70" s="136">
        <v>35.21</v>
      </c>
      <c r="AF70" s="123"/>
      <c r="AG70" s="123"/>
      <c r="AH70" s="135"/>
      <c r="AI70" s="136"/>
      <c r="AJ70" s="123" t="s">
        <v>1337</v>
      </c>
      <c r="AK70" s="123" t="s">
        <v>1337</v>
      </c>
      <c r="AL70" s="135">
        <v>143</v>
      </c>
      <c r="AM70" s="136">
        <v>35.99</v>
      </c>
      <c r="AN70" s="123"/>
      <c r="AO70" s="123"/>
      <c r="AP70" s="135"/>
      <c r="AQ70" s="136"/>
      <c r="AR70" s="123"/>
      <c r="AS70" s="123"/>
      <c r="AT70" s="135"/>
      <c r="AU70" s="136"/>
      <c r="AV70" s="123" t="s">
        <v>1415</v>
      </c>
      <c r="AW70" s="123" t="s">
        <v>1415</v>
      </c>
      <c r="AX70" s="135">
        <v>137</v>
      </c>
      <c r="AY70" s="136">
        <v>35.369999999999997</v>
      </c>
      <c r="AZ70" s="123"/>
      <c r="BA70" s="122"/>
      <c r="BB70" s="135"/>
      <c r="BC70" s="136"/>
      <c r="BD70" s="123" t="s">
        <v>1416</v>
      </c>
      <c r="BE70" s="123" t="s">
        <v>1416</v>
      </c>
      <c r="BF70" s="135">
        <v>113</v>
      </c>
      <c r="BG70" s="136">
        <v>30.31</v>
      </c>
      <c r="BH70" s="123"/>
      <c r="BI70" s="122"/>
      <c r="BJ70" s="135"/>
      <c r="BK70" s="136"/>
      <c r="BL70" s="123" t="s">
        <v>1417</v>
      </c>
      <c r="BM70" s="122" t="s">
        <v>1417</v>
      </c>
      <c r="BN70" s="135">
        <v>183</v>
      </c>
      <c r="BO70" s="136">
        <v>41.2</v>
      </c>
      <c r="BP70" s="137"/>
      <c r="BQ70" s="138"/>
      <c r="BR70" s="135"/>
      <c r="BS70" s="139"/>
      <c r="BT70" s="123" t="s">
        <v>1418</v>
      </c>
      <c r="BU70" s="122" t="s">
        <v>1418</v>
      </c>
      <c r="BV70" s="135">
        <v>86</v>
      </c>
      <c r="BW70" s="139">
        <v>26.06</v>
      </c>
      <c r="BX70" s="127" t="s">
        <v>1457</v>
      </c>
      <c r="BY70" s="127" t="s">
        <v>1457</v>
      </c>
      <c r="BZ70" s="135">
        <v>134</v>
      </c>
      <c r="CA70" s="139">
        <v>38.520000000000003</v>
      </c>
      <c r="CB70" s="127" t="s">
        <v>1420</v>
      </c>
      <c r="CC70" s="127" t="s">
        <v>1420</v>
      </c>
      <c r="CD70" s="135">
        <v>107</v>
      </c>
      <c r="CE70" s="139">
        <v>29.1</v>
      </c>
      <c r="CF70" s="127"/>
      <c r="CG70" s="127"/>
      <c r="CH70" s="135"/>
      <c r="CI70" s="139"/>
      <c r="CJ70" s="127"/>
      <c r="CK70" s="127"/>
      <c r="CL70" s="135"/>
      <c r="CM70" s="139"/>
      <c r="CN70" s="127"/>
      <c r="CO70" s="127"/>
      <c r="CP70" s="135"/>
      <c r="CQ70" s="139"/>
      <c r="CR70" s="127"/>
      <c r="CS70" s="127"/>
      <c r="CT70" s="135"/>
      <c r="CU70" s="139"/>
      <c r="CV70" s="127" t="s">
        <v>1349</v>
      </c>
      <c r="CW70" s="127" t="s">
        <v>1349</v>
      </c>
      <c r="CX70" s="135">
        <v>241</v>
      </c>
      <c r="CY70" s="139">
        <v>67.63</v>
      </c>
      <c r="CZ70" s="127" t="s">
        <v>1349</v>
      </c>
      <c r="DA70" s="127" t="s">
        <v>1349</v>
      </c>
      <c r="DB70" s="135">
        <v>241</v>
      </c>
      <c r="DC70" s="139">
        <v>67.63</v>
      </c>
      <c r="DD70" s="127" t="s">
        <v>1421</v>
      </c>
      <c r="DE70" s="127" t="s">
        <v>1421</v>
      </c>
      <c r="DF70" s="135">
        <v>155</v>
      </c>
      <c r="DG70" s="139">
        <v>36.79</v>
      </c>
      <c r="DH70" s="127" t="s">
        <v>1421</v>
      </c>
      <c r="DI70" s="127" t="s">
        <v>1421</v>
      </c>
      <c r="DJ70" s="135">
        <v>155</v>
      </c>
      <c r="DK70" s="139">
        <v>36.79</v>
      </c>
      <c r="DL70" s="127" t="s">
        <v>1421</v>
      </c>
      <c r="DM70" s="127" t="s">
        <v>1421</v>
      </c>
      <c r="DN70" s="135">
        <v>155</v>
      </c>
      <c r="DO70" s="139">
        <v>36.79</v>
      </c>
      <c r="DP70" s="127"/>
      <c r="DQ70" s="127"/>
      <c r="DR70" s="135"/>
      <c r="DS70" s="139"/>
      <c r="DT70" s="127"/>
      <c r="DU70" s="127"/>
      <c r="DV70" s="135"/>
      <c r="DW70" s="139"/>
      <c r="DX70" s="127"/>
      <c r="DY70" s="127"/>
      <c r="DZ70" s="135"/>
      <c r="EA70" s="139"/>
    </row>
    <row r="71" spans="1:131" ht="64.5" thickBot="1" x14ac:dyDescent="0.25">
      <c r="A71" s="183" t="s">
        <v>1408</v>
      </c>
      <c r="B71" s="184">
        <v>22341244452947</v>
      </c>
      <c r="C71" s="185" t="s">
        <v>1407</v>
      </c>
      <c r="D71" s="185" t="s">
        <v>1427</v>
      </c>
      <c r="E71" s="186" t="s">
        <v>1500</v>
      </c>
      <c r="F71" s="187" t="s">
        <v>1594</v>
      </c>
      <c r="G71" s="187" t="s">
        <v>1595</v>
      </c>
      <c r="H71" s="37"/>
      <c r="I71" s="37"/>
      <c r="J71" s="37"/>
      <c r="K71" s="37"/>
      <c r="L71" s="188"/>
      <c r="M71" s="189"/>
      <c r="N71" s="190"/>
      <c r="O71" s="191"/>
      <c r="P71" s="123" t="s">
        <v>1412</v>
      </c>
      <c r="Q71" s="123" t="s">
        <v>1494</v>
      </c>
      <c r="R71" s="190">
        <v>278</v>
      </c>
      <c r="S71" s="191">
        <v>70.14</v>
      </c>
      <c r="T71" s="189" t="s">
        <v>1413</v>
      </c>
      <c r="U71" s="189" t="s">
        <v>1413</v>
      </c>
      <c r="V71" s="190">
        <v>292</v>
      </c>
      <c r="W71" s="191">
        <v>58.38</v>
      </c>
      <c r="X71" s="189"/>
      <c r="Y71" s="189"/>
      <c r="Z71" s="190"/>
      <c r="AA71" s="191"/>
      <c r="AB71" s="189" t="s">
        <v>1414</v>
      </c>
      <c r="AC71" s="189" t="s">
        <v>1414</v>
      </c>
      <c r="AD71" s="190">
        <v>237</v>
      </c>
      <c r="AE71" s="191">
        <v>49.98</v>
      </c>
      <c r="AF71" s="189"/>
      <c r="AG71" s="189"/>
      <c r="AH71" s="190"/>
      <c r="AI71" s="191"/>
      <c r="AJ71" s="189" t="s">
        <v>1337</v>
      </c>
      <c r="AK71" s="189" t="s">
        <v>1337</v>
      </c>
      <c r="AL71" s="190">
        <v>200</v>
      </c>
      <c r="AM71" s="191">
        <v>44.04</v>
      </c>
      <c r="AN71" s="189"/>
      <c r="AO71" s="189"/>
      <c r="AP71" s="190"/>
      <c r="AQ71" s="191"/>
      <c r="AR71" s="189"/>
      <c r="AS71" s="189"/>
      <c r="AT71" s="190"/>
      <c r="AU71" s="191"/>
      <c r="AV71" s="189" t="s">
        <v>1415</v>
      </c>
      <c r="AW71" s="189" t="s">
        <v>1415</v>
      </c>
      <c r="AX71" s="190">
        <v>169</v>
      </c>
      <c r="AY71" s="191">
        <v>39.409999999999997</v>
      </c>
      <c r="AZ71" s="189"/>
      <c r="BA71" s="192"/>
      <c r="BB71" s="190"/>
      <c r="BC71" s="191"/>
      <c r="BD71" s="189" t="s">
        <v>1416</v>
      </c>
      <c r="BE71" s="189" t="s">
        <v>1416</v>
      </c>
      <c r="BF71" s="190">
        <v>171</v>
      </c>
      <c r="BG71" s="191">
        <v>38.61</v>
      </c>
      <c r="BH71" s="189"/>
      <c r="BI71" s="192"/>
      <c r="BJ71" s="190"/>
      <c r="BK71" s="191"/>
      <c r="BL71" s="189" t="s">
        <v>1417</v>
      </c>
      <c r="BM71" s="192" t="s">
        <v>1417</v>
      </c>
      <c r="BN71" s="190">
        <v>187</v>
      </c>
      <c r="BO71" s="191">
        <v>41.06</v>
      </c>
      <c r="BP71" s="193"/>
      <c r="BQ71" s="194"/>
      <c r="BR71" s="190"/>
      <c r="BS71" s="195"/>
      <c r="BT71" s="189" t="s">
        <v>1418</v>
      </c>
      <c r="BU71" s="192" t="s">
        <v>1418</v>
      </c>
      <c r="BV71" s="190">
        <v>199</v>
      </c>
      <c r="BW71" s="195">
        <v>42.78</v>
      </c>
      <c r="BX71" s="196" t="s">
        <v>1457</v>
      </c>
      <c r="BY71" s="196" t="s">
        <v>1457</v>
      </c>
      <c r="BZ71" s="190">
        <v>299</v>
      </c>
      <c r="CA71" s="195">
        <v>77.459999999999994</v>
      </c>
      <c r="CB71" s="196" t="s">
        <v>1420</v>
      </c>
      <c r="CC71" s="196" t="s">
        <v>1420</v>
      </c>
      <c r="CD71" s="190">
        <v>255</v>
      </c>
      <c r="CE71" s="195">
        <v>66.64</v>
      </c>
      <c r="CF71" s="196"/>
      <c r="CG71" s="196"/>
      <c r="CH71" s="190"/>
      <c r="CI71" s="195"/>
      <c r="CJ71" s="196"/>
      <c r="CK71" s="196"/>
      <c r="CL71" s="190"/>
      <c r="CM71" s="195"/>
      <c r="CN71" s="196"/>
      <c r="CO71" s="196"/>
      <c r="CP71" s="190"/>
      <c r="CQ71" s="195"/>
      <c r="CR71" s="196"/>
      <c r="CS71" s="196"/>
      <c r="CT71" s="190"/>
      <c r="CU71" s="195"/>
      <c r="CV71" s="196" t="s">
        <v>1349</v>
      </c>
      <c r="CW71" s="196" t="s">
        <v>1349</v>
      </c>
      <c r="CX71" s="190">
        <v>554</v>
      </c>
      <c r="CY71" s="195">
        <v>144.13999999999999</v>
      </c>
      <c r="CZ71" s="196" t="s">
        <v>1349</v>
      </c>
      <c r="DA71" s="196" t="s">
        <v>1349</v>
      </c>
      <c r="DB71" s="190">
        <v>554</v>
      </c>
      <c r="DC71" s="195">
        <v>144.13999999999999</v>
      </c>
      <c r="DD71" s="196" t="s">
        <v>1421</v>
      </c>
      <c r="DE71" s="196" t="s">
        <v>1421</v>
      </c>
      <c r="DF71" s="190">
        <v>262</v>
      </c>
      <c r="DG71" s="195">
        <v>68.5</v>
      </c>
      <c r="DH71" s="196" t="s">
        <v>1421</v>
      </c>
      <c r="DI71" s="196" t="s">
        <v>1421</v>
      </c>
      <c r="DJ71" s="190">
        <v>262</v>
      </c>
      <c r="DK71" s="195">
        <v>68.5</v>
      </c>
      <c r="DL71" s="196" t="s">
        <v>1421</v>
      </c>
      <c r="DM71" s="196" t="s">
        <v>1421</v>
      </c>
      <c r="DN71" s="190">
        <v>262</v>
      </c>
      <c r="DO71" s="195">
        <v>68.5</v>
      </c>
      <c r="DP71" s="196"/>
      <c r="DQ71" s="196"/>
      <c r="DR71" s="190"/>
      <c r="DS71" s="195"/>
      <c r="DT71" s="196"/>
      <c r="DU71" s="196"/>
      <c r="DV71" s="190"/>
      <c r="DW71" s="195"/>
      <c r="DX71" s="196"/>
      <c r="DY71" s="196"/>
      <c r="DZ71" s="190"/>
      <c r="EA71" s="195"/>
    </row>
    <row r="72" spans="1:131" ht="13.5" thickBot="1" x14ac:dyDescent="0.25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  <c r="AR72" s="197"/>
      <c r="AS72" s="197"/>
      <c r="AT72" s="197"/>
      <c r="AU72" s="197"/>
      <c r="AV72" s="197"/>
      <c r="AW72" s="197"/>
      <c r="AX72" s="197"/>
      <c r="AY72" s="197"/>
      <c r="AZ72" s="197"/>
      <c r="BA72" s="197"/>
      <c r="BB72" s="197"/>
      <c r="BC72" s="197"/>
      <c r="BD72" s="197"/>
      <c r="BE72" s="197"/>
      <c r="BF72" s="197"/>
      <c r="BG72" s="197"/>
      <c r="BH72" s="197"/>
      <c r="BI72" s="197"/>
      <c r="BJ72" s="197"/>
      <c r="BK72" s="197"/>
      <c r="BL72" s="197"/>
      <c r="BM72" s="197"/>
      <c r="BN72" s="197"/>
      <c r="BO72" s="197"/>
      <c r="BP72" s="197"/>
      <c r="BQ72" s="197"/>
      <c r="BR72" s="197"/>
      <c r="BS72" s="197"/>
      <c r="BT72" s="197"/>
      <c r="BU72" s="197"/>
      <c r="BV72" s="197"/>
      <c r="BW72" s="197"/>
      <c r="BX72" s="197"/>
      <c r="BY72" s="197"/>
      <c r="BZ72" s="197"/>
      <c r="CA72" s="197"/>
      <c r="CB72" s="197"/>
      <c r="CC72" s="197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7"/>
      <c r="CO72" s="197"/>
      <c r="CP72" s="197"/>
      <c r="CQ72" s="197"/>
      <c r="CR72" s="197"/>
      <c r="CS72" s="197"/>
      <c r="CT72" s="197"/>
      <c r="CU72" s="197"/>
      <c r="CV72" s="197"/>
      <c r="CW72" s="197"/>
      <c r="CX72" s="197"/>
      <c r="CY72" s="197"/>
      <c r="CZ72" s="197"/>
      <c r="DA72" s="197"/>
      <c r="DB72" s="197"/>
      <c r="DC72" s="197"/>
      <c r="DD72" s="197"/>
      <c r="DE72" s="197"/>
      <c r="DF72" s="197"/>
      <c r="DG72" s="197"/>
      <c r="DH72" s="197"/>
      <c r="DI72" s="197"/>
      <c r="DJ72" s="197"/>
      <c r="DK72" s="197"/>
      <c r="DL72" s="197"/>
      <c r="DM72" s="197"/>
      <c r="DN72" s="197"/>
      <c r="DO72" s="197"/>
      <c r="DP72" s="197"/>
      <c r="DQ72" s="197"/>
      <c r="DR72" s="197"/>
      <c r="DS72" s="197"/>
      <c r="DT72" s="197"/>
      <c r="DU72" s="197"/>
      <c r="DV72" s="197"/>
      <c r="DW72" s="197"/>
      <c r="DX72" s="197"/>
      <c r="DY72" s="197"/>
      <c r="DZ72" s="197"/>
      <c r="EA72" s="197"/>
    </row>
    <row r="73" spans="1:131" ht="13.5" thickBot="1" x14ac:dyDescent="0.25">
      <c r="A73" s="197"/>
      <c r="B73" s="197"/>
      <c r="C73" s="197"/>
      <c r="D73" s="197"/>
      <c r="E73" s="197"/>
      <c r="F73" s="539" t="s">
        <v>1596</v>
      </c>
      <c r="G73" s="540"/>
      <c r="H73" s="102"/>
      <c r="I73" s="102"/>
      <c r="J73" s="102"/>
      <c r="K73" s="198">
        <f>SUM(K10:K72)</f>
        <v>27462.070000000003</v>
      </c>
      <c r="L73" s="102"/>
      <c r="M73" s="102"/>
      <c r="N73" s="102"/>
      <c r="O73" s="198">
        <f>SUM(O10:O72)</f>
        <v>15069.149999999998</v>
      </c>
      <c r="P73" s="102"/>
      <c r="Q73" s="102"/>
      <c r="R73" s="102"/>
      <c r="S73" s="198">
        <f>SUM(S10:S72)</f>
        <v>12888.73</v>
      </c>
      <c r="T73" s="102"/>
      <c r="U73" s="102"/>
      <c r="V73" s="102"/>
      <c r="W73" s="198">
        <f>SUM(W10:W72)</f>
        <v>10836.44</v>
      </c>
      <c r="X73" s="102"/>
      <c r="Y73" s="102"/>
      <c r="Z73" s="102"/>
      <c r="AA73" s="198">
        <f>SUM(AA10:AA72)</f>
        <v>10143.619999999999</v>
      </c>
      <c r="AB73" s="102"/>
      <c r="AC73" s="102"/>
      <c r="AD73" s="102"/>
      <c r="AE73" s="198">
        <f>SUM(AE10:AE72)</f>
        <v>10088.43</v>
      </c>
      <c r="AF73" s="102"/>
      <c r="AG73" s="102"/>
      <c r="AH73" s="102"/>
      <c r="AI73" s="198">
        <f>SUM(AI10:AI72)</f>
        <v>7001.5500000000011</v>
      </c>
      <c r="AJ73" s="102"/>
      <c r="AK73" s="102"/>
      <c r="AL73" s="102"/>
      <c r="AM73" s="198">
        <f>SUM(AM10:AM72)</f>
        <v>8879.6199999999972</v>
      </c>
      <c r="AN73" s="102"/>
      <c r="AO73" s="102"/>
      <c r="AP73" s="102"/>
      <c r="AQ73" s="198">
        <f>SUM(AQ10:AQ72)</f>
        <v>6502.35</v>
      </c>
      <c r="AR73" s="102"/>
      <c r="AS73" s="102"/>
      <c r="AT73" s="102"/>
      <c r="AU73" s="198">
        <f>SUM(AU10:AU72)</f>
        <v>8112.1899999999987</v>
      </c>
      <c r="AV73" s="102"/>
      <c r="AW73" s="102"/>
      <c r="AX73" s="102"/>
      <c r="AY73" s="198">
        <f>SUM(AY10:AY72)</f>
        <v>9174.1400000000031</v>
      </c>
      <c r="AZ73" s="102"/>
      <c r="BA73" s="102"/>
      <c r="BB73" s="102"/>
      <c r="BC73" s="198">
        <f>SUM(BC10:BC72)</f>
        <v>8003.4100000000008</v>
      </c>
      <c r="BD73" s="102"/>
      <c r="BE73" s="102"/>
      <c r="BF73" s="102"/>
      <c r="BG73" s="198">
        <f>SUM(BG10:BG72)</f>
        <v>7567.65</v>
      </c>
      <c r="BH73" s="102"/>
      <c r="BI73" s="102"/>
      <c r="BJ73" s="102"/>
      <c r="BK73" s="198">
        <f>SUM(BK10:BK72)</f>
        <v>9254.08</v>
      </c>
      <c r="BL73" s="102"/>
      <c r="BM73" s="102"/>
      <c r="BN73" s="102"/>
      <c r="BO73" s="198">
        <f>SUM(BO10:BO72)</f>
        <v>8925</v>
      </c>
      <c r="BP73" s="102"/>
      <c r="BQ73" s="102"/>
      <c r="BR73" s="102"/>
      <c r="BS73" s="198">
        <f>SUM(BS10:BS72)</f>
        <v>15853.86</v>
      </c>
      <c r="BT73" s="102"/>
      <c r="BU73" s="102"/>
      <c r="BV73" s="102"/>
      <c r="BW73" s="198">
        <f>SUM(BW10:BW72)</f>
        <v>10075.57</v>
      </c>
      <c r="BX73" s="102"/>
      <c r="BY73" s="102"/>
      <c r="BZ73" s="102"/>
      <c r="CA73" s="198">
        <f>SUM(CA10:CA72)</f>
        <v>17338.659999999996</v>
      </c>
      <c r="CB73" s="102"/>
      <c r="CC73" s="102"/>
      <c r="CD73" s="102"/>
      <c r="CE73" s="198">
        <f>SUM(CE10:CE72)</f>
        <v>16324.719999999998</v>
      </c>
      <c r="CF73" s="102"/>
      <c r="CG73" s="102"/>
      <c r="CH73" s="102"/>
      <c r="CI73" s="198">
        <f>SUM(CI10:CI72)</f>
        <v>28493.52</v>
      </c>
      <c r="CJ73" s="102"/>
      <c r="CK73" s="102"/>
      <c r="CL73" s="102"/>
      <c r="CM73" s="198">
        <f>SUM(CM10:CM72)</f>
        <v>17943.030000000002</v>
      </c>
      <c r="CN73" s="102"/>
      <c r="CO73" s="102"/>
      <c r="CP73" s="102"/>
      <c r="CQ73" s="198">
        <f>SUM(CQ10:CQ72)</f>
        <v>46436.549999999996</v>
      </c>
      <c r="CR73" s="102"/>
      <c r="CS73" s="102"/>
      <c r="CT73" s="102"/>
      <c r="CU73" s="198">
        <f>SUM(CU10:CU72)</f>
        <v>46436.549999999996</v>
      </c>
      <c r="CV73" s="102"/>
      <c r="CW73" s="102"/>
      <c r="CX73" s="102"/>
      <c r="CY73" s="198">
        <f>SUM(CY10:CY72)</f>
        <v>33675.129999999997</v>
      </c>
      <c r="CZ73" s="102"/>
      <c r="DA73" s="102"/>
      <c r="DB73" s="102"/>
      <c r="DC73" s="198">
        <f>SUM(DC10:DC72)</f>
        <v>33675.129999999997</v>
      </c>
      <c r="DD73" s="102"/>
      <c r="DE73" s="102"/>
      <c r="DF73" s="102"/>
      <c r="DG73" s="198">
        <f>SUM(DG10:DG72)</f>
        <v>14921.640000000001</v>
      </c>
      <c r="DH73" s="102"/>
      <c r="DI73" s="102"/>
      <c r="DJ73" s="102"/>
      <c r="DK73" s="198">
        <f>SUM(DK10:DK72)</f>
        <v>14921.640000000001</v>
      </c>
      <c r="DL73" s="102"/>
      <c r="DM73" s="102"/>
      <c r="DN73" s="102"/>
      <c r="DO73" s="198">
        <f>SUM(DO10:DO72)</f>
        <v>14921.640000000001</v>
      </c>
      <c r="DP73" s="102"/>
      <c r="DQ73" s="102"/>
      <c r="DR73" s="102"/>
      <c r="DS73" s="198">
        <f>SUM(DS10:DS72)</f>
        <v>26419.789999999997</v>
      </c>
      <c r="DT73" s="102"/>
      <c r="DU73" s="102"/>
      <c r="DV73" s="102"/>
      <c r="DW73" s="198">
        <f>SUM(DW10:DW72)</f>
        <v>26419.789999999997</v>
      </c>
      <c r="DX73" s="102"/>
      <c r="DY73" s="102"/>
      <c r="DZ73" s="102"/>
      <c r="EA73" s="198">
        <f>SUM(EA10:EA72)</f>
        <v>26419.789999999997</v>
      </c>
    </row>
    <row r="74" spans="1:131" ht="13.5" thickBot="1" x14ac:dyDescent="0.25">
      <c r="A74" s="102"/>
      <c r="B74" s="102"/>
      <c r="C74" s="102"/>
      <c r="D74" s="102"/>
      <c r="E74" s="102"/>
      <c r="F74" s="102"/>
      <c r="G74" s="102"/>
      <c r="K74" s="5"/>
      <c r="O74" s="5"/>
      <c r="S74" s="5"/>
      <c r="W74" s="5"/>
      <c r="AA74" s="5"/>
      <c r="AE74" s="5"/>
      <c r="AI74" s="5"/>
      <c r="AM74" s="5"/>
      <c r="AQ74" s="5"/>
      <c r="AU74" s="5"/>
      <c r="AY74" s="5"/>
      <c r="BC74" s="5"/>
      <c r="BG74" s="5"/>
      <c r="BK74" s="5"/>
      <c r="BO74" s="5"/>
      <c r="BS74" s="5"/>
      <c r="BW74" s="5"/>
      <c r="CA74" s="5"/>
      <c r="CE74" s="5"/>
      <c r="CI74" s="5"/>
      <c r="CM74" s="5"/>
      <c r="CQ74" s="5"/>
      <c r="CU74" s="5"/>
      <c r="CY74" s="5"/>
      <c r="DC74" s="5"/>
      <c r="DG74" s="5"/>
      <c r="DK74" s="5"/>
      <c r="DO74" s="5"/>
      <c r="DS74" s="5"/>
      <c r="DW74" s="5"/>
      <c r="EA74" s="5"/>
    </row>
    <row r="75" spans="1:131" ht="39" thickBot="1" x14ac:dyDescent="0.25">
      <c r="A75" s="102"/>
      <c r="B75" s="102"/>
      <c r="C75" s="102"/>
      <c r="D75" s="102"/>
      <c r="E75" s="102"/>
      <c r="F75" s="102" t="s">
        <v>1597</v>
      </c>
      <c r="G75" s="199">
        <f>EQ73+FK73+FO73</f>
        <v>0</v>
      </c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102"/>
      <c r="BB75" s="102"/>
      <c r="BC75" s="102"/>
      <c r="BD75" s="102"/>
      <c r="BE75" s="102"/>
      <c r="BF75" s="102"/>
      <c r="BG75" s="102"/>
      <c r="BH75" s="102"/>
      <c r="BI75" s="102"/>
      <c r="BJ75" s="102"/>
      <c r="BK75" s="102"/>
      <c r="BL75" s="102"/>
      <c r="BM75" s="102"/>
      <c r="BN75" s="102"/>
      <c r="BO75" s="102"/>
      <c r="BP75" s="102"/>
      <c r="BQ75" s="102"/>
      <c r="BR75" s="102"/>
      <c r="BS75" s="102"/>
      <c r="BT75" s="102"/>
      <c r="BU75" s="102"/>
      <c r="BV75" s="102"/>
      <c r="BW75" s="102"/>
      <c r="BX75" s="102"/>
      <c r="BY75" s="102"/>
      <c r="BZ75" s="102"/>
      <c r="CA75" s="102"/>
      <c r="CB75" s="102"/>
      <c r="CC75" s="102"/>
      <c r="CD75" s="102"/>
      <c r="CE75" s="102"/>
      <c r="CF75" s="102"/>
      <c r="CG75" s="102"/>
      <c r="CH75" s="102"/>
      <c r="CI75" s="102"/>
      <c r="CJ75" s="102"/>
      <c r="CK75" s="102"/>
      <c r="CL75" s="102"/>
      <c r="CM75" s="102"/>
      <c r="CN75" s="102"/>
      <c r="CO75" s="102"/>
      <c r="CP75" s="102"/>
      <c r="CQ75" s="102"/>
      <c r="CR75" s="102"/>
      <c r="CS75" s="102"/>
      <c r="CT75" s="102"/>
      <c r="CU75" s="102"/>
      <c r="CV75" s="102"/>
      <c r="CW75" s="102"/>
      <c r="CX75" s="102"/>
      <c r="CY75" s="102"/>
      <c r="CZ75" s="102"/>
      <c r="DA75" s="102"/>
      <c r="DB75" s="102"/>
      <c r="DC75" s="102"/>
      <c r="DD75" s="102"/>
      <c r="DE75" s="102"/>
      <c r="DF75" s="102"/>
      <c r="DG75" s="102"/>
      <c r="DH75" s="102"/>
      <c r="DI75" s="102"/>
      <c r="DJ75" s="102"/>
      <c r="DK75" s="102"/>
      <c r="DL75" s="102"/>
      <c r="DM75" s="102"/>
      <c r="DN75" s="102"/>
      <c r="DO75" s="102"/>
      <c r="DP75" s="102"/>
      <c r="DQ75" s="102"/>
      <c r="DR75" s="102"/>
      <c r="DS75" s="102"/>
      <c r="DT75" s="102"/>
      <c r="DU75" s="102"/>
      <c r="DV75" s="102"/>
      <c r="DW75" s="102"/>
      <c r="DX75" s="102"/>
      <c r="DY75" s="102"/>
      <c r="DZ75" s="102"/>
      <c r="EA75" s="102"/>
    </row>
    <row r="76" spans="1:131" ht="13.5" thickBot="1" x14ac:dyDescent="0.25">
      <c r="A76" s="102"/>
      <c r="B76" s="102"/>
      <c r="C76" s="102"/>
      <c r="D76" s="102"/>
      <c r="E76" s="102"/>
      <c r="F76" s="102"/>
      <c r="G76" s="200"/>
      <c r="H76" s="102"/>
      <c r="I76" s="102"/>
      <c r="J76" s="102"/>
      <c r="K76" s="201"/>
      <c r="L76" s="102"/>
      <c r="M76" s="102"/>
      <c r="N76" s="102"/>
      <c r="O76" s="201"/>
      <c r="P76" s="102"/>
      <c r="Q76" s="102"/>
      <c r="R76" s="102"/>
      <c r="S76" s="201"/>
      <c r="T76" s="102"/>
      <c r="U76" s="102"/>
      <c r="V76" s="102"/>
      <c r="W76" s="201"/>
      <c r="X76" s="102"/>
      <c r="Y76" s="102"/>
      <c r="Z76" s="102"/>
      <c r="AA76" s="201"/>
      <c r="AB76" s="102"/>
      <c r="AC76" s="102"/>
      <c r="AD76" s="102"/>
      <c r="AE76" s="201"/>
      <c r="AF76" s="102"/>
      <c r="AG76" s="102"/>
      <c r="AH76" s="102"/>
      <c r="AI76" s="201"/>
      <c r="AJ76" s="102"/>
      <c r="AK76" s="102"/>
      <c r="AL76" s="102"/>
      <c r="AM76" s="201"/>
      <c r="AN76" s="102"/>
      <c r="AO76" s="102"/>
      <c r="AP76" s="102"/>
      <c r="AQ76" s="201"/>
      <c r="AR76" s="102"/>
      <c r="AS76" s="102"/>
      <c r="AT76" s="102"/>
      <c r="AU76" s="201"/>
      <c r="AV76" s="102"/>
      <c r="AW76" s="102"/>
      <c r="AX76" s="102"/>
      <c r="AY76" s="201"/>
      <c r="AZ76" s="102"/>
      <c r="BA76" s="102"/>
      <c r="BB76" s="102"/>
      <c r="BC76" s="201"/>
      <c r="BD76" s="102"/>
      <c r="BE76" s="102"/>
      <c r="BF76" s="102"/>
      <c r="BG76" s="201"/>
      <c r="BH76" s="102"/>
      <c r="BI76" s="102"/>
      <c r="BJ76" s="102"/>
      <c r="BK76" s="201"/>
      <c r="BL76" s="102"/>
      <c r="BM76" s="102"/>
      <c r="BN76" s="102"/>
      <c r="BO76" s="201"/>
      <c r="BP76" s="102"/>
      <c r="BQ76" s="102"/>
      <c r="BR76" s="102"/>
      <c r="BS76" s="201"/>
      <c r="BT76" s="102"/>
      <c r="BU76" s="102"/>
      <c r="BV76" s="102"/>
      <c r="BW76" s="201"/>
      <c r="BX76" s="102"/>
      <c r="BY76" s="102"/>
      <c r="BZ76" s="102"/>
      <c r="CA76" s="201"/>
      <c r="CB76" s="102"/>
      <c r="CC76" s="102"/>
      <c r="CD76" s="102"/>
      <c r="CE76" s="201"/>
      <c r="CF76" s="102"/>
      <c r="CG76" s="102"/>
      <c r="CH76" s="102"/>
      <c r="CI76" s="102"/>
      <c r="CJ76" s="102"/>
      <c r="CK76" s="102"/>
      <c r="CL76" s="102"/>
      <c r="CM76" s="102"/>
      <c r="CN76" s="102"/>
      <c r="CO76" s="102"/>
      <c r="CP76" s="102"/>
      <c r="CQ76" s="102"/>
      <c r="CR76" s="102"/>
      <c r="CS76" s="102"/>
      <c r="CT76" s="102"/>
      <c r="CU76" s="102"/>
      <c r="CV76" s="102"/>
      <c r="CW76" s="102"/>
      <c r="CX76" s="102"/>
      <c r="CY76" s="102"/>
      <c r="CZ76" s="102"/>
      <c r="DA76" s="102"/>
      <c r="DB76" s="102"/>
      <c r="DC76" s="102"/>
      <c r="DD76" s="102"/>
      <c r="DE76" s="102"/>
      <c r="DF76" s="102"/>
      <c r="DG76" s="102"/>
      <c r="DH76" s="102"/>
      <c r="DI76" s="102"/>
      <c r="DJ76" s="102"/>
      <c r="DK76" s="102"/>
      <c r="DL76" s="102"/>
      <c r="DM76" s="102"/>
      <c r="DN76" s="102"/>
      <c r="DO76" s="102"/>
      <c r="DP76" s="102"/>
      <c r="DQ76" s="102"/>
      <c r="DR76" s="102"/>
      <c r="DS76" s="102"/>
      <c r="DT76" s="102"/>
      <c r="DU76" s="102"/>
      <c r="DV76" s="102"/>
      <c r="DW76" s="102"/>
      <c r="DX76" s="102"/>
      <c r="DY76" s="102"/>
      <c r="DZ76" s="102"/>
      <c r="EA76" s="102"/>
    </row>
    <row r="77" spans="1:131" ht="13.5" thickBot="1" x14ac:dyDescent="0.25">
      <c r="A77" s="102"/>
      <c r="B77" s="102"/>
      <c r="C77" s="102"/>
      <c r="D77" s="102"/>
      <c r="E77" s="102"/>
      <c r="F77" s="102" t="s">
        <v>1208</v>
      </c>
      <c r="G77" s="199">
        <f>SUM(G75:G76)</f>
        <v>0</v>
      </c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102"/>
      <c r="BD77" s="102"/>
      <c r="BE77" s="102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02"/>
      <c r="BS77" s="102"/>
      <c r="BT77" s="102"/>
      <c r="BU77" s="102"/>
      <c r="BV77" s="102"/>
      <c r="BW77" s="102"/>
      <c r="BX77" s="102"/>
      <c r="BY77" s="102"/>
      <c r="BZ77" s="102"/>
      <c r="CA77" s="102"/>
      <c r="CB77" s="102"/>
      <c r="CC77" s="102"/>
      <c r="CD77" s="102"/>
      <c r="CE77" s="102"/>
      <c r="CF77" s="102"/>
      <c r="CG77" s="102"/>
      <c r="CH77" s="102"/>
      <c r="CI77" s="102"/>
      <c r="CJ77" s="102"/>
      <c r="CK77" s="102"/>
      <c r="CL77" s="102"/>
      <c r="CM77" s="102"/>
      <c r="CN77" s="102"/>
      <c r="CO77" s="102"/>
      <c r="CP77" s="102"/>
      <c r="CQ77" s="102"/>
      <c r="CR77" s="102"/>
      <c r="CS77" s="102"/>
      <c r="CT77" s="102"/>
      <c r="CU77" s="102"/>
      <c r="CV77" s="102"/>
      <c r="CW77" s="102"/>
      <c r="CX77" s="102"/>
      <c r="CY77" s="102"/>
      <c r="CZ77" s="102"/>
      <c r="DA77" s="102"/>
      <c r="DB77" s="102"/>
      <c r="DC77" s="102"/>
      <c r="DD77" s="102"/>
      <c r="DE77" s="102"/>
      <c r="DF77" s="102"/>
      <c r="DG77" s="102"/>
      <c r="DH77" s="102"/>
      <c r="DI77" s="102"/>
      <c r="DJ77" s="102"/>
      <c r="DK77" s="102"/>
      <c r="DL77" s="102"/>
      <c r="DM77" s="102"/>
      <c r="DN77" s="102"/>
      <c r="DO77" s="102"/>
      <c r="DP77" s="102"/>
      <c r="DQ77" s="102"/>
      <c r="DR77" s="102"/>
      <c r="DS77" s="102"/>
      <c r="DT77" s="102"/>
      <c r="DU77" s="102"/>
      <c r="DV77" s="102"/>
      <c r="DW77" s="102"/>
      <c r="DX77" s="102"/>
      <c r="DY77" s="102"/>
      <c r="DZ77" s="102"/>
      <c r="EA77" s="102"/>
    </row>
    <row r="78" spans="1:131" ht="13.5" thickBot="1" x14ac:dyDescent="0.25">
      <c r="A78" s="102"/>
      <c r="B78" s="102"/>
      <c r="C78" s="102"/>
      <c r="D78" s="102"/>
      <c r="E78" s="102"/>
      <c r="F78" s="102"/>
      <c r="G78" s="200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02"/>
      <c r="BS78" s="102"/>
      <c r="BT78" s="102"/>
      <c r="BU78" s="102"/>
      <c r="BV78" s="102"/>
      <c r="BW78" s="102"/>
      <c r="BX78" s="102"/>
      <c r="BY78" s="102"/>
      <c r="BZ78" s="102"/>
      <c r="CA78" s="102"/>
      <c r="CB78" s="102"/>
      <c r="CC78" s="102"/>
      <c r="CD78" s="102"/>
      <c r="CE78" s="102"/>
      <c r="CF78" s="102"/>
      <c r="CG78" s="102"/>
      <c r="CH78" s="102"/>
      <c r="CI78" s="102"/>
      <c r="CJ78" s="102"/>
      <c r="CK78" s="102"/>
      <c r="CL78" s="102"/>
      <c r="CM78" s="102"/>
      <c r="CN78" s="102"/>
      <c r="CO78" s="102"/>
      <c r="CP78" s="102"/>
      <c r="CQ78" s="102"/>
      <c r="CR78" s="102"/>
      <c r="CS78" s="102"/>
      <c r="CT78" s="102"/>
      <c r="CU78" s="102"/>
      <c r="CV78" s="102"/>
      <c r="CW78" s="102"/>
      <c r="CX78" s="102"/>
      <c r="CY78" s="102"/>
      <c r="CZ78" s="102"/>
      <c r="DA78" s="102"/>
      <c r="DB78" s="102"/>
      <c r="DC78" s="102"/>
      <c r="DD78" s="102"/>
      <c r="DE78" s="102"/>
      <c r="DF78" s="102"/>
      <c r="DG78" s="102"/>
      <c r="DH78" s="102"/>
      <c r="DI78" s="102"/>
      <c r="DJ78" s="102"/>
      <c r="DK78" s="102"/>
      <c r="DL78" s="102"/>
      <c r="DM78" s="102"/>
      <c r="DN78" s="102"/>
      <c r="DO78" s="102"/>
      <c r="DP78" s="102"/>
      <c r="DQ78" s="102"/>
      <c r="DR78" s="102"/>
      <c r="DS78" s="102"/>
      <c r="DT78" s="102"/>
      <c r="DU78" s="102"/>
      <c r="DV78" s="102"/>
      <c r="DW78" s="102"/>
      <c r="DX78" s="102"/>
      <c r="DY78" s="102"/>
      <c r="DZ78" s="102"/>
      <c r="EA78" s="102"/>
    </row>
    <row r="79" spans="1:131" ht="13.5" thickBot="1" x14ac:dyDescent="0.25">
      <c r="A79" s="102"/>
      <c r="B79" s="102"/>
      <c r="C79" s="102"/>
      <c r="D79" s="102"/>
      <c r="E79" s="102"/>
      <c r="F79" s="102" t="s">
        <v>1598</v>
      </c>
      <c r="G79" s="199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  <c r="BC79" s="102"/>
      <c r="BD79" s="102"/>
      <c r="BE79" s="102"/>
      <c r="BF79" s="102"/>
      <c r="BG79" s="102"/>
      <c r="BH79" s="102"/>
      <c r="BI79" s="102"/>
      <c r="BJ79" s="102"/>
      <c r="BK79" s="102"/>
      <c r="BL79" s="102"/>
      <c r="BM79" s="102"/>
      <c r="BN79" s="102"/>
      <c r="BO79" s="102"/>
      <c r="BP79" s="102"/>
      <c r="BQ79" s="102"/>
      <c r="BR79" s="102"/>
      <c r="BS79" s="102"/>
      <c r="BT79" s="102"/>
      <c r="BU79" s="102"/>
      <c r="BV79" s="102"/>
      <c r="BW79" s="102"/>
      <c r="BX79" s="102"/>
      <c r="BY79" s="102"/>
      <c r="BZ79" s="102"/>
      <c r="CA79" s="102"/>
      <c r="CB79" s="102"/>
      <c r="CC79" s="102"/>
      <c r="CD79" s="102"/>
      <c r="CE79" s="102"/>
      <c r="CF79" s="102"/>
      <c r="CG79" s="102"/>
      <c r="CH79" s="102"/>
      <c r="CI79" s="102"/>
      <c r="CJ79" s="102"/>
      <c r="CK79" s="102"/>
      <c r="CL79" s="102"/>
      <c r="CM79" s="102"/>
      <c r="CN79" s="102"/>
      <c r="CO79" s="102"/>
      <c r="CP79" s="102"/>
      <c r="CQ79" s="102"/>
      <c r="CR79" s="102"/>
      <c r="CS79" s="102"/>
      <c r="CT79" s="102"/>
      <c r="CU79" s="102"/>
      <c r="CV79" s="102"/>
      <c r="CW79" s="102"/>
      <c r="CX79" s="102"/>
      <c r="CY79" s="102"/>
      <c r="CZ79" s="102"/>
      <c r="DA79" s="102"/>
      <c r="DB79" s="102"/>
      <c r="DC79" s="102"/>
      <c r="DD79" s="102"/>
      <c r="DE79" s="102"/>
      <c r="DF79" s="102"/>
      <c r="DG79" s="102"/>
      <c r="DH79" s="102"/>
      <c r="DI79" s="102"/>
      <c r="DJ79" s="102"/>
      <c r="DK79" s="102"/>
      <c r="DL79" s="102"/>
      <c r="DM79" s="102"/>
      <c r="DN79" s="102"/>
      <c r="DO79" s="102"/>
      <c r="DP79" s="102"/>
      <c r="DQ79" s="102"/>
      <c r="DR79" s="102"/>
      <c r="DS79" s="102"/>
      <c r="DT79" s="102"/>
      <c r="DU79" s="102"/>
      <c r="DV79" s="102"/>
      <c r="DW79" s="102"/>
      <c r="DX79" s="102"/>
      <c r="DY79" s="102"/>
      <c r="DZ79" s="102"/>
      <c r="EA79" s="102"/>
    </row>
    <row r="80" spans="1:131" ht="13.5" thickBot="1" x14ac:dyDescent="0.25">
      <c r="A80" s="102"/>
      <c r="B80" s="102"/>
      <c r="C80" s="102"/>
      <c r="D80" s="102"/>
      <c r="E80" s="102"/>
      <c r="F80" s="102"/>
      <c r="G80" s="200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102"/>
      <c r="BD80" s="102"/>
      <c r="BE80" s="102"/>
      <c r="BF80" s="102"/>
      <c r="BG80" s="102"/>
      <c r="BH80" s="102"/>
      <c r="BI80" s="102"/>
      <c r="BJ80" s="102"/>
      <c r="BK80" s="102"/>
      <c r="BL80" s="102"/>
      <c r="BM80" s="102"/>
      <c r="BN80" s="102"/>
      <c r="BO80" s="102"/>
      <c r="BP80" s="102"/>
      <c r="BQ80" s="102"/>
      <c r="BR80" s="102"/>
      <c r="BS80" s="102"/>
      <c r="BT80" s="102"/>
      <c r="BU80" s="102"/>
      <c r="BV80" s="102"/>
      <c r="BW80" s="102"/>
      <c r="BX80" s="102"/>
      <c r="BY80" s="102"/>
      <c r="BZ80" s="102"/>
      <c r="CA80" s="102"/>
      <c r="CB80" s="102"/>
      <c r="CC80" s="102"/>
      <c r="CD80" s="102"/>
      <c r="CE80" s="102"/>
      <c r="CF80" s="102"/>
      <c r="CG80" s="102"/>
      <c r="CH80" s="102"/>
      <c r="CI80" s="102"/>
      <c r="CJ80" s="102"/>
      <c r="CK80" s="102"/>
      <c r="CL80" s="102"/>
      <c r="CM80" s="102"/>
      <c r="CN80" s="102"/>
      <c r="CO80" s="102"/>
      <c r="CP80" s="102"/>
      <c r="CQ80" s="102"/>
      <c r="CR80" s="102"/>
      <c r="CS80" s="102"/>
      <c r="CT80" s="102"/>
      <c r="CU80" s="102"/>
      <c r="CV80" s="102"/>
      <c r="CW80" s="102"/>
      <c r="CX80" s="102"/>
      <c r="CY80" s="102"/>
      <c r="CZ80" s="102"/>
      <c r="DA80" s="102"/>
      <c r="DB80" s="102"/>
      <c r="DC80" s="102"/>
      <c r="DD80" s="102"/>
      <c r="DE80" s="102"/>
      <c r="DF80" s="102"/>
      <c r="DG80" s="102"/>
      <c r="DH80" s="102"/>
      <c r="DI80" s="102"/>
      <c r="DJ80" s="102"/>
      <c r="DK80" s="102"/>
      <c r="DL80" s="102"/>
      <c r="DM80" s="102"/>
      <c r="DN80" s="102"/>
      <c r="DO80" s="102"/>
      <c r="DP80" s="102"/>
      <c r="DQ80" s="102"/>
      <c r="DR80" s="102"/>
      <c r="DS80" s="102"/>
      <c r="DT80" s="102"/>
      <c r="DU80" s="102"/>
      <c r="DV80" s="102"/>
      <c r="DW80" s="102"/>
      <c r="DX80" s="102"/>
      <c r="DY80" s="102"/>
      <c r="DZ80" s="102"/>
      <c r="EA80" s="102"/>
    </row>
    <row r="81" spans="1:131" ht="13.5" thickBot="1" x14ac:dyDescent="0.25">
      <c r="A81" s="102"/>
      <c r="B81" s="102"/>
      <c r="C81" s="102"/>
      <c r="D81" s="102"/>
      <c r="E81" s="102"/>
      <c r="F81" s="102" t="s">
        <v>1599</v>
      </c>
      <c r="G81" s="199">
        <f>G79-G77</f>
        <v>0</v>
      </c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/>
      <c r="BC81" s="102"/>
      <c r="BD81" s="102"/>
      <c r="BE81" s="102"/>
      <c r="BF81" s="102"/>
      <c r="BG81" s="102"/>
      <c r="BH81" s="102"/>
      <c r="BI81" s="102"/>
      <c r="BJ81" s="102"/>
      <c r="BK81" s="102"/>
      <c r="BL81" s="102"/>
      <c r="BM81" s="102"/>
      <c r="BN81" s="102"/>
      <c r="BO81" s="102"/>
      <c r="BP81" s="102"/>
      <c r="BQ81" s="102"/>
      <c r="BR81" s="102"/>
      <c r="BS81" s="102"/>
      <c r="BT81" s="102"/>
      <c r="BU81" s="102"/>
      <c r="BV81" s="102"/>
      <c r="BW81" s="102"/>
      <c r="BX81" s="102"/>
      <c r="BY81" s="102"/>
      <c r="BZ81" s="102"/>
      <c r="CA81" s="102"/>
      <c r="CB81" s="102"/>
      <c r="CC81" s="102"/>
      <c r="CD81" s="102"/>
      <c r="CE81" s="102"/>
      <c r="CF81" s="102"/>
      <c r="CG81" s="102"/>
      <c r="CH81" s="102"/>
      <c r="CI81" s="102"/>
      <c r="CJ81" s="102"/>
      <c r="CK81" s="102"/>
      <c r="CL81" s="102"/>
      <c r="CM81" s="102"/>
      <c r="CN81" s="102"/>
      <c r="CO81" s="102"/>
      <c r="CP81" s="102"/>
      <c r="CQ81" s="102"/>
      <c r="CR81" s="102"/>
      <c r="CS81" s="102"/>
      <c r="CT81" s="102"/>
      <c r="CU81" s="102"/>
      <c r="CV81" s="102"/>
      <c r="CW81" s="102"/>
      <c r="CX81" s="102"/>
      <c r="CY81" s="102"/>
      <c r="CZ81" s="102"/>
      <c r="DA81" s="102"/>
      <c r="DB81" s="102"/>
      <c r="DC81" s="102"/>
      <c r="DD81" s="102"/>
      <c r="DE81" s="102"/>
      <c r="DF81" s="102"/>
      <c r="DG81" s="102"/>
      <c r="DH81" s="102"/>
      <c r="DI81" s="102"/>
      <c r="DJ81" s="102"/>
      <c r="DK81" s="102"/>
      <c r="DL81" s="102"/>
      <c r="DM81" s="102"/>
      <c r="DN81" s="102"/>
      <c r="DO81" s="102"/>
      <c r="DP81" s="102"/>
      <c r="DQ81" s="102"/>
      <c r="DR81" s="102"/>
      <c r="DS81" s="102"/>
      <c r="DT81" s="102"/>
      <c r="DU81" s="102"/>
      <c r="DV81" s="102"/>
      <c r="DW81" s="102"/>
      <c r="DX81" s="102"/>
      <c r="DY81" s="102"/>
      <c r="DZ81" s="102"/>
      <c r="EA81" s="102"/>
    </row>
    <row r="82" spans="1:131" x14ac:dyDescent="0.2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  <c r="BC82" s="102"/>
      <c r="BD82" s="102"/>
      <c r="BE82" s="102"/>
      <c r="BF82" s="102"/>
      <c r="BG82" s="102"/>
      <c r="BH82" s="102"/>
      <c r="BI82" s="102"/>
      <c r="BJ82" s="102"/>
      <c r="BK82" s="102"/>
      <c r="BL82" s="102"/>
      <c r="BM82" s="102"/>
      <c r="BN82" s="102"/>
      <c r="BO82" s="102"/>
      <c r="BP82" s="102"/>
      <c r="BQ82" s="102"/>
      <c r="BR82" s="102"/>
      <c r="BS82" s="102"/>
      <c r="BT82" s="102"/>
      <c r="BU82" s="102"/>
      <c r="BV82" s="102"/>
      <c r="BW82" s="102"/>
      <c r="BX82" s="102"/>
      <c r="BY82" s="102"/>
      <c r="BZ82" s="102"/>
      <c r="CA82" s="102"/>
      <c r="CB82" s="102"/>
      <c r="CC82" s="102"/>
      <c r="CD82" s="102"/>
      <c r="CE82" s="102"/>
      <c r="CF82" s="102"/>
      <c r="CG82" s="102"/>
      <c r="CH82" s="102"/>
      <c r="CI82" s="102"/>
      <c r="CJ82" s="102"/>
      <c r="CK82" s="102"/>
      <c r="CL82" s="102"/>
      <c r="CM82" s="102"/>
      <c r="CN82" s="102"/>
      <c r="CO82" s="102"/>
      <c r="CP82" s="102"/>
      <c r="CQ82" s="102"/>
      <c r="CR82" s="102"/>
      <c r="CS82" s="102"/>
      <c r="CT82" s="102"/>
      <c r="CU82" s="102"/>
      <c r="CV82" s="102"/>
      <c r="CW82" s="102"/>
      <c r="CX82" s="102"/>
      <c r="CY82" s="102"/>
      <c r="CZ82" s="102"/>
      <c r="DA82" s="102"/>
      <c r="DB82" s="102"/>
      <c r="DC82" s="102"/>
      <c r="DD82" s="102"/>
      <c r="DE82" s="102"/>
      <c r="DF82" s="102"/>
      <c r="DG82" s="102"/>
      <c r="DH82" s="102"/>
      <c r="DI82" s="102"/>
      <c r="DJ82" s="102"/>
      <c r="DK82" s="102"/>
      <c r="DL82" s="102"/>
      <c r="DM82" s="102"/>
      <c r="DN82" s="102"/>
      <c r="DO82" s="102"/>
      <c r="DP82" s="102"/>
      <c r="DQ82" s="102"/>
      <c r="DR82" s="102"/>
      <c r="DS82" s="102"/>
      <c r="DT82" s="102"/>
      <c r="DU82" s="102"/>
      <c r="DV82" s="102"/>
      <c r="DW82" s="102"/>
      <c r="DX82" s="102"/>
      <c r="DY82" s="102"/>
      <c r="DZ82" s="102"/>
      <c r="EA82" s="102"/>
    </row>
  </sheetData>
  <mergeCells count="553">
    <mergeCell ref="P2:S2"/>
    <mergeCell ref="T2:W2"/>
    <mergeCell ref="X2:AA2"/>
    <mergeCell ref="CN2:CQ2"/>
    <mergeCell ref="CR2:CU2"/>
    <mergeCell ref="AZ2:BC2"/>
    <mergeCell ref="BD2:BG2"/>
    <mergeCell ref="BH2:BK2"/>
    <mergeCell ref="BL2:BO2"/>
    <mergeCell ref="BP2:BS2"/>
    <mergeCell ref="BT2:BW2"/>
    <mergeCell ref="AB2:AE2"/>
    <mergeCell ref="AF2:AI2"/>
    <mergeCell ref="AJ2:AM2"/>
    <mergeCell ref="AN2:AQ2"/>
    <mergeCell ref="AR2:AU2"/>
    <mergeCell ref="AV2:AY2"/>
    <mergeCell ref="AV3:AY3"/>
    <mergeCell ref="AZ3:BC3"/>
    <mergeCell ref="BD3:BG3"/>
    <mergeCell ref="BH3:BK3"/>
    <mergeCell ref="DT2:DW2"/>
    <mergeCell ref="DX2:EA2"/>
    <mergeCell ref="H3:K3"/>
    <mergeCell ref="L3:O3"/>
    <mergeCell ref="P3:S3"/>
    <mergeCell ref="T3:W3"/>
    <mergeCell ref="X3:AA3"/>
    <mergeCell ref="AB3:AE3"/>
    <mergeCell ref="AF3:AI3"/>
    <mergeCell ref="AJ3:AM3"/>
    <mergeCell ref="CV2:CY2"/>
    <mergeCell ref="CZ2:DC2"/>
    <mergeCell ref="DD2:DG2"/>
    <mergeCell ref="DH2:DK2"/>
    <mergeCell ref="DL2:DO2"/>
    <mergeCell ref="DP2:DS2"/>
    <mergeCell ref="BX2:CA2"/>
    <mergeCell ref="CB2:CE2"/>
    <mergeCell ref="CF2:CI2"/>
    <mergeCell ref="CJ2:CM2"/>
    <mergeCell ref="DH3:DK3"/>
    <mergeCell ref="DL3:DO3"/>
    <mergeCell ref="DP3:DS3"/>
    <mergeCell ref="DT3:DW3"/>
    <mergeCell ref="DX3:EA3"/>
    <mergeCell ref="H4:K4"/>
    <mergeCell ref="L4:O4"/>
    <mergeCell ref="P4:S4"/>
    <mergeCell ref="T4:W4"/>
    <mergeCell ref="X4:AA4"/>
    <mergeCell ref="CJ3:CM3"/>
    <mergeCell ref="CN3:CQ3"/>
    <mergeCell ref="CR3:CU3"/>
    <mergeCell ref="CV3:CY3"/>
    <mergeCell ref="CZ3:DC3"/>
    <mergeCell ref="DD3:DG3"/>
    <mergeCell ref="BL3:BO3"/>
    <mergeCell ref="BP3:BS3"/>
    <mergeCell ref="BT3:BW3"/>
    <mergeCell ref="BX3:CA3"/>
    <mergeCell ref="CB3:CE3"/>
    <mergeCell ref="CF3:CI3"/>
    <mergeCell ref="AN3:AQ3"/>
    <mergeCell ref="AR3:AU3"/>
    <mergeCell ref="CN4:CQ4"/>
    <mergeCell ref="CR4:CU4"/>
    <mergeCell ref="AZ4:BC4"/>
    <mergeCell ref="BD4:BG4"/>
    <mergeCell ref="BH4:BK4"/>
    <mergeCell ref="BL4:BO4"/>
    <mergeCell ref="BP4:BS4"/>
    <mergeCell ref="BT4:BW4"/>
    <mergeCell ref="AB4:AE4"/>
    <mergeCell ref="AF4:AI4"/>
    <mergeCell ref="AJ4:AM4"/>
    <mergeCell ref="AN4:AQ4"/>
    <mergeCell ref="AR4:AU4"/>
    <mergeCell ref="AV4:AY4"/>
    <mergeCell ref="AV5:AY5"/>
    <mergeCell ref="AZ5:BC5"/>
    <mergeCell ref="BD5:BG5"/>
    <mergeCell ref="BH5:BK5"/>
    <mergeCell ref="DT4:DW4"/>
    <mergeCell ref="DX4:EA4"/>
    <mergeCell ref="H5:K5"/>
    <mergeCell ref="L5:O5"/>
    <mergeCell ref="P5:S5"/>
    <mergeCell ref="T5:W5"/>
    <mergeCell ref="X5:AA5"/>
    <mergeCell ref="AB5:AE5"/>
    <mergeCell ref="AF5:AI5"/>
    <mergeCell ref="AJ5:AM5"/>
    <mergeCell ref="CV4:CY4"/>
    <mergeCell ref="CZ4:DC4"/>
    <mergeCell ref="DD4:DG4"/>
    <mergeCell ref="DH4:DK4"/>
    <mergeCell ref="DL4:DO4"/>
    <mergeCell ref="DP4:DS4"/>
    <mergeCell ref="BX4:CA4"/>
    <mergeCell ref="CB4:CE4"/>
    <mergeCell ref="CF4:CI4"/>
    <mergeCell ref="CJ4:CM4"/>
    <mergeCell ref="DH5:DK5"/>
    <mergeCell ref="DL5:DO5"/>
    <mergeCell ref="DP5:DS5"/>
    <mergeCell ref="DT5:DW5"/>
    <mergeCell ref="DX5:EA5"/>
    <mergeCell ref="H6:K6"/>
    <mergeCell ref="L6:O6"/>
    <mergeCell ref="P6:S6"/>
    <mergeCell ref="T6:W6"/>
    <mergeCell ref="X6:AA6"/>
    <mergeCell ref="CJ5:CM5"/>
    <mergeCell ref="CN5:CQ5"/>
    <mergeCell ref="CR5:CU5"/>
    <mergeCell ref="CV5:CY5"/>
    <mergeCell ref="CZ5:DC5"/>
    <mergeCell ref="DD5:DG5"/>
    <mergeCell ref="BL5:BO5"/>
    <mergeCell ref="BP5:BS5"/>
    <mergeCell ref="BT5:BW5"/>
    <mergeCell ref="BX5:CA5"/>
    <mergeCell ref="CB5:CE5"/>
    <mergeCell ref="CF5:CI5"/>
    <mergeCell ref="AN5:AQ5"/>
    <mergeCell ref="AR5:AU5"/>
    <mergeCell ref="CN6:CQ6"/>
    <mergeCell ref="CR6:CU6"/>
    <mergeCell ref="AZ6:BC6"/>
    <mergeCell ref="BD6:BG6"/>
    <mergeCell ref="BH6:BK6"/>
    <mergeCell ref="BL6:BO6"/>
    <mergeCell ref="BP6:BS6"/>
    <mergeCell ref="BT6:BW6"/>
    <mergeCell ref="AB6:AE6"/>
    <mergeCell ref="AF6:AI6"/>
    <mergeCell ref="AJ6:AM6"/>
    <mergeCell ref="AN6:AQ6"/>
    <mergeCell ref="AR6:AU6"/>
    <mergeCell ref="AV6:AY6"/>
    <mergeCell ref="AV7:AY7"/>
    <mergeCell ref="AZ7:BC7"/>
    <mergeCell ref="BD7:BG7"/>
    <mergeCell ref="BH7:BK7"/>
    <mergeCell ref="DT6:DW6"/>
    <mergeCell ref="DX6:EA6"/>
    <mergeCell ref="H7:K7"/>
    <mergeCell ref="L7:O7"/>
    <mergeCell ref="P7:S7"/>
    <mergeCell ref="T7:W7"/>
    <mergeCell ref="X7:AA7"/>
    <mergeCell ref="AB7:AE7"/>
    <mergeCell ref="AF7:AI7"/>
    <mergeCell ref="AJ7:AM7"/>
    <mergeCell ref="CV6:CY6"/>
    <mergeCell ref="CZ6:DC6"/>
    <mergeCell ref="DD6:DG6"/>
    <mergeCell ref="DH6:DK6"/>
    <mergeCell ref="DL6:DO6"/>
    <mergeCell ref="DP6:DS6"/>
    <mergeCell ref="BX6:CA6"/>
    <mergeCell ref="CB6:CE6"/>
    <mergeCell ref="CF6:CI6"/>
    <mergeCell ref="CJ6:CM6"/>
    <mergeCell ref="DH7:DK7"/>
    <mergeCell ref="DL7:DO7"/>
    <mergeCell ref="DP7:DS7"/>
    <mergeCell ref="DT7:DW7"/>
    <mergeCell ref="DX7:EA7"/>
    <mergeCell ref="H8:K8"/>
    <mergeCell ref="L8:O8"/>
    <mergeCell ref="P8:S8"/>
    <mergeCell ref="T8:W8"/>
    <mergeCell ref="X8:AA8"/>
    <mergeCell ref="CJ7:CM7"/>
    <mergeCell ref="CN7:CQ7"/>
    <mergeCell ref="CR7:CU7"/>
    <mergeCell ref="CV7:CY7"/>
    <mergeCell ref="CZ7:DC7"/>
    <mergeCell ref="DD7:DG7"/>
    <mergeCell ref="BL7:BO7"/>
    <mergeCell ref="BP7:BS7"/>
    <mergeCell ref="BT7:BW7"/>
    <mergeCell ref="BX7:CA7"/>
    <mergeCell ref="CB7:CE7"/>
    <mergeCell ref="CF7:CI7"/>
    <mergeCell ref="AN7:AQ7"/>
    <mergeCell ref="AR7:AU7"/>
    <mergeCell ref="DP8:DS8"/>
    <mergeCell ref="DT8:DW8"/>
    <mergeCell ref="DX8:EA8"/>
    <mergeCell ref="BX8:CA8"/>
    <mergeCell ref="CB8:CM8"/>
    <mergeCell ref="CN8:CQ8"/>
    <mergeCell ref="CR8:CU8"/>
    <mergeCell ref="CV8:CY8"/>
    <mergeCell ref="CZ8:DC8"/>
    <mergeCell ref="A14:A15"/>
    <mergeCell ref="B14:B15"/>
    <mergeCell ref="C14:C15"/>
    <mergeCell ref="D14:D15"/>
    <mergeCell ref="E14:E15"/>
    <mergeCell ref="G14:G15"/>
    <mergeCell ref="DD8:DG8"/>
    <mergeCell ref="DH8:DK8"/>
    <mergeCell ref="DL8:DO8"/>
    <mergeCell ref="AZ8:BC8"/>
    <mergeCell ref="BD8:BG8"/>
    <mergeCell ref="BH8:BK8"/>
    <mergeCell ref="BL8:BO8"/>
    <mergeCell ref="BP8:BS8"/>
    <mergeCell ref="BT8:BW8"/>
    <mergeCell ref="AB8:AE8"/>
    <mergeCell ref="AF8:AI8"/>
    <mergeCell ref="AJ8:AM8"/>
    <mergeCell ref="AN8:AQ8"/>
    <mergeCell ref="AR8:AU8"/>
    <mergeCell ref="AV8:AY8"/>
    <mergeCell ref="A2:F8"/>
    <mergeCell ref="H2:K2"/>
    <mergeCell ref="L2:O2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Z14:Z15"/>
    <mergeCell ref="AA14:AA15"/>
    <mergeCell ref="AB14:AB15"/>
    <mergeCell ref="AC14:AC15"/>
    <mergeCell ref="AD14:AD15"/>
    <mergeCell ref="AE14:AE15"/>
    <mergeCell ref="T14:T15"/>
    <mergeCell ref="U14:U15"/>
    <mergeCell ref="V14:V15"/>
    <mergeCell ref="W14:W15"/>
    <mergeCell ref="X14:X15"/>
    <mergeCell ref="Y14:Y15"/>
    <mergeCell ref="AL14:AL15"/>
    <mergeCell ref="AM14:AM15"/>
    <mergeCell ref="AN14:AN15"/>
    <mergeCell ref="AO14:AO15"/>
    <mergeCell ref="AP14:AP15"/>
    <mergeCell ref="AQ14:AQ15"/>
    <mergeCell ref="AF14:AF15"/>
    <mergeCell ref="AG14:AG15"/>
    <mergeCell ref="AH14:AH15"/>
    <mergeCell ref="AI14:AI15"/>
    <mergeCell ref="AJ14:AJ15"/>
    <mergeCell ref="AK14:AK15"/>
    <mergeCell ref="AX14:AX15"/>
    <mergeCell ref="AY14:AY15"/>
    <mergeCell ref="BB14:BB15"/>
    <mergeCell ref="BC14:BC15"/>
    <mergeCell ref="BD14:BD15"/>
    <mergeCell ref="BE14:BE15"/>
    <mergeCell ref="AR14:AR15"/>
    <mergeCell ref="AS14:AS15"/>
    <mergeCell ref="AT14:AT15"/>
    <mergeCell ref="AU14:AU15"/>
    <mergeCell ref="AV14:AV15"/>
    <mergeCell ref="AW14:AW15"/>
    <mergeCell ref="CH14:CH15"/>
    <mergeCell ref="CI14:CI15"/>
    <mergeCell ref="CL14:CL15"/>
    <mergeCell ref="CM14:CM15"/>
    <mergeCell ref="BF14:BF15"/>
    <mergeCell ref="BG14:BG15"/>
    <mergeCell ref="BH14:BH15"/>
    <mergeCell ref="BI14:BI15"/>
    <mergeCell ref="BJ14:BJ15"/>
    <mergeCell ref="BK14:BK15"/>
    <mergeCell ref="EA14:EA15"/>
    <mergeCell ref="A16:A17"/>
    <mergeCell ref="B16:B17"/>
    <mergeCell ref="C16:C17"/>
    <mergeCell ref="D16:D17"/>
    <mergeCell ref="H16:H17"/>
    <mergeCell ref="I16:I17"/>
    <mergeCell ref="DL14:DL15"/>
    <mergeCell ref="DM14:DM15"/>
    <mergeCell ref="DN14:DN15"/>
    <mergeCell ref="DO14:DO15"/>
    <mergeCell ref="DR14:DR15"/>
    <mergeCell ref="DS14:DS15"/>
    <mergeCell ref="DF14:DF15"/>
    <mergeCell ref="DG14:DG15"/>
    <mergeCell ref="DH14:DH15"/>
    <mergeCell ref="DI14:DI15"/>
    <mergeCell ref="DJ14:DJ15"/>
    <mergeCell ref="DK14:DK15"/>
    <mergeCell ref="CZ14:CZ15"/>
    <mergeCell ref="DA14:DA15"/>
    <mergeCell ref="DB14:DB15"/>
    <mergeCell ref="DC14:DC15"/>
    <mergeCell ref="DD14:DD15"/>
    <mergeCell ref="J16:J17"/>
    <mergeCell ref="K16:K17"/>
    <mergeCell ref="L16:L17"/>
    <mergeCell ref="M16:M17"/>
    <mergeCell ref="N16:N17"/>
    <mergeCell ref="O16:O17"/>
    <mergeCell ref="DV14:DV15"/>
    <mergeCell ref="DW14:DW15"/>
    <mergeCell ref="DZ14:DZ15"/>
    <mergeCell ref="DE14:DE15"/>
    <mergeCell ref="CT14:CT15"/>
    <mergeCell ref="CU14:CU15"/>
    <mergeCell ref="CV14:CV15"/>
    <mergeCell ref="CW14:CW15"/>
    <mergeCell ref="CX14:CX15"/>
    <mergeCell ref="CY14:CY15"/>
    <mergeCell ref="CN14:CN15"/>
    <mergeCell ref="CO14:CO15"/>
    <mergeCell ref="CP14:CP15"/>
    <mergeCell ref="CQ14:CQ15"/>
    <mergeCell ref="CR14:CR15"/>
    <mergeCell ref="CS14:CS15"/>
    <mergeCell ref="BR14:BR15"/>
    <mergeCell ref="BS14:BS15"/>
    <mergeCell ref="V16:V17"/>
    <mergeCell ref="W16:W17"/>
    <mergeCell ref="X16:X17"/>
    <mergeCell ref="Y16:Y17"/>
    <mergeCell ref="Z16:Z17"/>
    <mergeCell ref="AA16:AA17"/>
    <mergeCell ref="P16:P17"/>
    <mergeCell ref="Q16:Q17"/>
    <mergeCell ref="R16:R17"/>
    <mergeCell ref="S16:S17"/>
    <mergeCell ref="T16:T17"/>
    <mergeCell ref="U16:U17"/>
    <mergeCell ref="AH16:AH17"/>
    <mergeCell ref="AI16:AI17"/>
    <mergeCell ref="AJ16:AJ17"/>
    <mergeCell ref="AK16:AK17"/>
    <mergeCell ref="AL16:AL17"/>
    <mergeCell ref="AM16:AM17"/>
    <mergeCell ref="AB16:AB17"/>
    <mergeCell ref="AC16:AC17"/>
    <mergeCell ref="AD16:AD17"/>
    <mergeCell ref="AE16:AE17"/>
    <mergeCell ref="AF16:AF17"/>
    <mergeCell ref="AG16:AG17"/>
    <mergeCell ref="AT16:AT17"/>
    <mergeCell ref="AU16:AU17"/>
    <mergeCell ref="AX16:AX17"/>
    <mergeCell ref="AY16:AY17"/>
    <mergeCell ref="BB16:BB17"/>
    <mergeCell ref="BC16:BC17"/>
    <mergeCell ref="AN16:AN17"/>
    <mergeCell ref="AO16:AO17"/>
    <mergeCell ref="AP16:AP17"/>
    <mergeCell ref="AQ16:AQ17"/>
    <mergeCell ref="AR16:AR17"/>
    <mergeCell ref="AS16:AS17"/>
    <mergeCell ref="BJ16:BJ17"/>
    <mergeCell ref="BK16:BK17"/>
    <mergeCell ref="BL16:BL17"/>
    <mergeCell ref="BM16:BM17"/>
    <mergeCell ref="BN16:BN17"/>
    <mergeCell ref="BO16:BO17"/>
    <mergeCell ref="BD16:BD17"/>
    <mergeCell ref="BE16:BE17"/>
    <mergeCell ref="BF16:BF17"/>
    <mergeCell ref="BG16:BG17"/>
    <mergeCell ref="BH16:BH17"/>
    <mergeCell ref="BI16:BI17"/>
    <mergeCell ref="BX16:BX17"/>
    <mergeCell ref="BY16:BY17"/>
    <mergeCell ref="BZ16:BZ17"/>
    <mergeCell ref="CA16:CA17"/>
    <mergeCell ref="CB16:CB17"/>
    <mergeCell ref="CC16:CC17"/>
    <mergeCell ref="BR16:BR17"/>
    <mergeCell ref="BS16:BS17"/>
    <mergeCell ref="BT16:BT17"/>
    <mergeCell ref="BU16:BU17"/>
    <mergeCell ref="BV16:BV17"/>
    <mergeCell ref="BW16:BW17"/>
    <mergeCell ref="CJ16:CJ17"/>
    <mergeCell ref="CK16:CK17"/>
    <mergeCell ref="CL16:CL17"/>
    <mergeCell ref="CM16:CM17"/>
    <mergeCell ref="CN16:CN17"/>
    <mergeCell ref="CO16:CO17"/>
    <mergeCell ref="CD16:CD17"/>
    <mergeCell ref="CE16:CE17"/>
    <mergeCell ref="CF16:CF17"/>
    <mergeCell ref="CG16:CG17"/>
    <mergeCell ref="CH16:CH17"/>
    <mergeCell ref="CI16:CI17"/>
    <mergeCell ref="CV16:CV17"/>
    <mergeCell ref="CW16:CW17"/>
    <mergeCell ref="CX16:CX17"/>
    <mergeCell ref="CY16:CY17"/>
    <mergeCell ref="CZ16:CZ17"/>
    <mergeCell ref="DA16:DA17"/>
    <mergeCell ref="CP16:CP17"/>
    <mergeCell ref="CQ16:CQ17"/>
    <mergeCell ref="CR16:CR17"/>
    <mergeCell ref="CS16:CS17"/>
    <mergeCell ref="CT16:CT17"/>
    <mergeCell ref="CU16:CU17"/>
    <mergeCell ref="DJ16:DJ17"/>
    <mergeCell ref="DK16:DK17"/>
    <mergeCell ref="DL16:DL17"/>
    <mergeCell ref="DM16:DM17"/>
    <mergeCell ref="DB16:DB17"/>
    <mergeCell ref="DC16:DC17"/>
    <mergeCell ref="DD16:DD17"/>
    <mergeCell ref="DE16:DE17"/>
    <mergeCell ref="DF16:DF17"/>
    <mergeCell ref="DG16:DG17"/>
    <mergeCell ref="N43:N44"/>
    <mergeCell ref="O43:O44"/>
    <mergeCell ref="P43:P44"/>
    <mergeCell ref="Q43:Q44"/>
    <mergeCell ref="R43:R44"/>
    <mergeCell ref="S43:S44"/>
    <mergeCell ref="DZ16:DZ17"/>
    <mergeCell ref="EA16:EA17"/>
    <mergeCell ref="A43:A44"/>
    <mergeCell ref="B43:B44"/>
    <mergeCell ref="C43:C44"/>
    <mergeCell ref="D43:D44"/>
    <mergeCell ref="E43:E44"/>
    <mergeCell ref="G43:G44"/>
    <mergeCell ref="L43:L44"/>
    <mergeCell ref="M43:M44"/>
    <mergeCell ref="DN16:DN17"/>
    <mergeCell ref="DO16:DO17"/>
    <mergeCell ref="DR16:DR17"/>
    <mergeCell ref="DS16:DS17"/>
    <mergeCell ref="DV16:DV17"/>
    <mergeCell ref="DW16:DW17"/>
    <mergeCell ref="DH16:DH17"/>
    <mergeCell ref="DI16:DI17"/>
    <mergeCell ref="Z43:Z44"/>
    <mergeCell ref="AA43:AA44"/>
    <mergeCell ref="AB43:AB44"/>
    <mergeCell ref="AC43:AC44"/>
    <mergeCell ref="AD43:AD44"/>
    <mergeCell ref="AE43:AE44"/>
    <mergeCell ref="T43:T44"/>
    <mergeCell ref="U43:U44"/>
    <mergeCell ref="V43:V44"/>
    <mergeCell ref="W43:W44"/>
    <mergeCell ref="X43:X44"/>
    <mergeCell ref="Y43:Y44"/>
    <mergeCell ref="AL43:AL44"/>
    <mergeCell ref="AM43:AM44"/>
    <mergeCell ref="AN43:AN44"/>
    <mergeCell ref="AO43:AO44"/>
    <mergeCell ref="AP43:AP44"/>
    <mergeCell ref="AQ43:AQ44"/>
    <mergeCell ref="AF43:AF44"/>
    <mergeCell ref="AG43:AG44"/>
    <mergeCell ref="AH43:AH44"/>
    <mergeCell ref="AI43:AI44"/>
    <mergeCell ref="AJ43:AJ44"/>
    <mergeCell ref="AK43:AK44"/>
    <mergeCell ref="AX43:AX44"/>
    <mergeCell ref="AY43:AY44"/>
    <mergeCell ref="AZ43:AZ44"/>
    <mergeCell ref="BA43:BA44"/>
    <mergeCell ref="BB43:BB44"/>
    <mergeCell ref="BC43:BC44"/>
    <mergeCell ref="AR43:AR44"/>
    <mergeCell ref="AS43:AS44"/>
    <mergeCell ref="AT43:AT44"/>
    <mergeCell ref="AU43:AU44"/>
    <mergeCell ref="AV43:AV44"/>
    <mergeCell ref="AW43:AW44"/>
    <mergeCell ref="BJ43:BJ44"/>
    <mergeCell ref="BK43:BK44"/>
    <mergeCell ref="BL43:BL44"/>
    <mergeCell ref="BM43:BM44"/>
    <mergeCell ref="BN43:BN44"/>
    <mergeCell ref="BO43:BO44"/>
    <mergeCell ref="BD43:BD44"/>
    <mergeCell ref="BE43:BE44"/>
    <mergeCell ref="BF43:BF44"/>
    <mergeCell ref="BG43:BG44"/>
    <mergeCell ref="BH43:BH44"/>
    <mergeCell ref="BI43:BI44"/>
    <mergeCell ref="BZ43:BZ44"/>
    <mergeCell ref="CA43:CA44"/>
    <mergeCell ref="CD43:CD44"/>
    <mergeCell ref="CE43:CE44"/>
    <mergeCell ref="CF43:CF44"/>
    <mergeCell ref="CG43:CG44"/>
    <mergeCell ref="BR43:BR44"/>
    <mergeCell ref="BS43:BS44"/>
    <mergeCell ref="BT43:BT44"/>
    <mergeCell ref="BU43:BU44"/>
    <mergeCell ref="BV43:BV44"/>
    <mergeCell ref="BW43:BW44"/>
    <mergeCell ref="CN43:CN44"/>
    <mergeCell ref="CO43:CO44"/>
    <mergeCell ref="CP43:CP44"/>
    <mergeCell ref="CQ43:CQ44"/>
    <mergeCell ref="CR43:CR44"/>
    <mergeCell ref="CS43:CS44"/>
    <mergeCell ref="CH43:CH44"/>
    <mergeCell ref="CI43:CI44"/>
    <mergeCell ref="CJ43:CJ44"/>
    <mergeCell ref="CK43:CK44"/>
    <mergeCell ref="CL43:CL44"/>
    <mergeCell ref="CM43:CM44"/>
    <mergeCell ref="DA43:DA44"/>
    <mergeCell ref="DB43:DB44"/>
    <mergeCell ref="DC43:DC44"/>
    <mergeCell ref="DD43:DD44"/>
    <mergeCell ref="DE43:DE44"/>
    <mergeCell ref="CT43:CT44"/>
    <mergeCell ref="CU43:CU44"/>
    <mergeCell ref="CV43:CV44"/>
    <mergeCell ref="CW43:CW44"/>
    <mergeCell ref="CX43:CX44"/>
    <mergeCell ref="CY43:CY44"/>
    <mergeCell ref="DX43:DX44"/>
    <mergeCell ref="DY43:DY44"/>
    <mergeCell ref="DZ43:DZ44"/>
    <mergeCell ref="EA43:EA44"/>
    <mergeCell ref="F73:G73"/>
    <mergeCell ref="DR43:DR44"/>
    <mergeCell ref="DS43:DS44"/>
    <mergeCell ref="DT43:DT44"/>
    <mergeCell ref="DU43:DU44"/>
    <mergeCell ref="DV43:DV44"/>
    <mergeCell ref="DW43:DW44"/>
    <mergeCell ref="DL43:DL44"/>
    <mergeCell ref="DM43:DM44"/>
    <mergeCell ref="DN43:DN44"/>
    <mergeCell ref="DO43:DO44"/>
    <mergeCell ref="DP43:DP44"/>
    <mergeCell ref="DQ43:DQ44"/>
    <mergeCell ref="DF43:DF44"/>
    <mergeCell ref="DG43:DG44"/>
    <mergeCell ref="DH43:DH44"/>
    <mergeCell ref="DI43:DI44"/>
    <mergeCell ref="DJ43:DJ44"/>
    <mergeCell ref="DK43:DK44"/>
    <mergeCell ref="CZ43:CZ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318A-C85A-407D-8A84-8DAC6BCFC346}">
  <sheetPr codeName="Feuil6"/>
  <dimension ref="A1:HW33"/>
  <sheetViews>
    <sheetView topLeftCell="C15" zoomScale="130" zoomScaleNormal="130" workbookViewId="0">
      <selection activeCell="C21" sqref="C21"/>
    </sheetView>
  </sheetViews>
  <sheetFormatPr baseColWidth="10" defaultRowHeight="12.75" x14ac:dyDescent="0.2"/>
  <cols>
    <col min="3" max="3" width="36.28515625" customWidth="1"/>
    <col min="4" max="4" width="39.85546875" customWidth="1"/>
  </cols>
  <sheetData>
    <row r="1" spans="1:231" ht="15.75" thickBot="1" x14ac:dyDescent="0.3">
      <c r="HN1" s="202">
        <v>2024</v>
      </c>
      <c r="HO1" s="202"/>
      <c r="HP1" s="202">
        <v>2023</v>
      </c>
      <c r="HU1" s="202" t="s">
        <v>1600</v>
      </c>
    </row>
    <row r="2" spans="1:231" x14ac:dyDescent="0.2">
      <c r="A2" s="582" t="s">
        <v>1601</v>
      </c>
      <c r="B2" s="582"/>
      <c r="C2" s="583"/>
      <c r="D2" s="103" t="s">
        <v>1298</v>
      </c>
      <c r="E2" s="586">
        <v>46001</v>
      </c>
      <c r="F2" s="587"/>
      <c r="G2" s="587"/>
      <c r="H2" s="588"/>
      <c r="I2" s="586">
        <v>45971</v>
      </c>
      <c r="J2" s="587"/>
      <c r="K2" s="587"/>
      <c r="L2" s="588"/>
      <c r="M2" s="586">
        <v>45940</v>
      </c>
      <c r="N2" s="587"/>
      <c r="O2" s="587"/>
      <c r="P2" s="588"/>
      <c r="Q2" s="586">
        <v>45910</v>
      </c>
      <c r="R2" s="587"/>
      <c r="S2" s="587"/>
      <c r="T2" s="588"/>
      <c r="U2" s="586">
        <v>45879</v>
      </c>
      <c r="V2" s="587"/>
      <c r="W2" s="587"/>
      <c r="X2" s="588"/>
      <c r="Y2" s="586">
        <v>45856</v>
      </c>
      <c r="Z2" s="587"/>
      <c r="AA2" s="587"/>
      <c r="AB2" s="588"/>
      <c r="AC2" s="586">
        <v>45880</v>
      </c>
      <c r="AD2" s="587"/>
      <c r="AE2" s="587"/>
      <c r="AF2" s="588"/>
      <c r="AG2" s="586">
        <v>45880</v>
      </c>
      <c r="AH2" s="587"/>
      <c r="AI2" s="587"/>
      <c r="AJ2" s="588"/>
      <c r="AK2" s="586">
        <v>45880</v>
      </c>
      <c r="AL2" s="587"/>
      <c r="AM2" s="587"/>
      <c r="AN2" s="588"/>
      <c r="AO2" s="586">
        <v>45856</v>
      </c>
      <c r="AP2" s="587"/>
      <c r="AQ2" s="587"/>
      <c r="AR2" s="588"/>
      <c r="AS2" s="586">
        <v>45856</v>
      </c>
      <c r="AT2" s="587"/>
      <c r="AU2" s="587"/>
      <c r="AV2" s="588"/>
      <c r="AW2" s="586">
        <v>45856</v>
      </c>
      <c r="AX2" s="587"/>
      <c r="AY2" s="587"/>
      <c r="AZ2" s="588"/>
      <c r="BA2" s="586">
        <v>45848</v>
      </c>
      <c r="BB2" s="587"/>
      <c r="BC2" s="587"/>
      <c r="BD2" s="588"/>
      <c r="BE2" s="586">
        <v>45856</v>
      </c>
      <c r="BF2" s="656"/>
      <c r="BG2" s="656"/>
      <c r="BH2" s="657"/>
      <c r="BI2" s="586">
        <v>45824</v>
      </c>
      <c r="BJ2" s="656"/>
      <c r="BK2" s="656"/>
      <c r="BL2" s="657"/>
      <c r="BM2" s="586">
        <v>45814</v>
      </c>
      <c r="BN2" s="656"/>
      <c r="BO2" s="656"/>
      <c r="BP2" s="657"/>
      <c r="BQ2" s="586">
        <v>45790</v>
      </c>
      <c r="BR2" s="656"/>
      <c r="BS2" s="656"/>
      <c r="BT2" s="657"/>
      <c r="BU2" s="586">
        <v>45790</v>
      </c>
      <c r="BV2" s="656"/>
      <c r="BW2" s="656"/>
      <c r="BX2" s="657"/>
      <c r="BY2" s="586">
        <v>45856</v>
      </c>
      <c r="BZ2" s="587"/>
      <c r="CA2" s="587"/>
      <c r="CB2" s="588"/>
      <c r="CC2" s="586">
        <v>45787</v>
      </c>
      <c r="CD2" s="587"/>
      <c r="CE2" s="587"/>
      <c r="CF2" s="588"/>
      <c r="CG2" s="586">
        <v>45786</v>
      </c>
      <c r="CH2" s="656"/>
      <c r="CI2" s="656"/>
      <c r="CJ2" s="657"/>
      <c r="CK2" s="586">
        <v>45757</v>
      </c>
      <c r="CL2" s="656"/>
      <c r="CM2" s="656"/>
      <c r="CN2" s="657"/>
      <c r="CO2" s="586">
        <v>45754</v>
      </c>
      <c r="CP2" s="656"/>
      <c r="CQ2" s="656"/>
      <c r="CR2" s="657"/>
      <c r="CS2" s="586">
        <v>45726</v>
      </c>
      <c r="CT2" s="656"/>
      <c r="CU2" s="656"/>
      <c r="CV2" s="657"/>
      <c r="CW2" s="586">
        <v>45723</v>
      </c>
      <c r="CX2" s="656"/>
      <c r="CY2" s="656"/>
      <c r="CZ2" s="657"/>
      <c r="DA2" s="586">
        <v>45698</v>
      </c>
      <c r="DB2" s="656"/>
      <c r="DC2" s="656"/>
      <c r="DD2" s="657"/>
      <c r="DE2" s="586">
        <v>45695</v>
      </c>
      <c r="DF2" s="656"/>
      <c r="DG2" s="656"/>
      <c r="DH2" s="657"/>
      <c r="DI2" s="586">
        <v>45693</v>
      </c>
      <c r="DJ2" s="656"/>
      <c r="DK2" s="656"/>
      <c r="DL2" s="657"/>
      <c r="DM2" s="586">
        <v>45684</v>
      </c>
      <c r="DN2" s="656"/>
      <c r="DO2" s="656"/>
      <c r="DP2" s="657"/>
      <c r="DQ2" s="586">
        <v>45665</v>
      </c>
      <c r="DR2" s="656"/>
      <c r="DS2" s="656"/>
      <c r="DT2" s="657"/>
      <c r="DU2" s="625">
        <v>45636</v>
      </c>
      <c r="DV2" s="626"/>
      <c r="DW2" s="626"/>
      <c r="DX2" s="627"/>
      <c r="DY2" s="625">
        <v>45632</v>
      </c>
      <c r="DZ2" s="626"/>
      <c r="EA2" s="626"/>
      <c r="EB2" s="627"/>
      <c r="EC2" s="625">
        <v>45606</v>
      </c>
      <c r="ED2" s="626"/>
      <c r="EE2" s="626"/>
      <c r="EF2" s="627"/>
      <c r="EG2" s="625">
        <v>45604</v>
      </c>
      <c r="EH2" s="626"/>
      <c r="EI2" s="626"/>
      <c r="EJ2" s="627"/>
      <c r="EK2" s="625">
        <v>45575</v>
      </c>
      <c r="EL2" s="626"/>
      <c r="EM2" s="626"/>
      <c r="EN2" s="627"/>
      <c r="EO2" s="625">
        <v>45572</v>
      </c>
      <c r="EP2" s="626"/>
      <c r="EQ2" s="626"/>
      <c r="ER2" s="627"/>
      <c r="ES2" s="625">
        <v>45545</v>
      </c>
      <c r="ET2" s="626"/>
      <c r="EU2" s="626"/>
      <c r="EV2" s="627"/>
      <c r="EW2" s="625">
        <v>45541</v>
      </c>
      <c r="EX2" s="626"/>
      <c r="EY2" s="626"/>
      <c r="EZ2" s="627"/>
      <c r="FA2" s="625">
        <v>45514</v>
      </c>
      <c r="FB2" s="626"/>
      <c r="FC2" s="626"/>
      <c r="FD2" s="627"/>
      <c r="FE2" s="625">
        <v>45511</v>
      </c>
      <c r="FF2" s="626"/>
      <c r="FG2" s="626"/>
      <c r="FH2" s="627"/>
      <c r="FI2" s="625">
        <v>45483</v>
      </c>
      <c r="FJ2" s="626"/>
      <c r="FK2" s="626"/>
      <c r="FL2" s="627"/>
      <c r="FM2" s="625">
        <v>45483</v>
      </c>
      <c r="FN2" s="626"/>
      <c r="FO2" s="626"/>
      <c r="FP2" s="627"/>
      <c r="FQ2" s="625">
        <v>45463</v>
      </c>
      <c r="FR2" s="626"/>
      <c r="FS2" s="626"/>
      <c r="FT2" s="627"/>
      <c r="FU2" s="625">
        <v>46549</v>
      </c>
      <c r="FV2" s="626"/>
      <c r="FW2" s="626"/>
      <c r="FX2" s="627"/>
      <c r="FY2" s="625">
        <v>45453</v>
      </c>
      <c r="FZ2" s="626"/>
      <c r="GA2" s="626"/>
      <c r="GB2" s="627"/>
      <c r="GC2" s="625">
        <v>45428</v>
      </c>
      <c r="GD2" s="626"/>
      <c r="GE2" s="626"/>
      <c r="GF2" s="627"/>
      <c r="GG2" s="625">
        <v>45422</v>
      </c>
      <c r="GH2" s="626"/>
      <c r="GI2" s="626"/>
      <c r="GJ2" s="627"/>
      <c r="GK2" s="625">
        <v>45392</v>
      </c>
      <c r="GL2" s="626"/>
      <c r="GM2" s="626"/>
      <c r="GN2" s="627"/>
      <c r="GO2" s="625">
        <v>45390</v>
      </c>
      <c r="GP2" s="626"/>
      <c r="GQ2" s="626"/>
      <c r="GR2" s="627"/>
      <c r="GS2" s="625">
        <v>45364</v>
      </c>
      <c r="GT2" s="626"/>
      <c r="GU2" s="626"/>
      <c r="GV2" s="627"/>
      <c r="GW2" s="625">
        <v>45361</v>
      </c>
      <c r="GX2" s="626"/>
      <c r="GY2" s="626"/>
      <c r="GZ2" s="627"/>
      <c r="HA2" s="625">
        <v>45358</v>
      </c>
      <c r="HB2" s="626"/>
      <c r="HC2" s="626"/>
      <c r="HD2" s="627"/>
      <c r="HE2" s="625">
        <v>45358</v>
      </c>
      <c r="HF2" s="626"/>
      <c r="HG2" s="626"/>
      <c r="HH2" s="627"/>
      <c r="HI2" s="625">
        <v>45332</v>
      </c>
      <c r="HJ2" s="626"/>
      <c r="HK2" s="626"/>
      <c r="HL2" s="627"/>
      <c r="HN2" s="653" t="s">
        <v>1602</v>
      </c>
      <c r="HP2" s="653" t="s">
        <v>1602</v>
      </c>
      <c r="HS2" s="653" t="s">
        <v>1603</v>
      </c>
      <c r="HU2" s="653" t="s">
        <v>1602</v>
      </c>
    </row>
    <row r="3" spans="1:231" x14ac:dyDescent="0.2">
      <c r="A3" s="582"/>
      <c r="B3" s="582"/>
      <c r="C3" s="583"/>
      <c r="D3" s="104" t="s">
        <v>1299</v>
      </c>
      <c r="E3" s="647" t="s">
        <v>1604</v>
      </c>
      <c r="F3" s="648"/>
      <c r="G3" s="648"/>
      <c r="H3" s="649"/>
      <c r="I3" s="647" t="s">
        <v>1605</v>
      </c>
      <c r="J3" s="648"/>
      <c r="K3" s="648"/>
      <c r="L3" s="649"/>
      <c r="M3" s="647" t="s">
        <v>1606</v>
      </c>
      <c r="N3" s="648"/>
      <c r="O3" s="648"/>
      <c r="P3" s="649"/>
      <c r="Q3" s="647" t="s">
        <v>1607</v>
      </c>
      <c r="R3" s="648"/>
      <c r="S3" s="648"/>
      <c r="T3" s="649"/>
      <c r="U3" s="647" t="s">
        <v>1608</v>
      </c>
      <c r="V3" s="648"/>
      <c r="W3" s="648"/>
      <c r="X3" s="649"/>
      <c r="Y3" s="647" t="s">
        <v>1609</v>
      </c>
      <c r="Z3" s="648"/>
      <c r="AA3" s="648"/>
      <c r="AB3" s="649"/>
      <c r="AC3" s="647" t="s">
        <v>1610</v>
      </c>
      <c r="AD3" s="648"/>
      <c r="AE3" s="648"/>
      <c r="AF3" s="649"/>
      <c r="AG3" s="647" t="s">
        <v>1611</v>
      </c>
      <c r="AH3" s="648"/>
      <c r="AI3" s="648"/>
      <c r="AJ3" s="649"/>
      <c r="AK3" s="647" t="s">
        <v>1612</v>
      </c>
      <c r="AL3" s="648"/>
      <c r="AM3" s="648"/>
      <c r="AN3" s="649"/>
      <c r="AO3" s="647" t="s">
        <v>1613</v>
      </c>
      <c r="AP3" s="648"/>
      <c r="AQ3" s="648"/>
      <c r="AR3" s="649"/>
      <c r="AS3" s="647" t="s">
        <v>1614</v>
      </c>
      <c r="AT3" s="648"/>
      <c r="AU3" s="648"/>
      <c r="AV3" s="649"/>
      <c r="AW3" s="647" t="s">
        <v>1615</v>
      </c>
      <c r="AX3" s="648"/>
      <c r="AY3" s="648"/>
      <c r="AZ3" s="649"/>
      <c r="BA3" s="650" t="s">
        <v>1616</v>
      </c>
      <c r="BB3" s="651"/>
      <c r="BC3" s="651"/>
      <c r="BD3" s="652"/>
      <c r="BE3" s="647" t="s">
        <v>1617</v>
      </c>
      <c r="BF3" s="648"/>
      <c r="BG3" s="648"/>
      <c r="BH3" s="649"/>
      <c r="BI3" s="650" t="s">
        <v>1618</v>
      </c>
      <c r="BJ3" s="651"/>
      <c r="BK3" s="651"/>
      <c r="BL3" s="652"/>
      <c r="BM3" s="647" t="s">
        <v>1619</v>
      </c>
      <c r="BN3" s="648"/>
      <c r="BO3" s="648"/>
      <c r="BP3" s="649"/>
      <c r="BQ3" s="647" t="s">
        <v>1620</v>
      </c>
      <c r="BR3" s="648"/>
      <c r="BS3" s="648"/>
      <c r="BT3" s="649"/>
      <c r="BU3" s="647" t="s">
        <v>1621</v>
      </c>
      <c r="BV3" s="648"/>
      <c r="BW3" s="648"/>
      <c r="BX3" s="649"/>
      <c r="BY3" s="647" t="s">
        <v>1622</v>
      </c>
      <c r="BZ3" s="648"/>
      <c r="CA3" s="648"/>
      <c r="CB3" s="649"/>
      <c r="CC3" s="650" t="s">
        <v>1623</v>
      </c>
      <c r="CD3" s="651"/>
      <c r="CE3" s="651"/>
      <c r="CF3" s="652"/>
      <c r="CG3" s="647" t="s">
        <v>1624</v>
      </c>
      <c r="CH3" s="648"/>
      <c r="CI3" s="648"/>
      <c r="CJ3" s="649"/>
      <c r="CK3" s="647" t="s">
        <v>1625</v>
      </c>
      <c r="CL3" s="648"/>
      <c r="CM3" s="648"/>
      <c r="CN3" s="649"/>
      <c r="CO3" s="647" t="s">
        <v>1626</v>
      </c>
      <c r="CP3" s="648"/>
      <c r="CQ3" s="648"/>
      <c r="CR3" s="649"/>
      <c r="CS3" s="647" t="s">
        <v>1627</v>
      </c>
      <c r="CT3" s="648"/>
      <c r="CU3" s="648"/>
      <c r="CV3" s="649"/>
      <c r="CW3" s="647" t="s">
        <v>1628</v>
      </c>
      <c r="CX3" s="648"/>
      <c r="CY3" s="648"/>
      <c r="CZ3" s="649"/>
      <c r="DA3" s="647" t="s">
        <v>1629</v>
      </c>
      <c r="DB3" s="648"/>
      <c r="DC3" s="648"/>
      <c r="DD3" s="649"/>
      <c r="DE3" s="647" t="s">
        <v>1630</v>
      </c>
      <c r="DF3" s="648"/>
      <c r="DG3" s="648"/>
      <c r="DH3" s="649"/>
      <c r="DI3" s="647" t="s">
        <v>1631</v>
      </c>
      <c r="DJ3" s="648"/>
      <c r="DK3" s="648"/>
      <c r="DL3" s="649"/>
      <c r="DM3" s="647" t="s">
        <v>1632</v>
      </c>
      <c r="DN3" s="648"/>
      <c r="DO3" s="648"/>
      <c r="DP3" s="649"/>
      <c r="DQ3" s="647" t="s">
        <v>1633</v>
      </c>
      <c r="DR3" s="648"/>
      <c r="DS3" s="648"/>
      <c r="DT3" s="649"/>
      <c r="DU3" s="647" t="s">
        <v>1634</v>
      </c>
      <c r="DV3" s="648"/>
      <c r="DW3" s="648"/>
      <c r="DX3" s="649"/>
      <c r="DY3" s="647" t="s">
        <v>1635</v>
      </c>
      <c r="DZ3" s="648"/>
      <c r="EA3" s="648"/>
      <c r="EB3" s="649"/>
      <c r="EC3" s="647" t="s">
        <v>1636</v>
      </c>
      <c r="ED3" s="648"/>
      <c r="EE3" s="648"/>
      <c r="EF3" s="649"/>
      <c r="EG3" s="647" t="s">
        <v>1637</v>
      </c>
      <c r="EH3" s="648"/>
      <c r="EI3" s="648"/>
      <c r="EJ3" s="649"/>
      <c r="EK3" s="647" t="s">
        <v>1638</v>
      </c>
      <c r="EL3" s="648"/>
      <c r="EM3" s="648"/>
      <c r="EN3" s="649"/>
      <c r="EO3" s="647" t="s">
        <v>1639</v>
      </c>
      <c r="EP3" s="648"/>
      <c r="EQ3" s="648"/>
      <c r="ER3" s="649"/>
      <c r="ES3" s="647" t="s">
        <v>1640</v>
      </c>
      <c r="ET3" s="648"/>
      <c r="EU3" s="648"/>
      <c r="EV3" s="649"/>
      <c r="EW3" s="647" t="s">
        <v>1641</v>
      </c>
      <c r="EX3" s="648"/>
      <c r="EY3" s="648"/>
      <c r="EZ3" s="649"/>
      <c r="FA3" s="647" t="s">
        <v>1642</v>
      </c>
      <c r="FB3" s="648"/>
      <c r="FC3" s="648"/>
      <c r="FD3" s="649"/>
      <c r="FE3" s="647" t="s">
        <v>1643</v>
      </c>
      <c r="FF3" s="648"/>
      <c r="FG3" s="648"/>
      <c r="FH3" s="649"/>
      <c r="FI3" s="647" t="s">
        <v>1644</v>
      </c>
      <c r="FJ3" s="648"/>
      <c r="FK3" s="648"/>
      <c r="FL3" s="649"/>
      <c r="FM3" s="647" t="s">
        <v>1645</v>
      </c>
      <c r="FN3" s="648"/>
      <c r="FO3" s="648"/>
      <c r="FP3" s="649"/>
      <c r="FQ3" s="647" t="s">
        <v>1646</v>
      </c>
      <c r="FR3" s="648"/>
      <c r="FS3" s="648"/>
      <c r="FT3" s="649"/>
      <c r="FU3" s="647" t="s">
        <v>1647</v>
      </c>
      <c r="FV3" s="648"/>
      <c r="FW3" s="648"/>
      <c r="FX3" s="649"/>
      <c r="FY3" s="647" t="s">
        <v>1648</v>
      </c>
      <c r="FZ3" s="648"/>
      <c r="GA3" s="648"/>
      <c r="GB3" s="649"/>
      <c r="GC3" s="647" t="s">
        <v>1649</v>
      </c>
      <c r="GD3" s="648"/>
      <c r="GE3" s="648"/>
      <c r="GF3" s="649"/>
      <c r="GG3" s="647" t="s">
        <v>1650</v>
      </c>
      <c r="GH3" s="648"/>
      <c r="GI3" s="648"/>
      <c r="GJ3" s="649"/>
      <c r="GK3" s="647" t="s">
        <v>1651</v>
      </c>
      <c r="GL3" s="648"/>
      <c r="GM3" s="648"/>
      <c r="GN3" s="649"/>
      <c r="GO3" s="647" t="s">
        <v>1652</v>
      </c>
      <c r="GP3" s="648"/>
      <c r="GQ3" s="648"/>
      <c r="GR3" s="649"/>
      <c r="GS3" s="647" t="s">
        <v>1653</v>
      </c>
      <c r="GT3" s="648"/>
      <c r="GU3" s="648"/>
      <c r="GV3" s="649"/>
      <c r="GW3" s="647" t="s">
        <v>1654</v>
      </c>
      <c r="GX3" s="648"/>
      <c r="GY3" s="648"/>
      <c r="GZ3" s="649"/>
      <c r="HA3" s="647" t="s">
        <v>1655</v>
      </c>
      <c r="HB3" s="648"/>
      <c r="HC3" s="648"/>
      <c r="HD3" s="649"/>
      <c r="HE3" s="647" t="s">
        <v>1656</v>
      </c>
      <c r="HF3" s="648"/>
      <c r="HG3" s="648"/>
      <c r="HH3" s="649"/>
      <c r="HI3" s="647" t="s">
        <v>1657</v>
      </c>
      <c r="HJ3" s="648"/>
      <c r="HK3" s="648"/>
      <c r="HL3" s="649"/>
      <c r="HN3" s="654"/>
      <c r="HP3" s="654"/>
      <c r="HS3" s="654"/>
      <c r="HU3" s="654"/>
    </row>
    <row r="4" spans="1:231" x14ac:dyDescent="0.2">
      <c r="A4" s="582"/>
      <c r="B4" s="582"/>
      <c r="C4" s="583"/>
      <c r="D4" s="104" t="s">
        <v>1658</v>
      </c>
      <c r="E4" s="595" t="s">
        <v>1659</v>
      </c>
      <c r="F4" s="596"/>
      <c r="G4" s="596"/>
      <c r="H4" s="597"/>
      <c r="I4" s="595" t="s">
        <v>1659</v>
      </c>
      <c r="J4" s="596"/>
      <c r="K4" s="596"/>
      <c r="L4" s="597"/>
      <c r="M4" s="595" t="s">
        <v>1659</v>
      </c>
      <c r="N4" s="596"/>
      <c r="O4" s="596"/>
      <c r="P4" s="597"/>
      <c r="Q4" s="595" t="s">
        <v>1659</v>
      </c>
      <c r="R4" s="596"/>
      <c r="S4" s="596"/>
      <c r="T4" s="597"/>
      <c r="U4" s="595" t="s">
        <v>1659</v>
      </c>
      <c r="V4" s="596"/>
      <c r="W4" s="596"/>
      <c r="X4" s="597"/>
      <c r="Y4" s="595" t="s">
        <v>1659</v>
      </c>
      <c r="Z4" s="596"/>
      <c r="AA4" s="596"/>
      <c r="AB4" s="597"/>
      <c r="AC4" s="595" t="s">
        <v>1660</v>
      </c>
      <c r="AD4" s="596"/>
      <c r="AE4" s="596"/>
      <c r="AF4" s="597"/>
      <c r="AG4" s="595" t="s">
        <v>1660</v>
      </c>
      <c r="AH4" s="596"/>
      <c r="AI4" s="596"/>
      <c r="AJ4" s="597"/>
      <c r="AK4" s="595" t="s">
        <v>1660</v>
      </c>
      <c r="AL4" s="596"/>
      <c r="AM4" s="596"/>
      <c r="AN4" s="597"/>
      <c r="AO4" s="595" t="s">
        <v>1659</v>
      </c>
      <c r="AP4" s="596"/>
      <c r="AQ4" s="596"/>
      <c r="AR4" s="597"/>
      <c r="AS4" s="595" t="s">
        <v>1659</v>
      </c>
      <c r="AT4" s="596"/>
      <c r="AU4" s="596"/>
      <c r="AV4" s="597"/>
      <c r="AW4" s="595" t="s">
        <v>1659</v>
      </c>
      <c r="AX4" s="596"/>
      <c r="AY4" s="596"/>
      <c r="AZ4" s="597"/>
      <c r="BA4" s="595" t="s">
        <v>1659</v>
      </c>
      <c r="BB4" s="596"/>
      <c r="BC4" s="596"/>
      <c r="BD4" s="597"/>
      <c r="BE4" s="595" t="s">
        <v>1659</v>
      </c>
      <c r="BF4" s="596"/>
      <c r="BG4" s="596"/>
      <c r="BH4" s="597"/>
      <c r="BI4" s="595" t="s">
        <v>1659</v>
      </c>
      <c r="BJ4" s="596"/>
      <c r="BK4" s="596"/>
      <c r="BL4" s="597"/>
      <c r="BM4" s="595" t="s">
        <v>1660</v>
      </c>
      <c r="BN4" s="596"/>
      <c r="BO4" s="596"/>
      <c r="BP4" s="597"/>
      <c r="BQ4" s="595" t="s">
        <v>1660</v>
      </c>
      <c r="BR4" s="596"/>
      <c r="BS4" s="596"/>
      <c r="BT4" s="597"/>
      <c r="BU4" s="595" t="s">
        <v>1660</v>
      </c>
      <c r="BV4" s="596"/>
      <c r="BW4" s="596"/>
      <c r="BX4" s="597"/>
      <c r="BY4" s="595" t="s">
        <v>1659</v>
      </c>
      <c r="BZ4" s="596"/>
      <c r="CA4" s="596"/>
      <c r="CB4" s="597"/>
      <c r="CC4" s="595" t="s">
        <v>1659</v>
      </c>
      <c r="CD4" s="596"/>
      <c r="CE4" s="596"/>
      <c r="CF4" s="597"/>
      <c r="CG4" s="595" t="s">
        <v>1660</v>
      </c>
      <c r="CH4" s="596"/>
      <c r="CI4" s="596"/>
      <c r="CJ4" s="597"/>
      <c r="CK4" s="595" t="s">
        <v>1659</v>
      </c>
      <c r="CL4" s="596"/>
      <c r="CM4" s="596"/>
      <c r="CN4" s="597"/>
      <c r="CO4" s="595" t="s">
        <v>1660</v>
      </c>
      <c r="CP4" s="596"/>
      <c r="CQ4" s="596"/>
      <c r="CR4" s="597"/>
      <c r="CS4" s="595" t="s">
        <v>1659</v>
      </c>
      <c r="CT4" s="596"/>
      <c r="CU4" s="596"/>
      <c r="CV4" s="597"/>
      <c r="CW4" s="595" t="s">
        <v>1659</v>
      </c>
      <c r="CX4" s="596"/>
      <c r="CY4" s="596"/>
      <c r="CZ4" s="597"/>
      <c r="DA4" s="595" t="s">
        <v>1659</v>
      </c>
      <c r="DB4" s="596"/>
      <c r="DC4" s="596"/>
      <c r="DD4" s="597"/>
      <c r="DE4" s="595" t="s">
        <v>1660</v>
      </c>
      <c r="DF4" s="596"/>
      <c r="DG4" s="596"/>
      <c r="DH4" s="597"/>
      <c r="DI4" s="595" t="s">
        <v>1660</v>
      </c>
      <c r="DJ4" s="596"/>
      <c r="DK4" s="596"/>
      <c r="DL4" s="597"/>
      <c r="DM4" s="595" t="s">
        <v>1659</v>
      </c>
      <c r="DN4" s="596"/>
      <c r="DO4" s="596"/>
      <c r="DP4" s="597"/>
      <c r="DQ4" s="595" t="s">
        <v>1660</v>
      </c>
      <c r="DR4" s="596"/>
      <c r="DS4" s="596"/>
      <c r="DT4" s="597"/>
      <c r="DU4" s="595" t="s">
        <v>1659</v>
      </c>
      <c r="DV4" s="596"/>
      <c r="DW4" s="596"/>
      <c r="DX4" s="597"/>
      <c r="DY4" s="598" t="s">
        <v>1660</v>
      </c>
      <c r="DZ4" s="599"/>
      <c r="EA4" s="599"/>
      <c r="EB4" s="600"/>
      <c r="EC4" s="595" t="s">
        <v>1659</v>
      </c>
      <c r="ED4" s="596"/>
      <c r="EE4" s="596"/>
      <c r="EF4" s="597"/>
      <c r="EG4" s="598" t="s">
        <v>1660</v>
      </c>
      <c r="EH4" s="599"/>
      <c r="EI4" s="599"/>
      <c r="EJ4" s="600"/>
      <c r="EK4" s="595" t="s">
        <v>1659</v>
      </c>
      <c r="EL4" s="596"/>
      <c r="EM4" s="596"/>
      <c r="EN4" s="597"/>
      <c r="EO4" s="598" t="s">
        <v>1660</v>
      </c>
      <c r="EP4" s="599"/>
      <c r="EQ4" s="599"/>
      <c r="ER4" s="600"/>
      <c r="ES4" s="595" t="s">
        <v>1659</v>
      </c>
      <c r="ET4" s="596"/>
      <c r="EU4" s="596"/>
      <c r="EV4" s="597"/>
      <c r="EW4" s="598" t="s">
        <v>1660</v>
      </c>
      <c r="EX4" s="599"/>
      <c r="EY4" s="599"/>
      <c r="EZ4" s="600"/>
      <c r="FA4" s="595" t="s">
        <v>1659</v>
      </c>
      <c r="FB4" s="596"/>
      <c r="FC4" s="596"/>
      <c r="FD4" s="597"/>
      <c r="FE4" s="598" t="s">
        <v>1660</v>
      </c>
      <c r="FF4" s="599"/>
      <c r="FG4" s="599"/>
      <c r="FH4" s="600"/>
      <c r="FI4" s="595" t="s">
        <v>1659</v>
      </c>
      <c r="FJ4" s="596"/>
      <c r="FK4" s="596"/>
      <c r="FL4" s="597"/>
      <c r="FM4" s="598" t="s">
        <v>1660</v>
      </c>
      <c r="FN4" s="599"/>
      <c r="FO4" s="599"/>
      <c r="FP4" s="600"/>
      <c r="FQ4" s="598" t="s">
        <v>1660</v>
      </c>
      <c r="FR4" s="599"/>
      <c r="FS4" s="599"/>
      <c r="FT4" s="600"/>
      <c r="FU4" s="598" t="s">
        <v>1660</v>
      </c>
      <c r="FV4" s="599"/>
      <c r="FW4" s="599"/>
      <c r="FX4" s="600"/>
      <c r="FY4" s="595" t="s">
        <v>1659</v>
      </c>
      <c r="FZ4" s="596"/>
      <c r="GA4" s="596"/>
      <c r="GB4" s="597"/>
      <c r="GC4" s="598" t="s">
        <v>1660</v>
      </c>
      <c r="GD4" s="599"/>
      <c r="GE4" s="599"/>
      <c r="GF4" s="600"/>
      <c r="GG4" s="595" t="s">
        <v>1659</v>
      </c>
      <c r="GH4" s="596"/>
      <c r="GI4" s="596"/>
      <c r="GJ4" s="597"/>
      <c r="GK4" s="595" t="s">
        <v>1659</v>
      </c>
      <c r="GL4" s="596"/>
      <c r="GM4" s="596"/>
      <c r="GN4" s="597"/>
      <c r="GO4" s="595" t="s">
        <v>1660</v>
      </c>
      <c r="GP4" s="596"/>
      <c r="GQ4" s="596"/>
      <c r="GR4" s="597"/>
      <c r="GS4" s="595" t="s">
        <v>1660</v>
      </c>
      <c r="GT4" s="596"/>
      <c r="GU4" s="596"/>
      <c r="GV4" s="597"/>
      <c r="GW4" s="595" t="s">
        <v>1659</v>
      </c>
      <c r="GX4" s="596"/>
      <c r="GY4" s="596"/>
      <c r="GZ4" s="597"/>
      <c r="HA4" s="595" t="s">
        <v>1660</v>
      </c>
      <c r="HB4" s="596"/>
      <c r="HC4" s="596"/>
      <c r="HD4" s="597"/>
      <c r="HE4" s="595" t="s">
        <v>1660</v>
      </c>
      <c r="HF4" s="596"/>
      <c r="HG4" s="596"/>
      <c r="HH4" s="597"/>
      <c r="HI4" s="598" t="s">
        <v>1661</v>
      </c>
      <c r="HJ4" s="599"/>
      <c r="HK4" s="599"/>
      <c r="HL4" s="600"/>
      <c r="HN4" s="654"/>
      <c r="HP4" s="654"/>
      <c r="HS4" s="654"/>
      <c r="HU4" s="654"/>
    </row>
    <row r="5" spans="1:231" x14ac:dyDescent="0.2">
      <c r="A5" s="582"/>
      <c r="B5" s="582"/>
      <c r="C5" s="583"/>
      <c r="D5" s="104" t="s">
        <v>1306</v>
      </c>
      <c r="E5" s="105"/>
      <c r="F5" s="106"/>
      <c r="G5" s="106"/>
      <c r="H5" s="107"/>
      <c r="I5" s="105"/>
      <c r="J5" s="106"/>
      <c r="K5" s="106"/>
      <c r="L5" s="107"/>
      <c r="M5" s="105"/>
      <c r="N5" s="106"/>
      <c r="O5" s="106"/>
      <c r="P5" s="107"/>
      <c r="Q5" s="105"/>
      <c r="R5" s="106"/>
      <c r="S5" s="106"/>
      <c r="T5" s="107"/>
      <c r="U5" s="105"/>
      <c r="V5" s="106"/>
      <c r="W5" s="106"/>
      <c r="X5" s="107"/>
      <c r="Y5" s="105"/>
      <c r="Z5" s="106"/>
      <c r="AA5" s="106"/>
      <c r="AB5" s="107"/>
      <c r="AC5" s="105"/>
      <c r="AD5" s="106"/>
      <c r="AE5" s="106"/>
      <c r="AF5" s="107"/>
      <c r="AG5" s="105"/>
      <c r="AH5" s="106"/>
      <c r="AI5" s="106"/>
      <c r="AJ5" s="107"/>
      <c r="AK5" s="105"/>
      <c r="AL5" s="106"/>
      <c r="AM5" s="106"/>
      <c r="AN5" s="107"/>
      <c r="AO5" s="595"/>
      <c r="AP5" s="596"/>
      <c r="AQ5" s="596"/>
      <c r="AR5" s="597"/>
      <c r="AS5" s="595"/>
      <c r="AT5" s="596"/>
      <c r="AU5" s="596"/>
      <c r="AV5" s="597"/>
      <c r="AW5" s="595"/>
      <c r="AX5" s="596"/>
      <c r="AY5" s="596"/>
      <c r="AZ5" s="597"/>
      <c r="BA5" s="595"/>
      <c r="BB5" s="596"/>
      <c r="BC5" s="596"/>
      <c r="BD5" s="597"/>
      <c r="BE5" s="595"/>
      <c r="BF5" s="596"/>
      <c r="BG5" s="596"/>
      <c r="BH5" s="597"/>
      <c r="BI5" s="595"/>
      <c r="BJ5" s="596"/>
      <c r="BK5" s="596"/>
      <c r="BL5" s="597"/>
      <c r="BM5" s="595"/>
      <c r="BN5" s="596"/>
      <c r="BO5" s="596"/>
      <c r="BP5" s="597"/>
      <c r="BQ5" s="595"/>
      <c r="BR5" s="596"/>
      <c r="BS5" s="596"/>
      <c r="BT5" s="597"/>
      <c r="BU5" s="595"/>
      <c r="BV5" s="596"/>
      <c r="BW5" s="596"/>
      <c r="BX5" s="597"/>
      <c r="BY5" s="595"/>
      <c r="BZ5" s="596"/>
      <c r="CA5" s="596"/>
      <c r="CB5" s="597"/>
      <c r="CC5" s="595"/>
      <c r="CD5" s="596"/>
      <c r="CE5" s="596"/>
      <c r="CF5" s="597"/>
      <c r="CG5" s="595"/>
      <c r="CH5" s="596"/>
      <c r="CI5" s="596"/>
      <c r="CJ5" s="597"/>
      <c r="CK5" s="595"/>
      <c r="CL5" s="596"/>
      <c r="CM5" s="596"/>
      <c r="CN5" s="597"/>
      <c r="CO5" s="595"/>
      <c r="CP5" s="596"/>
      <c r="CQ5" s="596"/>
      <c r="CR5" s="597"/>
      <c r="CS5" s="595"/>
      <c r="CT5" s="596"/>
      <c r="CU5" s="596"/>
      <c r="CV5" s="597"/>
      <c r="CW5" s="595"/>
      <c r="CX5" s="596"/>
      <c r="CY5" s="596"/>
      <c r="CZ5" s="597"/>
      <c r="DA5" s="595"/>
      <c r="DB5" s="596"/>
      <c r="DC5" s="596"/>
      <c r="DD5" s="597"/>
      <c r="DE5" s="595"/>
      <c r="DF5" s="596"/>
      <c r="DG5" s="596"/>
      <c r="DH5" s="597"/>
      <c r="DI5" s="595"/>
      <c r="DJ5" s="596"/>
      <c r="DK5" s="596"/>
      <c r="DL5" s="597"/>
      <c r="DM5" s="595"/>
      <c r="DN5" s="596"/>
      <c r="DO5" s="596"/>
      <c r="DP5" s="597"/>
      <c r="DQ5" s="595"/>
      <c r="DR5" s="596"/>
      <c r="DS5" s="596"/>
      <c r="DT5" s="597"/>
      <c r="DU5" s="598"/>
      <c r="DV5" s="599"/>
      <c r="DW5" s="599"/>
      <c r="DX5" s="600"/>
      <c r="DY5" s="598"/>
      <c r="DZ5" s="599"/>
      <c r="EA5" s="599"/>
      <c r="EB5" s="600"/>
      <c r="EC5" s="598"/>
      <c r="ED5" s="599"/>
      <c r="EE5" s="599"/>
      <c r="EF5" s="600"/>
      <c r="EG5" s="598"/>
      <c r="EH5" s="599"/>
      <c r="EI5" s="599"/>
      <c r="EJ5" s="600"/>
      <c r="EK5" s="598"/>
      <c r="EL5" s="599"/>
      <c r="EM5" s="599"/>
      <c r="EN5" s="600"/>
      <c r="EO5" s="598"/>
      <c r="EP5" s="599"/>
      <c r="EQ5" s="599"/>
      <c r="ER5" s="600"/>
      <c r="ES5" s="598"/>
      <c r="ET5" s="599"/>
      <c r="EU5" s="599"/>
      <c r="EV5" s="600"/>
      <c r="EW5" s="598"/>
      <c r="EX5" s="599"/>
      <c r="EY5" s="599"/>
      <c r="EZ5" s="600"/>
      <c r="FA5" s="598"/>
      <c r="FB5" s="599"/>
      <c r="FC5" s="599"/>
      <c r="FD5" s="600"/>
      <c r="FE5" s="598"/>
      <c r="FF5" s="599"/>
      <c r="FG5" s="599"/>
      <c r="FH5" s="600"/>
      <c r="FI5" s="598"/>
      <c r="FJ5" s="599"/>
      <c r="FK5" s="599"/>
      <c r="FL5" s="600"/>
      <c r="FM5" s="598"/>
      <c r="FN5" s="599"/>
      <c r="FO5" s="599"/>
      <c r="FP5" s="600"/>
      <c r="FQ5" s="598"/>
      <c r="FR5" s="599"/>
      <c r="FS5" s="599"/>
      <c r="FT5" s="600"/>
      <c r="FU5" s="598"/>
      <c r="FV5" s="599"/>
      <c r="FW5" s="599"/>
      <c r="FX5" s="600"/>
      <c r="FY5" s="598"/>
      <c r="FZ5" s="599"/>
      <c r="GA5" s="599"/>
      <c r="GB5" s="600"/>
      <c r="GC5" s="598"/>
      <c r="GD5" s="599"/>
      <c r="GE5" s="599"/>
      <c r="GF5" s="600"/>
      <c r="GG5" s="598"/>
      <c r="GH5" s="599"/>
      <c r="GI5" s="599"/>
      <c r="GJ5" s="600"/>
      <c r="GK5" s="598"/>
      <c r="GL5" s="599"/>
      <c r="GM5" s="599"/>
      <c r="GN5" s="600"/>
      <c r="GO5" s="598"/>
      <c r="GP5" s="599"/>
      <c r="GQ5" s="599"/>
      <c r="GR5" s="600"/>
      <c r="GS5" s="598"/>
      <c r="GT5" s="599"/>
      <c r="GU5" s="599"/>
      <c r="GV5" s="600"/>
      <c r="GW5" s="598"/>
      <c r="GX5" s="599"/>
      <c r="GY5" s="599"/>
      <c r="GZ5" s="600"/>
      <c r="HA5" s="598"/>
      <c r="HB5" s="599"/>
      <c r="HC5" s="599"/>
      <c r="HD5" s="600"/>
      <c r="HE5" s="598"/>
      <c r="HF5" s="599"/>
      <c r="HG5" s="599"/>
      <c r="HH5" s="600"/>
      <c r="HI5" s="598"/>
      <c r="HJ5" s="599"/>
      <c r="HK5" s="599"/>
      <c r="HL5" s="600"/>
      <c r="HN5" s="654"/>
      <c r="HP5" s="654"/>
      <c r="HS5" s="654"/>
      <c r="HU5" s="654"/>
    </row>
    <row r="6" spans="1:231" x14ac:dyDescent="0.2">
      <c r="A6" s="582"/>
      <c r="B6" s="582"/>
      <c r="C6" s="583"/>
      <c r="D6" s="104" t="s">
        <v>1307</v>
      </c>
      <c r="E6" s="595"/>
      <c r="F6" s="596"/>
      <c r="G6" s="596"/>
      <c r="H6" s="597"/>
      <c r="I6" s="595"/>
      <c r="J6" s="596"/>
      <c r="K6" s="596"/>
      <c r="L6" s="597"/>
      <c r="M6" s="595"/>
      <c r="N6" s="596"/>
      <c r="O6" s="596"/>
      <c r="P6" s="597"/>
      <c r="Q6" s="595"/>
      <c r="R6" s="596"/>
      <c r="S6" s="596"/>
      <c r="T6" s="597"/>
      <c r="U6" s="595" t="s">
        <v>1662</v>
      </c>
      <c r="V6" s="596"/>
      <c r="W6" s="596"/>
      <c r="X6" s="597"/>
      <c r="Y6" s="595" t="s">
        <v>1663</v>
      </c>
      <c r="Z6" s="596"/>
      <c r="AA6" s="596"/>
      <c r="AB6" s="597"/>
      <c r="AC6" s="595" t="s">
        <v>1664</v>
      </c>
      <c r="AD6" s="596"/>
      <c r="AE6" s="596"/>
      <c r="AF6" s="597"/>
      <c r="AG6" s="595" t="s">
        <v>1664</v>
      </c>
      <c r="AH6" s="596"/>
      <c r="AI6" s="596"/>
      <c r="AJ6" s="597"/>
      <c r="AK6" s="595" t="s">
        <v>1664</v>
      </c>
      <c r="AL6" s="596"/>
      <c r="AM6" s="596"/>
      <c r="AN6" s="597"/>
      <c r="AO6" s="595" t="s">
        <v>1664</v>
      </c>
      <c r="AP6" s="596"/>
      <c r="AQ6" s="596"/>
      <c r="AR6" s="597"/>
      <c r="AS6" s="595" t="s">
        <v>1664</v>
      </c>
      <c r="AT6" s="596"/>
      <c r="AU6" s="596"/>
      <c r="AV6" s="597"/>
      <c r="AW6" s="595"/>
      <c r="AX6" s="596"/>
      <c r="AY6" s="596"/>
      <c r="AZ6" s="597"/>
      <c r="BA6" s="595" t="s">
        <v>1664</v>
      </c>
      <c r="BB6" s="596"/>
      <c r="BC6" s="596"/>
      <c r="BD6" s="597"/>
      <c r="BE6" s="595"/>
      <c r="BF6" s="596"/>
      <c r="BG6" s="596"/>
      <c r="BH6" s="597"/>
      <c r="BI6" s="595" t="s">
        <v>1664</v>
      </c>
      <c r="BJ6" s="596"/>
      <c r="BK6" s="596"/>
      <c r="BL6" s="597"/>
      <c r="BM6" s="595" t="s">
        <v>1664</v>
      </c>
      <c r="BN6" s="596"/>
      <c r="BO6" s="596"/>
      <c r="BP6" s="597"/>
      <c r="BQ6" s="595" t="s">
        <v>1664</v>
      </c>
      <c r="BR6" s="596"/>
      <c r="BS6" s="596"/>
      <c r="BT6" s="597"/>
      <c r="BU6" s="595" t="s">
        <v>1664</v>
      </c>
      <c r="BV6" s="596"/>
      <c r="BW6" s="596"/>
      <c r="BX6" s="597"/>
      <c r="BY6" s="595" t="s">
        <v>1664</v>
      </c>
      <c r="BZ6" s="596"/>
      <c r="CA6" s="596"/>
      <c r="CB6" s="597"/>
      <c r="CC6" s="595" t="s">
        <v>1664</v>
      </c>
      <c r="CD6" s="596"/>
      <c r="CE6" s="596"/>
      <c r="CF6" s="597"/>
      <c r="CG6" s="595" t="s">
        <v>1664</v>
      </c>
      <c r="CH6" s="596"/>
      <c r="CI6" s="596"/>
      <c r="CJ6" s="597"/>
      <c r="CK6" s="595" t="s">
        <v>1664</v>
      </c>
      <c r="CL6" s="596"/>
      <c r="CM6" s="596"/>
      <c r="CN6" s="597"/>
      <c r="CO6" s="595" t="s">
        <v>1664</v>
      </c>
      <c r="CP6" s="596"/>
      <c r="CQ6" s="596"/>
      <c r="CR6" s="597"/>
      <c r="CS6" s="595" t="s">
        <v>1664</v>
      </c>
      <c r="CT6" s="596"/>
      <c r="CU6" s="596"/>
      <c r="CV6" s="597"/>
      <c r="CW6" s="595" t="s">
        <v>1664</v>
      </c>
      <c r="CX6" s="596"/>
      <c r="CY6" s="596"/>
      <c r="CZ6" s="597"/>
      <c r="DA6" s="595" t="s">
        <v>1664</v>
      </c>
      <c r="DB6" s="596"/>
      <c r="DC6" s="596"/>
      <c r="DD6" s="597"/>
      <c r="DE6" s="595" t="s">
        <v>1664</v>
      </c>
      <c r="DF6" s="596"/>
      <c r="DG6" s="596"/>
      <c r="DH6" s="597"/>
      <c r="DI6" s="595" t="s">
        <v>1664</v>
      </c>
      <c r="DJ6" s="596"/>
      <c r="DK6" s="596"/>
      <c r="DL6" s="597"/>
      <c r="DM6" s="595" t="s">
        <v>1665</v>
      </c>
      <c r="DN6" s="596"/>
      <c r="DO6" s="596"/>
      <c r="DP6" s="597"/>
      <c r="DQ6" s="595" t="s">
        <v>1664</v>
      </c>
      <c r="DR6" s="596"/>
      <c r="DS6" s="596"/>
      <c r="DT6" s="597"/>
      <c r="DU6" s="598" t="s">
        <v>1308</v>
      </c>
      <c r="DV6" s="599"/>
      <c r="DW6" s="599"/>
      <c r="DX6" s="600"/>
      <c r="DY6" s="598" t="s">
        <v>1665</v>
      </c>
      <c r="DZ6" s="599"/>
      <c r="EA6" s="599"/>
      <c r="EB6" s="600"/>
      <c r="EC6" s="598" t="s">
        <v>1308</v>
      </c>
      <c r="ED6" s="599"/>
      <c r="EE6" s="599"/>
      <c r="EF6" s="600"/>
      <c r="EG6" s="598" t="s">
        <v>1308</v>
      </c>
      <c r="EH6" s="599"/>
      <c r="EI6" s="599"/>
      <c r="EJ6" s="600"/>
      <c r="EK6" s="598" t="s">
        <v>1308</v>
      </c>
      <c r="EL6" s="599"/>
      <c r="EM6" s="599"/>
      <c r="EN6" s="600"/>
      <c r="EO6" s="598" t="s">
        <v>1308</v>
      </c>
      <c r="EP6" s="599"/>
      <c r="EQ6" s="599"/>
      <c r="ER6" s="600"/>
      <c r="ES6" s="646" t="s">
        <v>1666</v>
      </c>
      <c r="ET6" s="599"/>
      <c r="EU6" s="599"/>
      <c r="EV6" s="600"/>
      <c r="EW6" s="598" t="s">
        <v>1308</v>
      </c>
      <c r="EX6" s="599"/>
      <c r="EY6" s="599"/>
      <c r="EZ6" s="600"/>
      <c r="FA6" s="646" t="s">
        <v>1666</v>
      </c>
      <c r="FB6" s="599"/>
      <c r="FC6" s="599"/>
      <c r="FD6" s="600"/>
      <c r="FE6" s="598" t="s">
        <v>1308</v>
      </c>
      <c r="FF6" s="599"/>
      <c r="FG6" s="599"/>
      <c r="FH6" s="600"/>
      <c r="FI6" s="646" t="s">
        <v>1667</v>
      </c>
      <c r="FJ6" s="599"/>
      <c r="FK6" s="599"/>
      <c r="FL6" s="600"/>
      <c r="FM6" s="646" t="s">
        <v>1667</v>
      </c>
      <c r="FN6" s="599"/>
      <c r="FO6" s="599"/>
      <c r="FP6" s="600"/>
      <c r="FQ6" s="646" t="s">
        <v>1668</v>
      </c>
      <c r="FR6" s="599"/>
      <c r="FS6" s="599"/>
      <c r="FT6" s="600"/>
      <c r="FU6" s="646" t="s">
        <v>1669</v>
      </c>
      <c r="FV6" s="599"/>
      <c r="FW6" s="599"/>
      <c r="FX6" s="600"/>
      <c r="FY6" s="646" t="s">
        <v>1669</v>
      </c>
      <c r="FZ6" s="599"/>
      <c r="GA6" s="599"/>
      <c r="GB6" s="600"/>
      <c r="GC6" s="646" t="s">
        <v>1669</v>
      </c>
      <c r="GD6" s="599"/>
      <c r="GE6" s="599"/>
      <c r="GF6" s="600"/>
      <c r="GG6" s="646" t="s">
        <v>1670</v>
      </c>
      <c r="GH6" s="599"/>
      <c r="GI6" s="599"/>
      <c r="GJ6" s="600"/>
      <c r="GK6" s="646" t="s">
        <v>1671</v>
      </c>
      <c r="GL6" s="599"/>
      <c r="GM6" s="599"/>
      <c r="GN6" s="600"/>
      <c r="GO6" s="646" t="s">
        <v>1671</v>
      </c>
      <c r="GP6" s="599"/>
      <c r="GQ6" s="599"/>
      <c r="GR6" s="600"/>
      <c r="GS6" s="646" t="s">
        <v>1672</v>
      </c>
      <c r="GT6" s="599"/>
      <c r="GU6" s="599"/>
      <c r="GV6" s="600"/>
      <c r="GW6" s="646" t="s">
        <v>1672</v>
      </c>
      <c r="GX6" s="599"/>
      <c r="GY6" s="599"/>
      <c r="GZ6" s="600"/>
      <c r="HA6" s="646" t="s">
        <v>1672</v>
      </c>
      <c r="HB6" s="599"/>
      <c r="HC6" s="599"/>
      <c r="HD6" s="600"/>
      <c r="HE6" s="646" t="s">
        <v>1672</v>
      </c>
      <c r="HF6" s="599"/>
      <c r="HG6" s="599"/>
      <c r="HH6" s="600"/>
      <c r="HI6" s="646" t="s">
        <v>1673</v>
      </c>
      <c r="HJ6" s="599"/>
      <c r="HK6" s="599"/>
      <c r="HL6" s="600"/>
      <c r="HN6" s="654"/>
      <c r="HP6" s="654"/>
      <c r="HS6" s="654"/>
      <c r="HU6" s="654"/>
    </row>
    <row r="7" spans="1:231" x14ac:dyDescent="0.2">
      <c r="A7" s="582"/>
      <c r="B7" s="582"/>
      <c r="C7" s="583"/>
      <c r="D7" s="104" t="s">
        <v>1309</v>
      </c>
      <c r="E7" s="595">
        <v>2025</v>
      </c>
      <c r="F7" s="596"/>
      <c r="G7" s="596"/>
      <c r="H7" s="597"/>
      <c r="I7" s="595">
        <v>2025</v>
      </c>
      <c r="J7" s="596"/>
      <c r="K7" s="596"/>
      <c r="L7" s="597"/>
      <c r="M7" s="595">
        <v>2025</v>
      </c>
      <c r="N7" s="596"/>
      <c r="O7" s="596"/>
      <c r="P7" s="597"/>
      <c r="Q7" s="595">
        <v>2025</v>
      </c>
      <c r="R7" s="596"/>
      <c r="S7" s="596"/>
      <c r="T7" s="597"/>
      <c r="U7" s="595">
        <v>2025</v>
      </c>
      <c r="V7" s="596"/>
      <c r="W7" s="596"/>
      <c r="X7" s="597"/>
      <c r="Y7" s="595">
        <v>2025</v>
      </c>
      <c r="Z7" s="596"/>
      <c r="AA7" s="596"/>
      <c r="AB7" s="597"/>
      <c r="AC7" s="595">
        <v>2025</v>
      </c>
      <c r="AD7" s="596"/>
      <c r="AE7" s="596"/>
      <c r="AF7" s="597"/>
      <c r="AG7" s="595">
        <v>2025</v>
      </c>
      <c r="AH7" s="596"/>
      <c r="AI7" s="596"/>
      <c r="AJ7" s="597"/>
      <c r="AK7" s="595">
        <v>2025</v>
      </c>
      <c r="AL7" s="596"/>
      <c r="AM7" s="596"/>
      <c r="AN7" s="597"/>
      <c r="AO7" s="595">
        <v>2025</v>
      </c>
      <c r="AP7" s="596"/>
      <c r="AQ7" s="596"/>
      <c r="AR7" s="597"/>
      <c r="AS7" s="595">
        <v>2025</v>
      </c>
      <c r="AT7" s="596"/>
      <c r="AU7" s="596"/>
      <c r="AV7" s="597"/>
      <c r="AW7" s="595">
        <v>2025</v>
      </c>
      <c r="AX7" s="596"/>
      <c r="AY7" s="596"/>
      <c r="AZ7" s="597"/>
      <c r="BA7" s="595">
        <v>2025</v>
      </c>
      <c r="BB7" s="596"/>
      <c r="BC7" s="596"/>
      <c r="BD7" s="597"/>
      <c r="BE7" s="595">
        <v>2025</v>
      </c>
      <c r="BF7" s="596"/>
      <c r="BG7" s="596"/>
      <c r="BH7" s="597"/>
      <c r="BI7" s="595">
        <v>2025</v>
      </c>
      <c r="BJ7" s="596"/>
      <c r="BK7" s="596"/>
      <c r="BL7" s="597"/>
      <c r="BM7" s="595">
        <v>2025</v>
      </c>
      <c r="BN7" s="596"/>
      <c r="BO7" s="596"/>
      <c r="BP7" s="597"/>
      <c r="BQ7" s="595">
        <v>2025</v>
      </c>
      <c r="BR7" s="596"/>
      <c r="BS7" s="596"/>
      <c r="BT7" s="597"/>
      <c r="BU7" s="595">
        <v>2025</v>
      </c>
      <c r="BV7" s="596"/>
      <c r="BW7" s="596"/>
      <c r="BX7" s="597"/>
      <c r="BY7" s="595">
        <v>2025</v>
      </c>
      <c r="BZ7" s="596"/>
      <c r="CA7" s="596"/>
      <c r="CB7" s="597"/>
      <c r="CC7" s="595">
        <v>2025</v>
      </c>
      <c r="CD7" s="596"/>
      <c r="CE7" s="596"/>
      <c r="CF7" s="597"/>
      <c r="CG7" s="595">
        <v>2025</v>
      </c>
      <c r="CH7" s="596"/>
      <c r="CI7" s="596"/>
      <c r="CJ7" s="597"/>
      <c r="CK7" s="595">
        <v>2025</v>
      </c>
      <c r="CL7" s="596"/>
      <c r="CM7" s="596"/>
      <c r="CN7" s="597"/>
      <c r="CO7" s="595">
        <v>2025</v>
      </c>
      <c r="CP7" s="596"/>
      <c r="CQ7" s="596"/>
      <c r="CR7" s="597"/>
      <c r="CS7" s="595">
        <v>2025</v>
      </c>
      <c r="CT7" s="596"/>
      <c r="CU7" s="596"/>
      <c r="CV7" s="597"/>
      <c r="CW7" s="595">
        <v>2025</v>
      </c>
      <c r="CX7" s="596"/>
      <c r="CY7" s="596"/>
      <c r="CZ7" s="597"/>
      <c r="DA7" s="595">
        <v>2025</v>
      </c>
      <c r="DB7" s="596"/>
      <c r="DC7" s="596"/>
      <c r="DD7" s="597"/>
      <c r="DE7" s="595">
        <v>2025</v>
      </c>
      <c r="DF7" s="596"/>
      <c r="DG7" s="596"/>
      <c r="DH7" s="597"/>
      <c r="DI7" s="595">
        <v>2025</v>
      </c>
      <c r="DJ7" s="596"/>
      <c r="DK7" s="596"/>
      <c r="DL7" s="597"/>
      <c r="DM7" s="595">
        <v>2025</v>
      </c>
      <c r="DN7" s="596"/>
      <c r="DO7" s="596"/>
      <c r="DP7" s="597"/>
      <c r="DQ7" s="595">
        <v>2025</v>
      </c>
      <c r="DR7" s="596"/>
      <c r="DS7" s="596"/>
      <c r="DT7" s="597"/>
      <c r="DU7" s="595">
        <v>2024</v>
      </c>
      <c r="DV7" s="596"/>
      <c r="DW7" s="596"/>
      <c r="DX7" s="597"/>
      <c r="DY7" s="595">
        <v>2024</v>
      </c>
      <c r="DZ7" s="596"/>
      <c r="EA7" s="596"/>
      <c r="EB7" s="597"/>
      <c r="EC7" s="595">
        <v>2024</v>
      </c>
      <c r="ED7" s="596"/>
      <c r="EE7" s="596"/>
      <c r="EF7" s="597"/>
      <c r="EG7" s="595">
        <v>2024</v>
      </c>
      <c r="EH7" s="596"/>
      <c r="EI7" s="596"/>
      <c r="EJ7" s="597"/>
      <c r="EK7" s="595">
        <v>2024</v>
      </c>
      <c r="EL7" s="596"/>
      <c r="EM7" s="596"/>
      <c r="EN7" s="597"/>
      <c r="EO7" s="595">
        <v>2024</v>
      </c>
      <c r="EP7" s="596"/>
      <c r="EQ7" s="596"/>
      <c r="ER7" s="597"/>
      <c r="ES7" s="595">
        <v>2024</v>
      </c>
      <c r="ET7" s="596"/>
      <c r="EU7" s="596"/>
      <c r="EV7" s="597"/>
      <c r="EW7" s="595">
        <v>2024</v>
      </c>
      <c r="EX7" s="596"/>
      <c r="EY7" s="596"/>
      <c r="EZ7" s="597"/>
      <c r="FA7" s="595">
        <v>2024</v>
      </c>
      <c r="FB7" s="596"/>
      <c r="FC7" s="596"/>
      <c r="FD7" s="597"/>
      <c r="FE7" s="595">
        <v>2024</v>
      </c>
      <c r="FF7" s="596"/>
      <c r="FG7" s="596"/>
      <c r="FH7" s="597"/>
      <c r="FI7" s="595">
        <v>2024</v>
      </c>
      <c r="FJ7" s="596"/>
      <c r="FK7" s="596"/>
      <c r="FL7" s="597"/>
      <c r="FM7" s="595">
        <v>2024</v>
      </c>
      <c r="FN7" s="596"/>
      <c r="FO7" s="596"/>
      <c r="FP7" s="597"/>
      <c r="FQ7" s="595">
        <v>2024</v>
      </c>
      <c r="FR7" s="596"/>
      <c r="FS7" s="596"/>
      <c r="FT7" s="597"/>
      <c r="FU7" s="595">
        <v>2024</v>
      </c>
      <c r="FV7" s="596"/>
      <c r="FW7" s="596"/>
      <c r="FX7" s="597"/>
      <c r="FY7" s="595">
        <v>2024</v>
      </c>
      <c r="FZ7" s="596"/>
      <c r="GA7" s="596"/>
      <c r="GB7" s="597"/>
      <c r="GC7" s="595">
        <v>2024</v>
      </c>
      <c r="GD7" s="596"/>
      <c r="GE7" s="596"/>
      <c r="GF7" s="597"/>
      <c r="GG7" s="595">
        <v>2024</v>
      </c>
      <c r="GH7" s="596"/>
      <c r="GI7" s="596"/>
      <c r="GJ7" s="597"/>
      <c r="GK7" s="595">
        <v>2024</v>
      </c>
      <c r="GL7" s="596"/>
      <c r="GM7" s="596"/>
      <c r="GN7" s="597"/>
      <c r="GO7" s="595">
        <v>2024</v>
      </c>
      <c r="GP7" s="596"/>
      <c r="GQ7" s="596"/>
      <c r="GR7" s="597"/>
      <c r="GS7" s="595">
        <v>2024</v>
      </c>
      <c r="GT7" s="596"/>
      <c r="GU7" s="596"/>
      <c r="GV7" s="597"/>
      <c r="GW7" s="595">
        <v>2024</v>
      </c>
      <c r="GX7" s="596"/>
      <c r="GY7" s="596"/>
      <c r="GZ7" s="597"/>
      <c r="HA7" s="595">
        <v>2024</v>
      </c>
      <c r="HB7" s="596"/>
      <c r="HC7" s="596"/>
      <c r="HD7" s="597"/>
      <c r="HE7" s="595">
        <v>2024</v>
      </c>
      <c r="HF7" s="596"/>
      <c r="HG7" s="596"/>
      <c r="HH7" s="597"/>
      <c r="HI7" s="595">
        <v>2024</v>
      </c>
      <c r="HJ7" s="596"/>
      <c r="HK7" s="596"/>
      <c r="HL7" s="597"/>
      <c r="HN7" s="654"/>
      <c r="HP7" s="654"/>
      <c r="HS7" s="654"/>
      <c r="HU7" s="654"/>
    </row>
    <row r="8" spans="1:231" ht="13.5" thickBot="1" x14ac:dyDescent="0.25">
      <c r="A8" s="584"/>
      <c r="B8" s="584"/>
      <c r="C8" s="585"/>
      <c r="D8" s="108" t="s">
        <v>1311</v>
      </c>
      <c r="E8" s="640"/>
      <c r="F8" s="641"/>
      <c r="G8" s="641"/>
      <c r="H8" s="642"/>
      <c r="I8" s="640"/>
      <c r="J8" s="641"/>
      <c r="K8" s="641"/>
      <c r="L8" s="642"/>
      <c r="M8" s="640"/>
      <c r="N8" s="641"/>
      <c r="O8" s="641"/>
      <c r="P8" s="642"/>
      <c r="Q8" s="640"/>
      <c r="R8" s="641"/>
      <c r="S8" s="641"/>
      <c r="T8" s="642"/>
      <c r="U8" s="640"/>
      <c r="V8" s="641"/>
      <c r="W8" s="641"/>
      <c r="X8" s="642"/>
      <c r="Y8" s="640"/>
      <c r="Z8" s="641"/>
      <c r="AA8" s="641"/>
      <c r="AB8" s="642"/>
      <c r="AC8" s="640"/>
      <c r="AD8" s="641"/>
      <c r="AE8" s="641"/>
      <c r="AF8" s="642"/>
      <c r="AG8" s="640"/>
      <c r="AH8" s="641"/>
      <c r="AI8" s="641"/>
      <c r="AJ8" s="642"/>
      <c r="AK8" s="640"/>
      <c r="AL8" s="641"/>
      <c r="AM8" s="641"/>
      <c r="AN8" s="642"/>
      <c r="AO8" s="643" t="s">
        <v>1674</v>
      </c>
      <c r="AP8" s="644"/>
      <c r="AQ8" s="644"/>
      <c r="AR8" s="645"/>
      <c r="AS8" s="643" t="s">
        <v>1675</v>
      </c>
      <c r="AT8" s="644"/>
      <c r="AU8" s="644"/>
      <c r="AV8" s="645"/>
      <c r="AW8" s="643" t="s">
        <v>1676</v>
      </c>
      <c r="AX8" s="644"/>
      <c r="AY8" s="644"/>
      <c r="AZ8" s="645"/>
      <c r="BA8" s="640"/>
      <c r="BB8" s="641"/>
      <c r="BC8" s="641"/>
      <c r="BD8" s="642"/>
      <c r="BE8" s="643" t="s">
        <v>1677</v>
      </c>
      <c r="BF8" s="644"/>
      <c r="BG8" s="644"/>
      <c r="BH8" s="645"/>
      <c r="BI8" s="640"/>
      <c r="BJ8" s="641"/>
      <c r="BK8" s="641"/>
      <c r="BL8" s="642"/>
      <c r="BM8" s="640"/>
      <c r="BN8" s="641"/>
      <c r="BO8" s="641"/>
      <c r="BP8" s="642"/>
      <c r="BQ8" s="640"/>
      <c r="BR8" s="641"/>
      <c r="BS8" s="641"/>
      <c r="BT8" s="642"/>
      <c r="BU8" s="640"/>
      <c r="BV8" s="641"/>
      <c r="BW8" s="641"/>
      <c r="BX8" s="642"/>
      <c r="BY8" s="643" t="s">
        <v>1678</v>
      </c>
      <c r="BZ8" s="644"/>
      <c r="CA8" s="644"/>
      <c r="CB8" s="644"/>
      <c r="CC8" s="203"/>
      <c r="CD8" s="203"/>
      <c r="CE8" s="203"/>
      <c r="CF8" s="203"/>
      <c r="CG8" s="640"/>
      <c r="CH8" s="641"/>
      <c r="CI8" s="641"/>
      <c r="CJ8" s="642"/>
      <c r="CK8" s="640"/>
      <c r="CL8" s="641"/>
      <c r="CM8" s="641"/>
      <c r="CN8" s="642"/>
      <c r="CO8" s="640"/>
      <c r="CP8" s="641"/>
      <c r="CQ8" s="641"/>
      <c r="CR8" s="642"/>
      <c r="CS8" s="640"/>
      <c r="CT8" s="641"/>
      <c r="CU8" s="641"/>
      <c r="CV8" s="642"/>
      <c r="CW8" s="640"/>
      <c r="CX8" s="641"/>
      <c r="CY8" s="641"/>
      <c r="CZ8" s="642"/>
      <c r="DA8" s="640"/>
      <c r="DB8" s="641"/>
      <c r="DC8" s="641"/>
      <c r="DD8" s="642"/>
      <c r="DE8" s="640"/>
      <c r="DF8" s="641"/>
      <c r="DG8" s="641"/>
      <c r="DH8" s="642"/>
      <c r="DI8" s="640"/>
      <c r="DJ8" s="641"/>
      <c r="DK8" s="641"/>
      <c r="DL8" s="642"/>
      <c r="DM8" s="640"/>
      <c r="DN8" s="641"/>
      <c r="DO8" s="641"/>
      <c r="DP8" s="642"/>
      <c r="DQ8" s="640"/>
      <c r="DR8" s="641"/>
      <c r="DS8" s="641"/>
      <c r="DT8" s="642"/>
      <c r="DU8" s="579"/>
      <c r="DV8" s="580"/>
      <c r="DW8" s="580"/>
      <c r="DX8" s="581"/>
      <c r="DY8" s="579"/>
      <c r="DZ8" s="580"/>
      <c r="EA8" s="580"/>
      <c r="EB8" s="581"/>
      <c r="EC8" s="579"/>
      <c r="ED8" s="580"/>
      <c r="EE8" s="580"/>
      <c r="EF8" s="581"/>
      <c r="EG8" s="579"/>
      <c r="EH8" s="580"/>
      <c r="EI8" s="580"/>
      <c r="EJ8" s="581"/>
      <c r="EK8" s="579"/>
      <c r="EL8" s="580"/>
      <c r="EM8" s="580"/>
      <c r="EN8" s="581"/>
      <c r="EO8" s="579"/>
      <c r="EP8" s="580"/>
      <c r="EQ8" s="580"/>
      <c r="ER8" s="581"/>
      <c r="ES8" s="579"/>
      <c r="ET8" s="580"/>
      <c r="EU8" s="580"/>
      <c r="EV8" s="581"/>
      <c r="EW8" s="579"/>
      <c r="EX8" s="580"/>
      <c r="EY8" s="580"/>
      <c r="EZ8" s="581"/>
      <c r="FA8" s="579"/>
      <c r="FB8" s="580"/>
      <c r="FC8" s="580"/>
      <c r="FD8" s="581"/>
      <c r="FE8" s="579"/>
      <c r="FF8" s="580"/>
      <c r="FG8" s="580"/>
      <c r="FH8" s="581"/>
      <c r="FI8" s="579"/>
      <c r="FJ8" s="580"/>
      <c r="FK8" s="580"/>
      <c r="FL8" s="581"/>
      <c r="FM8" s="579"/>
      <c r="FN8" s="580"/>
      <c r="FO8" s="580"/>
      <c r="FP8" s="581"/>
      <c r="FQ8" s="579"/>
      <c r="FR8" s="580"/>
      <c r="FS8" s="580"/>
      <c r="FT8" s="581"/>
      <c r="FU8" s="579"/>
      <c r="FV8" s="580"/>
      <c r="FW8" s="580"/>
      <c r="FX8" s="581"/>
      <c r="FY8" s="579"/>
      <c r="FZ8" s="580"/>
      <c r="GA8" s="580"/>
      <c r="GB8" s="581"/>
      <c r="GC8" s="579"/>
      <c r="GD8" s="580"/>
      <c r="GE8" s="580"/>
      <c r="GF8" s="581"/>
      <c r="GG8" s="579"/>
      <c r="GH8" s="580"/>
      <c r="GI8" s="580"/>
      <c r="GJ8" s="581"/>
      <c r="GK8" s="579"/>
      <c r="GL8" s="580"/>
      <c r="GM8" s="580"/>
      <c r="GN8" s="581"/>
      <c r="GO8" s="579"/>
      <c r="GP8" s="580"/>
      <c r="GQ8" s="580"/>
      <c r="GR8" s="581"/>
      <c r="GS8" s="579"/>
      <c r="GT8" s="580"/>
      <c r="GU8" s="580"/>
      <c r="GV8" s="581"/>
      <c r="GW8" s="579"/>
      <c r="GX8" s="580"/>
      <c r="GY8" s="580"/>
      <c r="GZ8" s="581"/>
      <c r="HA8" s="579"/>
      <c r="HB8" s="580"/>
      <c r="HC8" s="580"/>
      <c r="HD8" s="581"/>
      <c r="HE8" s="579"/>
      <c r="HF8" s="580"/>
      <c r="HG8" s="580"/>
      <c r="HH8" s="581"/>
      <c r="HI8" s="579"/>
      <c r="HJ8" s="580"/>
      <c r="HK8" s="580"/>
      <c r="HL8" s="581"/>
      <c r="HN8" s="654"/>
      <c r="HP8" s="654"/>
      <c r="HS8" s="654"/>
      <c r="HT8" s="102"/>
      <c r="HU8" s="654"/>
      <c r="HV8" s="102"/>
      <c r="HW8" s="102"/>
    </row>
    <row r="9" spans="1:231" ht="39" thickBot="1" x14ac:dyDescent="0.25">
      <c r="A9" s="204" t="s">
        <v>1679</v>
      </c>
      <c r="B9" s="205" t="s">
        <v>1680</v>
      </c>
      <c r="C9" s="205" t="s">
        <v>1681</v>
      </c>
      <c r="D9" s="206" t="s">
        <v>1682</v>
      </c>
      <c r="E9" s="109" t="s">
        <v>1320</v>
      </c>
      <c r="F9" s="110" t="s">
        <v>1321</v>
      </c>
      <c r="G9" s="110" t="s">
        <v>1683</v>
      </c>
      <c r="H9" s="111" t="s">
        <v>1323</v>
      </c>
      <c r="I9" s="109" t="s">
        <v>1320</v>
      </c>
      <c r="J9" s="110" t="s">
        <v>1321</v>
      </c>
      <c r="K9" s="110" t="s">
        <v>1683</v>
      </c>
      <c r="L9" s="111" t="s">
        <v>1323</v>
      </c>
      <c r="M9" s="109" t="s">
        <v>1320</v>
      </c>
      <c r="N9" s="110" t="s">
        <v>1321</v>
      </c>
      <c r="O9" s="110" t="s">
        <v>1683</v>
      </c>
      <c r="P9" s="111" t="s">
        <v>1323</v>
      </c>
      <c r="Q9" s="109" t="s">
        <v>1320</v>
      </c>
      <c r="R9" s="110" t="s">
        <v>1321</v>
      </c>
      <c r="S9" s="110" t="s">
        <v>1683</v>
      </c>
      <c r="T9" s="111" t="s">
        <v>1323</v>
      </c>
      <c r="U9" s="109" t="s">
        <v>1320</v>
      </c>
      <c r="V9" s="110" t="s">
        <v>1321</v>
      </c>
      <c r="W9" s="110" t="s">
        <v>1683</v>
      </c>
      <c r="X9" s="111" t="s">
        <v>1323</v>
      </c>
      <c r="Y9" s="109" t="s">
        <v>1320</v>
      </c>
      <c r="Z9" s="110" t="s">
        <v>1321</v>
      </c>
      <c r="AA9" s="110" t="s">
        <v>1683</v>
      </c>
      <c r="AB9" s="111" t="s">
        <v>1323</v>
      </c>
      <c r="AC9" s="207" t="s">
        <v>1320</v>
      </c>
      <c r="AD9" s="208" t="s">
        <v>1321</v>
      </c>
      <c r="AE9" s="208" t="s">
        <v>1683</v>
      </c>
      <c r="AF9" s="209" t="s">
        <v>1323</v>
      </c>
      <c r="AG9" s="207" t="s">
        <v>1320</v>
      </c>
      <c r="AH9" s="208" t="s">
        <v>1321</v>
      </c>
      <c r="AI9" s="208" t="s">
        <v>1683</v>
      </c>
      <c r="AJ9" s="209" t="s">
        <v>1323</v>
      </c>
      <c r="AK9" s="207" t="s">
        <v>1320</v>
      </c>
      <c r="AL9" s="208" t="s">
        <v>1321</v>
      </c>
      <c r="AM9" s="208" t="s">
        <v>1683</v>
      </c>
      <c r="AN9" s="209" t="s">
        <v>1323</v>
      </c>
      <c r="AO9" s="207" t="s">
        <v>1320</v>
      </c>
      <c r="AP9" s="208" t="s">
        <v>1321</v>
      </c>
      <c r="AQ9" s="208" t="s">
        <v>1683</v>
      </c>
      <c r="AR9" s="209" t="s">
        <v>1323</v>
      </c>
      <c r="AS9" s="207" t="s">
        <v>1320</v>
      </c>
      <c r="AT9" s="208" t="s">
        <v>1321</v>
      </c>
      <c r="AU9" s="208" t="s">
        <v>1683</v>
      </c>
      <c r="AV9" s="209" t="s">
        <v>1323</v>
      </c>
      <c r="AW9" s="207" t="s">
        <v>1320</v>
      </c>
      <c r="AX9" s="208" t="s">
        <v>1321</v>
      </c>
      <c r="AY9" s="208" t="s">
        <v>1683</v>
      </c>
      <c r="AZ9" s="209" t="s">
        <v>1323</v>
      </c>
      <c r="BA9" s="207" t="s">
        <v>1320</v>
      </c>
      <c r="BB9" s="208" t="s">
        <v>1321</v>
      </c>
      <c r="BC9" s="208" t="s">
        <v>1683</v>
      </c>
      <c r="BD9" s="209" t="s">
        <v>1323</v>
      </c>
      <c r="BE9" s="207" t="s">
        <v>1320</v>
      </c>
      <c r="BF9" s="208" t="s">
        <v>1321</v>
      </c>
      <c r="BG9" s="208" t="s">
        <v>1683</v>
      </c>
      <c r="BH9" s="209" t="s">
        <v>1323</v>
      </c>
      <c r="BI9" s="207" t="s">
        <v>1320</v>
      </c>
      <c r="BJ9" s="208" t="s">
        <v>1321</v>
      </c>
      <c r="BK9" s="208" t="s">
        <v>1683</v>
      </c>
      <c r="BL9" s="209" t="s">
        <v>1323</v>
      </c>
      <c r="BM9" s="207" t="s">
        <v>1320</v>
      </c>
      <c r="BN9" s="208" t="s">
        <v>1321</v>
      </c>
      <c r="BO9" s="208" t="s">
        <v>1683</v>
      </c>
      <c r="BP9" s="209" t="s">
        <v>1323</v>
      </c>
      <c r="BQ9" s="207" t="s">
        <v>1320</v>
      </c>
      <c r="BR9" s="208" t="s">
        <v>1321</v>
      </c>
      <c r="BS9" s="208" t="s">
        <v>1683</v>
      </c>
      <c r="BT9" s="209" t="s">
        <v>1323</v>
      </c>
      <c r="BU9" s="207" t="s">
        <v>1320</v>
      </c>
      <c r="BV9" s="208" t="s">
        <v>1321</v>
      </c>
      <c r="BW9" s="208" t="s">
        <v>1683</v>
      </c>
      <c r="BX9" s="209" t="s">
        <v>1323</v>
      </c>
      <c r="BY9" s="207" t="s">
        <v>1320</v>
      </c>
      <c r="BZ9" s="208" t="s">
        <v>1321</v>
      </c>
      <c r="CA9" s="208" t="s">
        <v>1683</v>
      </c>
      <c r="CB9" s="209" t="s">
        <v>1323</v>
      </c>
      <c r="CC9" s="207" t="s">
        <v>1320</v>
      </c>
      <c r="CD9" s="208" t="s">
        <v>1321</v>
      </c>
      <c r="CE9" s="208" t="s">
        <v>1683</v>
      </c>
      <c r="CF9" s="209" t="s">
        <v>1323</v>
      </c>
      <c r="CG9" s="207" t="s">
        <v>1320</v>
      </c>
      <c r="CH9" s="208" t="s">
        <v>1321</v>
      </c>
      <c r="CI9" s="208" t="s">
        <v>1683</v>
      </c>
      <c r="CJ9" s="209" t="s">
        <v>1323</v>
      </c>
      <c r="CK9" s="207" t="s">
        <v>1320</v>
      </c>
      <c r="CL9" s="208" t="s">
        <v>1321</v>
      </c>
      <c r="CM9" s="208" t="s">
        <v>1683</v>
      </c>
      <c r="CN9" s="209" t="s">
        <v>1323</v>
      </c>
      <c r="CO9" s="207" t="s">
        <v>1320</v>
      </c>
      <c r="CP9" s="208" t="s">
        <v>1321</v>
      </c>
      <c r="CQ9" s="208" t="s">
        <v>1683</v>
      </c>
      <c r="CR9" s="209" t="s">
        <v>1323</v>
      </c>
      <c r="CS9" s="207" t="s">
        <v>1320</v>
      </c>
      <c r="CT9" s="208" t="s">
        <v>1321</v>
      </c>
      <c r="CU9" s="208" t="s">
        <v>1683</v>
      </c>
      <c r="CV9" s="209" t="s">
        <v>1323</v>
      </c>
      <c r="CW9" s="207" t="s">
        <v>1320</v>
      </c>
      <c r="CX9" s="208" t="s">
        <v>1321</v>
      </c>
      <c r="CY9" s="208" t="s">
        <v>1683</v>
      </c>
      <c r="CZ9" s="209" t="s">
        <v>1323</v>
      </c>
      <c r="DA9" s="207" t="s">
        <v>1320</v>
      </c>
      <c r="DB9" s="208" t="s">
        <v>1321</v>
      </c>
      <c r="DC9" s="208" t="s">
        <v>1683</v>
      </c>
      <c r="DD9" s="209" t="s">
        <v>1323</v>
      </c>
      <c r="DE9" s="207" t="s">
        <v>1320</v>
      </c>
      <c r="DF9" s="208" t="s">
        <v>1321</v>
      </c>
      <c r="DG9" s="208" t="s">
        <v>1683</v>
      </c>
      <c r="DH9" s="209" t="s">
        <v>1323</v>
      </c>
      <c r="DI9" s="207" t="s">
        <v>1320</v>
      </c>
      <c r="DJ9" s="208" t="s">
        <v>1321</v>
      </c>
      <c r="DK9" s="208" t="s">
        <v>1683</v>
      </c>
      <c r="DL9" s="209" t="s">
        <v>1323</v>
      </c>
      <c r="DM9" s="207" t="s">
        <v>1320</v>
      </c>
      <c r="DN9" s="208" t="s">
        <v>1321</v>
      </c>
      <c r="DO9" s="208" t="s">
        <v>1683</v>
      </c>
      <c r="DP9" s="209" t="s">
        <v>1323</v>
      </c>
      <c r="DQ9" s="207" t="s">
        <v>1320</v>
      </c>
      <c r="DR9" s="208" t="s">
        <v>1321</v>
      </c>
      <c r="DS9" s="208" t="s">
        <v>1683</v>
      </c>
      <c r="DT9" s="209" t="s">
        <v>1323</v>
      </c>
      <c r="DU9" s="109" t="s">
        <v>1320</v>
      </c>
      <c r="DV9" s="110" t="s">
        <v>1321</v>
      </c>
      <c r="DW9" s="110" t="s">
        <v>1683</v>
      </c>
      <c r="DX9" s="111" t="s">
        <v>1323</v>
      </c>
      <c r="DY9" s="109" t="s">
        <v>1320</v>
      </c>
      <c r="DZ9" s="110" t="s">
        <v>1321</v>
      </c>
      <c r="EA9" s="110" t="s">
        <v>1683</v>
      </c>
      <c r="EB9" s="111" t="s">
        <v>1323</v>
      </c>
      <c r="EC9" s="109" t="s">
        <v>1320</v>
      </c>
      <c r="ED9" s="110" t="s">
        <v>1321</v>
      </c>
      <c r="EE9" s="110" t="s">
        <v>1683</v>
      </c>
      <c r="EF9" s="111" t="s">
        <v>1323</v>
      </c>
      <c r="EG9" s="109" t="s">
        <v>1320</v>
      </c>
      <c r="EH9" s="110" t="s">
        <v>1321</v>
      </c>
      <c r="EI9" s="110" t="s">
        <v>1683</v>
      </c>
      <c r="EJ9" s="111" t="s">
        <v>1323</v>
      </c>
      <c r="EK9" s="109" t="s">
        <v>1320</v>
      </c>
      <c r="EL9" s="110" t="s">
        <v>1321</v>
      </c>
      <c r="EM9" s="110" t="s">
        <v>1683</v>
      </c>
      <c r="EN9" s="111" t="s">
        <v>1323</v>
      </c>
      <c r="EO9" s="109" t="s">
        <v>1320</v>
      </c>
      <c r="EP9" s="110" t="s">
        <v>1321</v>
      </c>
      <c r="EQ9" s="110" t="s">
        <v>1683</v>
      </c>
      <c r="ER9" s="111" t="s">
        <v>1323</v>
      </c>
      <c r="ES9" s="109" t="s">
        <v>1320</v>
      </c>
      <c r="ET9" s="110" t="s">
        <v>1321</v>
      </c>
      <c r="EU9" s="110" t="s">
        <v>1683</v>
      </c>
      <c r="EV9" s="111" t="s">
        <v>1323</v>
      </c>
      <c r="EW9" s="109" t="s">
        <v>1320</v>
      </c>
      <c r="EX9" s="110" t="s">
        <v>1321</v>
      </c>
      <c r="EY9" s="110" t="s">
        <v>1683</v>
      </c>
      <c r="EZ9" s="111" t="s">
        <v>1323</v>
      </c>
      <c r="FA9" s="109" t="s">
        <v>1320</v>
      </c>
      <c r="FB9" s="110" t="s">
        <v>1321</v>
      </c>
      <c r="FC9" s="110" t="s">
        <v>1683</v>
      </c>
      <c r="FD9" s="111" t="s">
        <v>1323</v>
      </c>
      <c r="FE9" s="109" t="s">
        <v>1320</v>
      </c>
      <c r="FF9" s="110" t="s">
        <v>1321</v>
      </c>
      <c r="FG9" s="110" t="s">
        <v>1683</v>
      </c>
      <c r="FH9" s="111" t="s">
        <v>1323</v>
      </c>
      <c r="FI9" s="109" t="s">
        <v>1320</v>
      </c>
      <c r="FJ9" s="110" t="s">
        <v>1321</v>
      </c>
      <c r="FK9" s="110" t="s">
        <v>1683</v>
      </c>
      <c r="FL9" s="111" t="s">
        <v>1323</v>
      </c>
      <c r="FM9" s="109" t="s">
        <v>1320</v>
      </c>
      <c r="FN9" s="110" t="s">
        <v>1321</v>
      </c>
      <c r="FO9" s="110" t="s">
        <v>1683</v>
      </c>
      <c r="FP9" s="111" t="s">
        <v>1323</v>
      </c>
      <c r="FQ9" s="109" t="s">
        <v>1320</v>
      </c>
      <c r="FR9" s="110" t="s">
        <v>1321</v>
      </c>
      <c r="FS9" s="110" t="s">
        <v>1683</v>
      </c>
      <c r="FT9" s="111" t="s">
        <v>1323</v>
      </c>
      <c r="FU9" s="109" t="s">
        <v>1320</v>
      </c>
      <c r="FV9" s="110" t="s">
        <v>1321</v>
      </c>
      <c r="FW9" s="110" t="s">
        <v>1683</v>
      </c>
      <c r="FX9" s="111" t="s">
        <v>1323</v>
      </c>
      <c r="FY9" s="109" t="s">
        <v>1320</v>
      </c>
      <c r="FZ9" s="110" t="s">
        <v>1321</v>
      </c>
      <c r="GA9" s="110" t="s">
        <v>1683</v>
      </c>
      <c r="GB9" s="111" t="s">
        <v>1323</v>
      </c>
      <c r="GC9" s="109" t="s">
        <v>1320</v>
      </c>
      <c r="GD9" s="110" t="s">
        <v>1321</v>
      </c>
      <c r="GE9" s="110" t="s">
        <v>1683</v>
      </c>
      <c r="GF9" s="111" t="s">
        <v>1323</v>
      </c>
      <c r="GG9" s="109" t="s">
        <v>1320</v>
      </c>
      <c r="GH9" s="110" t="s">
        <v>1321</v>
      </c>
      <c r="GI9" s="110" t="s">
        <v>1683</v>
      </c>
      <c r="GJ9" s="111" t="s">
        <v>1323</v>
      </c>
      <c r="GK9" s="109" t="s">
        <v>1320</v>
      </c>
      <c r="GL9" s="110" t="s">
        <v>1321</v>
      </c>
      <c r="GM9" s="110" t="s">
        <v>1683</v>
      </c>
      <c r="GN9" s="111" t="s">
        <v>1323</v>
      </c>
      <c r="GO9" s="109" t="s">
        <v>1320</v>
      </c>
      <c r="GP9" s="110" t="s">
        <v>1321</v>
      </c>
      <c r="GQ9" s="110" t="s">
        <v>1683</v>
      </c>
      <c r="GR9" s="111" t="s">
        <v>1323</v>
      </c>
      <c r="GS9" s="109" t="s">
        <v>1320</v>
      </c>
      <c r="GT9" s="110" t="s">
        <v>1321</v>
      </c>
      <c r="GU9" s="110" t="s">
        <v>1683</v>
      </c>
      <c r="GV9" s="111" t="s">
        <v>1323</v>
      </c>
      <c r="GW9" s="109" t="s">
        <v>1320</v>
      </c>
      <c r="GX9" s="110" t="s">
        <v>1321</v>
      </c>
      <c r="GY9" s="110" t="s">
        <v>1683</v>
      </c>
      <c r="GZ9" s="111" t="s">
        <v>1323</v>
      </c>
      <c r="HA9" s="109" t="s">
        <v>1320</v>
      </c>
      <c r="HB9" s="110" t="s">
        <v>1321</v>
      </c>
      <c r="HC9" s="110" t="s">
        <v>1683</v>
      </c>
      <c r="HD9" s="111" t="s">
        <v>1323</v>
      </c>
      <c r="HE9" s="109" t="s">
        <v>1320</v>
      </c>
      <c r="HF9" s="110" t="s">
        <v>1321</v>
      </c>
      <c r="HG9" s="110" t="s">
        <v>1683</v>
      </c>
      <c r="HH9" s="111" t="s">
        <v>1323</v>
      </c>
      <c r="HI9" s="109" t="s">
        <v>1320</v>
      </c>
      <c r="HJ9" s="110" t="s">
        <v>1321</v>
      </c>
      <c r="HK9" s="110" t="s">
        <v>1683</v>
      </c>
      <c r="HL9" s="111" t="s">
        <v>1323</v>
      </c>
      <c r="HN9" s="655"/>
      <c r="HP9" s="655"/>
      <c r="HS9" s="655"/>
      <c r="HT9" s="210"/>
      <c r="HU9" s="655"/>
      <c r="HV9" s="210"/>
      <c r="HW9" s="210"/>
    </row>
    <row r="10" spans="1:231" ht="51" x14ac:dyDescent="0.2">
      <c r="A10" s="211" t="s">
        <v>1684</v>
      </c>
      <c r="B10" s="212" t="s">
        <v>1328</v>
      </c>
      <c r="C10" s="213" t="s">
        <v>1685</v>
      </c>
      <c r="D10" s="214" t="s">
        <v>1686</v>
      </c>
      <c r="E10" s="215"/>
      <c r="F10" s="215"/>
      <c r="G10" s="216"/>
      <c r="H10" s="217"/>
      <c r="I10" s="215" t="s">
        <v>1687</v>
      </c>
      <c r="J10" s="215" t="s">
        <v>1687</v>
      </c>
      <c r="K10" s="216">
        <v>501</v>
      </c>
      <c r="L10" s="217">
        <v>1087.08</v>
      </c>
      <c r="M10" s="215" t="s">
        <v>1688</v>
      </c>
      <c r="N10" s="215" t="s">
        <v>1688</v>
      </c>
      <c r="O10" s="216">
        <v>25</v>
      </c>
      <c r="P10" s="217">
        <v>482.75</v>
      </c>
      <c r="Q10" s="215" t="s">
        <v>1689</v>
      </c>
      <c r="R10" s="215" t="s">
        <v>1689</v>
      </c>
      <c r="S10" s="216">
        <v>10</v>
      </c>
      <c r="T10" s="217">
        <v>466.18</v>
      </c>
      <c r="U10" s="215" t="s">
        <v>1690</v>
      </c>
      <c r="V10" s="218" t="s">
        <v>1690</v>
      </c>
      <c r="W10" s="216">
        <v>12</v>
      </c>
      <c r="X10" s="217">
        <v>422.49</v>
      </c>
      <c r="Y10" s="219" t="s">
        <v>1691</v>
      </c>
      <c r="Z10" s="220" t="s">
        <v>1691</v>
      </c>
      <c r="AA10" s="216">
        <v>56</v>
      </c>
      <c r="AB10" s="217">
        <v>399.97</v>
      </c>
      <c r="AC10" s="219"/>
      <c r="AD10" s="221"/>
      <c r="AE10" s="216"/>
      <c r="AF10" s="217"/>
      <c r="AG10" s="220"/>
      <c r="AH10" s="221"/>
      <c r="AI10" s="216"/>
      <c r="AJ10" s="217"/>
      <c r="AK10" s="220"/>
      <c r="AL10" s="221"/>
      <c r="AM10" s="216"/>
      <c r="AN10" s="217"/>
      <c r="AO10" s="220" t="s">
        <v>1692</v>
      </c>
      <c r="AP10" s="221" t="s">
        <v>1692</v>
      </c>
      <c r="AQ10" s="216">
        <v>76</v>
      </c>
      <c r="AR10" s="217">
        <v>492.11</v>
      </c>
      <c r="AS10" s="220" t="s">
        <v>1693</v>
      </c>
      <c r="AT10" s="221" t="s">
        <v>1694</v>
      </c>
      <c r="AU10" s="216">
        <v>154</v>
      </c>
      <c r="AV10" s="217">
        <v>674.89</v>
      </c>
      <c r="AW10" s="220" t="s">
        <v>1691</v>
      </c>
      <c r="AX10" s="221"/>
      <c r="AY10" s="216">
        <v>56</v>
      </c>
      <c r="AZ10" s="217">
        <v>463.68</v>
      </c>
      <c r="BA10" s="220" t="s">
        <v>1691</v>
      </c>
      <c r="BB10" s="221"/>
      <c r="BC10" s="216">
        <v>56</v>
      </c>
      <c r="BD10" s="217">
        <v>463.68</v>
      </c>
      <c r="BE10" s="220" t="s">
        <v>1692</v>
      </c>
      <c r="BF10" s="221"/>
      <c r="BG10" s="216">
        <v>76</v>
      </c>
      <c r="BH10" s="217">
        <v>492.11</v>
      </c>
      <c r="BI10" s="220" t="s">
        <v>1692</v>
      </c>
      <c r="BJ10" s="221"/>
      <c r="BK10" s="216">
        <v>76</v>
      </c>
      <c r="BL10" s="217">
        <v>492.11</v>
      </c>
      <c r="BM10" s="220"/>
      <c r="BN10" s="221"/>
      <c r="BO10" s="216"/>
      <c r="BP10" s="217"/>
      <c r="BQ10" s="220"/>
      <c r="BR10" s="221"/>
      <c r="BS10" s="216"/>
      <c r="BT10" s="217"/>
      <c r="BU10" s="220"/>
      <c r="BV10" s="221"/>
      <c r="BW10" s="216"/>
      <c r="BX10" s="217"/>
      <c r="BY10" s="222" t="s">
        <v>1693</v>
      </c>
      <c r="BZ10" s="216"/>
      <c r="CA10" s="216">
        <v>154</v>
      </c>
      <c r="CB10" s="217">
        <v>558.91</v>
      </c>
      <c r="CC10" s="222" t="s">
        <v>1693</v>
      </c>
      <c r="CD10" s="216"/>
      <c r="CE10" s="216">
        <v>154</v>
      </c>
      <c r="CF10" s="217">
        <v>558.91</v>
      </c>
      <c r="CG10" s="220"/>
      <c r="CH10" s="221"/>
      <c r="CI10" s="216"/>
      <c r="CJ10" s="217"/>
      <c r="CK10" s="220" t="s">
        <v>1695</v>
      </c>
      <c r="CL10" s="221"/>
      <c r="CM10" s="216">
        <v>1078</v>
      </c>
      <c r="CN10" s="217">
        <v>1688.3</v>
      </c>
      <c r="CO10" s="220"/>
      <c r="CP10" s="221"/>
      <c r="CQ10" s="216"/>
      <c r="CR10" s="217"/>
      <c r="CS10" s="220" t="s">
        <v>1420</v>
      </c>
      <c r="CT10" s="221"/>
      <c r="CU10" s="216">
        <v>2393</v>
      </c>
      <c r="CV10" s="217">
        <v>3512.52</v>
      </c>
      <c r="CW10" s="220"/>
      <c r="CX10" s="221"/>
      <c r="CY10" s="216"/>
      <c r="CZ10" s="217"/>
      <c r="DA10" s="220" t="s">
        <v>1457</v>
      </c>
      <c r="DB10" s="221"/>
      <c r="DC10" s="216">
        <v>45957</v>
      </c>
      <c r="DD10" s="217">
        <v>4478.0200000000004</v>
      </c>
      <c r="DE10" s="220"/>
      <c r="DF10" s="221"/>
      <c r="DG10" s="216"/>
      <c r="DH10" s="217"/>
      <c r="DI10" s="220"/>
      <c r="DJ10" s="221"/>
      <c r="DK10" s="216"/>
      <c r="DL10" s="217"/>
      <c r="DM10" s="220" t="s">
        <v>1696</v>
      </c>
      <c r="DN10" s="221"/>
      <c r="DO10" s="216">
        <v>2767</v>
      </c>
      <c r="DP10" s="217">
        <v>5413.67</v>
      </c>
      <c r="DQ10" s="220"/>
      <c r="DR10" s="221"/>
      <c r="DS10" s="216"/>
      <c r="DT10" s="217"/>
      <c r="DU10" s="223" t="s">
        <v>1697</v>
      </c>
      <c r="DV10" s="129"/>
      <c r="DW10" s="120">
        <v>1847</v>
      </c>
      <c r="DX10" s="126">
        <v>3683</v>
      </c>
      <c r="DY10" s="128"/>
      <c r="DZ10" s="129"/>
      <c r="EA10" s="120"/>
      <c r="EB10" s="126"/>
      <c r="EC10" s="128" t="s">
        <v>1698</v>
      </c>
      <c r="ED10" s="129"/>
      <c r="EE10" s="120">
        <v>67</v>
      </c>
      <c r="EF10" s="126">
        <v>458.62</v>
      </c>
      <c r="EG10" s="128"/>
      <c r="EH10" s="129"/>
      <c r="EI10" s="120"/>
      <c r="EJ10" s="126"/>
      <c r="EK10" s="128" t="s">
        <v>1699</v>
      </c>
      <c r="EL10" s="129"/>
      <c r="EM10" s="120">
        <v>43</v>
      </c>
      <c r="EN10" s="126">
        <v>338.09</v>
      </c>
      <c r="EO10" s="128"/>
      <c r="EP10" s="129"/>
      <c r="EQ10" s="120"/>
      <c r="ER10" s="126"/>
      <c r="ES10" s="128" t="s">
        <v>1700</v>
      </c>
      <c r="ET10" s="129"/>
      <c r="EU10" s="120">
        <v>56</v>
      </c>
      <c r="EV10" s="126">
        <v>420.4</v>
      </c>
      <c r="EW10" s="128"/>
      <c r="EX10" s="129"/>
      <c r="EY10" s="120"/>
      <c r="EZ10" s="126"/>
      <c r="FA10" s="128" t="s">
        <v>1701</v>
      </c>
      <c r="FB10" s="129"/>
      <c r="FC10" s="120">
        <v>71</v>
      </c>
      <c r="FD10" s="126">
        <v>390.88</v>
      </c>
      <c r="FE10" s="128"/>
      <c r="FF10" s="129"/>
      <c r="FG10" s="120"/>
      <c r="FH10" s="126"/>
      <c r="FI10" s="128" t="s">
        <v>1702</v>
      </c>
      <c r="FJ10" s="129"/>
      <c r="FK10" s="120">
        <v>100</v>
      </c>
      <c r="FL10" s="126">
        <v>423.01</v>
      </c>
      <c r="FM10" s="128"/>
      <c r="FN10" s="129"/>
      <c r="FO10" s="120"/>
      <c r="FP10" s="126"/>
      <c r="FQ10" s="128"/>
      <c r="FR10" s="129"/>
      <c r="FS10" s="120"/>
      <c r="FT10" s="126"/>
      <c r="FU10" s="128"/>
      <c r="FV10" s="129"/>
      <c r="FW10" s="120"/>
      <c r="FX10" s="126"/>
      <c r="FY10" s="128" t="s">
        <v>1703</v>
      </c>
      <c r="FZ10" s="129"/>
      <c r="GA10" s="120">
        <v>127</v>
      </c>
      <c r="GB10" s="126">
        <v>461.95</v>
      </c>
      <c r="GC10" s="128"/>
      <c r="GD10" s="129"/>
      <c r="GE10" s="120"/>
      <c r="GF10" s="126"/>
      <c r="GG10" s="128" t="s">
        <v>1704</v>
      </c>
      <c r="GH10" s="129"/>
      <c r="GI10" s="120">
        <v>469</v>
      </c>
      <c r="GJ10" s="126">
        <v>1139.32</v>
      </c>
      <c r="GK10" s="128" t="s">
        <v>1705</v>
      </c>
      <c r="GL10" s="129"/>
      <c r="GM10" s="120">
        <v>1072</v>
      </c>
      <c r="GN10" s="126">
        <v>2286.9699999999998</v>
      </c>
      <c r="GO10" s="128"/>
      <c r="GP10" s="129"/>
      <c r="GQ10" s="120"/>
      <c r="GR10" s="126"/>
      <c r="GS10" s="128"/>
      <c r="GT10" s="129"/>
      <c r="GU10" s="120"/>
      <c r="GV10" s="126"/>
      <c r="GW10" s="128" t="s">
        <v>1706</v>
      </c>
      <c r="GX10" s="129"/>
      <c r="GY10" s="120">
        <v>1706</v>
      </c>
      <c r="GZ10" s="126">
        <v>3451.06</v>
      </c>
      <c r="HA10" s="128"/>
      <c r="HB10" s="129"/>
      <c r="HC10" s="120"/>
      <c r="HD10" s="126"/>
      <c r="HE10" s="128"/>
      <c r="HF10" s="129"/>
      <c r="HG10" s="120"/>
      <c r="HH10" s="126"/>
      <c r="HI10" s="128" t="s">
        <v>1707</v>
      </c>
      <c r="HJ10" s="129"/>
      <c r="HK10" s="120">
        <v>3207</v>
      </c>
      <c r="HL10" s="126">
        <v>6216.22</v>
      </c>
      <c r="HN10" s="224">
        <f>DW10+EA10+EE10+EI10+EM10+EQ10+EU10+EY10+FC10+FG10+FK10+FO10+FS10+FW10+GA10+GE10+GI10+GM10+GQ10+GU10+GY10+HC10+HG10+HK10</f>
        <v>8765</v>
      </c>
      <c r="HP10" s="224">
        <v>9169</v>
      </c>
      <c r="HS10" s="224">
        <f>DX10+EB10+EF10+EJ10+EN10+ER10+EV10+EZ10+FD10+FH10+FL10+FP10+FT10+FX10+GB10+GF10+GJ10+GN10+GR10+GV10+GZ10+HD10+HH10+HL10</f>
        <v>19269.52</v>
      </c>
      <c r="HT10" s="225"/>
      <c r="HU10" s="226">
        <f>HN10-HP10</f>
        <v>-404</v>
      </c>
      <c r="HV10" s="225"/>
      <c r="HW10" s="225"/>
    </row>
    <row r="11" spans="1:231" ht="51" x14ac:dyDescent="0.2">
      <c r="A11" s="227" t="s">
        <v>1708</v>
      </c>
      <c r="B11" s="228" t="s">
        <v>1328</v>
      </c>
      <c r="C11" s="229" t="s">
        <v>1709</v>
      </c>
      <c r="D11" s="230" t="s">
        <v>1710</v>
      </c>
      <c r="E11" s="215"/>
      <c r="F11" s="215"/>
      <c r="G11" s="231"/>
      <c r="H11" s="232"/>
      <c r="I11" s="215" t="s">
        <v>1687</v>
      </c>
      <c r="J11" s="215" t="s">
        <v>1687</v>
      </c>
      <c r="K11" s="231">
        <v>1055</v>
      </c>
      <c r="L11" s="232">
        <v>1866.77</v>
      </c>
      <c r="M11" s="215" t="s">
        <v>1688</v>
      </c>
      <c r="N11" s="215" t="s">
        <v>1688</v>
      </c>
      <c r="O11" s="231">
        <v>0</v>
      </c>
      <c r="P11" s="232">
        <v>545.23</v>
      </c>
      <c r="Q11" s="215" t="s">
        <v>1337</v>
      </c>
      <c r="R11" s="215" t="s">
        <v>1337</v>
      </c>
      <c r="S11" s="231">
        <v>0</v>
      </c>
      <c r="T11" s="232">
        <v>530.92999999999995</v>
      </c>
      <c r="U11" s="215" t="s">
        <v>1415</v>
      </c>
      <c r="V11" s="218" t="s">
        <v>1415</v>
      </c>
      <c r="W11" s="231">
        <v>0</v>
      </c>
      <c r="X11" s="232">
        <v>389.83</v>
      </c>
      <c r="Y11" s="215" t="s">
        <v>1416</v>
      </c>
      <c r="Z11" s="218" t="s">
        <v>1416</v>
      </c>
      <c r="AA11" s="231">
        <v>0</v>
      </c>
      <c r="AB11" s="232">
        <v>468.11</v>
      </c>
      <c r="AC11" s="215"/>
      <c r="AD11" s="229"/>
      <c r="AE11" s="231"/>
      <c r="AF11" s="232"/>
      <c r="AG11" s="218"/>
      <c r="AH11" s="229"/>
      <c r="AI11" s="231"/>
      <c r="AJ11" s="232"/>
      <c r="AK11" s="218"/>
      <c r="AL11" s="229"/>
      <c r="AM11" s="231"/>
      <c r="AN11" s="232"/>
      <c r="AO11" s="218" t="s">
        <v>1711</v>
      </c>
      <c r="AP11" s="229" t="s">
        <v>1417</v>
      </c>
      <c r="AQ11" s="231">
        <v>0</v>
      </c>
      <c r="AR11" s="232">
        <v>382.14</v>
      </c>
      <c r="AS11" s="218" t="s">
        <v>1418</v>
      </c>
      <c r="AT11" s="229" t="s">
        <v>1712</v>
      </c>
      <c r="AU11" s="231">
        <v>527</v>
      </c>
      <c r="AV11" s="232">
        <v>1061.92</v>
      </c>
      <c r="AW11" s="218" t="s">
        <v>1713</v>
      </c>
      <c r="AX11" s="229"/>
      <c r="AY11" s="231">
        <v>0</v>
      </c>
      <c r="AZ11" s="232">
        <v>468.11</v>
      </c>
      <c r="BA11" s="218" t="s">
        <v>1713</v>
      </c>
      <c r="BB11" s="229"/>
      <c r="BC11" s="231">
        <v>0</v>
      </c>
      <c r="BD11" s="232">
        <v>468.11</v>
      </c>
      <c r="BE11" s="218" t="s">
        <v>1417</v>
      </c>
      <c r="BF11" s="229"/>
      <c r="BG11" s="231">
        <v>0</v>
      </c>
      <c r="BH11" s="232">
        <v>382.14</v>
      </c>
      <c r="BI11" s="218" t="s">
        <v>1417</v>
      </c>
      <c r="BJ11" s="229"/>
      <c r="BK11" s="231">
        <v>0</v>
      </c>
      <c r="BL11" s="232">
        <v>382.14</v>
      </c>
      <c r="BM11" s="218"/>
      <c r="BN11" s="229"/>
      <c r="BO11" s="231"/>
      <c r="BP11" s="232"/>
      <c r="BQ11" s="218"/>
      <c r="BR11" s="229"/>
      <c r="BS11" s="231"/>
      <c r="BT11" s="232"/>
      <c r="BU11" s="218"/>
      <c r="BV11" s="229"/>
      <c r="BW11" s="231"/>
      <c r="BX11" s="232"/>
      <c r="BY11" s="233" t="s">
        <v>1693</v>
      </c>
      <c r="BZ11" s="231"/>
      <c r="CA11" s="231">
        <v>527</v>
      </c>
      <c r="CB11" s="232">
        <v>1000.9</v>
      </c>
      <c r="CC11" s="233" t="s">
        <v>1693</v>
      </c>
      <c r="CD11" s="231"/>
      <c r="CE11" s="231">
        <v>527</v>
      </c>
      <c r="CF11" s="232">
        <v>1000.9</v>
      </c>
      <c r="CG11" s="218"/>
      <c r="CH11" s="229"/>
      <c r="CI11" s="231"/>
      <c r="CJ11" s="232"/>
      <c r="CK11" s="218" t="s">
        <v>1695</v>
      </c>
      <c r="CL11" s="229"/>
      <c r="CM11" s="231">
        <v>1948</v>
      </c>
      <c r="CN11" s="232">
        <v>2861.92</v>
      </c>
      <c r="CO11" s="218"/>
      <c r="CP11" s="229"/>
      <c r="CQ11" s="231"/>
      <c r="CR11" s="232"/>
      <c r="CS11" s="218" t="s">
        <v>1420</v>
      </c>
      <c r="CT11" s="229"/>
      <c r="CU11" s="231">
        <v>2671</v>
      </c>
      <c r="CV11" s="232">
        <v>3941.47</v>
      </c>
      <c r="CW11" s="218"/>
      <c r="CX11" s="229"/>
      <c r="CY11" s="231"/>
      <c r="CZ11" s="232"/>
      <c r="DA11" s="218" t="s">
        <v>1457</v>
      </c>
      <c r="DB11" s="229"/>
      <c r="DC11" s="231">
        <v>56280</v>
      </c>
      <c r="DD11" s="232">
        <v>5471.56</v>
      </c>
      <c r="DE11" s="218"/>
      <c r="DF11" s="229"/>
      <c r="DG11" s="231"/>
      <c r="DH11" s="232"/>
      <c r="DI11" s="218"/>
      <c r="DJ11" s="229"/>
      <c r="DK11" s="231"/>
      <c r="DL11" s="232"/>
      <c r="DM11" s="218" t="s">
        <v>1714</v>
      </c>
      <c r="DN11" s="229"/>
      <c r="DO11" s="231">
        <v>3086</v>
      </c>
      <c r="DP11" s="232">
        <v>6065.62</v>
      </c>
      <c r="DQ11" s="218"/>
      <c r="DR11" s="229"/>
      <c r="DS11" s="231"/>
      <c r="DT11" s="232"/>
      <c r="DU11" s="223" t="s">
        <v>1697</v>
      </c>
      <c r="DV11" s="129"/>
      <c r="DW11" s="120">
        <v>2180</v>
      </c>
      <c r="DX11" s="126">
        <v>4351.2700000000004</v>
      </c>
      <c r="DY11" s="128"/>
      <c r="DZ11" s="129"/>
      <c r="EA11" s="120"/>
      <c r="EB11" s="126"/>
      <c r="EC11" s="128" t="s">
        <v>1698</v>
      </c>
      <c r="ED11" s="129"/>
      <c r="EE11" s="120">
        <v>882</v>
      </c>
      <c r="EF11" s="126">
        <v>1957.72</v>
      </c>
      <c r="EG11" s="128"/>
      <c r="EH11" s="129"/>
      <c r="EI11" s="120"/>
      <c r="EJ11" s="126"/>
      <c r="EK11" s="128" t="s">
        <v>1699</v>
      </c>
      <c r="EL11" s="129"/>
      <c r="EM11" s="120">
        <v>0</v>
      </c>
      <c r="EN11" s="126">
        <v>317.7</v>
      </c>
      <c r="EO11" s="128"/>
      <c r="EP11" s="129"/>
      <c r="EQ11" s="120"/>
      <c r="ER11" s="126"/>
      <c r="ES11" s="128" t="s">
        <v>1700</v>
      </c>
      <c r="ET11" s="129"/>
      <c r="EU11" s="120">
        <v>0</v>
      </c>
      <c r="EV11" s="126">
        <v>403.67</v>
      </c>
      <c r="EW11" s="128"/>
      <c r="EX11" s="129"/>
      <c r="EY11" s="120"/>
      <c r="EZ11" s="126"/>
      <c r="FA11" s="128" t="s">
        <v>1701</v>
      </c>
      <c r="FB11" s="129"/>
      <c r="FC11" s="120">
        <v>6</v>
      </c>
      <c r="FD11" s="126">
        <v>427.24</v>
      </c>
      <c r="FE11" s="128"/>
      <c r="FF11" s="129"/>
      <c r="FG11" s="120"/>
      <c r="FH11" s="126"/>
      <c r="FI11" s="128" t="s">
        <v>1702</v>
      </c>
      <c r="FJ11" s="129"/>
      <c r="FK11" s="120">
        <v>0</v>
      </c>
      <c r="FL11" s="126">
        <v>360.1</v>
      </c>
      <c r="FM11" s="128"/>
      <c r="FN11" s="129"/>
      <c r="FO11" s="120"/>
      <c r="FP11" s="126"/>
      <c r="FQ11" s="128"/>
      <c r="FR11" s="129"/>
      <c r="FS11" s="120"/>
      <c r="FT11" s="126"/>
      <c r="FU11" s="128"/>
      <c r="FV11" s="129"/>
      <c r="FW11" s="120"/>
      <c r="FX11" s="126"/>
      <c r="FY11" s="128" t="s">
        <v>1703</v>
      </c>
      <c r="FZ11" s="129"/>
      <c r="GA11" s="120">
        <v>910</v>
      </c>
      <c r="GB11" s="126">
        <v>1874.25</v>
      </c>
      <c r="GC11" s="128"/>
      <c r="GD11" s="129"/>
      <c r="GE11" s="120"/>
      <c r="GF11" s="126"/>
      <c r="GG11" s="128" t="s">
        <v>1704</v>
      </c>
      <c r="GH11" s="129"/>
      <c r="GI11" s="120">
        <v>1612</v>
      </c>
      <c r="GJ11" s="126">
        <v>3219.25</v>
      </c>
      <c r="GK11" s="128" t="s">
        <v>1705</v>
      </c>
      <c r="GL11" s="129"/>
      <c r="GM11" s="120">
        <v>2294</v>
      </c>
      <c r="GN11" s="126">
        <v>4427.84</v>
      </c>
      <c r="GO11" s="128"/>
      <c r="GP11" s="129"/>
      <c r="GQ11" s="120"/>
      <c r="GR11" s="126"/>
      <c r="GS11" s="128"/>
      <c r="GT11" s="129"/>
      <c r="GU11" s="120"/>
      <c r="GV11" s="126"/>
      <c r="GW11" s="128" t="s">
        <v>1706</v>
      </c>
      <c r="GX11" s="129"/>
      <c r="GY11" s="120">
        <v>2365</v>
      </c>
      <c r="GZ11" s="126">
        <v>4612.9799999999996</v>
      </c>
      <c r="HA11" s="128"/>
      <c r="HB11" s="129"/>
      <c r="HC11" s="120"/>
      <c r="HD11" s="126"/>
      <c r="HE11" s="128"/>
      <c r="HF11" s="129"/>
      <c r="HG11" s="120"/>
      <c r="HH11" s="126"/>
      <c r="HI11" s="128" t="s">
        <v>1707</v>
      </c>
      <c r="HJ11" s="129"/>
      <c r="HK11" s="120">
        <v>3458</v>
      </c>
      <c r="HL11" s="126">
        <v>6653.29</v>
      </c>
      <c r="HN11" s="234">
        <f t="shared" ref="HN11:HN22" si="0">DW11+EA11+EE11+EI11+EM11+EQ11+EU11+EY11+FC11+FG11+FK11+FO11+FS11+FW11+GA11+GE11+GI11+GM11+GQ11+GU11+GY11+HC11+HG11+HK11</f>
        <v>13707</v>
      </c>
      <c r="HP11" s="234">
        <v>16528</v>
      </c>
      <c r="HS11" s="234">
        <f t="shared" ref="HS11:HS22" si="1">DX11+EB11+EF11+EJ11+EN11+ER11+EV11+EZ11+FD11+FH11+FL11+FP11+FT11+FX11+GB11+GF11+GJ11+GN11+GR11+GV11+GZ11+HD11+HH11+HL11</f>
        <v>28605.31</v>
      </c>
      <c r="HT11" s="225"/>
      <c r="HU11" s="235">
        <f t="shared" ref="HU11:HU22" si="2">HN11-HP11</f>
        <v>-2821</v>
      </c>
      <c r="HV11" s="225"/>
      <c r="HW11" s="225"/>
    </row>
    <row r="12" spans="1:231" ht="51" x14ac:dyDescent="0.2">
      <c r="A12" s="227" t="s">
        <v>1715</v>
      </c>
      <c r="B12" s="228" t="s">
        <v>1328</v>
      </c>
      <c r="C12" s="229" t="s">
        <v>1716</v>
      </c>
      <c r="D12" s="230" t="s">
        <v>1717</v>
      </c>
      <c r="E12" s="215" t="s">
        <v>1718</v>
      </c>
      <c r="F12" s="215" t="s">
        <v>1718</v>
      </c>
      <c r="G12" s="231">
        <v>2821</v>
      </c>
      <c r="H12" s="232">
        <v>4075.16</v>
      </c>
      <c r="I12" s="215" t="s">
        <v>1719</v>
      </c>
      <c r="J12" s="215" t="s">
        <v>1719</v>
      </c>
      <c r="K12" s="231">
        <v>1565</v>
      </c>
      <c r="L12" s="232">
        <v>2984.81</v>
      </c>
      <c r="M12" s="215"/>
      <c r="N12" s="215"/>
      <c r="O12" s="231"/>
      <c r="P12" s="232"/>
      <c r="Q12" s="215" t="s">
        <v>1689</v>
      </c>
      <c r="R12" s="215" t="s">
        <v>1689</v>
      </c>
      <c r="S12" s="231">
        <v>177</v>
      </c>
      <c r="T12" s="232">
        <v>715.7</v>
      </c>
      <c r="U12" s="215" t="s">
        <v>1690</v>
      </c>
      <c r="V12" s="218" t="s">
        <v>1690</v>
      </c>
      <c r="W12" s="231">
        <v>186</v>
      </c>
      <c r="X12" s="232">
        <v>679.28</v>
      </c>
      <c r="Y12" s="215" t="s">
        <v>1691</v>
      </c>
      <c r="Z12" s="218" t="s">
        <v>1691</v>
      </c>
      <c r="AA12" s="231">
        <v>184</v>
      </c>
      <c r="AB12" s="232">
        <v>585.11</v>
      </c>
      <c r="AC12" s="215"/>
      <c r="AD12" s="229"/>
      <c r="AE12" s="231"/>
      <c r="AF12" s="232"/>
      <c r="AG12" s="218"/>
      <c r="AH12" s="229"/>
      <c r="AI12" s="231"/>
      <c r="AJ12" s="232"/>
      <c r="AK12" s="218"/>
      <c r="AL12" s="229"/>
      <c r="AM12" s="231"/>
      <c r="AN12" s="232"/>
      <c r="AO12" s="218" t="s">
        <v>1692</v>
      </c>
      <c r="AP12" s="229" t="s">
        <v>1692</v>
      </c>
      <c r="AQ12" s="231">
        <v>231</v>
      </c>
      <c r="AR12" s="232">
        <v>734.09</v>
      </c>
      <c r="AS12" s="218" t="s">
        <v>1693</v>
      </c>
      <c r="AT12" s="229" t="s">
        <v>1693</v>
      </c>
      <c r="AU12" s="231">
        <v>836</v>
      </c>
      <c r="AV12" s="232">
        <v>1613.75</v>
      </c>
      <c r="AW12" s="218" t="s">
        <v>1691</v>
      </c>
      <c r="AX12" s="229"/>
      <c r="AY12" s="231">
        <v>184</v>
      </c>
      <c r="AZ12" s="232">
        <v>671.08</v>
      </c>
      <c r="BA12" s="218" t="s">
        <v>1691</v>
      </c>
      <c r="BB12" s="229"/>
      <c r="BC12" s="231">
        <v>184</v>
      </c>
      <c r="BD12" s="232">
        <v>671.08</v>
      </c>
      <c r="BE12" s="218" t="s">
        <v>1692</v>
      </c>
      <c r="BF12" s="229"/>
      <c r="BG12" s="231">
        <v>231</v>
      </c>
      <c r="BH12" s="232">
        <v>734.09</v>
      </c>
      <c r="BI12" s="218" t="s">
        <v>1692</v>
      </c>
      <c r="BJ12" s="229"/>
      <c r="BK12" s="231">
        <v>231</v>
      </c>
      <c r="BL12" s="232">
        <v>734.09</v>
      </c>
      <c r="BM12" s="218"/>
      <c r="BN12" s="229"/>
      <c r="BO12" s="231"/>
      <c r="BP12" s="232"/>
      <c r="BQ12" s="218"/>
      <c r="BR12" s="229"/>
      <c r="BS12" s="231"/>
      <c r="BT12" s="232"/>
      <c r="BU12" s="218"/>
      <c r="BV12" s="229"/>
      <c r="BW12" s="231"/>
      <c r="BX12" s="232"/>
      <c r="BY12" s="233" t="s">
        <v>1693</v>
      </c>
      <c r="BZ12" s="231"/>
      <c r="CA12" s="231">
        <v>836</v>
      </c>
      <c r="CB12" s="232">
        <v>1473.95</v>
      </c>
      <c r="CC12" s="233" t="s">
        <v>1693</v>
      </c>
      <c r="CD12" s="231"/>
      <c r="CE12" s="231">
        <v>836</v>
      </c>
      <c r="CF12" s="232">
        <v>1473.95</v>
      </c>
      <c r="CG12" s="218"/>
      <c r="CH12" s="229"/>
      <c r="CI12" s="231"/>
      <c r="CJ12" s="232"/>
      <c r="CK12" s="218" t="s">
        <v>1695</v>
      </c>
      <c r="CL12" s="229"/>
      <c r="CM12" s="231">
        <v>2599</v>
      </c>
      <c r="CN12" s="232">
        <v>3713.01</v>
      </c>
      <c r="CO12" s="218"/>
      <c r="CP12" s="229"/>
      <c r="CQ12" s="231"/>
      <c r="CR12" s="232"/>
      <c r="CS12" s="218" t="s">
        <v>1420</v>
      </c>
      <c r="CT12" s="229"/>
      <c r="CU12" s="231">
        <v>2924</v>
      </c>
      <c r="CV12" s="232">
        <v>4276.7700000000004</v>
      </c>
      <c r="CW12" s="218"/>
      <c r="CX12" s="229"/>
      <c r="CY12" s="231"/>
      <c r="CZ12" s="232"/>
      <c r="DA12" s="218" t="s">
        <v>1457</v>
      </c>
      <c r="DB12" s="229"/>
      <c r="DC12" s="231">
        <v>65128</v>
      </c>
      <c r="DD12" s="232">
        <v>6260.63</v>
      </c>
      <c r="DE12" s="218"/>
      <c r="DF12" s="229"/>
      <c r="DG12" s="231"/>
      <c r="DH12" s="232"/>
      <c r="DI12" s="218"/>
      <c r="DJ12" s="229"/>
      <c r="DK12" s="231"/>
      <c r="DL12" s="232"/>
      <c r="DM12" s="218" t="s">
        <v>1714</v>
      </c>
      <c r="DN12" s="229"/>
      <c r="DO12" s="231">
        <v>3698</v>
      </c>
      <c r="DP12" s="232">
        <v>7179.15</v>
      </c>
      <c r="DQ12" s="218"/>
      <c r="DR12" s="229"/>
      <c r="DS12" s="231"/>
      <c r="DT12" s="232"/>
      <c r="DU12" s="223" t="s">
        <v>1697</v>
      </c>
      <c r="DV12" s="129"/>
      <c r="DW12" s="120">
        <v>2821</v>
      </c>
      <c r="DX12" s="126">
        <v>5503.03</v>
      </c>
      <c r="DY12" s="128"/>
      <c r="DZ12" s="129"/>
      <c r="EA12" s="120"/>
      <c r="EB12" s="126"/>
      <c r="EC12" s="128" t="s">
        <v>1698</v>
      </c>
      <c r="ED12" s="129"/>
      <c r="EE12" s="120">
        <v>1247</v>
      </c>
      <c r="EF12" s="126">
        <v>2596.06</v>
      </c>
      <c r="EG12" s="128"/>
      <c r="EH12" s="129"/>
      <c r="EI12" s="120"/>
      <c r="EJ12" s="126"/>
      <c r="EK12" s="128" t="s">
        <v>1699</v>
      </c>
      <c r="EL12" s="129"/>
      <c r="EM12" s="120">
        <v>317</v>
      </c>
      <c r="EN12" s="126">
        <v>956.79</v>
      </c>
      <c r="EO12" s="128"/>
      <c r="EP12" s="129"/>
      <c r="EQ12" s="120"/>
      <c r="ER12" s="126"/>
      <c r="ES12" s="128" t="s">
        <v>1700</v>
      </c>
      <c r="ET12" s="129"/>
      <c r="EU12" s="120">
        <v>212</v>
      </c>
      <c r="EV12" s="126">
        <v>762.3</v>
      </c>
      <c r="EW12" s="128"/>
      <c r="EX12" s="129"/>
      <c r="EY12" s="120"/>
      <c r="EZ12" s="126"/>
      <c r="FA12" s="128" t="s">
        <v>1701</v>
      </c>
      <c r="FB12" s="129"/>
      <c r="FC12" s="120">
        <v>220</v>
      </c>
      <c r="FD12" s="126">
        <v>700.72</v>
      </c>
      <c r="FE12" s="128"/>
      <c r="FF12" s="129"/>
      <c r="FG12" s="120"/>
      <c r="FH12" s="126"/>
      <c r="FI12" s="128" t="s">
        <v>1702</v>
      </c>
      <c r="FJ12" s="129"/>
      <c r="FK12" s="120">
        <v>294</v>
      </c>
      <c r="FL12" s="126">
        <v>877.97</v>
      </c>
      <c r="FM12" s="128"/>
      <c r="FN12" s="129"/>
      <c r="FO12" s="120"/>
      <c r="FP12" s="126"/>
      <c r="FQ12" s="128"/>
      <c r="FR12" s="129"/>
      <c r="FS12" s="120"/>
      <c r="FT12" s="126"/>
      <c r="FU12" s="128"/>
      <c r="FV12" s="129"/>
      <c r="FW12" s="120"/>
      <c r="FX12" s="126"/>
      <c r="FY12" s="128" t="s">
        <v>1703</v>
      </c>
      <c r="FZ12" s="129"/>
      <c r="GA12" s="120">
        <v>589</v>
      </c>
      <c r="GB12" s="126">
        <v>1310.42</v>
      </c>
      <c r="GC12" s="128"/>
      <c r="GD12" s="129"/>
      <c r="GE12" s="120"/>
      <c r="GF12" s="126"/>
      <c r="GG12" s="128" t="s">
        <v>1704</v>
      </c>
      <c r="GH12" s="129"/>
      <c r="GI12" s="120">
        <v>1565</v>
      </c>
      <c r="GJ12" s="126">
        <v>3129.36</v>
      </c>
      <c r="GK12" s="128" t="s">
        <v>1705</v>
      </c>
      <c r="GL12" s="129"/>
      <c r="GM12" s="120">
        <v>2585</v>
      </c>
      <c r="GN12" s="126">
        <v>4925.4399999999996</v>
      </c>
      <c r="GO12" s="128"/>
      <c r="GP12" s="129"/>
      <c r="GQ12" s="120"/>
      <c r="GR12" s="126"/>
      <c r="GS12" s="128"/>
      <c r="GT12" s="129"/>
      <c r="GU12" s="120"/>
      <c r="GV12" s="126"/>
      <c r="GW12" s="128" t="s">
        <v>1706</v>
      </c>
      <c r="GX12" s="129"/>
      <c r="GY12" s="120">
        <v>2895</v>
      </c>
      <c r="GZ12" s="126">
        <v>5475.45</v>
      </c>
      <c r="HA12" s="128"/>
      <c r="HB12" s="129"/>
      <c r="HC12" s="120"/>
      <c r="HD12" s="126"/>
      <c r="HE12" s="128"/>
      <c r="HF12" s="129"/>
      <c r="HG12" s="120"/>
      <c r="HH12" s="126"/>
      <c r="HI12" s="128" t="s">
        <v>1707</v>
      </c>
      <c r="HJ12" s="129"/>
      <c r="HK12" s="120">
        <v>3952</v>
      </c>
      <c r="HL12" s="126">
        <v>7534.76</v>
      </c>
      <c r="HN12" s="234">
        <f t="shared" si="0"/>
        <v>16697</v>
      </c>
      <c r="HP12" s="234">
        <v>19538</v>
      </c>
      <c r="HS12" s="234">
        <f t="shared" si="1"/>
        <v>33772.300000000003</v>
      </c>
      <c r="HT12" s="225"/>
      <c r="HU12" s="235">
        <f t="shared" si="2"/>
        <v>-2841</v>
      </c>
      <c r="HV12" s="225"/>
      <c r="HW12" s="225"/>
    </row>
    <row r="13" spans="1:231" ht="51" x14ac:dyDescent="0.2">
      <c r="A13" s="227" t="s">
        <v>1720</v>
      </c>
      <c r="B13" s="228" t="s">
        <v>1328</v>
      </c>
      <c r="C13" s="229" t="s">
        <v>1433</v>
      </c>
      <c r="D13" s="230" t="s">
        <v>1721</v>
      </c>
      <c r="E13" s="215"/>
      <c r="F13" s="229"/>
      <c r="G13" s="236"/>
      <c r="H13" s="232"/>
      <c r="I13" s="215"/>
      <c r="J13" s="229"/>
      <c r="K13" s="236"/>
      <c r="L13" s="232"/>
      <c r="M13" s="215"/>
      <c r="N13" s="229"/>
      <c r="O13" s="236"/>
      <c r="P13" s="232"/>
      <c r="Q13" s="215"/>
      <c r="R13" s="229"/>
      <c r="S13" s="236"/>
      <c r="T13" s="232"/>
      <c r="U13" s="215"/>
      <c r="V13" s="229"/>
      <c r="W13" s="236"/>
      <c r="X13" s="232"/>
      <c r="Y13" s="215"/>
      <c r="Z13" s="229"/>
      <c r="AA13" s="236"/>
      <c r="AB13" s="232"/>
      <c r="AC13" s="215"/>
      <c r="AD13" s="229"/>
      <c r="AE13" s="236"/>
      <c r="AF13" s="232"/>
      <c r="AG13" s="218"/>
      <c r="AH13" s="229"/>
      <c r="AI13" s="236"/>
      <c r="AJ13" s="232"/>
      <c r="AK13" s="218"/>
      <c r="AL13" s="229"/>
      <c r="AM13" s="236"/>
      <c r="AN13" s="232"/>
      <c r="AO13" s="218"/>
      <c r="AP13" s="229"/>
      <c r="AQ13" s="236"/>
      <c r="AR13" s="232"/>
      <c r="AS13" s="218"/>
      <c r="AT13" s="229"/>
      <c r="AU13" s="236"/>
      <c r="AV13" s="232"/>
      <c r="AW13" s="218"/>
      <c r="AX13" s="229"/>
      <c r="AY13" s="236"/>
      <c r="AZ13" s="232"/>
      <c r="BA13" s="218"/>
      <c r="BB13" s="229"/>
      <c r="BC13" s="236"/>
      <c r="BD13" s="232"/>
      <c r="BE13" s="218"/>
      <c r="BF13" s="229"/>
      <c r="BG13" s="236"/>
      <c r="BH13" s="232"/>
      <c r="BI13" s="218"/>
      <c r="BJ13" s="229"/>
      <c r="BK13" s="236"/>
      <c r="BL13" s="232"/>
      <c r="BM13" s="218" t="s">
        <v>1722</v>
      </c>
      <c r="BN13" s="229"/>
      <c r="BO13" s="236">
        <v>2957</v>
      </c>
      <c r="BP13" s="232">
        <v>458.02</v>
      </c>
      <c r="BQ13" s="218"/>
      <c r="BR13" s="229"/>
      <c r="BS13" s="236"/>
      <c r="BT13" s="232"/>
      <c r="BU13" s="218"/>
      <c r="BV13" s="229"/>
      <c r="BW13" s="236"/>
      <c r="BX13" s="232"/>
      <c r="BY13" s="233"/>
      <c r="BZ13" s="231"/>
      <c r="CA13" s="231"/>
      <c r="CB13" s="232"/>
      <c r="CC13" s="233"/>
      <c r="CD13" s="231"/>
      <c r="CE13" s="231"/>
      <c r="CF13" s="232"/>
      <c r="CG13" s="218"/>
      <c r="CH13" s="229"/>
      <c r="CI13" s="236"/>
      <c r="CJ13" s="232"/>
      <c r="CK13" s="218"/>
      <c r="CL13" s="229"/>
      <c r="CM13" s="236"/>
      <c r="CN13" s="232"/>
      <c r="CO13" s="218" t="s">
        <v>1723</v>
      </c>
      <c r="CP13" s="229"/>
      <c r="CQ13" s="236">
        <v>768</v>
      </c>
      <c r="CR13" s="232">
        <v>1204.18</v>
      </c>
      <c r="CS13" s="218"/>
      <c r="CT13" s="229"/>
      <c r="CU13" s="236"/>
      <c r="CV13" s="232"/>
      <c r="CW13" s="218"/>
      <c r="CX13" s="229"/>
      <c r="CY13" s="236"/>
      <c r="CZ13" s="232"/>
      <c r="DA13" s="218"/>
      <c r="DB13" s="229"/>
      <c r="DC13" s="236"/>
      <c r="DD13" s="232"/>
      <c r="DE13" s="218"/>
      <c r="DF13" s="229"/>
      <c r="DG13" s="236"/>
      <c r="DH13" s="232"/>
      <c r="DI13" s="218" t="s">
        <v>1724</v>
      </c>
      <c r="DJ13" s="229"/>
      <c r="DK13" s="236">
        <v>967</v>
      </c>
      <c r="DL13" s="232">
        <v>1725.12</v>
      </c>
      <c r="DM13" s="218"/>
      <c r="DN13" s="229"/>
      <c r="DO13" s="236"/>
      <c r="DP13" s="232"/>
      <c r="DQ13" s="218"/>
      <c r="DR13" s="229"/>
      <c r="DS13" s="236"/>
      <c r="DT13" s="232"/>
      <c r="DU13" s="223"/>
      <c r="DV13" s="129"/>
      <c r="DW13" s="120"/>
      <c r="DX13" s="126"/>
      <c r="DY13" s="128" t="s">
        <v>1725</v>
      </c>
      <c r="DZ13" s="129"/>
      <c r="EA13" s="120">
        <f>187+276</f>
        <v>463</v>
      </c>
      <c r="EB13" s="126">
        <v>911.73</v>
      </c>
      <c r="EC13" s="128"/>
      <c r="ED13" s="129"/>
      <c r="EE13" s="120"/>
      <c r="EF13" s="126"/>
      <c r="EG13" s="128" t="s">
        <v>1726</v>
      </c>
      <c r="EH13" s="129"/>
      <c r="EI13" s="120">
        <f>25+11+1</f>
        <v>37</v>
      </c>
      <c r="EJ13" s="126">
        <f>113.79+1.94</f>
        <v>115.73</v>
      </c>
      <c r="EK13" s="128"/>
      <c r="EL13" s="129"/>
      <c r="EM13" s="120"/>
      <c r="EN13" s="126"/>
      <c r="EO13" s="128"/>
      <c r="EP13" s="129"/>
      <c r="EQ13" s="120"/>
      <c r="ER13" s="126"/>
      <c r="ES13" s="128"/>
      <c r="ET13" s="129"/>
      <c r="EU13" s="120"/>
      <c r="EV13" s="126"/>
      <c r="EW13" s="128"/>
      <c r="EX13" s="129"/>
      <c r="EY13" s="120"/>
      <c r="EZ13" s="126"/>
      <c r="FA13" s="128"/>
      <c r="FB13" s="129"/>
      <c r="FC13" s="120"/>
      <c r="FD13" s="126"/>
      <c r="FE13" s="128" t="s">
        <v>1727</v>
      </c>
      <c r="FF13" s="129"/>
      <c r="FG13" s="120">
        <f>43+14</f>
        <v>57</v>
      </c>
      <c r="FH13" s="126">
        <v>111.42</v>
      </c>
      <c r="FI13" s="128"/>
      <c r="FJ13" s="129"/>
      <c r="FK13" s="120"/>
      <c r="FL13" s="126"/>
      <c r="FM13" s="128"/>
      <c r="FN13" s="129"/>
      <c r="FO13" s="120"/>
      <c r="FP13" s="126"/>
      <c r="FQ13" s="128"/>
      <c r="FR13" s="129"/>
      <c r="FS13" s="120"/>
      <c r="FT13" s="126"/>
      <c r="FU13" s="128" t="s">
        <v>1728</v>
      </c>
      <c r="FV13" s="129"/>
      <c r="FW13" s="120">
        <f>186+55</f>
        <v>241</v>
      </c>
      <c r="FX13" s="126">
        <v>428.98</v>
      </c>
      <c r="FY13" s="128"/>
      <c r="FZ13" s="129"/>
      <c r="GA13" s="120"/>
      <c r="GB13" s="126"/>
      <c r="GC13" s="128"/>
      <c r="GD13" s="129"/>
      <c r="GE13" s="120"/>
      <c r="GF13" s="126"/>
      <c r="GG13" s="128"/>
      <c r="GH13" s="129"/>
      <c r="GI13" s="120"/>
      <c r="GJ13" s="126"/>
      <c r="GK13" s="128"/>
      <c r="GL13" s="129"/>
      <c r="GM13" s="120"/>
      <c r="GN13" s="126"/>
      <c r="GO13" s="128" t="s">
        <v>1729</v>
      </c>
      <c r="GP13" s="129"/>
      <c r="GQ13" s="120">
        <f>504+425</f>
        <v>929</v>
      </c>
      <c r="GR13" s="126">
        <v>1635.19</v>
      </c>
      <c r="GS13" s="128"/>
      <c r="GT13" s="129"/>
      <c r="GU13" s="120"/>
      <c r="GV13" s="126"/>
      <c r="GW13" s="128"/>
      <c r="GX13" s="129"/>
      <c r="GY13" s="120"/>
      <c r="GZ13" s="126"/>
      <c r="HA13" s="128"/>
      <c r="HB13" s="129"/>
      <c r="HC13" s="120"/>
      <c r="HD13" s="126"/>
      <c r="HE13" s="128" t="s">
        <v>1730</v>
      </c>
      <c r="HF13" s="129"/>
      <c r="HG13" s="120">
        <f>357+570</f>
        <v>927</v>
      </c>
      <c r="HH13" s="126">
        <v>1945.65</v>
      </c>
      <c r="HI13" s="128"/>
      <c r="HJ13" s="129"/>
      <c r="HK13" s="120"/>
      <c r="HL13" s="126"/>
      <c r="HN13" s="234">
        <f t="shared" si="0"/>
        <v>2654</v>
      </c>
      <c r="HP13" s="234">
        <v>1536</v>
      </c>
      <c r="HS13" s="234">
        <f t="shared" si="1"/>
        <v>5148.7000000000007</v>
      </c>
      <c r="HT13" s="225"/>
      <c r="HU13" s="234">
        <f t="shared" si="2"/>
        <v>1118</v>
      </c>
      <c r="HV13" s="225"/>
      <c r="HW13" s="225"/>
    </row>
    <row r="14" spans="1:231" ht="51" x14ac:dyDescent="0.2">
      <c r="A14" s="227" t="s">
        <v>1731</v>
      </c>
      <c r="B14" s="228" t="s">
        <v>1328</v>
      </c>
      <c r="C14" s="229" t="s">
        <v>1398</v>
      </c>
      <c r="D14" s="230" t="s">
        <v>1732</v>
      </c>
      <c r="E14" s="237"/>
      <c r="F14" s="229"/>
      <c r="G14" s="236"/>
      <c r="H14" s="232"/>
      <c r="I14" s="237"/>
      <c r="J14" s="229"/>
      <c r="K14" s="236"/>
      <c r="L14" s="232"/>
      <c r="M14" s="237"/>
      <c r="N14" s="229"/>
      <c r="O14" s="236"/>
      <c r="P14" s="232"/>
      <c r="Q14" s="237"/>
      <c r="R14" s="229"/>
      <c r="S14" s="236"/>
      <c r="T14" s="232"/>
      <c r="U14" s="237"/>
      <c r="V14" s="229"/>
      <c r="W14" s="236"/>
      <c r="X14" s="232"/>
      <c r="Y14" s="237"/>
      <c r="Z14" s="229"/>
      <c r="AA14" s="236"/>
      <c r="AB14" s="232"/>
      <c r="AC14" s="237"/>
      <c r="AD14" s="229"/>
      <c r="AE14" s="236"/>
      <c r="AF14" s="232"/>
      <c r="AG14" s="238"/>
      <c r="AH14" s="229"/>
      <c r="AI14" s="236"/>
      <c r="AJ14" s="232"/>
      <c r="AK14" s="238"/>
      <c r="AL14" s="229"/>
      <c r="AM14" s="236"/>
      <c r="AN14" s="232"/>
      <c r="AO14" s="238"/>
      <c r="AP14" s="229"/>
      <c r="AQ14" s="236"/>
      <c r="AR14" s="232"/>
      <c r="AS14" s="238"/>
      <c r="AT14" s="229"/>
      <c r="AU14" s="236"/>
      <c r="AV14" s="232"/>
      <c r="AW14" s="238"/>
      <c r="AX14" s="229"/>
      <c r="AY14" s="236"/>
      <c r="AZ14" s="232"/>
      <c r="BA14" s="238"/>
      <c r="BB14" s="229"/>
      <c r="BC14" s="236"/>
      <c r="BD14" s="232"/>
      <c r="BE14" s="238"/>
      <c r="BF14" s="229"/>
      <c r="BG14" s="236"/>
      <c r="BH14" s="232"/>
      <c r="BI14" s="238"/>
      <c r="BJ14" s="229"/>
      <c r="BK14" s="236"/>
      <c r="BL14" s="232"/>
      <c r="BM14" s="238" t="s">
        <v>1733</v>
      </c>
      <c r="BN14" s="229"/>
      <c r="BO14" s="236">
        <v>11847</v>
      </c>
      <c r="BP14" s="232">
        <v>1308.1400000000001</v>
      </c>
      <c r="BQ14" s="238"/>
      <c r="BR14" s="229"/>
      <c r="BS14" s="236"/>
      <c r="BT14" s="232"/>
      <c r="BU14" s="238"/>
      <c r="BV14" s="229"/>
      <c r="BW14" s="236"/>
      <c r="BX14" s="232"/>
      <c r="BY14" s="233"/>
      <c r="BZ14" s="231"/>
      <c r="CA14" s="231"/>
      <c r="CB14" s="232"/>
      <c r="CC14" s="233"/>
      <c r="CD14" s="231"/>
      <c r="CE14" s="231"/>
      <c r="CF14" s="232"/>
      <c r="CG14" s="238"/>
      <c r="CH14" s="229"/>
      <c r="CI14" s="236"/>
      <c r="CJ14" s="232"/>
      <c r="CK14" s="238"/>
      <c r="CL14" s="229"/>
      <c r="CM14" s="236"/>
      <c r="CN14" s="232"/>
      <c r="CO14" s="238" t="s">
        <v>1734</v>
      </c>
      <c r="CP14" s="229"/>
      <c r="CQ14" s="236">
        <v>1239</v>
      </c>
      <c r="CR14" s="232">
        <v>1478.01</v>
      </c>
      <c r="CS14" s="238"/>
      <c r="CT14" s="229"/>
      <c r="CU14" s="236"/>
      <c r="CV14" s="232"/>
      <c r="CW14" s="238"/>
      <c r="CX14" s="229"/>
      <c r="CY14" s="236"/>
      <c r="CZ14" s="232"/>
      <c r="DA14" s="238"/>
      <c r="DB14" s="229"/>
      <c r="DC14" s="236"/>
      <c r="DD14" s="232"/>
      <c r="DE14" s="238"/>
      <c r="DF14" s="229"/>
      <c r="DG14" s="236"/>
      <c r="DH14" s="232"/>
      <c r="DI14" s="238" t="s">
        <v>1735</v>
      </c>
      <c r="DJ14" s="229"/>
      <c r="DK14" s="236">
        <v>3759</v>
      </c>
      <c r="DL14" s="232">
        <v>5256.58</v>
      </c>
      <c r="DM14" s="238"/>
      <c r="DN14" s="229"/>
      <c r="DO14" s="236"/>
      <c r="DP14" s="232"/>
      <c r="DQ14" s="238"/>
      <c r="DR14" s="229"/>
      <c r="DS14" s="236"/>
      <c r="DT14" s="232"/>
      <c r="DU14" s="223"/>
      <c r="DV14" s="129"/>
      <c r="DW14" s="120"/>
      <c r="DX14" s="126"/>
      <c r="DY14" s="128" t="s">
        <v>1736</v>
      </c>
      <c r="DZ14" s="129"/>
      <c r="EA14" s="120">
        <f>473+998</f>
        <v>1471</v>
      </c>
      <c r="EB14" s="126">
        <v>2272.9899999999998</v>
      </c>
      <c r="EC14" s="128"/>
      <c r="ED14" s="129"/>
      <c r="EE14" s="120"/>
      <c r="EF14" s="126"/>
      <c r="EG14" s="128"/>
      <c r="EH14" s="129"/>
      <c r="EI14" s="120"/>
      <c r="EJ14" s="126"/>
      <c r="EK14" s="128"/>
      <c r="EL14" s="129"/>
      <c r="EM14" s="120"/>
      <c r="EN14" s="126"/>
      <c r="EO14" s="128" t="s">
        <v>1737</v>
      </c>
      <c r="EP14" s="129"/>
      <c r="EQ14" s="120">
        <f>121+187</f>
        <v>308</v>
      </c>
      <c r="ER14" s="126">
        <v>582.01</v>
      </c>
      <c r="ES14" s="128"/>
      <c r="ET14" s="129"/>
      <c r="EU14" s="120"/>
      <c r="EV14" s="126"/>
      <c r="EW14" s="128"/>
      <c r="EX14" s="129"/>
      <c r="EY14" s="120"/>
      <c r="EZ14" s="126"/>
      <c r="FA14" s="128"/>
      <c r="FB14" s="129"/>
      <c r="FC14" s="120"/>
      <c r="FD14" s="126"/>
      <c r="FE14" s="128" t="s">
        <v>1738</v>
      </c>
      <c r="FF14" s="129"/>
      <c r="FG14" s="120">
        <f>408+203</f>
        <v>611</v>
      </c>
      <c r="FH14" s="126">
        <v>985.78</v>
      </c>
      <c r="FI14" s="128"/>
      <c r="FJ14" s="129"/>
      <c r="FK14" s="120"/>
      <c r="FL14" s="126"/>
      <c r="FM14" s="128"/>
      <c r="FN14" s="129"/>
      <c r="FO14" s="120"/>
      <c r="FP14" s="126"/>
      <c r="FQ14" s="128"/>
      <c r="FR14" s="129"/>
      <c r="FS14" s="120"/>
      <c r="FT14" s="126"/>
      <c r="FU14" s="128" t="s">
        <v>1739</v>
      </c>
      <c r="FV14" s="129"/>
      <c r="FW14" s="120">
        <f>950+858</f>
        <v>1808</v>
      </c>
      <c r="FX14" s="126">
        <v>2689.26</v>
      </c>
      <c r="FY14" s="128"/>
      <c r="FZ14" s="129"/>
      <c r="GA14" s="120"/>
      <c r="GB14" s="126"/>
      <c r="GC14" s="128"/>
      <c r="GD14" s="129"/>
      <c r="GE14" s="120"/>
      <c r="GF14" s="126"/>
      <c r="GG14" s="128"/>
      <c r="GH14" s="129"/>
      <c r="GI14" s="120"/>
      <c r="GJ14" s="126"/>
      <c r="GK14" s="128"/>
      <c r="GL14" s="129"/>
      <c r="GM14" s="120"/>
      <c r="GN14" s="126"/>
      <c r="GO14" s="128" t="s">
        <v>1740</v>
      </c>
      <c r="GP14" s="129"/>
      <c r="GQ14" s="120">
        <f>1654+1441</f>
        <v>3095</v>
      </c>
      <c r="GR14" s="126">
        <v>4560.9399999999996</v>
      </c>
      <c r="GS14" s="128"/>
      <c r="GT14" s="129"/>
      <c r="GU14" s="120"/>
      <c r="GV14" s="126"/>
      <c r="GW14" s="128"/>
      <c r="GX14" s="129"/>
      <c r="GY14" s="120"/>
      <c r="GZ14" s="126"/>
      <c r="HA14" s="128"/>
      <c r="HB14" s="129"/>
      <c r="HC14" s="120"/>
      <c r="HD14" s="126"/>
      <c r="HE14" s="128" t="s">
        <v>1741</v>
      </c>
      <c r="HF14" s="129"/>
      <c r="HG14" s="120">
        <f>1663+1905</f>
        <v>3568</v>
      </c>
      <c r="HH14" s="126">
        <v>6866.41</v>
      </c>
      <c r="HI14" s="128"/>
      <c r="HJ14" s="129"/>
      <c r="HK14" s="120"/>
      <c r="HL14" s="126"/>
      <c r="HN14" s="234">
        <f t="shared" si="0"/>
        <v>10861</v>
      </c>
      <c r="HP14" s="234">
        <v>6252</v>
      </c>
      <c r="HS14" s="234">
        <f t="shared" si="1"/>
        <v>17957.39</v>
      </c>
      <c r="HT14" s="225"/>
      <c r="HU14" s="234">
        <f t="shared" si="2"/>
        <v>4609</v>
      </c>
      <c r="HV14" s="225"/>
      <c r="HW14" s="225"/>
    </row>
    <row r="15" spans="1:231" ht="51" x14ac:dyDescent="0.2">
      <c r="A15" s="227" t="s">
        <v>1742</v>
      </c>
      <c r="B15" s="228" t="s">
        <v>1328</v>
      </c>
      <c r="C15" s="229" t="s">
        <v>1402</v>
      </c>
      <c r="D15" s="230" t="s">
        <v>1743</v>
      </c>
      <c r="E15" s="237"/>
      <c r="F15" s="229"/>
      <c r="G15" s="236"/>
      <c r="H15" s="232"/>
      <c r="I15" s="237"/>
      <c r="J15" s="229"/>
      <c r="K15" s="236"/>
      <c r="L15" s="232"/>
      <c r="M15" s="237"/>
      <c r="N15" s="229"/>
      <c r="O15" s="236"/>
      <c r="P15" s="232"/>
      <c r="Q15" s="237"/>
      <c r="R15" s="229"/>
      <c r="S15" s="236"/>
      <c r="T15" s="232"/>
      <c r="U15" s="237"/>
      <c r="V15" s="229"/>
      <c r="W15" s="236"/>
      <c r="X15" s="232"/>
      <c r="Y15" s="237"/>
      <c r="Z15" s="229"/>
      <c r="AA15" s="236"/>
      <c r="AB15" s="232"/>
      <c r="AC15" s="237"/>
      <c r="AD15" s="229"/>
      <c r="AE15" s="236"/>
      <c r="AF15" s="232"/>
      <c r="AG15" s="238"/>
      <c r="AH15" s="229"/>
      <c r="AI15" s="236"/>
      <c r="AJ15" s="232"/>
      <c r="AK15" s="238"/>
      <c r="AL15" s="229"/>
      <c r="AM15" s="236"/>
      <c r="AN15" s="232"/>
      <c r="AO15" s="238"/>
      <c r="AP15" s="229"/>
      <c r="AQ15" s="236"/>
      <c r="AR15" s="232"/>
      <c r="AS15" s="238"/>
      <c r="AT15" s="229"/>
      <c r="AU15" s="236"/>
      <c r="AV15" s="232"/>
      <c r="AW15" s="238"/>
      <c r="AX15" s="229"/>
      <c r="AY15" s="236"/>
      <c r="AZ15" s="232"/>
      <c r="BA15" s="238"/>
      <c r="BB15" s="229"/>
      <c r="BC15" s="236"/>
      <c r="BD15" s="232"/>
      <c r="BE15" s="238"/>
      <c r="BF15" s="229"/>
      <c r="BG15" s="236"/>
      <c r="BH15" s="232"/>
      <c r="BI15" s="238"/>
      <c r="BJ15" s="229"/>
      <c r="BK15" s="236"/>
      <c r="BL15" s="232"/>
      <c r="BM15" s="238" t="s">
        <v>1744</v>
      </c>
      <c r="BN15" s="229"/>
      <c r="BO15" s="236">
        <v>10038</v>
      </c>
      <c r="BP15" s="232">
        <v>1198.47</v>
      </c>
      <c r="BQ15" s="238"/>
      <c r="BR15" s="229"/>
      <c r="BS15" s="236"/>
      <c r="BT15" s="232"/>
      <c r="BU15" s="238"/>
      <c r="BV15" s="229"/>
      <c r="BW15" s="236"/>
      <c r="BX15" s="232"/>
      <c r="BY15" s="233"/>
      <c r="BZ15" s="231"/>
      <c r="CA15" s="231"/>
      <c r="CB15" s="232"/>
      <c r="CC15" s="233"/>
      <c r="CD15" s="231"/>
      <c r="CE15" s="231"/>
      <c r="CF15" s="232"/>
      <c r="CG15" s="238"/>
      <c r="CH15" s="229"/>
      <c r="CI15" s="236"/>
      <c r="CJ15" s="232"/>
      <c r="CK15" s="238"/>
      <c r="CL15" s="229"/>
      <c r="CM15" s="236"/>
      <c r="CN15" s="232"/>
      <c r="CO15" s="238" t="s">
        <v>1745</v>
      </c>
      <c r="CP15" s="229"/>
      <c r="CQ15" s="236">
        <v>3103</v>
      </c>
      <c r="CR15" s="232">
        <v>3576.15</v>
      </c>
      <c r="CS15" s="238"/>
      <c r="CT15" s="229"/>
      <c r="CU15" s="236"/>
      <c r="CV15" s="232"/>
      <c r="CW15" s="238"/>
      <c r="CX15" s="229"/>
      <c r="CY15" s="236"/>
      <c r="CZ15" s="232"/>
      <c r="DA15" s="238"/>
      <c r="DB15" s="229"/>
      <c r="DC15" s="236"/>
      <c r="DD15" s="232"/>
      <c r="DE15" s="238" t="s">
        <v>1746</v>
      </c>
      <c r="DF15" s="229"/>
      <c r="DG15" s="236">
        <v>3832</v>
      </c>
      <c r="DH15" s="232">
        <v>2925.42</v>
      </c>
      <c r="DI15" s="238"/>
      <c r="DJ15" s="229"/>
      <c r="DK15" s="236"/>
      <c r="DL15" s="232"/>
      <c r="DM15" s="238"/>
      <c r="DN15" s="229"/>
      <c r="DO15" s="236"/>
      <c r="DP15" s="232"/>
      <c r="DQ15" s="238"/>
      <c r="DR15" s="229"/>
      <c r="DS15" s="236"/>
      <c r="DT15" s="232"/>
      <c r="DU15" s="223"/>
      <c r="DV15" s="129"/>
      <c r="DW15" s="120"/>
      <c r="DX15" s="126"/>
      <c r="DY15" s="128" t="s">
        <v>1747</v>
      </c>
      <c r="DZ15" s="129"/>
      <c r="EA15" s="120">
        <v>1771</v>
      </c>
      <c r="EB15" s="126">
        <v>2709.35</v>
      </c>
      <c r="EC15" s="128"/>
      <c r="ED15" s="129"/>
      <c r="EE15" s="120"/>
      <c r="EF15" s="126"/>
      <c r="EG15" s="128"/>
      <c r="EH15" s="129"/>
      <c r="EI15" s="120"/>
      <c r="EJ15" s="126"/>
      <c r="EK15" s="128"/>
      <c r="EL15" s="129"/>
      <c r="EM15" s="120"/>
      <c r="EN15" s="126"/>
      <c r="EO15" s="128" t="s">
        <v>1748</v>
      </c>
      <c r="EP15" s="129"/>
      <c r="EQ15" s="120">
        <f>2047+432</f>
        <v>2479</v>
      </c>
      <c r="ER15" s="126">
        <v>1960.18</v>
      </c>
      <c r="ES15" s="128"/>
      <c r="ET15" s="129"/>
      <c r="EU15" s="120"/>
      <c r="EV15" s="126"/>
      <c r="EW15" s="128"/>
      <c r="EX15" s="129"/>
      <c r="EY15" s="120"/>
      <c r="EZ15" s="126"/>
      <c r="FA15" s="128"/>
      <c r="FB15" s="129"/>
      <c r="FC15" s="120"/>
      <c r="FD15" s="126"/>
      <c r="FE15" s="128" t="s">
        <v>1749</v>
      </c>
      <c r="FF15" s="129"/>
      <c r="FG15" s="120">
        <f>2047+600</f>
        <v>2647</v>
      </c>
      <c r="FH15" s="126">
        <v>1032.57</v>
      </c>
      <c r="FI15" s="128"/>
      <c r="FJ15" s="129"/>
      <c r="FK15" s="120"/>
      <c r="FL15" s="126"/>
      <c r="FM15" s="128"/>
      <c r="FN15" s="129"/>
      <c r="FO15" s="120"/>
      <c r="FP15" s="126"/>
      <c r="FQ15" s="128"/>
      <c r="FR15" s="129"/>
      <c r="FS15" s="120"/>
      <c r="FT15" s="126"/>
      <c r="FU15" s="128" t="s">
        <v>1750</v>
      </c>
      <c r="FV15" s="129"/>
      <c r="FW15" s="120">
        <v>670</v>
      </c>
      <c r="FX15" s="126">
        <v>1087.6099999999999</v>
      </c>
      <c r="FY15" s="128"/>
      <c r="FZ15" s="129"/>
      <c r="GA15" s="120"/>
      <c r="GB15" s="126"/>
      <c r="GC15" s="128"/>
      <c r="GD15" s="129"/>
      <c r="GE15" s="120"/>
      <c r="GF15" s="126"/>
      <c r="GG15" s="128"/>
      <c r="GH15" s="129"/>
      <c r="GI15" s="120"/>
      <c r="GJ15" s="126"/>
      <c r="GK15" s="128"/>
      <c r="GL15" s="129"/>
      <c r="GM15" s="120"/>
      <c r="GN15" s="126"/>
      <c r="GO15" s="128" t="s">
        <v>1751</v>
      </c>
      <c r="GP15" s="129"/>
      <c r="GQ15" s="120">
        <v>5142</v>
      </c>
      <c r="GR15" s="239">
        <f>-98.64</f>
        <v>-98.64</v>
      </c>
      <c r="GS15" s="128"/>
      <c r="GT15" s="129"/>
      <c r="GU15" s="120"/>
      <c r="GV15" s="239"/>
      <c r="GW15" s="128"/>
      <c r="GX15" s="129"/>
      <c r="GY15" s="120"/>
      <c r="GZ15" s="126"/>
      <c r="HA15" s="128"/>
      <c r="HB15" s="129"/>
      <c r="HC15" s="120"/>
      <c r="HD15" s="126"/>
      <c r="HE15" s="128" t="s">
        <v>1752</v>
      </c>
      <c r="HF15" s="129"/>
      <c r="HG15" s="120">
        <v>3346</v>
      </c>
      <c r="HH15" s="126">
        <v>6457.11</v>
      </c>
      <c r="HI15" s="128"/>
      <c r="HJ15" s="129"/>
      <c r="HK15" s="120"/>
      <c r="HL15" s="126"/>
      <c r="HN15" s="234">
        <f t="shared" si="0"/>
        <v>16055</v>
      </c>
      <c r="HP15" s="234">
        <v>36740</v>
      </c>
      <c r="HS15" s="234">
        <f t="shared" si="1"/>
        <v>13148.179999999998</v>
      </c>
      <c r="HT15" s="225"/>
      <c r="HU15" s="235">
        <f t="shared" si="2"/>
        <v>-20685</v>
      </c>
      <c r="HV15" s="225"/>
      <c r="HW15" s="225"/>
    </row>
    <row r="16" spans="1:231" ht="51" x14ac:dyDescent="0.2">
      <c r="A16" s="227" t="s">
        <v>1753</v>
      </c>
      <c r="B16" s="228" t="s">
        <v>1328</v>
      </c>
      <c r="C16" s="229" t="s">
        <v>1448</v>
      </c>
      <c r="D16" s="230" t="s">
        <v>1754</v>
      </c>
      <c r="E16" s="237"/>
      <c r="F16" s="229"/>
      <c r="G16" s="236"/>
      <c r="H16" s="232"/>
      <c r="I16" s="237"/>
      <c r="J16" s="229"/>
      <c r="K16" s="236"/>
      <c r="L16" s="232"/>
      <c r="M16" s="237"/>
      <c r="N16" s="229"/>
      <c r="O16" s="236"/>
      <c r="P16" s="232"/>
      <c r="Q16" s="237"/>
      <c r="R16" s="229"/>
      <c r="S16" s="236"/>
      <c r="T16" s="232"/>
      <c r="U16" s="237"/>
      <c r="V16" s="229"/>
      <c r="W16" s="236"/>
      <c r="X16" s="232"/>
      <c r="Y16" s="237"/>
      <c r="Z16" s="229"/>
      <c r="AA16" s="236"/>
      <c r="AB16" s="232"/>
      <c r="AC16" s="237"/>
      <c r="AD16" s="229"/>
      <c r="AE16" s="236"/>
      <c r="AF16" s="232"/>
      <c r="AG16" s="238"/>
      <c r="AH16" s="229"/>
      <c r="AI16" s="236"/>
      <c r="AJ16" s="232"/>
      <c r="AK16" s="238"/>
      <c r="AL16" s="229"/>
      <c r="AM16" s="236"/>
      <c r="AN16" s="232"/>
      <c r="AO16" s="238"/>
      <c r="AP16" s="229"/>
      <c r="AQ16" s="236"/>
      <c r="AR16" s="232"/>
      <c r="AS16" s="238"/>
      <c r="AT16" s="229"/>
      <c r="AU16" s="236"/>
      <c r="AV16" s="232"/>
      <c r="AW16" s="238"/>
      <c r="AX16" s="229"/>
      <c r="AY16" s="236"/>
      <c r="AZ16" s="232"/>
      <c r="BA16" s="238"/>
      <c r="BB16" s="229"/>
      <c r="BC16" s="236"/>
      <c r="BD16" s="232"/>
      <c r="BE16" s="238"/>
      <c r="BF16" s="229"/>
      <c r="BG16" s="236"/>
      <c r="BH16" s="232"/>
      <c r="BI16" s="238"/>
      <c r="BJ16" s="229"/>
      <c r="BK16" s="236"/>
      <c r="BL16" s="232"/>
      <c r="BM16" s="238" t="s">
        <v>1733</v>
      </c>
      <c r="BN16" s="229"/>
      <c r="BO16" s="236">
        <v>5160</v>
      </c>
      <c r="BP16" s="232">
        <v>593.28</v>
      </c>
      <c r="BQ16" s="238"/>
      <c r="BR16" s="229"/>
      <c r="BS16" s="236"/>
      <c r="BT16" s="232"/>
      <c r="BU16" s="238"/>
      <c r="BV16" s="229"/>
      <c r="BW16" s="236"/>
      <c r="BX16" s="232"/>
      <c r="BY16" s="233"/>
      <c r="BZ16" s="231"/>
      <c r="CA16" s="231"/>
      <c r="CB16" s="232"/>
      <c r="CC16" s="233"/>
      <c r="CD16" s="231"/>
      <c r="CE16" s="231"/>
      <c r="CF16" s="232"/>
      <c r="CG16" s="238"/>
      <c r="CH16" s="229"/>
      <c r="CI16" s="236"/>
      <c r="CJ16" s="232"/>
      <c r="CK16" s="238"/>
      <c r="CL16" s="229"/>
      <c r="CM16" s="236"/>
      <c r="CN16" s="232"/>
      <c r="CO16" s="238" t="s">
        <v>1734</v>
      </c>
      <c r="CP16" s="229"/>
      <c r="CQ16" s="236">
        <v>1109</v>
      </c>
      <c r="CR16" s="232">
        <v>1280.55</v>
      </c>
      <c r="CS16" s="238"/>
      <c r="CT16" s="229"/>
      <c r="CU16" s="236"/>
      <c r="CV16" s="232"/>
      <c r="CW16" s="238"/>
      <c r="CX16" s="229"/>
      <c r="CY16" s="236"/>
      <c r="CZ16" s="232"/>
      <c r="DA16" s="238"/>
      <c r="DB16" s="229"/>
      <c r="DC16" s="236"/>
      <c r="DD16" s="232"/>
      <c r="DE16" s="238"/>
      <c r="DF16" s="229"/>
      <c r="DG16" s="236"/>
      <c r="DH16" s="232"/>
      <c r="DI16" s="238" t="s">
        <v>1755</v>
      </c>
      <c r="DJ16" s="229"/>
      <c r="DK16" s="236">
        <v>1187</v>
      </c>
      <c r="DL16" s="232">
        <v>1695.31</v>
      </c>
      <c r="DM16" s="238"/>
      <c r="DN16" s="229"/>
      <c r="DO16" s="236"/>
      <c r="DP16" s="232"/>
      <c r="DQ16" s="238"/>
      <c r="DR16" s="229"/>
      <c r="DS16" s="236"/>
      <c r="DT16" s="232"/>
      <c r="DU16" s="223"/>
      <c r="DV16" s="129"/>
      <c r="DW16" s="120"/>
      <c r="DX16" s="126"/>
      <c r="DY16" s="128" t="s">
        <v>1736</v>
      </c>
      <c r="DZ16" s="129"/>
      <c r="EA16" s="120">
        <v>0</v>
      </c>
      <c r="EB16" s="126">
        <v>70.8</v>
      </c>
      <c r="EC16" s="128"/>
      <c r="ED16" s="129"/>
      <c r="EE16" s="120"/>
      <c r="EF16" s="126"/>
      <c r="EG16" s="128"/>
      <c r="EH16" s="129"/>
      <c r="EI16" s="120"/>
      <c r="EJ16" s="126"/>
      <c r="EK16" s="128"/>
      <c r="EL16" s="129"/>
      <c r="EM16" s="120"/>
      <c r="EN16" s="126"/>
      <c r="EO16" s="128" t="s">
        <v>1756</v>
      </c>
      <c r="EP16" s="129"/>
      <c r="EQ16" s="120">
        <v>0</v>
      </c>
      <c r="ER16" s="126">
        <v>71.959999999999994</v>
      </c>
      <c r="ES16" s="128"/>
      <c r="ET16" s="129"/>
      <c r="EU16" s="120"/>
      <c r="EV16" s="126"/>
      <c r="EW16" s="128"/>
      <c r="EX16" s="129"/>
      <c r="EY16" s="120"/>
      <c r="EZ16" s="126"/>
      <c r="FA16" s="128"/>
      <c r="FB16" s="129"/>
      <c r="FC16" s="120"/>
      <c r="FD16" s="126"/>
      <c r="FE16" s="128" t="s">
        <v>1738</v>
      </c>
      <c r="FF16" s="129"/>
      <c r="FG16" s="120">
        <v>92</v>
      </c>
      <c r="FH16" s="126">
        <v>193.51</v>
      </c>
      <c r="FI16" s="128"/>
      <c r="FJ16" s="129"/>
      <c r="FK16" s="120"/>
      <c r="FL16" s="126"/>
      <c r="FM16" s="128"/>
      <c r="FN16" s="129"/>
      <c r="FO16" s="120"/>
      <c r="FP16" s="126"/>
      <c r="FQ16" s="128"/>
      <c r="FR16" s="129"/>
      <c r="FS16" s="120"/>
      <c r="FT16" s="126"/>
      <c r="FU16" s="128" t="s">
        <v>1739</v>
      </c>
      <c r="FV16" s="129"/>
      <c r="FW16" s="120">
        <f>462+373</f>
        <v>835</v>
      </c>
      <c r="FX16" s="126">
        <v>1253.46</v>
      </c>
      <c r="FY16" s="128"/>
      <c r="FZ16" s="129"/>
      <c r="GA16" s="120"/>
      <c r="GB16" s="126"/>
      <c r="GC16" s="128"/>
      <c r="GD16" s="129"/>
      <c r="GE16" s="120"/>
      <c r="GF16" s="126"/>
      <c r="GG16" s="128"/>
      <c r="GH16" s="129"/>
      <c r="GI16" s="120"/>
      <c r="GJ16" s="126"/>
      <c r="GK16" s="128"/>
      <c r="GL16" s="129"/>
      <c r="GM16" s="120"/>
      <c r="GN16" s="126"/>
      <c r="GO16" s="128" t="s">
        <v>1740</v>
      </c>
      <c r="GP16" s="129"/>
      <c r="GQ16" s="120">
        <f>594+516</f>
        <v>1110</v>
      </c>
      <c r="GR16" s="126">
        <v>1680.36</v>
      </c>
      <c r="GS16" s="128"/>
      <c r="GT16" s="129"/>
      <c r="GU16" s="120"/>
      <c r="GV16" s="126"/>
      <c r="GW16" s="128"/>
      <c r="GX16" s="129"/>
      <c r="GY16" s="120"/>
      <c r="GZ16" s="126"/>
      <c r="HA16" s="128"/>
      <c r="HB16" s="129"/>
      <c r="HC16" s="120"/>
      <c r="HD16" s="126"/>
      <c r="HE16" s="128" t="s">
        <v>1741</v>
      </c>
      <c r="HF16" s="129"/>
      <c r="HG16" s="120">
        <f>155+608</f>
        <v>763</v>
      </c>
      <c r="HH16" s="126">
        <v>1485.88</v>
      </c>
      <c r="HI16" s="128"/>
      <c r="HJ16" s="129"/>
      <c r="HK16" s="120"/>
      <c r="HL16" s="126"/>
      <c r="HN16" s="234">
        <f t="shared" si="0"/>
        <v>2800</v>
      </c>
      <c r="HP16" s="234">
        <v>1951</v>
      </c>
      <c r="HS16" s="234">
        <f t="shared" si="1"/>
        <v>4755.97</v>
      </c>
      <c r="HT16" s="225"/>
      <c r="HU16" s="234">
        <f t="shared" si="2"/>
        <v>849</v>
      </c>
      <c r="HV16" s="225"/>
      <c r="HW16" s="225"/>
    </row>
    <row r="17" spans="1:231" ht="51" x14ac:dyDescent="0.2">
      <c r="A17" s="227" t="s">
        <v>1757</v>
      </c>
      <c r="B17" s="228" t="s">
        <v>1328</v>
      </c>
      <c r="C17" s="229" t="s">
        <v>1758</v>
      </c>
      <c r="D17" s="230" t="s">
        <v>1759</v>
      </c>
      <c r="E17" s="237"/>
      <c r="F17" s="229"/>
      <c r="G17" s="236"/>
      <c r="H17" s="232"/>
      <c r="I17" s="237"/>
      <c r="J17" s="229"/>
      <c r="K17" s="236"/>
      <c r="L17" s="232"/>
      <c r="M17" s="237"/>
      <c r="N17" s="229"/>
      <c r="O17" s="236"/>
      <c r="P17" s="232"/>
      <c r="Q17" s="237"/>
      <c r="R17" s="229"/>
      <c r="S17" s="236"/>
      <c r="T17" s="232"/>
      <c r="U17" s="237"/>
      <c r="V17" s="229"/>
      <c r="W17" s="236"/>
      <c r="X17" s="232"/>
      <c r="Y17" s="237"/>
      <c r="Z17" s="229"/>
      <c r="AA17" s="236"/>
      <c r="AB17" s="232"/>
      <c r="AC17" s="237"/>
      <c r="AD17" s="229"/>
      <c r="AE17" s="236"/>
      <c r="AF17" s="232"/>
      <c r="AG17" s="238"/>
      <c r="AH17" s="229"/>
      <c r="AI17" s="236"/>
      <c r="AJ17" s="232"/>
      <c r="AK17" s="238"/>
      <c r="AL17" s="229"/>
      <c r="AM17" s="236"/>
      <c r="AN17" s="232"/>
      <c r="AO17" s="238"/>
      <c r="AP17" s="229"/>
      <c r="AQ17" s="236"/>
      <c r="AR17" s="232"/>
      <c r="AS17" s="238"/>
      <c r="AT17" s="229"/>
      <c r="AU17" s="236"/>
      <c r="AV17" s="232"/>
      <c r="AW17" s="238"/>
      <c r="AX17" s="229"/>
      <c r="AY17" s="236"/>
      <c r="AZ17" s="232"/>
      <c r="BA17" s="238"/>
      <c r="BB17" s="229"/>
      <c r="BC17" s="236"/>
      <c r="BD17" s="232"/>
      <c r="BE17" s="238"/>
      <c r="BF17" s="229"/>
      <c r="BG17" s="236"/>
      <c r="BH17" s="232"/>
      <c r="BI17" s="238"/>
      <c r="BJ17" s="229"/>
      <c r="BK17" s="236"/>
      <c r="BL17" s="232"/>
      <c r="BM17" s="238" t="s">
        <v>1760</v>
      </c>
      <c r="BN17" s="229"/>
      <c r="BO17" s="236">
        <v>3045</v>
      </c>
      <c r="BP17" s="232">
        <v>358.2</v>
      </c>
      <c r="BQ17" s="238"/>
      <c r="BR17" s="229"/>
      <c r="BS17" s="236"/>
      <c r="BT17" s="232"/>
      <c r="BU17" s="238"/>
      <c r="BV17" s="229"/>
      <c r="BW17" s="236"/>
      <c r="BX17" s="232"/>
      <c r="BY17" s="233"/>
      <c r="BZ17" s="231"/>
      <c r="CA17" s="231"/>
      <c r="CB17" s="232"/>
      <c r="CC17" s="233"/>
      <c r="CD17" s="231"/>
      <c r="CE17" s="231"/>
      <c r="CF17" s="232"/>
      <c r="CG17" s="238"/>
      <c r="CH17" s="229"/>
      <c r="CI17" s="236"/>
      <c r="CJ17" s="232"/>
      <c r="CK17" s="238"/>
      <c r="CL17" s="229"/>
      <c r="CM17" s="236"/>
      <c r="CN17" s="232"/>
      <c r="CO17" s="238" t="s">
        <v>1761</v>
      </c>
      <c r="CP17" s="229"/>
      <c r="CQ17" s="236">
        <v>2084</v>
      </c>
      <c r="CR17" s="232">
        <v>1111.57</v>
      </c>
      <c r="CS17" s="238"/>
      <c r="CT17" s="229"/>
      <c r="CU17" s="236"/>
      <c r="CV17" s="232"/>
      <c r="CW17" s="238"/>
      <c r="CX17" s="229"/>
      <c r="CY17" s="236"/>
      <c r="CZ17" s="232"/>
      <c r="DA17" s="238"/>
      <c r="DB17" s="229"/>
      <c r="DC17" s="236"/>
      <c r="DD17" s="232"/>
      <c r="DE17" s="238"/>
      <c r="DF17" s="229"/>
      <c r="DG17" s="236"/>
      <c r="DH17" s="232"/>
      <c r="DI17" s="238" t="s">
        <v>1762</v>
      </c>
      <c r="DJ17" s="229"/>
      <c r="DK17" s="236">
        <v>833</v>
      </c>
      <c r="DL17" s="232">
        <v>1186.58</v>
      </c>
      <c r="DM17" s="238"/>
      <c r="DN17" s="229"/>
      <c r="DO17" s="236"/>
      <c r="DP17" s="232"/>
      <c r="DQ17" s="238"/>
      <c r="DR17" s="229"/>
      <c r="DS17" s="236"/>
      <c r="DT17" s="232"/>
      <c r="DU17" s="223"/>
      <c r="DV17" s="129"/>
      <c r="DW17" s="120"/>
      <c r="DX17" s="126"/>
      <c r="DY17" s="128" t="s">
        <v>1747</v>
      </c>
      <c r="DZ17" s="129"/>
      <c r="EA17" s="120">
        <v>363</v>
      </c>
      <c r="EB17" s="126">
        <v>579.09</v>
      </c>
      <c r="EC17" s="128"/>
      <c r="ED17" s="129"/>
      <c r="EE17" s="120"/>
      <c r="EF17" s="126"/>
      <c r="EG17" s="128"/>
      <c r="EH17" s="129"/>
      <c r="EI17" s="120"/>
      <c r="EJ17" s="126"/>
      <c r="EK17" s="128"/>
      <c r="EL17" s="129"/>
      <c r="EM17" s="120"/>
      <c r="EN17" s="126"/>
      <c r="EO17" s="128" t="s">
        <v>1748</v>
      </c>
      <c r="EP17" s="129"/>
      <c r="EQ17" s="120">
        <v>507</v>
      </c>
      <c r="ER17" s="126">
        <v>331.9</v>
      </c>
      <c r="ES17" s="128"/>
      <c r="ET17" s="129"/>
      <c r="EU17" s="120"/>
      <c r="EV17" s="126"/>
      <c r="EW17" s="128"/>
      <c r="EX17" s="129"/>
      <c r="EY17" s="120"/>
      <c r="EZ17" s="126"/>
      <c r="FA17" s="128"/>
      <c r="FB17" s="129"/>
      <c r="FC17" s="120"/>
      <c r="FD17" s="126"/>
      <c r="FE17" s="128" t="s">
        <v>1763</v>
      </c>
      <c r="FF17" s="129"/>
      <c r="FG17" s="120">
        <v>98</v>
      </c>
      <c r="FH17" s="126">
        <v>204.74</v>
      </c>
      <c r="FI17" s="128"/>
      <c r="FJ17" s="129"/>
      <c r="FK17" s="120"/>
      <c r="FL17" s="126"/>
      <c r="FM17" s="128"/>
      <c r="FN17" s="129"/>
      <c r="FO17" s="120"/>
      <c r="FP17" s="126"/>
      <c r="FQ17" s="128"/>
      <c r="FR17" s="129"/>
      <c r="FS17" s="120"/>
      <c r="FT17" s="126"/>
      <c r="FU17" s="128" t="s">
        <v>1750</v>
      </c>
      <c r="FV17" s="129"/>
      <c r="FW17" s="120">
        <v>242</v>
      </c>
      <c r="FX17" s="126">
        <v>392.12</v>
      </c>
      <c r="FY17" s="128"/>
      <c r="FZ17" s="129"/>
      <c r="GA17" s="120"/>
      <c r="GB17" s="126"/>
      <c r="GC17" s="128"/>
      <c r="GD17" s="129"/>
      <c r="GE17" s="120"/>
      <c r="GF17" s="126"/>
      <c r="GG17" s="128"/>
      <c r="GH17" s="129"/>
      <c r="GI17" s="120"/>
      <c r="GJ17" s="126"/>
      <c r="GK17" s="128"/>
      <c r="GL17" s="129"/>
      <c r="GM17" s="120"/>
      <c r="GN17" s="126"/>
      <c r="GO17" s="128" t="s">
        <v>1751</v>
      </c>
      <c r="GP17" s="129"/>
      <c r="GQ17" s="120">
        <v>1860</v>
      </c>
      <c r="GR17" s="126">
        <v>1329.96</v>
      </c>
      <c r="GS17" s="128"/>
      <c r="GT17" s="129"/>
      <c r="GU17" s="120"/>
      <c r="GV17" s="126"/>
      <c r="GW17" s="128"/>
      <c r="GX17" s="129"/>
      <c r="GY17" s="120"/>
      <c r="GZ17" s="126"/>
      <c r="HA17" s="128"/>
      <c r="HB17" s="129"/>
      <c r="HC17" s="120"/>
      <c r="HD17" s="126"/>
      <c r="HE17" s="128" t="s">
        <v>1752</v>
      </c>
      <c r="HF17" s="129"/>
      <c r="HG17" s="120">
        <v>715</v>
      </c>
      <c r="HH17" s="126">
        <v>1402.47</v>
      </c>
      <c r="HI17" s="128"/>
      <c r="HJ17" s="129"/>
      <c r="HK17" s="120"/>
      <c r="HL17" s="126"/>
      <c r="HN17" s="234">
        <f t="shared" si="0"/>
        <v>3785</v>
      </c>
      <c r="HP17" s="234">
        <v>2677</v>
      </c>
      <c r="HS17" s="234">
        <f t="shared" si="1"/>
        <v>4240.28</v>
      </c>
      <c r="HT17" s="225"/>
      <c r="HU17" s="234">
        <f t="shared" si="2"/>
        <v>1108</v>
      </c>
      <c r="HV17" s="225"/>
      <c r="HW17" s="225"/>
    </row>
    <row r="18" spans="1:231" ht="51" x14ac:dyDescent="0.2">
      <c r="A18" s="227" t="s">
        <v>1764</v>
      </c>
      <c r="B18" s="228" t="s">
        <v>1328</v>
      </c>
      <c r="C18" s="229" t="s">
        <v>1473</v>
      </c>
      <c r="D18" s="230" t="s">
        <v>1765</v>
      </c>
      <c r="E18" s="237"/>
      <c r="F18" s="229"/>
      <c r="G18" s="236"/>
      <c r="H18" s="232"/>
      <c r="I18" s="237"/>
      <c r="J18" s="229"/>
      <c r="K18" s="236"/>
      <c r="L18" s="232"/>
      <c r="M18" s="237"/>
      <c r="N18" s="229"/>
      <c r="O18" s="236"/>
      <c r="P18" s="232"/>
      <c r="Q18" s="237"/>
      <c r="R18" s="229"/>
      <c r="S18" s="236"/>
      <c r="T18" s="232"/>
      <c r="U18" s="237"/>
      <c r="V18" s="229"/>
      <c r="W18" s="236"/>
      <c r="X18" s="232"/>
      <c r="Y18" s="237"/>
      <c r="Z18" s="229"/>
      <c r="AA18" s="236"/>
      <c r="AB18" s="232"/>
      <c r="AC18" s="237"/>
      <c r="AD18" s="229"/>
      <c r="AE18" s="236"/>
      <c r="AF18" s="232"/>
      <c r="AG18" s="238"/>
      <c r="AH18" s="229"/>
      <c r="AI18" s="236"/>
      <c r="AJ18" s="232"/>
      <c r="AK18" s="238"/>
      <c r="AL18" s="229"/>
      <c r="AM18" s="236"/>
      <c r="AN18" s="232"/>
      <c r="AO18" s="238"/>
      <c r="AP18" s="229"/>
      <c r="AQ18" s="236"/>
      <c r="AR18" s="232"/>
      <c r="AS18" s="238"/>
      <c r="AT18" s="229"/>
      <c r="AU18" s="236"/>
      <c r="AV18" s="232"/>
      <c r="AW18" s="238"/>
      <c r="AX18" s="229"/>
      <c r="AY18" s="236"/>
      <c r="AZ18" s="232"/>
      <c r="BA18" s="238"/>
      <c r="BB18" s="229"/>
      <c r="BC18" s="236"/>
      <c r="BD18" s="232"/>
      <c r="BE18" s="238"/>
      <c r="BF18" s="229"/>
      <c r="BG18" s="236"/>
      <c r="BH18" s="232"/>
      <c r="BI18" s="238"/>
      <c r="BJ18" s="229"/>
      <c r="BK18" s="236"/>
      <c r="BL18" s="232"/>
      <c r="BM18" s="238" t="s">
        <v>1733</v>
      </c>
      <c r="BN18" s="229"/>
      <c r="BO18" s="236">
        <v>4256</v>
      </c>
      <c r="BP18" s="232">
        <v>525.41</v>
      </c>
      <c r="BQ18" s="238"/>
      <c r="BR18" s="229"/>
      <c r="BS18" s="236"/>
      <c r="BT18" s="232"/>
      <c r="BU18" s="238"/>
      <c r="BV18" s="229"/>
      <c r="BW18" s="236"/>
      <c r="BX18" s="232"/>
      <c r="BY18" s="233"/>
      <c r="BZ18" s="231"/>
      <c r="CA18" s="231"/>
      <c r="CB18" s="232"/>
      <c r="CC18" s="233"/>
      <c r="CD18" s="231"/>
      <c r="CE18" s="231"/>
      <c r="CF18" s="232"/>
      <c r="CG18" s="238"/>
      <c r="CH18" s="229"/>
      <c r="CI18" s="236"/>
      <c r="CJ18" s="232"/>
      <c r="CK18" s="238"/>
      <c r="CL18" s="229"/>
      <c r="CM18" s="236"/>
      <c r="CN18" s="232"/>
      <c r="CO18" s="238" t="s">
        <v>1734</v>
      </c>
      <c r="CP18" s="229"/>
      <c r="CQ18" s="236">
        <v>1330</v>
      </c>
      <c r="CR18" s="232">
        <v>1547.63</v>
      </c>
      <c r="CS18" s="238"/>
      <c r="CT18" s="229"/>
      <c r="CU18" s="236"/>
      <c r="CV18" s="232"/>
      <c r="CW18" s="238"/>
      <c r="CX18" s="229"/>
      <c r="CY18" s="236"/>
      <c r="CZ18" s="232"/>
      <c r="DA18" s="238"/>
      <c r="DB18" s="229"/>
      <c r="DC18" s="236"/>
      <c r="DD18" s="232"/>
      <c r="DE18" s="238"/>
      <c r="DF18" s="229"/>
      <c r="DG18" s="236"/>
      <c r="DH18" s="232"/>
      <c r="DI18" s="238" t="s">
        <v>1755</v>
      </c>
      <c r="DJ18" s="229"/>
      <c r="DK18" s="236">
        <v>1382</v>
      </c>
      <c r="DL18" s="232">
        <v>1978.91</v>
      </c>
      <c r="DM18" s="238"/>
      <c r="DN18" s="229"/>
      <c r="DO18" s="236"/>
      <c r="DP18" s="232"/>
      <c r="DQ18" s="238"/>
      <c r="DR18" s="229"/>
      <c r="DS18" s="236"/>
      <c r="DT18" s="232"/>
      <c r="DU18" s="223"/>
      <c r="DV18" s="129"/>
      <c r="DW18" s="120"/>
      <c r="DX18" s="126"/>
      <c r="DY18" s="128" t="s">
        <v>1736</v>
      </c>
      <c r="DZ18" s="129"/>
      <c r="EA18" s="120">
        <f>141+357</f>
        <v>498</v>
      </c>
      <c r="EB18" s="126">
        <v>822.32</v>
      </c>
      <c r="EC18" s="128"/>
      <c r="ED18" s="129"/>
      <c r="EE18" s="120"/>
      <c r="EF18" s="126"/>
      <c r="EG18" s="128"/>
      <c r="EH18" s="129"/>
      <c r="EI18" s="120"/>
      <c r="EJ18" s="126"/>
      <c r="EK18" s="128"/>
      <c r="EL18" s="129"/>
      <c r="EM18" s="120"/>
      <c r="EN18" s="126"/>
      <c r="EO18" s="128" t="s">
        <v>1756</v>
      </c>
      <c r="EP18" s="129"/>
      <c r="EQ18" s="120">
        <v>0</v>
      </c>
      <c r="ER18" s="126">
        <v>98.62</v>
      </c>
      <c r="ES18" s="128"/>
      <c r="ET18" s="129"/>
      <c r="EU18" s="120"/>
      <c r="EV18" s="126"/>
      <c r="EW18" s="128"/>
      <c r="EX18" s="129"/>
      <c r="EY18" s="120"/>
      <c r="EZ18" s="126"/>
      <c r="FA18" s="128"/>
      <c r="FB18" s="129"/>
      <c r="FC18" s="120"/>
      <c r="FD18" s="126"/>
      <c r="FE18" s="128" t="s">
        <v>1766</v>
      </c>
      <c r="FF18" s="129"/>
      <c r="FG18" s="120">
        <v>24</v>
      </c>
      <c r="FH18" s="126">
        <v>124.61</v>
      </c>
      <c r="FI18" s="128"/>
      <c r="FJ18" s="129"/>
      <c r="FK18" s="120"/>
      <c r="FL18" s="126"/>
      <c r="FM18" s="128"/>
      <c r="FN18" s="129"/>
      <c r="FO18" s="120"/>
      <c r="FP18" s="126"/>
      <c r="FQ18" s="128"/>
      <c r="FR18" s="129"/>
      <c r="FS18" s="120"/>
      <c r="FT18" s="126"/>
      <c r="FU18" s="128" t="s">
        <v>1739</v>
      </c>
      <c r="FV18" s="129"/>
      <c r="FW18" s="120">
        <f>372+335</f>
        <v>707</v>
      </c>
      <c r="FX18" s="126">
        <v>1087.83</v>
      </c>
      <c r="FY18" s="128"/>
      <c r="FZ18" s="129"/>
      <c r="GA18" s="120"/>
      <c r="GB18" s="126"/>
      <c r="GC18" s="128"/>
      <c r="GD18" s="129"/>
      <c r="GE18" s="120"/>
      <c r="GF18" s="126"/>
      <c r="GG18" s="128"/>
      <c r="GH18" s="129"/>
      <c r="GI18" s="120"/>
      <c r="GJ18" s="126"/>
      <c r="GK18" s="128"/>
      <c r="GL18" s="129"/>
      <c r="GM18" s="120"/>
      <c r="GN18" s="126"/>
      <c r="GO18" s="128" t="s">
        <v>1767</v>
      </c>
      <c r="GP18" s="129"/>
      <c r="GQ18" s="120">
        <f>679+584</f>
        <v>1263</v>
      </c>
      <c r="GR18" s="126">
        <v>1882.37</v>
      </c>
      <c r="GS18" s="128"/>
      <c r="GT18" s="129"/>
      <c r="GU18" s="120"/>
      <c r="GV18" s="126"/>
      <c r="GW18" s="128"/>
      <c r="GX18" s="129"/>
      <c r="GY18" s="120"/>
      <c r="GZ18" s="126"/>
      <c r="HA18" s="128"/>
      <c r="HB18" s="129"/>
      <c r="HC18" s="120"/>
      <c r="HD18" s="126"/>
      <c r="HE18" s="128" t="s">
        <v>1741</v>
      </c>
      <c r="HF18" s="129"/>
      <c r="HG18" s="120">
        <f>603+679</f>
        <v>1282</v>
      </c>
      <c r="HH18" s="126">
        <v>2504.81</v>
      </c>
      <c r="HI18" s="128"/>
      <c r="HJ18" s="129"/>
      <c r="HK18" s="120"/>
      <c r="HL18" s="126"/>
      <c r="HN18" s="234">
        <f t="shared" si="0"/>
        <v>3774</v>
      </c>
      <c r="HP18" s="234">
        <v>2790</v>
      </c>
      <c r="HS18" s="234">
        <f t="shared" si="1"/>
        <v>6520.5599999999995</v>
      </c>
      <c r="HT18" s="225"/>
      <c r="HU18" s="234">
        <f t="shared" si="2"/>
        <v>984</v>
      </c>
      <c r="HV18" s="225"/>
      <c r="HW18" s="225"/>
    </row>
    <row r="19" spans="1:231" ht="51" x14ac:dyDescent="0.2">
      <c r="A19" s="632" t="s">
        <v>1768</v>
      </c>
      <c r="B19" s="634" t="s">
        <v>1328</v>
      </c>
      <c r="C19" s="636" t="s">
        <v>1769</v>
      </c>
      <c r="D19" s="638" t="s">
        <v>1770</v>
      </c>
      <c r="E19" s="237"/>
      <c r="F19" s="229"/>
      <c r="G19" s="236"/>
      <c r="H19" s="232"/>
      <c r="I19" s="237"/>
      <c r="J19" s="229"/>
      <c r="K19" s="236"/>
      <c r="L19" s="232"/>
      <c r="M19" s="237"/>
      <c r="N19" s="229"/>
      <c r="O19" s="236"/>
      <c r="P19" s="232"/>
      <c r="Q19" s="237"/>
      <c r="R19" s="229"/>
      <c r="S19" s="236"/>
      <c r="T19" s="232"/>
      <c r="U19" s="237"/>
      <c r="V19" s="229"/>
      <c r="W19" s="236"/>
      <c r="X19" s="232"/>
      <c r="Y19" s="237"/>
      <c r="Z19" s="229"/>
      <c r="AA19" s="236"/>
      <c r="AB19" s="232"/>
      <c r="AC19" s="237"/>
      <c r="AD19" s="229"/>
      <c r="AE19" s="236"/>
      <c r="AF19" s="232"/>
      <c r="AG19" s="238"/>
      <c r="AH19" s="229"/>
      <c r="AI19" s="236"/>
      <c r="AJ19" s="232"/>
      <c r="AK19" s="238"/>
      <c r="AL19" s="229"/>
      <c r="AM19" s="236"/>
      <c r="AN19" s="232"/>
      <c r="AO19" s="238"/>
      <c r="AP19" s="229"/>
      <c r="AQ19" s="236"/>
      <c r="AR19" s="232"/>
      <c r="AS19" s="238"/>
      <c r="AT19" s="229"/>
      <c r="AU19" s="236"/>
      <c r="AV19" s="232"/>
      <c r="AW19" s="238"/>
      <c r="AX19" s="229"/>
      <c r="AY19" s="236"/>
      <c r="AZ19" s="232"/>
      <c r="BA19" s="238"/>
      <c r="BB19" s="229"/>
      <c r="BC19" s="236"/>
      <c r="BD19" s="232"/>
      <c r="BE19" s="238"/>
      <c r="BF19" s="229"/>
      <c r="BG19" s="236"/>
      <c r="BH19" s="232"/>
      <c r="BI19" s="238"/>
      <c r="BJ19" s="229"/>
      <c r="BK19" s="236"/>
      <c r="BL19" s="232"/>
      <c r="BM19" s="238" t="s">
        <v>1771</v>
      </c>
      <c r="BN19" s="229"/>
      <c r="BO19" s="236">
        <v>7369</v>
      </c>
      <c r="BP19" s="232">
        <v>836.66</v>
      </c>
      <c r="BQ19" s="240" t="s">
        <v>1724</v>
      </c>
      <c r="BR19" s="229"/>
      <c r="BS19" s="236">
        <v>2273</v>
      </c>
      <c r="BT19" s="232">
        <v>-3387.85</v>
      </c>
      <c r="BU19" s="238" t="s">
        <v>1772</v>
      </c>
      <c r="BV19" s="229"/>
      <c r="BW19" s="236">
        <v>153220</v>
      </c>
      <c r="BX19" s="232">
        <v>19278.96</v>
      </c>
      <c r="BY19" s="233"/>
      <c r="BZ19" s="231"/>
      <c r="CA19" s="231"/>
      <c r="CB19" s="232"/>
      <c r="CC19" s="233"/>
      <c r="CD19" s="231"/>
      <c r="CE19" s="231"/>
      <c r="CF19" s="232"/>
      <c r="CG19" s="238"/>
      <c r="CH19" s="229"/>
      <c r="CI19" s="236"/>
      <c r="CJ19" s="232"/>
      <c r="CK19" s="238"/>
      <c r="CL19" s="229"/>
      <c r="CM19" s="236"/>
      <c r="CN19" s="232"/>
      <c r="CO19" s="238"/>
      <c r="CP19" s="229"/>
      <c r="CQ19" s="236"/>
      <c r="CR19" s="232"/>
      <c r="CS19" s="238"/>
      <c r="CT19" s="229"/>
      <c r="CU19" s="236"/>
      <c r="CV19" s="232"/>
      <c r="CW19" s="238"/>
      <c r="CX19" s="229"/>
      <c r="CY19" s="236"/>
      <c r="CZ19" s="232"/>
      <c r="DA19" s="238"/>
      <c r="DB19" s="229"/>
      <c r="DC19" s="236"/>
      <c r="DD19" s="232"/>
      <c r="DE19" s="238"/>
      <c r="DF19" s="229"/>
      <c r="DG19" s="236"/>
      <c r="DH19" s="232"/>
      <c r="DI19" s="238" t="s">
        <v>1724</v>
      </c>
      <c r="DJ19" s="229"/>
      <c r="DK19" s="236">
        <v>2273</v>
      </c>
      <c r="DL19" s="232">
        <v>3387.85</v>
      </c>
      <c r="DM19" s="238"/>
      <c r="DN19" s="229"/>
      <c r="DO19" s="236"/>
      <c r="DP19" s="232"/>
      <c r="DQ19" s="238"/>
      <c r="DR19" s="229"/>
      <c r="DS19" s="236"/>
      <c r="DT19" s="232"/>
      <c r="DU19" s="223"/>
      <c r="DV19" s="129"/>
      <c r="DW19" s="120"/>
      <c r="DX19" s="126"/>
      <c r="DY19" s="128" t="s">
        <v>1773</v>
      </c>
      <c r="DZ19" s="129"/>
      <c r="EA19" s="120">
        <v>1036</v>
      </c>
      <c r="EB19" s="126">
        <v>1820.07</v>
      </c>
      <c r="EC19" s="128"/>
      <c r="ED19" s="129"/>
      <c r="EE19" s="120"/>
      <c r="EF19" s="126"/>
      <c r="EG19" s="128" t="s">
        <v>1774</v>
      </c>
      <c r="EH19" s="129"/>
      <c r="EI19" s="120">
        <v>3905</v>
      </c>
      <c r="EJ19" s="126">
        <v>4807.97</v>
      </c>
      <c r="EK19" s="128"/>
      <c r="EL19" s="129"/>
      <c r="EM19" s="120"/>
      <c r="EN19" s="126"/>
      <c r="EO19" s="128"/>
      <c r="EP19" s="129"/>
      <c r="EQ19" s="120"/>
      <c r="ER19" s="126"/>
      <c r="ES19" s="128"/>
      <c r="ET19" s="129"/>
      <c r="EU19" s="120"/>
      <c r="EV19" s="126"/>
      <c r="EW19" s="128"/>
      <c r="EX19" s="129"/>
      <c r="EY19" s="120"/>
      <c r="EZ19" s="126"/>
      <c r="FA19" s="128"/>
      <c r="FB19" s="129"/>
      <c r="FC19" s="120"/>
      <c r="FD19" s="126"/>
      <c r="FE19" s="128" t="s">
        <v>1727</v>
      </c>
      <c r="FF19" s="129"/>
      <c r="FG19" s="120">
        <v>257</v>
      </c>
      <c r="FH19" s="126">
        <v>783.19</v>
      </c>
      <c r="FI19" s="128"/>
      <c r="FJ19" s="129"/>
      <c r="FK19" s="120"/>
      <c r="FL19" s="126"/>
      <c r="FM19" s="128"/>
      <c r="FN19" s="129"/>
      <c r="FO19" s="120"/>
      <c r="FP19" s="126"/>
      <c r="FQ19" s="128"/>
      <c r="FR19" s="129"/>
      <c r="FS19" s="120"/>
      <c r="FT19" s="126"/>
      <c r="FU19" s="128" t="s">
        <v>1775</v>
      </c>
      <c r="FV19" s="129"/>
      <c r="FW19" s="120">
        <v>672</v>
      </c>
      <c r="FX19" s="126">
        <v>1264.05</v>
      </c>
      <c r="FY19" s="128"/>
      <c r="FZ19" s="129"/>
      <c r="GA19" s="120"/>
      <c r="GB19" s="126"/>
      <c r="GC19" s="128" t="s">
        <v>1776</v>
      </c>
      <c r="GD19" s="129"/>
      <c r="GE19" s="120">
        <v>5656</v>
      </c>
      <c r="GF19" s="239">
        <f>-765.92</f>
        <v>-765.92</v>
      </c>
      <c r="GG19" s="128"/>
      <c r="GH19" s="129"/>
      <c r="GI19" s="120"/>
      <c r="GJ19" s="126"/>
      <c r="GK19" s="128"/>
      <c r="GL19" s="129"/>
      <c r="GM19" s="120"/>
      <c r="GN19" s="126"/>
      <c r="GO19" s="128"/>
      <c r="GP19" s="129"/>
      <c r="GQ19" s="120"/>
      <c r="GR19" s="126"/>
      <c r="GS19" s="128"/>
      <c r="GT19" s="129"/>
      <c r="GU19" s="120"/>
      <c r="GV19" s="126"/>
      <c r="GW19" s="128"/>
      <c r="GX19" s="129"/>
      <c r="GY19" s="120"/>
      <c r="GZ19" s="126"/>
      <c r="HA19" s="128"/>
      <c r="HB19" s="129"/>
      <c r="HC19" s="120"/>
      <c r="HD19" s="126"/>
      <c r="HE19" s="128" t="s">
        <v>1777</v>
      </c>
      <c r="HF19" s="129"/>
      <c r="HG19" s="120">
        <v>4792</v>
      </c>
      <c r="HH19" s="126">
        <v>8932.39</v>
      </c>
      <c r="HI19" s="128"/>
      <c r="HJ19" s="129"/>
      <c r="HK19" s="120"/>
      <c r="HL19" s="126"/>
      <c r="HN19" s="234">
        <f t="shared" si="0"/>
        <v>16318</v>
      </c>
      <c r="HP19" s="234">
        <v>12309</v>
      </c>
      <c r="HS19" s="234">
        <f t="shared" si="1"/>
        <v>16841.75</v>
      </c>
      <c r="HT19" s="225"/>
      <c r="HU19" s="234">
        <f t="shared" si="2"/>
        <v>4009</v>
      </c>
      <c r="HV19" s="225"/>
      <c r="HW19" s="225"/>
    </row>
    <row r="20" spans="1:231" ht="25.5" x14ac:dyDescent="0.2">
      <c r="A20" s="633"/>
      <c r="B20" s="635"/>
      <c r="C20" s="637"/>
      <c r="D20" s="639"/>
      <c r="E20" s="237"/>
      <c r="F20" s="229"/>
      <c r="G20" s="236"/>
      <c r="H20" s="232"/>
      <c r="I20" s="237"/>
      <c r="J20" s="229"/>
      <c r="K20" s="236"/>
      <c r="L20" s="232"/>
      <c r="M20" s="237"/>
      <c r="N20" s="229"/>
      <c r="O20" s="236"/>
      <c r="P20" s="232"/>
      <c r="Q20" s="237"/>
      <c r="R20" s="229"/>
      <c r="S20" s="236"/>
      <c r="T20" s="232"/>
      <c r="U20" s="237"/>
      <c r="V20" s="229"/>
      <c r="W20" s="236"/>
      <c r="X20" s="232"/>
      <c r="Y20" s="237"/>
      <c r="Z20" s="229"/>
      <c r="AA20" s="236"/>
      <c r="AB20" s="232"/>
      <c r="AC20" s="237"/>
      <c r="AD20" s="229"/>
      <c r="AE20" s="236"/>
      <c r="AF20" s="232"/>
      <c r="AG20" s="238"/>
      <c r="AH20" s="229"/>
      <c r="AI20" s="236"/>
      <c r="AJ20" s="232"/>
      <c r="AK20" s="238"/>
      <c r="AL20" s="229"/>
      <c r="AM20" s="236"/>
      <c r="AN20" s="232"/>
      <c r="AO20" s="238"/>
      <c r="AP20" s="229"/>
      <c r="AQ20" s="236"/>
      <c r="AR20" s="232"/>
      <c r="AS20" s="238"/>
      <c r="AT20" s="229"/>
      <c r="AU20" s="236"/>
      <c r="AV20" s="232"/>
      <c r="AW20" s="238"/>
      <c r="AX20" s="229"/>
      <c r="AY20" s="236"/>
      <c r="AZ20" s="232"/>
      <c r="BA20" s="238"/>
      <c r="BB20" s="229"/>
      <c r="BC20" s="236"/>
      <c r="BD20" s="232"/>
      <c r="BE20" s="238"/>
      <c r="BF20" s="229"/>
      <c r="BG20" s="236"/>
      <c r="BH20" s="232"/>
      <c r="BI20" s="238"/>
      <c r="BJ20" s="229"/>
      <c r="BK20" s="236"/>
      <c r="BL20" s="232"/>
      <c r="BM20" s="238"/>
      <c r="BN20" s="229"/>
      <c r="BO20" s="236"/>
      <c r="BP20" s="232"/>
      <c r="BQ20" s="240" t="s">
        <v>1778</v>
      </c>
      <c r="BR20" s="229"/>
      <c r="BS20" s="236">
        <v>1036</v>
      </c>
      <c r="BT20" s="232">
        <v>-1820.07</v>
      </c>
      <c r="BU20" s="238"/>
      <c r="BV20" s="229"/>
      <c r="BW20" s="236"/>
      <c r="BX20" s="232"/>
      <c r="BY20" s="233"/>
      <c r="BZ20" s="231"/>
      <c r="CA20" s="231"/>
      <c r="CB20" s="232"/>
      <c r="CC20" s="233"/>
      <c r="CD20" s="231"/>
      <c r="CE20" s="231"/>
      <c r="CF20" s="232"/>
      <c r="CG20" s="238"/>
      <c r="CH20" s="229"/>
      <c r="CI20" s="236"/>
      <c r="CJ20" s="232"/>
      <c r="CK20" s="238"/>
      <c r="CL20" s="229"/>
      <c r="CM20" s="236"/>
      <c r="CN20" s="232"/>
      <c r="CO20" s="238"/>
      <c r="CP20" s="229"/>
      <c r="CQ20" s="236"/>
      <c r="CR20" s="232"/>
      <c r="CS20" s="238"/>
      <c r="CT20" s="229"/>
      <c r="CU20" s="236"/>
      <c r="CV20" s="232"/>
      <c r="CW20" s="238"/>
      <c r="CX20" s="229"/>
      <c r="CY20" s="236"/>
      <c r="CZ20" s="232"/>
      <c r="DA20" s="238"/>
      <c r="DB20" s="229"/>
      <c r="DC20" s="236"/>
      <c r="DD20" s="232"/>
      <c r="DE20" s="238"/>
      <c r="DF20" s="229"/>
      <c r="DG20" s="236"/>
      <c r="DH20" s="232"/>
      <c r="DI20" s="238"/>
      <c r="DJ20" s="229"/>
      <c r="DK20" s="236"/>
      <c r="DL20" s="232"/>
      <c r="DM20" s="238"/>
      <c r="DN20" s="229"/>
      <c r="DO20" s="236"/>
      <c r="DP20" s="232"/>
      <c r="DQ20" s="238"/>
      <c r="DR20" s="229"/>
      <c r="DS20" s="236"/>
      <c r="DT20" s="232"/>
      <c r="DU20" s="223"/>
      <c r="DV20" s="129"/>
      <c r="DW20" s="120"/>
      <c r="DX20" s="126"/>
      <c r="DY20" s="128"/>
      <c r="DZ20" s="129"/>
      <c r="EA20" s="120"/>
      <c r="EB20" s="126"/>
      <c r="EC20" s="128"/>
      <c r="ED20" s="129"/>
      <c r="EE20" s="120"/>
      <c r="EF20" s="126"/>
      <c r="EG20" s="128"/>
      <c r="EH20" s="129"/>
      <c r="EI20" s="120"/>
      <c r="EJ20" s="126"/>
      <c r="EK20" s="128"/>
      <c r="EL20" s="129"/>
      <c r="EM20" s="120"/>
      <c r="EN20" s="126"/>
      <c r="EO20" s="128"/>
      <c r="EP20" s="129"/>
      <c r="EQ20" s="120"/>
      <c r="ER20" s="126"/>
      <c r="ES20" s="128"/>
      <c r="ET20" s="129"/>
      <c r="EU20" s="120"/>
      <c r="EV20" s="126"/>
      <c r="EW20" s="128"/>
      <c r="EX20" s="129"/>
      <c r="EY20" s="120"/>
      <c r="EZ20" s="126"/>
      <c r="FA20" s="128"/>
      <c r="FB20" s="129"/>
      <c r="FC20" s="120"/>
      <c r="FD20" s="126"/>
      <c r="FE20" s="128"/>
      <c r="FF20" s="129"/>
      <c r="FG20" s="120"/>
      <c r="FH20" s="126"/>
      <c r="FI20" s="128"/>
      <c r="FJ20" s="129"/>
      <c r="FK20" s="120"/>
      <c r="FL20" s="126"/>
      <c r="FM20" s="128"/>
      <c r="FN20" s="129"/>
      <c r="FO20" s="120"/>
      <c r="FP20" s="126"/>
      <c r="FQ20" s="128"/>
      <c r="FR20" s="129"/>
      <c r="FS20" s="120"/>
      <c r="FT20" s="126"/>
      <c r="FU20" s="128"/>
      <c r="FV20" s="129"/>
      <c r="FW20" s="120"/>
      <c r="FX20" s="126"/>
      <c r="FY20" s="128"/>
      <c r="FZ20" s="129"/>
      <c r="GA20" s="120"/>
      <c r="GB20" s="126"/>
      <c r="GC20" s="128"/>
      <c r="GD20" s="129"/>
      <c r="GE20" s="120"/>
      <c r="GF20" s="239"/>
      <c r="GG20" s="128"/>
      <c r="GH20" s="129"/>
      <c r="GI20" s="120"/>
      <c r="GJ20" s="126"/>
      <c r="GK20" s="128"/>
      <c r="GL20" s="129"/>
      <c r="GM20" s="120"/>
      <c r="GN20" s="126"/>
      <c r="GO20" s="128"/>
      <c r="GP20" s="129"/>
      <c r="GQ20" s="120"/>
      <c r="GR20" s="126"/>
      <c r="GS20" s="128"/>
      <c r="GT20" s="129"/>
      <c r="GU20" s="120"/>
      <c r="GV20" s="126"/>
      <c r="GW20" s="128"/>
      <c r="GX20" s="129"/>
      <c r="GY20" s="120"/>
      <c r="GZ20" s="126"/>
      <c r="HA20" s="128"/>
      <c r="HB20" s="129"/>
      <c r="HC20" s="120"/>
      <c r="HD20" s="126"/>
      <c r="HE20" s="128"/>
      <c r="HF20" s="129"/>
      <c r="HG20" s="120"/>
      <c r="HH20" s="126"/>
      <c r="HI20" s="128"/>
      <c r="HJ20" s="129"/>
      <c r="HK20" s="120"/>
      <c r="HL20" s="126"/>
      <c r="HN20" s="234"/>
      <c r="HP20" s="234"/>
      <c r="HS20" s="234"/>
      <c r="HT20" s="225"/>
      <c r="HU20" s="234"/>
      <c r="HV20" s="225"/>
      <c r="HW20" s="225"/>
    </row>
    <row r="21" spans="1:231" ht="60" x14ac:dyDescent="0.25">
      <c r="A21" s="241" t="s">
        <v>1779</v>
      </c>
      <c r="B21" s="242" t="s">
        <v>1328</v>
      </c>
      <c r="C21" s="243" t="s">
        <v>1780</v>
      </c>
      <c r="D21" s="244" t="s">
        <v>1781</v>
      </c>
      <c r="E21" s="245"/>
      <c r="F21" s="243"/>
      <c r="G21" s="246"/>
      <c r="H21" s="247"/>
      <c r="I21" s="245"/>
      <c r="J21" s="243"/>
      <c r="K21" s="246"/>
      <c r="L21" s="247"/>
      <c r="M21" s="245"/>
      <c r="N21" s="243"/>
      <c r="O21" s="246"/>
      <c r="P21" s="247"/>
      <c r="Q21" s="245"/>
      <c r="R21" s="243"/>
      <c r="S21" s="246"/>
      <c r="T21" s="247"/>
      <c r="U21" s="245"/>
      <c r="V21" s="243"/>
      <c r="W21" s="246"/>
      <c r="X21" s="247"/>
      <c r="Y21" s="245"/>
      <c r="Z21" s="243"/>
      <c r="AA21" s="246"/>
      <c r="AB21" s="247"/>
      <c r="AC21" s="245"/>
      <c r="AD21" s="243"/>
      <c r="AE21" s="246"/>
      <c r="AF21" s="247"/>
      <c r="AG21" s="248"/>
      <c r="AH21" s="243"/>
      <c r="AI21" s="246"/>
      <c r="AJ21" s="247"/>
      <c r="AK21" s="248"/>
      <c r="AL21" s="243"/>
      <c r="AM21" s="246"/>
      <c r="AN21" s="247"/>
      <c r="AO21" s="248"/>
      <c r="AP21" s="243"/>
      <c r="AQ21" s="246"/>
      <c r="AR21" s="247"/>
      <c r="AS21" s="248"/>
      <c r="AT21" s="243"/>
      <c r="AU21" s="246"/>
      <c r="AV21" s="247"/>
      <c r="AW21" s="248"/>
      <c r="AX21" s="243"/>
      <c r="AY21" s="246"/>
      <c r="AZ21" s="247"/>
      <c r="BA21" s="248"/>
      <c r="BB21" s="243"/>
      <c r="BC21" s="246"/>
      <c r="BD21" s="247"/>
      <c r="BE21" s="248"/>
      <c r="BF21" s="243"/>
      <c r="BG21" s="246"/>
      <c r="BH21" s="247"/>
      <c r="BI21" s="248"/>
      <c r="BJ21" s="243"/>
      <c r="BK21" s="246"/>
      <c r="BL21" s="247"/>
      <c r="BM21" s="248" t="s">
        <v>1760</v>
      </c>
      <c r="BN21" s="243"/>
      <c r="BO21" s="246">
        <v>357</v>
      </c>
      <c r="BP21" s="247">
        <v>65.64</v>
      </c>
      <c r="BQ21" s="248"/>
      <c r="BR21" s="243"/>
      <c r="BS21" s="246"/>
      <c r="BT21" s="247"/>
      <c r="BU21" s="248"/>
      <c r="BV21" s="243"/>
      <c r="BW21" s="246"/>
      <c r="BX21" s="247"/>
      <c r="BY21" s="249"/>
      <c r="BZ21" s="250"/>
      <c r="CA21" s="250"/>
      <c r="CB21" s="247"/>
      <c r="CC21" s="249"/>
      <c r="CD21" s="250"/>
      <c r="CE21" s="250"/>
      <c r="CF21" s="247"/>
      <c r="CG21" s="248"/>
      <c r="CH21" s="243"/>
      <c r="CI21" s="246"/>
      <c r="CJ21" s="247"/>
      <c r="CK21" s="248"/>
      <c r="CL21" s="243"/>
      <c r="CM21" s="246"/>
      <c r="CN21" s="247"/>
      <c r="CO21" s="248" t="s">
        <v>1761</v>
      </c>
      <c r="CP21" s="243"/>
      <c r="CQ21" s="246">
        <v>156</v>
      </c>
      <c r="CR21" s="247">
        <v>123.64</v>
      </c>
      <c r="CS21" s="248"/>
      <c r="CT21" s="243"/>
      <c r="CU21" s="246"/>
      <c r="CV21" s="247"/>
      <c r="CW21" s="248"/>
      <c r="CX21" s="243"/>
      <c r="CY21" s="246"/>
      <c r="CZ21" s="247"/>
      <c r="DA21" s="248"/>
      <c r="DB21" s="243"/>
      <c r="DC21" s="246"/>
      <c r="DD21" s="247"/>
      <c r="DE21" s="248"/>
      <c r="DF21" s="243"/>
      <c r="DG21" s="246"/>
      <c r="DH21" s="247"/>
      <c r="DI21" s="248" t="s">
        <v>1762</v>
      </c>
      <c r="DJ21" s="243"/>
      <c r="DK21" s="246">
        <v>54</v>
      </c>
      <c r="DL21" s="247">
        <v>113.54</v>
      </c>
      <c r="DM21" s="248"/>
      <c r="DN21" s="243"/>
      <c r="DO21" s="246"/>
      <c r="DP21" s="247"/>
      <c r="DQ21" s="248"/>
      <c r="DR21" s="243"/>
      <c r="DS21" s="246"/>
      <c r="DT21" s="247"/>
      <c r="DU21" s="251"/>
      <c r="DV21" s="252"/>
      <c r="DW21" s="253"/>
      <c r="DX21" s="254"/>
      <c r="DY21" s="255" t="s">
        <v>1747</v>
      </c>
      <c r="DZ21" s="252"/>
      <c r="EA21" s="253">
        <v>36</v>
      </c>
      <c r="EB21" s="254">
        <v>82.23</v>
      </c>
      <c r="EC21" s="255"/>
      <c r="ED21" s="252"/>
      <c r="EE21" s="253"/>
      <c r="EF21" s="254"/>
      <c r="EG21" s="255"/>
      <c r="EH21" s="252"/>
      <c r="EI21" s="253"/>
      <c r="EJ21" s="254"/>
      <c r="EK21" s="255"/>
      <c r="EL21" s="252"/>
      <c r="EM21" s="253"/>
      <c r="EN21" s="254"/>
      <c r="EO21" s="255" t="s">
        <v>1748</v>
      </c>
      <c r="EP21" s="252"/>
      <c r="EQ21" s="253">
        <v>112</v>
      </c>
      <c r="ER21" s="254">
        <v>115.28</v>
      </c>
      <c r="ES21" s="255"/>
      <c r="ET21" s="252"/>
      <c r="EU21" s="253"/>
      <c r="EV21" s="254"/>
      <c r="EW21" s="255"/>
      <c r="EX21" s="252"/>
      <c r="EY21" s="253"/>
      <c r="EZ21" s="254"/>
      <c r="FA21" s="255"/>
      <c r="FB21" s="252"/>
      <c r="FC21" s="253"/>
      <c r="FD21" s="254"/>
      <c r="FE21" s="255" t="s">
        <v>1749</v>
      </c>
      <c r="FF21" s="252"/>
      <c r="FG21" s="253">
        <v>36</v>
      </c>
      <c r="FH21" s="254">
        <v>85.5</v>
      </c>
      <c r="FI21" s="255"/>
      <c r="FJ21" s="252"/>
      <c r="FK21" s="253"/>
      <c r="FL21" s="254"/>
      <c r="FM21" s="255"/>
      <c r="FN21" s="252"/>
      <c r="FO21" s="253"/>
      <c r="FP21" s="254"/>
      <c r="FQ21" s="255"/>
      <c r="FR21" s="252"/>
      <c r="FS21" s="253"/>
      <c r="FT21" s="254"/>
      <c r="FU21" s="255" t="s">
        <v>1750</v>
      </c>
      <c r="FV21" s="252"/>
      <c r="FW21" s="253">
        <v>32</v>
      </c>
      <c r="FX21" s="254">
        <v>69.39</v>
      </c>
      <c r="FY21" s="255"/>
      <c r="FZ21" s="252"/>
      <c r="GA21" s="253"/>
      <c r="GB21" s="254"/>
      <c r="GC21" s="255"/>
      <c r="GD21" s="252"/>
      <c r="GE21" s="253"/>
      <c r="GF21" s="254"/>
      <c r="GG21" s="255"/>
      <c r="GH21" s="252"/>
      <c r="GI21" s="253"/>
      <c r="GJ21" s="254"/>
      <c r="GK21" s="255"/>
      <c r="GL21" s="252"/>
      <c r="GM21" s="253"/>
      <c r="GN21" s="254"/>
      <c r="GO21" s="255" t="s">
        <v>1751</v>
      </c>
      <c r="GP21" s="252"/>
      <c r="GQ21" s="253">
        <v>157</v>
      </c>
      <c r="GR21" s="254">
        <v>144.25</v>
      </c>
      <c r="GS21" s="255"/>
      <c r="GT21" s="252"/>
      <c r="GU21" s="253"/>
      <c r="GV21" s="254"/>
      <c r="GW21" s="255"/>
      <c r="GX21" s="252"/>
      <c r="GY21" s="253"/>
      <c r="GZ21" s="254"/>
      <c r="HA21" s="255"/>
      <c r="HB21" s="252"/>
      <c r="HC21" s="253"/>
      <c r="HD21" s="254"/>
      <c r="HE21" s="255" t="s">
        <v>1752</v>
      </c>
      <c r="HF21" s="252"/>
      <c r="HG21" s="253">
        <v>53</v>
      </c>
      <c r="HH21" s="254">
        <v>132.96</v>
      </c>
      <c r="HI21" s="255"/>
      <c r="HJ21" s="252"/>
      <c r="HK21" s="253"/>
      <c r="HL21" s="254"/>
      <c r="HM21" s="256"/>
      <c r="HN21" s="257">
        <f t="shared" si="0"/>
        <v>426</v>
      </c>
      <c r="HO21" s="256"/>
      <c r="HP21" s="257">
        <v>1165</v>
      </c>
      <c r="HQ21" s="256"/>
      <c r="HR21" s="256"/>
      <c r="HS21" s="257">
        <f t="shared" si="1"/>
        <v>629.61</v>
      </c>
      <c r="HT21" s="258"/>
      <c r="HU21" s="259">
        <f t="shared" si="2"/>
        <v>-739</v>
      </c>
      <c r="HV21" s="258"/>
      <c r="HW21" s="258"/>
    </row>
    <row r="22" spans="1:231" ht="51.75" thickBot="1" x14ac:dyDescent="0.25">
      <c r="A22" s="260" t="s">
        <v>1782</v>
      </c>
      <c r="B22" s="261" t="s">
        <v>1328</v>
      </c>
      <c r="C22" s="262" t="s">
        <v>1783</v>
      </c>
      <c r="D22" s="263" t="s">
        <v>1784</v>
      </c>
      <c r="E22" s="264"/>
      <c r="F22" s="265"/>
      <c r="G22" s="266"/>
      <c r="H22" s="267"/>
      <c r="I22" s="264"/>
      <c r="J22" s="265"/>
      <c r="K22" s="266"/>
      <c r="L22" s="267"/>
      <c r="M22" s="264"/>
      <c r="N22" s="265"/>
      <c r="O22" s="266"/>
      <c r="P22" s="267"/>
      <c r="Q22" s="264"/>
      <c r="R22" s="265"/>
      <c r="S22" s="266"/>
      <c r="T22" s="267"/>
      <c r="U22" s="264"/>
      <c r="V22" s="265"/>
      <c r="W22" s="266"/>
      <c r="X22" s="267"/>
      <c r="Y22" s="264"/>
      <c r="Z22" s="265"/>
      <c r="AA22" s="266"/>
      <c r="AB22" s="267"/>
      <c r="AC22" s="264" t="s">
        <v>1785</v>
      </c>
      <c r="AD22" s="265" t="s">
        <v>1785</v>
      </c>
      <c r="AE22" s="266">
        <v>0</v>
      </c>
      <c r="AF22" s="267">
        <v>147.27000000000001</v>
      </c>
      <c r="AG22" s="268" t="s">
        <v>1416</v>
      </c>
      <c r="AH22" s="265" t="s">
        <v>1786</v>
      </c>
      <c r="AI22" s="266">
        <v>0</v>
      </c>
      <c r="AJ22" s="267">
        <v>146.15</v>
      </c>
      <c r="AK22" s="268" t="s">
        <v>1787</v>
      </c>
      <c r="AL22" s="265" t="s">
        <v>1788</v>
      </c>
      <c r="AM22" s="266">
        <v>0</v>
      </c>
      <c r="AN22" s="267">
        <v>146.15</v>
      </c>
      <c r="AO22" s="268"/>
      <c r="AP22" s="262"/>
      <c r="AQ22" s="266"/>
      <c r="AR22" s="267"/>
      <c r="AS22" s="268"/>
      <c r="AT22" s="262"/>
      <c r="AU22" s="266"/>
      <c r="AV22" s="267"/>
      <c r="AW22" s="268"/>
      <c r="AX22" s="262"/>
      <c r="AY22" s="266"/>
      <c r="AZ22" s="267"/>
      <c r="BA22" s="268"/>
      <c r="BB22" s="262"/>
      <c r="BC22" s="266"/>
      <c r="BD22" s="267"/>
      <c r="BE22" s="268"/>
      <c r="BF22" s="262"/>
      <c r="BG22" s="266"/>
      <c r="BH22" s="267"/>
      <c r="BI22" s="268"/>
      <c r="BJ22" s="262"/>
      <c r="BK22" s="266"/>
      <c r="BL22" s="267"/>
      <c r="BM22" s="268"/>
      <c r="BN22" s="262"/>
      <c r="BO22" s="266"/>
      <c r="BP22" s="267"/>
      <c r="BQ22" s="268"/>
      <c r="BR22" s="262"/>
      <c r="BS22" s="266"/>
      <c r="BT22" s="267"/>
      <c r="BU22" s="268"/>
      <c r="BV22" s="262"/>
      <c r="BW22" s="266"/>
      <c r="BX22" s="267"/>
      <c r="BY22" s="269"/>
      <c r="BZ22" s="270"/>
      <c r="CA22" s="270"/>
      <c r="CB22" s="267"/>
      <c r="CC22" s="269"/>
      <c r="CD22" s="270"/>
      <c r="CE22" s="270"/>
      <c r="CF22" s="267"/>
      <c r="CG22" s="268" t="s">
        <v>1789</v>
      </c>
      <c r="CH22" s="262"/>
      <c r="CI22" s="266">
        <v>3694</v>
      </c>
      <c r="CJ22" s="267">
        <v>586.08000000000004</v>
      </c>
      <c r="CK22" s="268"/>
      <c r="CL22" s="262"/>
      <c r="CM22" s="266"/>
      <c r="CN22" s="267"/>
      <c r="CO22" s="237" t="s">
        <v>1790</v>
      </c>
      <c r="CP22" s="229"/>
      <c r="CQ22" s="236">
        <v>856</v>
      </c>
      <c r="CR22" s="232">
        <v>1307.3900000000001</v>
      </c>
      <c r="CS22" s="268"/>
      <c r="CT22" s="262"/>
      <c r="CU22" s="266"/>
      <c r="CV22" s="267"/>
      <c r="CW22" s="268" t="s">
        <v>1791</v>
      </c>
      <c r="CX22" s="262"/>
      <c r="CY22" s="266">
        <v>16234</v>
      </c>
      <c r="CZ22" s="267">
        <v>1934.92</v>
      </c>
      <c r="DA22" s="268"/>
      <c r="DB22" s="262"/>
      <c r="DC22" s="266"/>
      <c r="DD22" s="267"/>
      <c r="DE22" s="268"/>
      <c r="DF22" s="262"/>
      <c r="DG22" s="266"/>
      <c r="DH22" s="267"/>
      <c r="DI22" s="268"/>
      <c r="DJ22" s="262"/>
      <c r="DK22" s="266"/>
      <c r="DL22" s="267"/>
      <c r="DM22" s="268"/>
      <c r="DN22" s="262"/>
      <c r="DO22" s="266"/>
      <c r="DP22" s="267"/>
      <c r="DQ22" s="268" t="s">
        <v>1792</v>
      </c>
      <c r="DR22" s="262"/>
      <c r="DS22" s="266">
        <v>2258</v>
      </c>
      <c r="DT22" s="267">
        <v>4447.21</v>
      </c>
      <c r="DU22" s="271"/>
      <c r="DV22" s="272"/>
      <c r="DW22" s="273"/>
      <c r="DX22" s="274"/>
      <c r="DY22" s="275" t="s">
        <v>1793</v>
      </c>
      <c r="DZ22" s="272"/>
      <c r="EA22" s="273">
        <v>1100</v>
      </c>
      <c r="EB22" s="274">
        <v>2345.7199999999998</v>
      </c>
      <c r="EC22" s="275"/>
      <c r="ED22" s="272"/>
      <c r="EE22" s="273"/>
      <c r="EF22" s="274"/>
      <c r="EG22" s="275" t="s">
        <v>1794</v>
      </c>
      <c r="EH22" s="272"/>
      <c r="EI22" s="273">
        <v>0</v>
      </c>
      <c r="EJ22" s="274">
        <v>96.79</v>
      </c>
      <c r="EK22" s="275"/>
      <c r="EL22" s="272"/>
      <c r="EM22" s="273"/>
      <c r="EN22" s="274"/>
      <c r="EO22" s="275"/>
      <c r="EP22" s="272"/>
      <c r="EQ22" s="273"/>
      <c r="ER22" s="274"/>
      <c r="ES22" s="275"/>
      <c r="ET22" s="272"/>
      <c r="EU22" s="273"/>
      <c r="EV22" s="274"/>
      <c r="EW22" s="275" t="s">
        <v>1795</v>
      </c>
      <c r="EX22" s="272"/>
      <c r="EY22" s="273">
        <v>0</v>
      </c>
      <c r="EZ22" s="274">
        <v>176.7</v>
      </c>
      <c r="FA22" s="275"/>
      <c r="FB22" s="272"/>
      <c r="FC22" s="273"/>
      <c r="FD22" s="274"/>
      <c r="FE22" s="275" t="s">
        <v>1796</v>
      </c>
      <c r="FF22" s="272"/>
      <c r="FG22" s="273">
        <v>0</v>
      </c>
      <c r="FH22" s="274">
        <v>176.7</v>
      </c>
      <c r="FI22" s="275"/>
      <c r="FJ22" s="272"/>
      <c r="FK22" s="273"/>
      <c r="FL22" s="274"/>
      <c r="FM22" s="275" t="s">
        <v>1797</v>
      </c>
      <c r="FN22" s="272"/>
      <c r="FO22" s="273">
        <v>96</v>
      </c>
      <c r="FP22" s="274">
        <v>263.89</v>
      </c>
      <c r="FQ22" s="275" t="s">
        <v>1798</v>
      </c>
      <c r="FR22" s="272"/>
      <c r="FS22" s="273">
        <v>1033</v>
      </c>
      <c r="FT22" s="274">
        <v>2107.14</v>
      </c>
      <c r="FU22" s="275"/>
      <c r="FV22" s="272"/>
      <c r="FW22" s="273"/>
      <c r="FX22" s="274"/>
      <c r="FY22" s="275"/>
      <c r="FZ22" s="272"/>
      <c r="GA22" s="273"/>
      <c r="GB22" s="274"/>
      <c r="GC22" s="275" t="s">
        <v>1799</v>
      </c>
      <c r="GD22" s="272"/>
      <c r="GE22" s="273">
        <v>343</v>
      </c>
      <c r="GF22" s="274">
        <v>876.26</v>
      </c>
      <c r="GG22" s="275"/>
      <c r="GH22" s="272"/>
      <c r="GI22" s="273"/>
      <c r="GJ22" s="274"/>
      <c r="GK22" s="275"/>
      <c r="GL22" s="272"/>
      <c r="GM22" s="273"/>
      <c r="GN22" s="274"/>
      <c r="GO22" s="275" t="s">
        <v>1800</v>
      </c>
      <c r="GP22" s="272"/>
      <c r="GQ22" s="273">
        <v>1357</v>
      </c>
      <c r="GR22" s="274">
        <v>2658.2</v>
      </c>
      <c r="GS22" s="275" t="s">
        <v>1801</v>
      </c>
      <c r="GT22" s="272"/>
      <c r="GU22" s="273">
        <v>1319</v>
      </c>
      <c r="GV22" s="274">
        <v>2707.78</v>
      </c>
      <c r="GW22" s="275"/>
      <c r="GX22" s="272"/>
      <c r="GY22" s="273"/>
      <c r="GZ22" s="274"/>
      <c r="HA22" s="275" t="s">
        <v>1802</v>
      </c>
      <c r="HB22" s="272"/>
      <c r="HC22" s="273">
        <v>928</v>
      </c>
      <c r="HD22" s="274">
        <v>2736.62</v>
      </c>
      <c r="HE22" s="275" t="s">
        <v>1803</v>
      </c>
      <c r="HF22" s="272"/>
      <c r="HG22" s="273">
        <f>977+1653</f>
        <v>2630</v>
      </c>
      <c r="HH22" s="274">
        <f>1941.63+4421.65</f>
        <v>6363.28</v>
      </c>
      <c r="HI22" s="275"/>
      <c r="HJ22" s="272"/>
      <c r="HK22" s="273"/>
      <c r="HL22" s="274"/>
      <c r="HN22" s="276">
        <f t="shared" si="0"/>
        <v>8806</v>
      </c>
      <c r="HP22" s="276">
        <v>5183</v>
      </c>
      <c r="HS22" s="276">
        <f t="shared" si="1"/>
        <v>20509.079999999998</v>
      </c>
      <c r="HT22" s="225"/>
      <c r="HU22" s="276">
        <f t="shared" si="2"/>
        <v>3623</v>
      </c>
      <c r="HV22" s="225"/>
      <c r="HW22" s="225"/>
    </row>
    <row r="23" spans="1:231" ht="26.25" thickBot="1" x14ac:dyDescent="0.25">
      <c r="A23" s="210"/>
      <c r="B23" s="277"/>
      <c r="C23" s="102"/>
      <c r="D23" s="278"/>
      <c r="E23" s="278"/>
      <c r="F23" s="278"/>
      <c r="G23" s="278"/>
      <c r="H23" s="278"/>
      <c r="I23" s="278"/>
      <c r="J23" s="278"/>
      <c r="K23" s="278"/>
      <c r="L23" s="278"/>
      <c r="M23" s="278"/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  <c r="AB23" s="278"/>
      <c r="AC23" s="278"/>
      <c r="AD23" s="278"/>
      <c r="AE23" s="278"/>
      <c r="AF23" s="278"/>
      <c r="AG23" s="278"/>
      <c r="AH23" s="278"/>
      <c r="AI23" s="278"/>
      <c r="AJ23" s="278"/>
      <c r="AK23" s="278"/>
      <c r="AL23" s="278"/>
      <c r="AM23" s="278"/>
      <c r="AN23" s="278"/>
      <c r="AO23" s="278"/>
      <c r="AP23" s="278"/>
      <c r="AQ23" s="278"/>
      <c r="AR23" s="278"/>
      <c r="AS23" s="278"/>
      <c r="AT23" s="278"/>
      <c r="AU23" s="278"/>
      <c r="AV23" s="278"/>
      <c r="AW23" s="278"/>
      <c r="AX23" s="278"/>
      <c r="AY23" s="278"/>
      <c r="AZ23" s="278"/>
      <c r="BA23" s="278"/>
      <c r="BB23" s="278"/>
      <c r="BC23" s="278"/>
      <c r="BD23" s="278"/>
      <c r="BE23" s="278"/>
      <c r="BF23" s="278"/>
      <c r="BG23" s="278"/>
      <c r="BH23" s="278"/>
      <c r="BI23" s="278"/>
      <c r="BJ23" s="278"/>
      <c r="BK23" s="278"/>
      <c r="BL23" s="278"/>
      <c r="BM23" s="278"/>
      <c r="BN23" s="278"/>
      <c r="BO23" s="278"/>
      <c r="BP23" s="278"/>
      <c r="BQ23" s="278"/>
      <c r="BR23" s="278"/>
      <c r="BS23" s="278"/>
      <c r="BT23" s="278"/>
      <c r="BU23" s="278"/>
      <c r="BV23" s="278"/>
      <c r="BW23" s="278"/>
      <c r="BX23" s="278"/>
      <c r="BY23" s="278"/>
      <c r="BZ23" s="278"/>
      <c r="CA23" s="278"/>
      <c r="CB23" s="278"/>
      <c r="CC23" s="278"/>
      <c r="CD23" s="278"/>
      <c r="CE23" s="278"/>
      <c r="CF23" s="278"/>
      <c r="CG23" s="278"/>
      <c r="CH23" s="278"/>
      <c r="CI23" s="278"/>
      <c r="CJ23" s="278"/>
      <c r="CK23" s="278"/>
      <c r="CL23" s="278"/>
      <c r="CM23" s="278"/>
      <c r="CN23" s="278"/>
      <c r="CO23" s="279" t="s">
        <v>1804</v>
      </c>
      <c r="CP23" s="280"/>
      <c r="CQ23" s="281">
        <v>3327</v>
      </c>
      <c r="CR23" s="282">
        <v>4949.8900000000003</v>
      </c>
      <c r="CS23" s="283"/>
      <c r="CT23" s="102"/>
      <c r="CU23" s="284"/>
      <c r="CV23" s="285"/>
      <c r="CW23" s="283"/>
      <c r="CX23" s="102"/>
      <c r="CY23" s="284"/>
      <c r="CZ23" s="285"/>
      <c r="DA23" s="283"/>
      <c r="DB23" s="102"/>
      <c r="DC23" s="284"/>
      <c r="DD23" s="285"/>
      <c r="DE23" s="283"/>
      <c r="DF23" s="102"/>
      <c r="DG23" s="284"/>
      <c r="DH23" s="285"/>
      <c r="DI23" s="283"/>
      <c r="DJ23" s="102"/>
      <c r="DK23" s="284"/>
      <c r="DL23" s="285"/>
      <c r="DM23" s="283"/>
      <c r="DN23" s="102"/>
      <c r="DO23" s="284"/>
      <c r="DP23" s="285"/>
      <c r="DQ23" s="283"/>
      <c r="DR23" s="102"/>
      <c r="DS23" s="284"/>
      <c r="DT23" s="285"/>
      <c r="DU23" s="286"/>
      <c r="DV23" s="286"/>
      <c r="DW23" s="287"/>
      <c r="DX23" s="287"/>
      <c r="DY23" s="286"/>
      <c r="DZ23" s="286"/>
      <c r="EA23" s="287"/>
      <c r="EB23" s="287"/>
      <c r="EC23" s="286"/>
      <c r="ED23" s="286"/>
      <c r="EE23" s="287"/>
      <c r="EF23" s="287"/>
      <c r="EG23" s="286"/>
      <c r="EH23" s="286"/>
      <c r="EI23" s="287"/>
      <c r="EJ23" s="287"/>
      <c r="EK23" s="286"/>
      <c r="EL23" s="286"/>
      <c r="EM23" s="287"/>
      <c r="EN23" s="287"/>
      <c r="EO23" s="286"/>
      <c r="EP23" s="286"/>
      <c r="EQ23" s="287"/>
      <c r="ER23" s="287"/>
      <c r="ES23" s="286"/>
      <c r="ET23" s="286"/>
      <c r="EU23" s="287"/>
      <c r="EV23" s="287"/>
      <c r="EW23" s="286"/>
      <c r="EX23" s="286"/>
      <c r="EY23" s="287"/>
      <c r="EZ23" s="287"/>
      <c r="FA23" s="286"/>
      <c r="FB23" s="286"/>
      <c r="FC23" s="287"/>
      <c r="FD23" s="287"/>
      <c r="FE23" s="286"/>
      <c r="FF23" s="286"/>
      <c r="FG23" s="287"/>
      <c r="FH23" s="287"/>
      <c r="FI23" s="286"/>
      <c r="FJ23" s="286"/>
      <c r="FK23" s="287"/>
      <c r="FL23" s="287"/>
      <c r="FM23" s="286"/>
      <c r="FN23" s="286"/>
      <c r="FO23" s="287"/>
      <c r="FP23" s="287"/>
      <c r="FQ23" s="286"/>
      <c r="FR23" s="286"/>
      <c r="FS23" s="287"/>
      <c r="FT23" s="287"/>
      <c r="FU23" s="286"/>
      <c r="FV23" s="286"/>
      <c r="FW23" s="287"/>
      <c r="FX23" s="287"/>
      <c r="FY23" s="286"/>
      <c r="FZ23" s="286"/>
      <c r="GA23" s="287"/>
      <c r="GB23" s="287"/>
      <c r="GC23" s="286"/>
      <c r="GD23" s="286"/>
      <c r="GE23" s="287"/>
      <c r="GF23" s="287"/>
      <c r="GG23" s="286"/>
      <c r="GH23" s="286"/>
      <c r="GI23" s="287"/>
      <c r="GJ23" s="287"/>
      <c r="GK23" s="286"/>
      <c r="GL23" s="286"/>
      <c r="GM23" s="287"/>
      <c r="GN23" s="287"/>
      <c r="GO23" s="286"/>
      <c r="GP23" s="286"/>
      <c r="GQ23" s="287"/>
      <c r="GR23" s="287"/>
      <c r="GS23" s="286"/>
      <c r="GT23" s="286"/>
      <c r="GU23" s="287"/>
      <c r="GV23" s="287"/>
      <c r="GW23" s="286"/>
      <c r="GX23" s="286"/>
      <c r="GY23" s="287"/>
      <c r="GZ23" s="287"/>
      <c r="HA23" s="286"/>
      <c r="HB23" s="286"/>
      <c r="HC23" s="287"/>
      <c r="HD23" s="287"/>
      <c r="HE23" s="286"/>
      <c r="HF23" s="286"/>
      <c r="HG23" s="287"/>
      <c r="HH23" s="287"/>
      <c r="HI23" s="286"/>
      <c r="HJ23" s="286"/>
      <c r="HK23" s="287"/>
      <c r="HL23" s="287"/>
      <c r="HN23" s="288"/>
      <c r="HP23" s="288"/>
      <c r="HS23" s="288"/>
      <c r="HT23" s="225"/>
      <c r="HU23" s="288"/>
      <c r="HV23" s="225"/>
      <c r="HW23" s="225"/>
    </row>
    <row r="24" spans="1:231" ht="15.75" thickBot="1" x14ac:dyDescent="0.25">
      <c r="A24" s="277"/>
      <c r="CL24" s="102"/>
      <c r="CM24" s="284"/>
      <c r="HN24" s="289"/>
      <c r="HP24" s="289"/>
      <c r="HU24" s="289"/>
    </row>
    <row r="25" spans="1:231" ht="15.75" thickBot="1" x14ac:dyDescent="0.25">
      <c r="A25" s="277"/>
      <c r="C25" s="630" t="s">
        <v>1805</v>
      </c>
      <c r="D25" s="631"/>
      <c r="H25" s="198">
        <f>SUM(H10:H24)</f>
        <v>4075.16</v>
      </c>
      <c r="L25" s="198">
        <f>SUM(L10:L24)</f>
        <v>5938.66</v>
      </c>
      <c r="P25" s="198">
        <f>SUM(P10:P24)</f>
        <v>1027.98</v>
      </c>
      <c r="T25" s="198">
        <f>SUM(T10:T24)</f>
        <v>1712.81</v>
      </c>
      <c r="X25" s="198">
        <f>SUM(X10:X24)</f>
        <v>1491.6</v>
      </c>
      <c r="AB25" s="198">
        <f>SUM(AB10:AB24)</f>
        <v>1453.19</v>
      </c>
      <c r="AF25" s="198">
        <f>SUM(AF10:AF24)</f>
        <v>147.27000000000001</v>
      </c>
      <c r="AJ25" s="198">
        <f>SUM(AJ10:AJ24)</f>
        <v>146.15</v>
      </c>
      <c r="AN25" s="198">
        <f>SUM(AN10:AN24)</f>
        <v>146.15</v>
      </c>
      <c r="AR25" s="198">
        <f>SUM(AR10:AR24)</f>
        <v>1608.3400000000001</v>
      </c>
      <c r="AV25" s="198">
        <f>SUM(AV10:AV24)</f>
        <v>3350.56</v>
      </c>
      <c r="AZ25" s="198">
        <f>SUM(AZ10:AZ24)</f>
        <v>1602.87</v>
      </c>
      <c r="BD25" s="198">
        <f>SUM(BD10:BD24)</f>
        <v>1602.87</v>
      </c>
      <c r="BH25" s="198">
        <f>SUM(BH10:BH24)</f>
        <v>1608.3400000000001</v>
      </c>
      <c r="BL25" s="198">
        <f>SUM(BL10:BL24)</f>
        <v>1608.3400000000001</v>
      </c>
      <c r="BP25" s="198">
        <f>SUM(BP10:BP24)</f>
        <v>5343.82</v>
      </c>
      <c r="BT25" s="198">
        <f>SUM(BT10:BT24)</f>
        <v>-5207.92</v>
      </c>
      <c r="BX25" s="198">
        <f>SUM(BX10:BX24)</f>
        <v>19278.96</v>
      </c>
      <c r="CB25" s="198">
        <f>SUM(CB10:CB24)</f>
        <v>3033.76</v>
      </c>
      <c r="CF25" s="198">
        <f>SUM(CF10:CF24)</f>
        <v>3033.76</v>
      </c>
      <c r="CJ25" s="198">
        <f>SUM(CJ10:CJ24)</f>
        <v>586.08000000000004</v>
      </c>
      <c r="CN25" s="198">
        <f>SUM(CN10:CN24)</f>
        <v>8263.23</v>
      </c>
      <c r="CR25" s="198">
        <f>SUM(CR10:CR24)</f>
        <v>16579.009999999998</v>
      </c>
      <c r="CV25" s="198">
        <f>SUM(CV10:CV24)</f>
        <v>11730.76</v>
      </c>
      <c r="CZ25" s="198">
        <f>SUM(CZ10:CZ24)</f>
        <v>1934.92</v>
      </c>
      <c r="DD25" s="198">
        <f>SUM(DD10:DD24)</f>
        <v>16210.210000000003</v>
      </c>
      <c r="DH25" s="198">
        <f>SUM(DH10:DH24)</f>
        <v>2925.42</v>
      </c>
      <c r="DL25" s="198">
        <f>SUM(DL10:DL24)</f>
        <v>15343.890000000001</v>
      </c>
      <c r="DP25" s="198">
        <f>SUM(DP10:DP24)</f>
        <v>18658.440000000002</v>
      </c>
      <c r="DT25" s="198">
        <f>SUM(DT10:DT24)</f>
        <v>4447.21</v>
      </c>
      <c r="DX25" s="198">
        <f>SUM(DX10:DX24)</f>
        <v>13537.3</v>
      </c>
      <c r="DZ25" s="290"/>
      <c r="EB25" s="198">
        <f>SUM(EB10:EB24)</f>
        <v>11614.3</v>
      </c>
      <c r="EC25" s="197"/>
      <c r="ED25" s="102"/>
      <c r="EE25" s="102"/>
      <c r="EF25" s="198">
        <f>SUM(EF10:EF24)</f>
        <v>5012.3999999999996</v>
      </c>
      <c r="EG25" s="197"/>
      <c r="EH25" s="102"/>
      <c r="EI25" s="102"/>
      <c r="EJ25" s="198">
        <f>SUM(EJ10:EJ24)</f>
        <v>5020.49</v>
      </c>
      <c r="EK25" s="197"/>
      <c r="EL25" s="102"/>
      <c r="EM25" s="102"/>
      <c r="EN25" s="198">
        <f>SUM(EN10:EN24)</f>
        <v>1612.58</v>
      </c>
      <c r="EO25" s="197"/>
      <c r="EP25" s="102"/>
      <c r="EQ25" s="102"/>
      <c r="ER25" s="198">
        <f>SUM(ER10:ER24)</f>
        <v>3159.9500000000003</v>
      </c>
      <c r="ES25" s="197"/>
      <c r="ET25" s="102"/>
      <c r="EU25" s="102"/>
      <c r="EV25" s="198">
        <f>SUM(EV10:EV24)</f>
        <v>1586.37</v>
      </c>
      <c r="EW25" s="197"/>
      <c r="EX25" s="102"/>
      <c r="EY25" s="102"/>
      <c r="EZ25" s="198">
        <f>SUM(EZ10:EZ24)</f>
        <v>176.7</v>
      </c>
      <c r="FA25" s="197"/>
      <c r="FB25" s="102"/>
      <c r="FC25" s="102"/>
      <c r="FD25" s="198">
        <f>SUM(FD10:FD24)</f>
        <v>1518.8400000000001</v>
      </c>
      <c r="FE25" s="197"/>
      <c r="FF25" s="102"/>
      <c r="FG25" s="102"/>
      <c r="FH25" s="198">
        <f>SUM(FH10:FH24)</f>
        <v>3698.0199999999995</v>
      </c>
      <c r="FI25" s="197"/>
      <c r="FJ25" s="102"/>
      <c r="FK25" s="102"/>
      <c r="FL25" s="198">
        <f>SUM(FL10:FL24)</f>
        <v>1661.08</v>
      </c>
      <c r="FM25" s="197"/>
      <c r="FN25" s="102"/>
      <c r="FO25" s="102"/>
      <c r="FP25" s="198">
        <f>SUM(FP10:FP24)</f>
        <v>263.89</v>
      </c>
      <c r="FQ25" s="197"/>
      <c r="FR25" s="102"/>
      <c r="FS25" s="102"/>
      <c r="FT25" s="198">
        <f>SUM(FT10:FT24)</f>
        <v>2107.14</v>
      </c>
      <c r="FU25" s="197"/>
      <c r="FV25" s="102"/>
      <c r="FW25" s="102"/>
      <c r="FX25" s="198">
        <f>SUM(FX10:FX24)</f>
        <v>8272.6999999999989</v>
      </c>
      <c r="FY25" s="197"/>
      <c r="FZ25" s="102"/>
      <c r="GA25" s="102"/>
      <c r="GB25" s="198">
        <f>SUM(GB10:GB24)</f>
        <v>3646.62</v>
      </c>
      <c r="GC25" s="197"/>
      <c r="GD25" s="102"/>
      <c r="GE25" s="102"/>
      <c r="GF25" s="198">
        <f>SUM(GF10:GF24)</f>
        <v>110.34000000000003</v>
      </c>
      <c r="GG25" s="197"/>
      <c r="GH25" s="102"/>
      <c r="GI25" s="102"/>
      <c r="GJ25" s="198">
        <f>SUM(GJ10:GJ24)</f>
        <v>7487.93</v>
      </c>
      <c r="GK25" s="197"/>
      <c r="GL25" s="102"/>
      <c r="GM25" s="102"/>
      <c r="GN25" s="198">
        <f>SUM(GN10:GN24)</f>
        <v>11640.25</v>
      </c>
      <c r="GO25" s="197"/>
      <c r="GP25" s="102"/>
      <c r="GQ25" s="102"/>
      <c r="GR25" s="198">
        <f>SUM(GR10:GR24)</f>
        <v>13792.629999999997</v>
      </c>
      <c r="GS25" s="197"/>
      <c r="GT25" s="102"/>
      <c r="GU25" s="102"/>
      <c r="GV25" s="198">
        <f>SUM(GV10:GV24)</f>
        <v>2707.78</v>
      </c>
      <c r="GW25" s="197"/>
      <c r="GX25" s="102"/>
      <c r="GY25" s="102"/>
      <c r="GZ25" s="198">
        <f>SUM(GZ10:GZ24)</f>
        <v>13539.489999999998</v>
      </c>
      <c r="HA25" s="197"/>
      <c r="HB25" s="102"/>
      <c r="HC25" s="102"/>
      <c r="HD25" s="198">
        <f>SUM(HD10:HD24)</f>
        <v>2736.62</v>
      </c>
      <c r="HE25" s="197"/>
      <c r="HF25" s="102"/>
      <c r="HH25" s="198">
        <f>SUM(HH10:HH24)</f>
        <v>36090.959999999999</v>
      </c>
      <c r="HI25" s="197"/>
      <c r="HJ25" s="102"/>
      <c r="HK25" s="102"/>
      <c r="HL25" s="198">
        <f>SUM(HL10:HL24)</f>
        <v>20404.27</v>
      </c>
      <c r="HN25" s="291">
        <f>SUM(HN10:HN24)</f>
        <v>104648</v>
      </c>
      <c r="HP25" s="291">
        <v>115838</v>
      </c>
      <c r="HS25" s="291">
        <f>SUM(HS10:HS24)</f>
        <v>171398.64999999997</v>
      </c>
      <c r="HU25" s="291">
        <v>115838</v>
      </c>
    </row>
    <row r="26" spans="1:231" ht="15.75" thickBot="1" x14ac:dyDescent="0.25">
      <c r="A26" s="277"/>
      <c r="C26" s="628">
        <f>SUM(DX25:HL25)</f>
        <v>171398.64999999997</v>
      </c>
      <c r="D26" s="629"/>
      <c r="DV26" s="290"/>
      <c r="DX26" s="292">
        <v>13537.3</v>
      </c>
      <c r="DZ26" s="290"/>
      <c r="EB26" s="292">
        <v>11614.3</v>
      </c>
      <c r="EC26" s="293"/>
      <c r="ED26" s="293"/>
      <c r="EE26" s="293"/>
      <c r="EF26" s="292">
        <v>5012.3900000000003</v>
      </c>
      <c r="EG26" s="293"/>
      <c r="EH26" s="293"/>
      <c r="EI26" s="293"/>
      <c r="EJ26" s="292">
        <v>5020.49</v>
      </c>
      <c r="EK26" s="293"/>
      <c r="EL26" s="293"/>
      <c r="EM26" s="293"/>
      <c r="EN26" s="292">
        <v>1612.58</v>
      </c>
      <c r="EO26" s="293"/>
      <c r="EP26" s="293"/>
      <c r="EQ26" s="293"/>
      <c r="ER26" s="292">
        <v>3159.95</v>
      </c>
      <c r="ES26" s="293"/>
      <c r="ET26" s="293"/>
      <c r="EU26" s="293"/>
      <c r="EV26" s="292">
        <v>1586.37</v>
      </c>
      <c r="EW26" s="293"/>
      <c r="EX26" s="293"/>
      <c r="EY26" s="293"/>
      <c r="EZ26" s="292">
        <v>176.7</v>
      </c>
      <c r="FA26" s="293"/>
      <c r="FB26" s="293"/>
      <c r="FC26" s="293"/>
      <c r="FD26" s="292">
        <v>1518.83</v>
      </c>
      <c r="FE26" s="293"/>
      <c r="FF26" s="293"/>
      <c r="FG26" s="293"/>
      <c r="FH26" s="292">
        <v>3698</v>
      </c>
      <c r="FI26" s="293"/>
      <c r="FJ26" s="293"/>
      <c r="FK26" s="293"/>
      <c r="FL26" s="292">
        <v>1661.07</v>
      </c>
      <c r="FM26" s="293"/>
      <c r="FN26" s="293"/>
      <c r="FO26" s="293"/>
      <c r="FP26" s="292">
        <v>263.89</v>
      </c>
      <c r="FQ26" s="293"/>
      <c r="FR26" s="293"/>
      <c r="FS26" s="293"/>
      <c r="FT26" s="292">
        <v>2107.14</v>
      </c>
      <c r="FU26" s="293"/>
      <c r="FV26" s="293"/>
      <c r="FW26" s="293"/>
      <c r="FX26" s="292">
        <v>8272.73</v>
      </c>
      <c r="FY26" s="293"/>
      <c r="FZ26" s="293"/>
      <c r="GA26" s="293"/>
      <c r="GB26" s="292">
        <v>3646.63</v>
      </c>
      <c r="GC26" s="293"/>
      <c r="GD26" s="293"/>
      <c r="GE26" s="293"/>
      <c r="GF26" s="292">
        <v>110.34</v>
      </c>
      <c r="GG26" s="293"/>
      <c r="GH26" s="293"/>
      <c r="GI26" s="293"/>
      <c r="GJ26" s="292">
        <v>7487.92</v>
      </c>
      <c r="GK26" s="293"/>
      <c r="GL26" s="293"/>
      <c r="GM26" s="293"/>
      <c r="GN26" s="292">
        <v>11640.26</v>
      </c>
      <c r="GO26" s="293"/>
      <c r="GP26" s="293"/>
      <c r="GQ26" s="293"/>
      <c r="GR26" s="292">
        <v>13792.62</v>
      </c>
      <c r="GS26" s="293"/>
      <c r="GT26" s="293"/>
      <c r="GU26" s="293"/>
      <c r="GV26" s="292">
        <v>2707.78</v>
      </c>
      <c r="GW26" s="293"/>
      <c r="GX26" s="293"/>
      <c r="GY26" s="293"/>
      <c r="GZ26" s="292">
        <v>13539.49</v>
      </c>
      <c r="HA26" s="293"/>
      <c r="HB26" s="293"/>
      <c r="HC26" s="293"/>
      <c r="HD26" s="292">
        <v>2736.61</v>
      </c>
      <c r="HE26" s="293"/>
      <c r="HF26" s="293"/>
      <c r="HG26" s="293"/>
      <c r="HH26" s="292">
        <v>36090.99</v>
      </c>
      <c r="HI26" s="293"/>
      <c r="HJ26" s="293"/>
      <c r="HK26" s="293"/>
      <c r="HL26" s="292">
        <v>20404.27</v>
      </c>
    </row>
    <row r="27" spans="1:231" ht="15.75" thickBot="1" x14ac:dyDescent="0.25">
      <c r="A27" s="277"/>
      <c r="HH27" s="287"/>
      <c r="HL27" s="287"/>
    </row>
    <row r="28" spans="1:231" ht="15" x14ac:dyDescent="0.2">
      <c r="A28" s="277"/>
      <c r="C28" s="630" t="s">
        <v>1806</v>
      </c>
      <c r="D28" s="631"/>
      <c r="EF28" s="287"/>
      <c r="EZ28" s="294"/>
      <c r="HH28" s="287"/>
    </row>
    <row r="29" spans="1:231" ht="15.75" thickBot="1" x14ac:dyDescent="0.25">
      <c r="A29" s="277"/>
      <c r="C29" s="628">
        <v>211114.08</v>
      </c>
      <c r="D29" s="629"/>
      <c r="DV29" s="295"/>
      <c r="HJ29" s="290"/>
    </row>
    <row r="30" spans="1:231" ht="13.5" thickBot="1" x14ac:dyDescent="0.25">
      <c r="DV30" s="295"/>
      <c r="EV30" s="294"/>
    </row>
    <row r="31" spans="1:231" x14ac:dyDescent="0.2">
      <c r="C31" s="630" t="s">
        <v>1807</v>
      </c>
      <c r="D31" s="631"/>
      <c r="DV31" s="295"/>
    </row>
    <row r="32" spans="1:231" ht="13.5" thickBot="1" x14ac:dyDescent="0.25">
      <c r="C32" s="628">
        <v>115838</v>
      </c>
      <c r="D32" s="629"/>
      <c r="DV32" s="295"/>
    </row>
    <row r="33" spans="126:126" x14ac:dyDescent="0.2">
      <c r="DV33" s="295"/>
    </row>
  </sheetData>
  <mergeCells count="383">
    <mergeCell ref="A2:C8"/>
    <mergeCell ref="E2:H2"/>
    <mergeCell ref="I2:L2"/>
    <mergeCell ref="M2:P2"/>
    <mergeCell ref="Q2:T2"/>
    <mergeCell ref="U2:X2"/>
    <mergeCell ref="E8:H8"/>
    <mergeCell ref="I8:L8"/>
    <mergeCell ref="M8:P8"/>
    <mergeCell ref="Q8:T8"/>
    <mergeCell ref="AW2:AZ2"/>
    <mergeCell ref="BA2:BD2"/>
    <mergeCell ref="BE2:BH2"/>
    <mergeCell ref="BI2:BL2"/>
    <mergeCell ref="BM2:BP2"/>
    <mergeCell ref="BQ2:BT2"/>
    <mergeCell ref="Y2:AB2"/>
    <mergeCell ref="AC2:AF2"/>
    <mergeCell ref="AG2:AJ2"/>
    <mergeCell ref="AK2:AN2"/>
    <mergeCell ref="AO2:AR2"/>
    <mergeCell ref="AS2:AV2"/>
    <mergeCell ref="CS2:CV2"/>
    <mergeCell ref="CW2:CZ2"/>
    <mergeCell ref="DA2:DD2"/>
    <mergeCell ref="DE2:DH2"/>
    <mergeCell ref="DI2:DL2"/>
    <mergeCell ref="DM2:DP2"/>
    <mergeCell ref="BU2:BX2"/>
    <mergeCell ref="BY2:CB2"/>
    <mergeCell ref="CC2:CF2"/>
    <mergeCell ref="CG2:CJ2"/>
    <mergeCell ref="CK2:CN2"/>
    <mergeCell ref="CO2:CR2"/>
    <mergeCell ref="EW2:EZ2"/>
    <mergeCell ref="FA2:FD2"/>
    <mergeCell ref="FE2:FH2"/>
    <mergeCell ref="FI2:FL2"/>
    <mergeCell ref="DQ2:DT2"/>
    <mergeCell ref="DU2:DX2"/>
    <mergeCell ref="DY2:EB2"/>
    <mergeCell ref="EC2:EF2"/>
    <mergeCell ref="EG2:EJ2"/>
    <mergeCell ref="EK2:EN2"/>
    <mergeCell ref="HI2:HL2"/>
    <mergeCell ref="HN2:HN9"/>
    <mergeCell ref="HP2:HP9"/>
    <mergeCell ref="HS2:HS9"/>
    <mergeCell ref="HU2:HU9"/>
    <mergeCell ref="E3:H3"/>
    <mergeCell ref="I3:L3"/>
    <mergeCell ref="M3:P3"/>
    <mergeCell ref="Q3:T3"/>
    <mergeCell ref="U3:X3"/>
    <mergeCell ref="GK2:GN2"/>
    <mergeCell ref="GO2:GR2"/>
    <mergeCell ref="GS2:GV2"/>
    <mergeCell ref="GW2:GZ2"/>
    <mergeCell ref="HA2:HD2"/>
    <mergeCell ref="HE2:HH2"/>
    <mergeCell ref="FM2:FP2"/>
    <mergeCell ref="FQ2:FT2"/>
    <mergeCell ref="FU2:FX2"/>
    <mergeCell ref="FY2:GB2"/>
    <mergeCell ref="GC2:GF2"/>
    <mergeCell ref="GG2:GJ2"/>
    <mergeCell ref="EO2:ER2"/>
    <mergeCell ref="ES2:EV2"/>
    <mergeCell ref="AW3:AZ3"/>
    <mergeCell ref="BA3:BD3"/>
    <mergeCell ref="BE3:BH3"/>
    <mergeCell ref="BI3:BL3"/>
    <mergeCell ref="BM3:BP3"/>
    <mergeCell ref="BQ3:BT3"/>
    <mergeCell ref="Y3:AB3"/>
    <mergeCell ref="AC3:AF3"/>
    <mergeCell ref="AG3:AJ3"/>
    <mergeCell ref="AK3:AN3"/>
    <mergeCell ref="AO3:AR3"/>
    <mergeCell ref="AS3:AV3"/>
    <mergeCell ref="CS3:CV3"/>
    <mergeCell ref="CW3:CZ3"/>
    <mergeCell ref="DA3:DD3"/>
    <mergeCell ref="DE3:DH3"/>
    <mergeCell ref="DI3:DL3"/>
    <mergeCell ref="DM3:DP3"/>
    <mergeCell ref="BU3:BX3"/>
    <mergeCell ref="BY3:CB3"/>
    <mergeCell ref="CC3:CF3"/>
    <mergeCell ref="CG3:CJ3"/>
    <mergeCell ref="CK3:CN3"/>
    <mergeCell ref="CO3:CR3"/>
    <mergeCell ref="EW3:EZ3"/>
    <mergeCell ref="FA3:FD3"/>
    <mergeCell ref="FE3:FH3"/>
    <mergeCell ref="FI3:FL3"/>
    <mergeCell ref="DQ3:DT3"/>
    <mergeCell ref="DU3:DX3"/>
    <mergeCell ref="DY3:EB3"/>
    <mergeCell ref="EC3:EF3"/>
    <mergeCell ref="EG3:EJ3"/>
    <mergeCell ref="EK3:EN3"/>
    <mergeCell ref="HI3:HL3"/>
    <mergeCell ref="E4:H4"/>
    <mergeCell ref="I4:L4"/>
    <mergeCell ref="M4:P4"/>
    <mergeCell ref="Q4:T4"/>
    <mergeCell ref="U4:X4"/>
    <mergeCell ref="Y4:AB4"/>
    <mergeCell ref="AC4:AF4"/>
    <mergeCell ref="AG4:AJ4"/>
    <mergeCell ref="AK4:AN4"/>
    <mergeCell ref="GK3:GN3"/>
    <mergeCell ref="GO3:GR3"/>
    <mergeCell ref="GS3:GV3"/>
    <mergeCell ref="GW3:GZ3"/>
    <mergeCell ref="HA3:HD3"/>
    <mergeCell ref="HE3:HH3"/>
    <mergeCell ref="FM3:FP3"/>
    <mergeCell ref="FQ3:FT3"/>
    <mergeCell ref="FU3:FX3"/>
    <mergeCell ref="FY3:GB3"/>
    <mergeCell ref="GC3:GF3"/>
    <mergeCell ref="GG3:GJ3"/>
    <mergeCell ref="EO3:ER3"/>
    <mergeCell ref="ES3:EV3"/>
    <mergeCell ref="BM4:BP4"/>
    <mergeCell ref="BQ4:BT4"/>
    <mergeCell ref="BU4:BX4"/>
    <mergeCell ref="BY4:CB4"/>
    <mergeCell ref="CC4:CF4"/>
    <mergeCell ref="CG4:CJ4"/>
    <mergeCell ref="AO4:AR4"/>
    <mergeCell ref="AS4:AV4"/>
    <mergeCell ref="AW4:AZ4"/>
    <mergeCell ref="BA4:BD4"/>
    <mergeCell ref="BE4:BH4"/>
    <mergeCell ref="BI4:BL4"/>
    <mergeCell ref="AO5:AR5"/>
    <mergeCell ref="AS5:AV5"/>
    <mergeCell ref="AW5:AZ5"/>
    <mergeCell ref="BA5:BD5"/>
    <mergeCell ref="BE5:BH5"/>
    <mergeCell ref="BI5:BL5"/>
    <mergeCell ref="BM5:BP5"/>
    <mergeCell ref="GC4:GF4"/>
    <mergeCell ref="GG4:GJ4"/>
    <mergeCell ref="FE4:FH4"/>
    <mergeCell ref="FI4:FL4"/>
    <mergeCell ref="FM4:FP4"/>
    <mergeCell ref="FQ4:FT4"/>
    <mergeCell ref="FU4:FX4"/>
    <mergeCell ref="FY4:GB4"/>
    <mergeCell ref="EG4:EJ4"/>
    <mergeCell ref="EK4:EN4"/>
    <mergeCell ref="EO4:ER4"/>
    <mergeCell ref="ES4:EV4"/>
    <mergeCell ref="EW4:EZ4"/>
    <mergeCell ref="FA4:FD4"/>
    <mergeCell ref="DI4:DL4"/>
    <mergeCell ref="DM4:DP4"/>
    <mergeCell ref="DQ4:DT4"/>
    <mergeCell ref="BQ5:BT5"/>
    <mergeCell ref="BU5:BX5"/>
    <mergeCell ref="BY5:CB5"/>
    <mergeCell ref="CC5:CF5"/>
    <mergeCell ref="CG5:CJ5"/>
    <mergeCell ref="CK5:CN5"/>
    <mergeCell ref="HA4:HD4"/>
    <mergeCell ref="HE4:HH4"/>
    <mergeCell ref="HI4:HL4"/>
    <mergeCell ref="GK4:GN4"/>
    <mergeCell ref="GO4:GR4"/>
    <mergeCell ref="GS4:GV4"/>
    <mergeCell ref="GW4:GZ4"/>
    <mergeCell ref="DU4:DX4"/>
    <mergeCell ref="DY4:EB4"/>
    <mergeCell ref="EC4:EF4"/>
    <mergeCell ref="CK4:CN4"/>
    <mergeCell ref="CO4:CR4"/>
    <mergeCell ref="CS4:CV4"/>
    <mergeCell ref="CW4:CZ4"/>
    <mergeCell ref="DA4:DD4"/>
    <mergeCell ref="DE4:DH4"/>
    <mergeCell ref="DM5:DP5"/>
    <mergeCell ref="DQ5:DT5"/>
    <mergeCell ref="DU5:DX5"/>
    <mergeCell ref="DY5:EB5"/>
    <mergeCell ref="EC5:EF5"/>
    <mergeCell ref="EG5:EJ5"/>
    <mergeCell ref="CO5:CR5"/>
    <mergeCell ref="CS5:CV5"/>
    <mergeCell ref="CW5:CZ5"/>
    <mergeCell ref="DA5:DD5"/>
    <mergeCell ref="DE5:DH5"/>
    <mergeCell ref="DI5:DL5"/>
    <mergeCell ref="FQ5:FT5"/>
    <mergeCell ref="FU5:FX5"/>
    <mergeCell ref="FY5:GB5"/>
    <mergeCell ref="GC5:GF5"/>
    <mergeCell ref="EK5:EN5"/>
    <mergeCell ref="EO5:ER5"/>
    <mergeCell ref="ES5:EV5"/>
    <mergeCell ref="EW5:EZ5"/>
    <mergeCell ref="FA5:FD5"/>
    <mergeCell ref="FE5:FH5"/>
    <mergeCell ref="AK6:AN6"/>
    <mergeCell ref="AO6:AR6"/>
    <mergeCell ref="AS6:AV6"/>
    <mergeCell ref="AW6:AZ6"/>
    <mergeCell ref="BA6:BD6"/>
    <mergeCell ref="BE6:BH6"/>
    <mergeCell ref="HE5:HH5"/>
    <mergeCell ref="HI5:HL5"/>
    <mergeCell ref="E6:H6"/>
    <mergeCell ref="I6:L6"/>
    <mergeCell ref="M6:P6"/>
    <mergeCell ref="Q6:T6"/>
    <mergeCell ref="U6:X6"/>
    <mergeCell ref="Y6:AB6"/>
    <mergeCell ref="AC6:AF6"/>
    <mergeCell ref="AG6:AJ6"/>
    <mergeCell ref="GG5:GJ5"/>
    <mergeCell ref="GK5:GN5"/>
    <mergeCell ref="GO5:GR5"/>
    <mergeCell ref="GS5:GV5"/>
    <mergeCell ref="GW5:GZ5"/>
    <mergeCell ref="HA5:HD5"/>
    <mergeCell ref="FI5:FL5"/>
    <mergeCell ref="FM5:FP5"/>
    <mergeCell ref="CG6:CJ6"/>
    <mergeCell ref="CK6:CN6"/>
    <mergeCell ref="CO6:CR6"/>
    <mergeCell ref="CS6:CV6"/>
    <mergeCell ref="CW6:CZ6"/>
    <mergeCell ref="DA6:DD6"/>
    <mergeCell ref="BI6:BL6"/>
    <mergeCell ref="BM6:BP6"/>
    <mergeCell ref="BQ6:BT6"/>
    <mergeCell ref="BU6:BX6"/>
    <mergeCell ref="BY6:CB6"/>
    <mergeCell ref="CC6:CF6"/>
    <mergeCell ref="EK6:EN6"/>
    <mergeCell ref="EO6:ER6"/>
    <mergeCell ref="ES6:EV6"/>
    <mergeCell ref="EW6:EZ6"/>
    <mergeCell ref="DE6:DH6"/>
    <mergeCell ref="DI6:DL6"/>
    <mergeCell ref="DM6:DP6"/>
    <mergeCell ref="DQ6:DT6"/>
    <mergeCell ref="DU6:DX6"/>
    <mergeCell ref="DY6:EB6"/>
    <mergeCell ref="GW6:GZ6"/>
    <mergeCell ref="HA6:HD6"/>
    <mergeCell ref="HE6:HH6"/>
    <mergeCell ref="HI6:HL6"/>
    <mergeCell ref="E7:H7"/>
    <mergeCell ref="I7:L7"/>
    <mergeCell ref="M7:P7"/>
    <mergeCell ref="Q7:T7"/>
    <mergeCell ref="U7:X7"/>
    <mergeCell ref="Y7:AB7"/>
    <mergeCell ref="FY6:GB6"/>
    <mergeCell ref="GC6:GF6"/>
    <mergeCell ref="GG6:GJ6"/>
    <mergeCell ref="GK6:GN6"/>
    <mergeCell ref="GO6:GR6"/>
    <mergeCell ref="GS6:GV6"/>
    <mergeCell ref="FA6:FD6"/>
    <mergeCell ref="FE6:FH6"/>
    <mergeCell ref="FI6:FL6"/>
    <mergeCell ref="FM6:FP6"/>
    <mergeCell ref="FQ6:FT6"/>
    <mergeCell ref="FU6:FX6"/>
    <mergeCell ref="EC6:EF6"/>
    <mergeCell ref="EG6:EJ6"/>
    <mergeCell ref="BA7:BD7"/>
    <mergeCell ref="BE7:BH7"/>
    <mergeCell ref="BI7:BL7"/>
    <mergeCell ref="BM7:BP7"/>
    <mergeCell ref="BQ7:BT7"/>
    <mergeCell ref="BU7:BX7"/>
    <mergeCell ref="AC7:AF7"/>
    <mergeCell ref="AG7:AJ7"/>
    <mergeCell ref="AK7:AN7"/>
    <mergeCell ref="AO7:AR7"/>
    <mergeCell ref="AS7:AV7"/>
    <mergeCell ref="AW7:AZ7"/>
    <mergeCell ref="CW7:CZ7"/>
    <mergeCell ref="DA7:DD7"/>
    <mergeCell ref="DE7:DH7"/>
    <mergeCell ref="DI7:DL7"/>
    <mergeCell ref="DM7:DP7"/>
    <mergeCell ref="DQ7:DT7"/>
    <mergeCell ref="BY7:CB7"/>
    <mergeCell ref="CC7:CF7"/>
    <mergeCell ref="CG7:CJ7"/>
    <mergeCell ref="CK7:CN7"/>
    <mergeCell ref="CO7:CR7"/>
    <mergeCell ref="CS7:CV7"/>
    <mergeCell ref="ES7:EV7"/>
    <mergeCell ref="EW7:EZ7"/>
    <mergeCell ref="FA7:FD7"/>
    <mergeCell ref="FE7:FH7"/>
    <mergeCell ref="FI7:FL7"/>
    <mergeCell ref="FM7:FP7"/>
    <mergeCell ref="DU7:DX7"/>
    <mergeCell ref="DY7:EB7"/>
    <mergeCell ref="EC7:EF7"/>
    <mergeCell ref="EG7:EJ7"/>
    <mergeCell ref="EK7:EN7"/>
    <mergeCell ref="EO7:ER7"/>
    <mergeCell ref="GO7:GR7"/>
    <mergeCell ref="GS7:GV7"/>
    <mergeCell ref="GW7:GZ7"/>
    <mergeCell ref="HA7:HD7"/>
    <mergeCell ref="HE7:HH7"/>
    <mergeCell ref="HI7:HL7"/>
    <mergeCell ref="FQ7:FT7"/>
    <mergeCell ref="FU7:FX7"/>
    <mergeCell ref="FY7:GB7"/>
    <mergeCell ref="GC7:GF7"/>
    <mergeCell ref="GG7:GJ7"/>
    <mergeCell ref="GK7:GN7"/>
    <mergeCell ref="AS8:AV8"/>
    <mergeCell ref="AW8:AZ8"/>
    <mergeCell ref="BA8:BD8"/>
    <mergeCell ref="BE8:BH8"/>
    <mergeCell ref="BI8:BL8"/>
    <mergeCell ref="BM8:BP8"/>
    <mergeCell ref="U8:X8"/>
    <mergeCell ref="Y8:AB8"/>
    <mergeCell ref="AC8:AF8"/>
    <mergeCell ref="AG8:AJ8"/>
    <mergeCell ref="AK8:AN8"/>
    <mergeCell ref="AO8:AR8"/>
    <mergeCell ref="CS8:CV8"/>
    <mergeCell ref="CW8:CZ8"/>
    <mergeCell ref="DA8:DD8"/>
    <mergeCell ref="DE8:DH8"/>
    <mergeCell ref="DI8:DL8"/>
    <mergeCell ref="DM8:DP8"/>
    <mergeCell ref="BQ8:BT8"/>
    <mergeCell ref="BU8:BX8"/>
    <mergeCell ref="BY8:CB8"/>
    <mergeCell ref="CG8:CJ8"/>
    <mergeCell ref="CK8:CN8"/>
    <mergeCell ref="CO8:CR8"/>
    <mergeCell ref="ES8:EV8"/>
    <mergeCell ref="EW8:EZ8"/>
    <mergeCell ref="FA8:FD8"/>
    <mergeCell ref="FE8:FH8"/>
    <mergeCell ref="FI8:FL8"/>
    <mergeCell ref="DQ8:DT8"/>
    <mergeCell ref="DU8:DX8"/>
    <mergeCell ref="DY8:EB8"/>
    <mergeCell ref="EC8:EF8"/>
    <mergeCell ref="EG8:EJ8"/>
    <mergeCell ref="EK8:EN8"/>
    <mergeCell ref="C26:D26"/>
    <mergeCell ref="C28:D28"/>
    <mergeCell ref="C29:D29"/>
    <mergeCell ref="C31:D31"/>
    <mergeCell ref="C32:D32"/>
    <mergeCell ref="HI8:HL8"/>
    <mergeCell ref="A19:A20"/>
    <mergeCell ref="B19:B20"/>
    <mergeCell ref="C19:C20"/>
    <mergeCell ref="D19:D20"/>
    <mergeCell ref="C25:D25"/>
    <mergeCell ref="GK8:GN8"/>
    <mergeCell ref="GO8:GR8"/>
    <mergeCell ref="GS8:GV8"/>
    <mergeCell ref="GW8:GZ8"/>
    <mergeCell ref="HA8:HD8"/>
    <mergeCell ref="HE8:HH8"/>
    <mergeCell ref="FM8:FP8"/>
    <mergeCell ref="FQ8:FT8"/>
    <mergeCell ref="FU8:FX8"/>
    <mergeCell ref="FY8:GB8"/>
    <mergeCell ref="GC8:GF8"/>
    <mergeCell ref="GG8:GJ8"/>
    <mergeCell ref="EO8:ER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3FCB-184F-44D8-B7D8-7D21BD6B0993}">
  <sheetPr codeName="Feuil7"/>
  <dimension ref="A1:Z46"/>
  <sheetViews>
    <sheetView topLeftCell="L6" zoomScale="115" zoomScaleNormal="115" workbookViewId="0">
      <selection activeCell="D8" sqref="D8"/>
    </sheetView>
  </sheetViews>
  <sheetFormatPr baseColWidth="10" defaultRowHeight="12.75" x14ac:dyDescent="0.2"/>
  <cols>
    <col min="4" max="4" width="65.42578125" customWidth="1"/>
    <col min="5" max="5" width="56.28515625" customWidth="1"/>
  </cols>
  <sheetData>
    <row r="1" spans="1:26" ht="15.75" x14ac:dyDescent="0.2">
      <c r="A1" s="296"/>
      <c r="B1" s="296"/>
      <c r="C1" s="296"/>
      <c r="D1" s="296"/>
      <c r="E1" s="278"/>
      <c r="J1" s="16"/>
      <c r="K1" s="16"/>
      <c r="L1" s="16"/>
      <c r="M1" s="16"/>
      <c r="N1" s="16"/>
      <c r="T1" s="16"/>
      <c r="U1" s="16"/>
      <c r="V1" s="16"/>
      <c r="W1" s="16"/>
      <c r="X1" s="16"/>
      <c r="Z1" s="102"/>
    </row>
    <row r="2" spans="1:26" ht="15.75" x14ac:dyDescent="0.2">
      <c r="A2" s="582" t="s">
        <v>1808</v>
      </c>
      <c r="B2" s="582"/>
      <c r="C2" s="582"/>
      <c r="D2" s="582"/>
      <c r="E2" s="582"/>
      <c r="J2" s="16"/>
      <c r="K2" s="16"/>
      <c r="L2" s="16"/>
      <c r="M2" s="16"/>
      <c r="N2" s="16"/>
      <c r="T2" s="16"/>
      <c r="U2" s="16"/>
      <c r="V2" s="16"/>
      <c r="W2" s="16"/>
      <c r="X2" s="16"/>
      <c r="Z2" s="102"/>
    </row>
    <row r="3" spans="1:26" ht="16.5" thickBot="1" x14ac:dyDescent="0.25">
      <c r="A3" s="296"/>
      <c r="B3" s="296"/>
      <c r="C3" s="296"/>
      <c r="D3" s="296"/>
      <c r="E3" s="278"/>
      <c r="J3" s="16"/>
      <c r="K3" s="16"/>
      <c r="L3" s="16"/>
      <c r="M3" s="16"/>
      <c r="N3" s="16"/>
      <c r="T3" s="16"/>
      <c r="U3" s="16"/>
      <c r="V3" s="16"/>
      <c r="W3" s="16"/>
      <c r="X3" s="16"/>
      <c r="Z3" s="102"/>
    </row>
    <row r="4" spans="1:26" ht="13.5" thickBot="1" x14ac:dyDescent="0.25">
      <c r="A4" s="690" t="s">
        <v>1679</v>
      </c>
      <c r="B4" s="692" t="s">
        <v>1809</v>
      </c>
      <c r="C4" s="692" t="s">
        <v>1680</v>
      </c>
      <c r="D4" s="692" t="s">
        <v>1681</v>
      </c>
      <c r="E4" s="694" t="s">
        <v>1810</v>
      </c>
      <c r="F4" s="668" t="s">
        <v>1811</v>
      </c>
      <c r="G4" s="669"/>
      <c r="H4" s="669"/>
      <c r="I4" s="669"/>
      <c r="J4" s="669"/>
      <c r="K4" s="669"/>
      <c r="L4" s="669"/>
      <c r="M4" s="669"/>
      <c r="N4" s="669"/>
      <c r="O4" s="670"/>
      <c r="P4" s="668" t="s">
        <v>1812</v>
      </c>
      <c r="Q4" s="669"/>
      <c r="R4" s="669"/>
      <c r="S4" s="669"/>
      <c r="T4" s="669"/>
      <c r="U4" s="669"/>
      <c r="V4" s="669"/>
      <c r="W4" s="669"/>
      <c r="X4" s="669"/>
      <c r="Y4" s="670"/>
    </row>
    <row r="5" spans="1:26" ht="39" thickBot="1" x14ac:dyDescent="0.25">
      <c r="A5" s="691"/>
      <c r="B5" s="693"/>
      <c r="C5" s="693"/>
      <c r="D5" s="693"/>
      <c r="E5" s="695"/>
      <c r="F5" s="297" t="s">
        <v>1320</v>
      </c>
      <c r="G5" s="298" t="s">
        <v>1321</v>
      </c>
      <c r="H5" s="298" t="s">
        <v>1683</v>
      </c>
      <c r="I5" s="299" t="s">
        <v>1323</v>
      </c>
      <c r="J5" s="110" t="s">
        <v>1813</v>
      </c>
      <c r="K5" s="298" t="s">
        <v>1814</v>
      </c>
      <c r="L5" s="298" t="s">
        <v>1815</v>
      </c>
      <c r="M5" s="298" t="s">
        <v>1816</v>
      </c>
      <c r="N5" s="298" t="s">
        <v>1817</v>
      </c>
      <c r="O5" s="300" t="s">
        <v>1818</v>
      </c>
      <c r="P5" s="297" t="s">
        <v>1320</v>
      </c>
      <c r="Q5" s="298" t="s">
        <v>1321</v>
      </c>
      <c r="R5" s="298" t="s">
        <v>1683</v>
      </c>
      <c r="S5" s="299" t="s">
        <v>1323</v>
      </c>
      <c r="T5" s="110" t="s">
        <v>1813</v>
      </c>
      <c r="U5" s="298" t="s">
        <v>1814</v>
      </c>
      <c r="V5" s="298" t="s">
        <v>1815</v>
      </c>
      <c r="W5" s="298" t="s">
        <v>1816</v>
      </c>
      <c r="X5" s="298" t="s">
        <v>1817</v>
      </c>
      <c r="Y5" s="300" t="s">
        <v>1818</v>
      </c>
    </row>
    <row r="6" spans="1:26" ht="63.75" x14ac:dyDescent="0.2">
      <c r="A6" s="301" t="s">
        <v>1819</v>
      </c>
      <c r="B6" s="302" t="s">
        <v>1820</v>
      </c>
      <c r="C6" s="302" t="s">
        <v>1328</v>
      </c>
      <c r="D6" s="303" t="s">
        <v>1468</v>
      </c>
      <c r="E6" s="304" t="s">
        <v>1821</v>
      </c>
      <c r="F6" s="128" t="s">
        <v>1822</v>
      </c>
      <c r="G6" s="129" t="s">
        <v>1823</v>
      </c>
      <c r="H6" s="120">
        <v>0</v>
      </c>
      <c r="I6" s="121">
        <v>10.67</v>
      </c>
      <c r="J6" s="305">
        <v>45671</v>
      </c>
      <c r="K6" s="306" t="s">
        <v>1824</v>
      </c>
      <c r="L6" s="307" t="s">
        <v>1825</v>
      </c>
      <c r="M6" s="305" t="s">
        <v>1826</v>
      </c>
      <c r="N6" s="307">
        <v>2025</v>
      </c>
      <c r="O6" s="308" t="s">
        <v>1827</v>
      </c>
      <c r="P6" s="128" t="s">
        <v>1828</v>
      </c>
      <c r="Q6" s="129" t="s">
        <v>1829</v>
      </c>
      <c r="R6" s="120">
        <v>2</v>
      </c>
      <c r="S6" s="121">
        <v>20.84</v>
      </c>
      <c r="T6" s="309">
        <v>45856</v>
      </c>
      <c r="U6" s="310" t="s">
        <v>1830</v>
      </c>
      <c r="V6" s="311" t="s">
        <v>1825</v>
      </c>
      <c r="W6" s="309" t="s">
        <v>1831</v>
      </c>
      <c r="X6" s="311">
        <v>2025</v>
      </c>
      <c r="Y6" s="312"/>
    </row>
    <row r="7" spans="1:26" ht="63.75" x14ac:dyDescent="0.2">
      <c r="A7" s="313" t="s">
        <v>1832</v>
      </c>
      <c r="B7" s="228" t="s">
        <v>1833</v>
      </c>
      <c r="C7" s="228" t="s">
        <v>1328</v>
      </c>
      <c r="D7" s="314" t="s">
        <v>1452</v>
      </c>
      <c r="E7" s="315" t="s">
        <v>1834</v>
      </c>
      <c r="F7" s="128" t="s">
        <v>1822</v>
      </c>
      <c r="G7" s="129" t="s">
        <v>1823</v>
      </c>
      <c r="H7" s="120">
        <v>0</v>
      </c>
      <c r="I7" s="121">
        <v>10.67</v>
      </c>
      <c r="J7" s="316">
        <v>45671</v>
      </c>
      <c r="K7" s="317" t="s">
        <v>1835</v>
      </c>
      <c r="L7" s="161" t="s">
        <v>1825</v>
      </c>
      <c r="M7" s="161" t="s">
        <v>1826</v>
      </c>
      <c r="N7" s="161">
        <v>2025</v>
      </c>
      <c r="O7" s="308" t="s">
        <v>1827</v>
      </c>
      <c r="P7" s="128" t="s">
        <v>1828</v>
      </c>
      <c r="Q7" s="129" t="s">
        <v>1829</v>
      </c>
      <c r="R7" s="120">
        <v>1</v>
      </c>
      <c r="S7" s="121">
        <v>15.76</v>
      </c>
      <c r="T7" s="316">
        <v>45856</v>
      </c>
      <c r="U7" s="317" t="s">
        <v>1836</v>
      </c>
      <c r="V7" s="161" t="s">
        <v>1825</v>
      </c>
      <c r="W7" s="309" t="s">
        <v>1831</v>
      </c>
      <c r="X7" s="311">
        <v>2025</v>
      </c>
      <c r="Y7" s="308"/>
    </row>
    <row r="8" spans="1:26" ht="63.75" x14ac:dyDescent="0.2">
      <c r="A8" s="313" t="s">
        <v>1837</v>
      </c>
      <c r="B8" s="228" t="s">
        <v>1838</v>
      </c>
      <c r="C8" s="228" t="s">
        <v>1328</v>
      </c>
      <c r="D8" s="314" t="s">
        <v>1839</v>
      </c>
      <c r="E8" s="315" t="s">
        <v>1840</v>
      </c>
      <c r="F8" s="128" t="s">
        <v>1822</v>
      </c>
      <c r="G8" s="129" t="s">
        <v>1823</v>
      </c>
      <c r="H8" s="120">
        <v>0</v>
      </c>
      <c r="I8" s="121">
        <v>10.67</v>
      </c>
      <c r="J8" s="316">
        <v>45671</v>
      </c>
      <c r="K8" s="317" t="s">
        <v>1841</v>
      </c>
      <c r="L8" s="161" t="s">
        <v>1825</v>
      </c>
      <c r="M8" s="161" t="s">
        <v>1842</v>
      </c>
      <c r="N8" s="161">
        <v>2025</v>
      </c>
      <c r="O8" s="308" t="s">
        <v>1827</v>
      </c>
      <c r="P8" s="128" t="s">
        <v>1828</v>
      </c>
      <c r="Q8" s="129" t="s">
        <v>1829</v>
      </c>
      <c r="R8" s="120">
        <v>145</v>
      </c>
      <c r="S8" s="121">
        <v>747.78</v>
      </c>
      <c r="T8" s="316">
        <v>45856</v>
      </c>
      <c r="U8" s="317" t="s">
        <v>1843</v>
      </c>
      <c r="V8" s="161" t="s">
        <v>1825</v>
      </c>
      <c r="W8" s="309" t="s">
        <v>1831</v>
      </c>
      <c r="X8" s="311">
        <v>2025</v>
      </c>
      <c r="Y8" s="308"/>
    </row>
    <row r="9" spans="1:26" ht="63.75" x14ac:dyDescent="0.2">
      <c r="A9" s="313" t="s">
        <v>1844</v>
      </c>
      <c r="B9" s="228" t="s">
        <v>1845</v>
      </c>
      <c r="C9" s="228" t="s">
        <v>1328</v>
      </c>
      <c r="D9" s="314" t="s">
        <v>1428</v>
      </c>
      <c r="E9" s="315" t="s">
        <v>1846</v>
      </c>
      <c r="F9" s="128" t="s">
        <v>1822</v>
      </c>
      <c r="G9" s="129" t="s">
        <v>1823</v>
      </c>
      <c r="H9" s="120">
        <v>0</v>
      </c>
      <c r="I9" s="121">
        <v>54.02</v>
      </c>
      <c r="J9" s="316">
        <v>45680</v>
      </c>
      <c r="K9" s="317" t="s">
        <v>1847</v>
      </c>
      <c r="L9" s="161" t="s">
        <v>1825</v>
      </c>
      <c r="M9" s="161" t="s">
        <v>1848</v>
      </c>
      <c r="N9" s="161">
        <v>2025</v>
      </c>
      <c r="O9" s="308" t="s">
        <v>1827</v>
      </c>
      <c r="P9" s="128"/>
      <c r="Q9" s="129"/>
      <c r="R9" s="120"/>
      <c r="S9" s="121"/>
      <c r="T9" s="316"/>
      <c r="U9" s="317"/>
      <c r="V9" s="161"/>
      <c r="W9" s="161"/>
      <c r="X9" s="161"/>
      <c r="Y9" s="308"/>
    </row>
    <row r="10" spans="1:26" ht="63.75" x14ac:dyDescent="0.2">
      <c r="A10" s="313" t="s">
        <v>1849</v>
      </c>
      <c r="B10" s="228" t="s">
        <v>1850</v>
      </c>
      <c r="C10" s="228" t="s">
        <v>1328</v>
      </c>
      <c r="D10" s="314" t="s">
        <v>1462</v>
      </c>
      <c r="E10" s="318" t="s">
        <v>1463</v>
      </c>
      <c r="F10" s="128" t="s">
        <v>1851</v>
      </c>
      <c r="G10" s="129" t="s">
        <v>1823</v>
      </c>
      <c r="H10" s="120">
        <v>0</v>
      </c>
      <c r="I10" s="121">
        <v>10.67</v>
      </c>
      <c r="J10" s="316">
        <v>45671</v>
      </c>
      <c r="K10" s="317" t="s">
        <v>1852</v>
      </c>
      <c r="L10" s="161" t="s">
        <v>1825</v>
      </c>
      <c r="M10" s="161" t="s">
        <v>1848</v>
      </c>
      <c r="N10" s="161">
        <v>2025</v>
      </c>
      <c r="O10" s="308" t="s">
        <v>1827</v>
      </c>
      <c r="P10" s="128" t="s">
        <v>1828</v>
      </c>
      <c r="Q10" s="129" t="s">
        <v>1829</v>
      </c>
      <c r="R10" s="120">
        <v>112</v>
      </c>
      <c r="S10" s="121">
        <v>579.98</v>
      </c>
      <c r="T10" s="316">
        <v>45856</v>
      </c>
      <c r="U10" s="317" t="s">
        <v>1853</v>
      </c>
      <c r="V10" s="161" t="s">
        <v>1825</v>
      </c>
      <c r="W10" s="161" t="s">
        <v>1854</v>
      </c>
      <c r="X10" s="311">
        <v>2025</v>
      </c>
      <c r="Y10" s="308"/>
    </row>
    <row r="11" spans="1:26" s="471" customFormat="1" ht="38.25" x14ac:dyDescent="0.2">
      <c r="A11" s="472" t="s">
        <v>1855</v>
      </c>
      <c r="B11" s="473" t="s">
        <v>1856</v>
      </c>
      <c r="C11" s="473" t="s">
        <v>1328</v>
      </c>
      <c r="D11" s="474" t="s">
        <v>1857</v>
      </c>
      <c r="E11" s="475" t="s">
        <v>1858</v>
      </c>
      <c r="F11" s="476"/>
      <c r="G11" s="477"/>
      <c r="H11" s="478"/>
      <c r="I11" s="479"/>
      <c r="J11" s="480"/>
      <c r="K11" s="481"/>
      <c r="L11" s="482"/>
      <c r="M11" s="482"/>
      <c r="N11" s="482"/>
      <c r="O11" s="483"/>
      <c r="P11" s="476" t="s">
        <v>1828</v>
      </c>
      <c r="Q11" s="477" t="s">
        <v>1829</v>
      </c>
      <c r="R11" s="478">
        <v>1086</v>
      </c>
      <c r="S11" s="479">
        <v>5530.99</v>
      </c>
      <c r="T11" s="484">
        <v>45856</v>
      </c>
      <c r="U11" s="165" t="s">
        <v>1859</v>
      </c>
      <c r="V11" s="166" t="s">
        <v>1825</v>
      </c>
      <c r="W11" s="166" t="s">
        <v>1860</v>
      </c>
      <c r="X11" s="482"/>
      <c r="Y11" s="485"/>
    </row>
    <row r="12" spans="1:26" ht="63.75" x14ac:dyDescent="0.2">
      <c r="A12" s="313" t="s">
        <v>1861</v>
      </c>
      <c r="B12" s="228" t="s">
        <v>1862</v>
      </c>
      <c r="C12" s="228" t="s">
        <v>1328</v>
      </c>
      <c r="D12" s="314" t="s">
        <v>1398</v>
      </c>
      <c r="E12" s="315" t="s">
        <v>1863</v>
      </c>
      <c r="F12" s="128" t="s">
        <v>1822</v>
      </c>
      <c r="G12" s="129" t="s">
        <v>1823</v>
      </c>
      <c r="H12" s="120">
        <v>0</v>
      </c>
      <c r="I12" s="121">
        <v>403.28</v>
      </c>
      <c r="J12" s="316">
        <v>45671</v>
      </c>
      <c r="K12" s="317" t="s">
        <v>1864</v>
      </c>
      <c r="L12" s="161" t="s">
        <v>1825</v>
      </c>
      <c r="M12" s="161" t="s">
        <v>1826</v>
      </c>
      <c r="N12" s="161">
        <v>2025</v>
      </c>
      <c r="O12" s="308" t="s">
        <v>1827</v>
      </c>
      <c r="P12" s="128" t="s">
        <v>1828</v>
      </c>
      <c r="Q12" s="129" t="s">
        <v>1829</v>
      </c>
      <c r="R12" s="120">
        <v>413</v>
      </c>
      <c r="S12" s="121">
        <v>2502.62</v>
      </c>
      <c r="T12" s="316">
        <v>45856</v>
      </c>
      <c r="U12" s="317" t="s">
        <v>1865</v>
      </c>
      <c r="V12" s="161" t="s">
        <v>1825</v>
      </c>
      <c r="W12" s="161" t="s">
        <v>1866</v>
      </c>
      <c r="X12" s="311">
        <v>2025</v>
      </c>
      <c r="Y12" s="308"/>
    </row>
    <row r="13" spans="1:26" ht="63.75" x14ac:dyDescent="0.2">
      <c r="A13" s="313" t="s">
        <v>1867</v>
      </c>
      <c r="B13" s="228" t="s">
        <v>1868</v>
      </c>
      <c r="C13" s="228" t="s">
        <v>1328</v>
      </c>
      <c r="D13" s="314" t="s">
        <v>1456</v>
      </c>
      <c r="E13" s="315" t="s">
        <v>1869</v>
      </c>
      <c r="F13" s="128" t="s">
        <v>1822</v>
      </c>
      <c r="G13" s="129" t="s">
        <v>1823</v>
      </c>
      <c r="H13" s="120">
        <v>0</v>
      </c>
      <c r="I13" s="121">
        <v>5.62</v>
      </c>
      <c r="J13" s="316">
        <v>45671</v>
      </c>
      <c r="K13" s="317" t="s">
        <v>1870</v>
      </c>
      <c r="L13" s="161" t="s">
        <v>1825</v>
      </c>
      <c r="M13" s="161" t="s">
        <v>1848</v>
      </c>
      <c r="N13" s="161">
        <v>2025</v>
      </c>
      <c r="O13" s="308" t="s">
        <v>1827</v>
      </c>
      <c r="P13" s="128" t="s">
        <v>1828</v>
      </c>
      <c r="Q13" s="129" t="s">
        <v>1829</v>
      </c>
      <c r="R13" s="120">
        <v>1</v>
      </c>
      <c r="S13" s="121">
        <v>15.76</v>
      </c>
      <c r="T13" s="316">
        <v>45856</v>
      </c>
      <c r="U13" s="317" t="s">
        <v>1871</v>
      </c>
      <c r="V13" s="161" t="s">
        <v>1825</v>
      </c>
      <c r="W13" s="161" t="s">
        <v>1854</v>
      </c>
      <c r="X13" s="311">
        <v>2025</v>
      </c>
      <c r="Y13" s="308"/>
    </row>
    <row r="14" spans="1:26" ht="63.75" x14ac:dyDescent="0.2">
      <c r="A14" s="313" t="s">
        <v>1872</v>
      </c>
      <c r="B14" s="228" t="s">
        <v>1873</v>
      </c>
      <c r="C14" s="228" t="s">
        <v>1328</v>
      </c>
      <c r="D14" s="314" t="s">
        <v>1448</v>
      </c>
      <c r="E14" s="315" t="s">
        <v>1874</v>
      </c>
      <c r="F14" s="128" t="s">
        <v>1822</v>
      </c>
      <c r="G14" s="129" t="s">
        <v>1823</v>
      </c>
      <c r="H14" s="120">
        <v>0</v>
      </c>
      <c r="I14" s="121">
        <v>10.67</v>
      </c>
      <c r="J14" s="316">
        <v>45671</v>
      </c>
      <c r="K14" s="317" t="s">
        <v>1875</v>
      </c>
      <c r="L14" s="161" t="s">
        <v>1825</v>
      </c>
      <c r="M14" s="161" t="s">
        <v>1826</v>
      </c>
      <c r="N14" s="161">
        <v>2025</v>
      </c>
      <c r="O14" s="308" t="s">
        <v>1827</v>
      </c>
      <c r="P14" s="128"/>
      <c r="Q14" s="129" t="s">
        <v>1829</v>
      </c>
      <c r="R14" s="120">
        <v>0</v>
      </c>
      <c r="S14" s="121">
        <v>10.67</v>
      </c>
      <c r="T14" s="316">
        <v>45856</v>
      </c>
      <c r="U14" s="317" t="s">
        <v>1876</v>
      </c>
      <c r="V14" s="161" t="s">
        <v>1825</v>
      </c>
      <c r="W14" s="316" t="s">
        <v>1831</v>
      </c>
      <c r="X14" s="311">
        <v>2025</v>
      </c>
      <c r="Y14" s="308"/>
    </row>
    <row r="15" spans="1:26" s="471" customFormat="1" ht="63.75" x14ac:dyDescent="0.2">
      <c r="A15" s="472" t="s">
        <v>1877</v>
      </c>
      <c r="B15" s="473" t="s">
        <v>1878</v>
      </c>
      <c r="C15" s="473" t="s">
        <v>1328</v>
      </c>
      <c r="D15" s="474" t="s">
        <v>1879</v>
      </c>
      <c r="E15" s="475" t="s">
        <v>1880</v>
      </c>
      <c r="F15" s="476" t="s">
        <v>1822</v>
      </c>
      <c r="G15" s="477" t="s">
        <v>1823</v>
      </c>
      <c r="H15" s="478">
        <v>0</v>
      </c>
      <c r="I15" s="479">
        <v>879.26</v>
      </c>
      <c r="J15" s="484">
        <v>45680</v>
      </c>
      <c r="K15" s="165" t="s">
        <v>1881</v>
      </c>
      <c r="L15" s="166" t="s">
        <v>1825</v>
      </c>
      <c r="M15" s="166" t="s">
        <v>1826</v>
      </c>
      <c r="N15" s="166">
        <v>2025</v>
      </c>
      <c r="O15" s="485" t="s">
        <v>1827</v>
      </c>
      <c r="P15" s="476" t="s">
        <v>1828</v>
      </c>
      <c r="Q15" s="477" t="s">
        <v>1829</v>
      </c>
      <c r="R15" s="478">
        <v>709</v>
      </c>
      <c r="S15" s="479">
        <v>4483.21</v>
      </c>
      <c r="T15" s="484">
        <v>45856</v>
      </c>
      <c r="U15" s="165" t="s">
        <v>1882</v>
      </c>
      <c r="V15" s="166" t="s">
        <v>1825</v>
      </c>
      <c r="W15" s="166" t="s">
        <v>1860</v>
      </c>
      <c r="X15" s="482"/>
      <c r="Y15" s="485"/>
    </row>
    <row r="16" spans="1:26" ht="63.75" x14ac:dyDescent="0.2">
      <c r="A16" s="313" t="s">
        <v>1883</v>
      </c>
      <c r="B16" s="228" t="s">
        <v>1884</v>
      </c>
      <c r="C16" s="228" t="s">
        <v>1328</v>
      </c>
      <c r="D16" s="314" t="s">
        <v>1473</v>
      </c>
      <c r="E16" s="315" t="s">
        <v>1885</v>
      </c>
      <c r="F16" s="128" t="s">
        <v>1822</v>
      </c>
      <c r="G16" s="129" t="s">
        <v>1823</v>
      </c>
      <c r="H16" s="120">
        <v>0</v>
      </c>
      <c r="I16" s="121">
        <v>10.67</v>
      </c>
      <c r="J16" s="316">
        <v>45680</v>
      </c>
      <c r="K16" s="317" t="s">
        <v>1886</v>
      </c>
      <c r="L16" s="161" t="s">
        <v>1825</v>
      </c>
      <c r="M16" s="161" t="s">
        <v>1887</v>
      </c>
      <c r="N16" s="161">
        <v>2025</v>
      </c>
      <c r="O16" s="308" t="s">
        <v>1827</v>
      </c>
      <c r="P16" s="128" t="s">
        <v>1828</v>
      </c>
      <c r="Q16" s="129" t="s">
        <v>1829</v>
      </c>
      <c r="R16" s="120">
        <v>175</v>
      </c>
      <c r="S16" s="121">
        <v>900.25</v>
      </c>
      <c r="T16" s="316">
        <v>45856</v>
      </c>
      <c r="U16" s="317" t="s">
        <v>1888</v>
      </c>
      <c r="V16" s="161" t="s">
        <v>1825</v>
      </c>
      <c r="W16" s="161" t="s">
        <v>1854</v>
      </c>
      <c r="X16" s="311">
        <v>2025</v>
      </c>
      <c r="Y16" s="308"/>
    </row>
    <row r="17" spans="1:25" s="471" customFormat="1" ht="30" x14ac:dyDescent="0.2">
      <c r="A17" s="472" t="s">
        <v>1889</v>
      </c>
      <c r="B17" s="473" t="s">
        <v>1890</v>
      </c>
      <c r="C17" s="473" t="s">
        <v>1328</v>
      </c>
      <c r="D17" s="474" t="s">
        <v>1381</v>
      </c>
      <c r="E17" s="475" t="s">
        <v>1891</v>
      </c>
      <c r="F17" s="476"/>
      <c r="G17" s="477"/>
      <c r="H17" s="478"/>
      <c r="I17" s="479"/>
      <c r="J17" s="484"/>
      <c r="K17" s="165"/>
      <c r="L17" s="166"/>
      <c r="M17" s="166"/>
      <c r="N17" s="166"/>
      <c r="O17" s="485"/>
      <c r="P17" s="476" t="s">
        <v>1828</v>
      </c>
      <c r="Q17" s="477" t="s">
        <v>1829</v>
      </c>
      <c r="R17" s="478">
        <v>227</v>
      </c>
      <c r="S17" s="479">
        <v>1304.51</v>
      </c>
      <c r="T17" s="484">
        <v>45856</v>
      </c>
      <c r="U17" s="165" t="s">
        <v>1892</v>
      </c>
      <c r="V17" s="166" t="s">
        <v>1825</v>
      </c>
      <c r="W17" s="166" t="s">
        <v>1893</v>
      </c>
      <c r="X17" s="482">
        <v>2025</v>
      </c>
      <c r="Y17" s="485"/>
    </row>
    <row r="18" spans="1:25" s="471" customFormat="1" ht="30" x14ac:dyDescent="0.2">
      <c r="A18" s="472" t="s">
        <v>1894</v>
      </c>
      <c r="B18" s="473" t="s">
        <v>1895</v>
      </c>
      <c r="C18" s="473" t="s">
        <v>1328</v>
      </c>
      <c r="D18" s="474" t="s">
        <v>1896</v>
      </c>
      <c r="E18" s="475" t="s">
        <v>1897</v>
      </c>
      <c r="F18" s="476"/>
      <c r="G18" s="477"/>
      <c r="H18" s="478"/>
      <c r="I18" s="479"/>
      <c r="J18" s="484"/>
      <c r="K18" s="165"/>
      <c r="L18" s="166"/>
      <c r="M18" s="166"/>
      <c r="N18" s="166"/>
      <c r="O18" s="485"/>
      <c r="P18" s="476" t="s">
        <v>1828</v>
      </c>
      <c r="Q18" s="477" t="s">
        <v>1829</v>
      </c>
      <c r="R18" s="478">
        <v>337</v>
      </c>
      <c r="S18" s="479">
        <v>2116.31</v>
      </c>
      <c r="T18" s="484">
        <v>45856</v>
      </c>
      <c r="U18" s="165" t="s">
        <v>1898</v>
      </c>
      <c r="V18" s="166" t="s">
        <v>1825</v>
      </c>
      <c r="W18" s="166" t="s">
        <v>1866</v>
      </c>
      <c r="X18" s="482">
        <v>2025</v>
      </c>
      <c r="Y18" s="485"/>
    </row>
    <row r="19" spans="1:25" ht="63.75" x14ac:dyDescent="0.2">
      <c r="A19" s="313" t="s">
        <v>1899</v>
      </c>
      <c r="B19" s="228" t="s">
        <v>1900</v>
      </c>
      <c r="C19" s="228" t="s">
        <v>1328</v>
      </c>
      <c r="D19" s="314" t="s">
        <v>1901</v>
      </c>
      <c r="E19" s="315" t="s">
        <v>1902</v>
      </c>
      <c r="F19" s="128" t="s">
        <v>1822</v>
      </c>
      <c r="G19" s="129" t="s">
        <v>1823</v>
      </c>
      <c r="H19" s="120">
        <v>0</v>
      </c>
      <c r="I19" s="121">
        <v>879.26</v>
      </c>
      <c r="J19" s="316">
        <v>45671</v>
      </c>
      <c r="K19" s="317" t="s">
        <v>1903</v>
      </c>
      <c r="L19" s="161" t="s">
        <v>1825</v>
      </c>
      <c r="M19" s="161" t="s">
        <v>1826</v>
      </c>
      <c r="N19" s="161">
        <v>2025</v>
      </c>
      <c r="O19" s="308" t="s">
        <v>1827</v>
      </c>
      <c r="P19" s="128" t="s">
        <v>1828</v>
      </c>
      <c r="Q19" s="129" t="s">
        <v>1829</v>
      </c>
      <c r="R19" s="120">
        <v>1875</v>
      </c>
      <c r="S19" s="121">
        <v>10410.17</v>
      </c>
      <c r="T19" s="316">
        <v>45856</v>
      </c>
      <c r="U19" s="317" t="s">
        <v>1904</v>
      </c>
      <c r="V19" s="161" t="s">
        <v>1825</v>
      </c>
      <c r="W19" s="161" t="s">
        <v>1860</v>
      </c>
      <c r="X19" s="311"/>
      <c r="Y19" s="308"/>
    </row>
    <row r="20" spans="1:25" s="471" customFormat="1" ht="30" x14ac:dyDescent="0.2">
      <c r="A20" s="472" t="s">
        <v>1905</v>
      </c>
      <c r="B20" s="473" t="s">
        <v>1906</v>
      </c>
      <c r="C20" s="473" t="s">
        <v>1328</v>
      </c>
      <c r="D20" s="474" t="s">
        <v>1402</v>
      </c>
      <c r="E20" s="475" t="s">
        <v>1907</v>
      </c>
      <c r="F20" s="476"/>
      <c r="G20" s="477"/>
      <c r="H20" s="478"/>
      <c r="I20" s="479"/>
      <c r="J20" s="484"/>
      <c r="K20" s="165"/>
      <c r="L20" s="166"/>
      <c r="M20" s="166"/>
      <c r="N20" s="166"/>
      <c r="O20" s="485"/>
      <c r="P20" s="476" t="s">
        <v>1828</v>
      </c>
      <c r="Q20" s="477" t="s">
        <v>1829</v>
      </c>
      <c r="R20" s="478">
        <v>225</v>
      </c>
      <c r="S20" s="479">
        <v>1294.3399999999999</v>
      </c>
      <c r="T20" s="484">
        <v>45856</v>
      </c>
      <c r="U20" s="165" t="s">
        <v>1908</v>
      </c>
      <c r="V20" s="166" t="s">
        <v>1825</v>
      </c>
      <c r="W20" s="166" t="s">
        <v>1866</v>
      </c>
      <c r="X20" s="482">
        <v>2025</v>
      </c>
      <c r="Y20" s="485"/>
    </row>
    <row r="21" spans="1:25" ht="140.25" x14ac:dyDescent="0.2">
      <c r="A21" s="313" t="s">
        <v>1909</v>
      </c>
      <c r="B21" s="228" t="s">
        <v>1910</v>
      </c>
      <c r="C21" s="228" t="s">
        <v>1911</v>
      </c>
      <c r="D21" s="314" t="s">
        <v>1354</v>
      </c>
      <c r="E21" s="315" t="s">
        <v>1912</v>
      </c>
      <c r="F21" s="128" t="s">
        <v>1828</v>
      </c>
      <c r="G21" s="129" t="s">
        <v>1823</v>
      </c>
      <c r="H21" s="120">
        <v>0</v>
      </c>
      <c r="I21" s="121">
        <v>403.28</v>
      </c>
      <c r="J21" s="316">
        <v>45671</v>
      </c>
      <c r="K21" s="317" t="s">
        <v>1913</v>
      </c>
      <c r="L21" s="161" t="s">
        <v>1825</v>
      </c>
      <c r="M21" s="161" t="s">
        <v>1826</v>
      </c>
      <c r="N21" s="161">
        <v>2025</v>
      </c>
      <c r="O21" s="308" t="s">
        <v>1827</v>
      </c>
      <c r="P21" s="128" t="s">
        <v>1828</v>
      </c>
      <c r="Q21" s="129" t="s">
        <v>1829</v>
      </c>
      <c r="R21" s="120">
        <v>1283</v>
      </c>
      <c r="S21" s="121">
        <v>6924.97</v>
      </c>
      <c r="T21" s="316">
        <v>45856</v>
      </c>
      <c r="U21" s="317" t="s">
        <v>1914</v>
      </c>
      <c r="V21" s="161" t="s">
        <v>1825</v>
      </c>
      <c r="W21" s="319" t="s">
        <v>1915</v>
      </c>
      <c r="X21" s="319"/>
      <c r="Y21" s="320" t="s">
        <v>1916</v>
      </c>
    </row>
    <row r="22" spans="1:25" ht="76.5" x14ac:dyDescent="0.2">
      <c r="A22" s="321" t="s">
        <v>1917</v>
      </c>
      <c r="B22" s="322" t="s">
        <v>1918</v>
      </c>
      <c r="C22" s="322" t="s">
        <v>1328</v>
      </c>
      <c r="D22" s="323" t="s">
        <v>1354</v>
      </c>
      <c r="E22" s="324" t="s">
        <v>1919</v>
      </c>
      <c r="F22" s="325"/>
      <c r="G22" s="326"/>
      <c r="H22" s="327"/>
      <c r="I22" s="328"/>
      <c r="J22" s="329"/>
      <c r="K22" s="330"/>
      <c r="L22" s="331"/>
      <c r="M22" s="331"/>
      <c r="N22" s="331"/>
      <c r="O22" s="332"/>
      <c r="P22" s="325"/>
      <c r="Q22" s="326"/>
      <c r="R22" s="327"/>
      <c r="S22" s="328"/>
      <c r="T22" s="329"/>
      <c r="U22" s="317"/>
      <c r="V22" s="331"/>
      <c r="W22" s="331"/>
      <c r="X22" s="331"/>
      <c r="Y22" s="332" t="s">
        <v>1920</v>
      </c>
    </row>
    <row r="23" spans="1:25" ht="63.75" x14ac:dyDescent="0.2">
      <c r="A23" s="313" t="s">
        <v>1921</v>
      </c>
      <c r="B23" s="228" t="s">
        <v>1922</v>
      </c>
      <c r="C23" s="228" t="s">
        <v>1328</v>
      </c>
      <c r="D23" s="314" t="s">
        <v>1360</v>
      </c>
      <c r="E23" s="315" t="s">
        <v>1923</v>
      </c>
      <c r="F23" s="128" t="s">
        <v>1822</v>
      </c>
      <c r="G23" s="129" t="s">
        <v>1823</v>
      </c>
      <c r="H23" s="120">
        <v>0</v>
      </c>
      <c r="I23" s="121">
        <v>403.28</v>
      </c>
      <c r="J23" s="316">
        <v>45671</v>
      </c>
      <c r="K23" s="317" t="s">
        <v>1924</v>
      </c>
      <c r="L23" s="161" t="s">
        <v>1825</v>
      </c>
      <c r="M23" s="161" t="s">
        <v>1826</v>
      </c>
      <c r="N23" s="161">
        <v>2025</v>
      </c>
      <c r="O23" s="308" t="s">
        <v>1827</v>
      </c>
      <c r="P23" s="128" t="s">
        <v>1828</v>
      </c>
      <c r="Q23" s="129" t="s">
        <v>1829</v>
      </c>
      <c r="R23" s="120">
        <v>627</v>
      </c>
      <c r="S23" s="121">
        <v>3590.42</v>
      </c>
      <c r="T23" s="316">
        <v>45856</v>
      </c>
      <c r="U23" s="317" t="s">
        <v>1925</v>
      </c>
      <c r="V23" s="161" t="s">
        <v>1825</v>
      </c>
      <c r="W23" s="161" t="s">
        <v>1866</v>
      </c>
      <c r="X23" s="311">
        <v>2025</v>
      </c>
      <c r="Y23" s="308"/>
    </row>
    <row r="24" spans="1:25" ht="63.75" x14ac:dyDescent="0.2">
      <c r="A24" s="313" t="s">
        <v>1926</v>
      </c>
      <c r="B24" s="228" t="s">
        <v>1927</v>
      </c>
      <c r="C24" s="228" t="s">
        <v>1328</v>
      </c>
      <c r="D24" s="314" t="s">
        <v>1587</v>
      </c>
      <c r="E24" s="315" t="s">
        <v>1928</v>
      </c>
      <c r="F24" s="128" t="s">
        <v>1822</v>
      </c>
      <c r="G24" s="129" t="s">
        <v>1823</v>
      </c>
      <c r="H24" s="120">
        <v>0</v>
      </c>
      <c r="I24" s="121">
        <v>54.02</v>
      </c>
      <c r="J24" s="316">
        <v>45671</v>
      </c>
      <c r="K24" s="317" t="s">
        <v>1929</v>
      </c>
      <c r="L24" s="161" t="s">
        <v>1825</v>
      </c>
      <c r="M24" s="161" t="s">
        <v>1842</v>
      </c>
      <c r="N24" s="161">
        <v>2025</v>
      </c>
      <c r="O24" s="308" t="s">
        <v>1827</v>
      </c>
      <c r="P24" s="128" t="s">
        <v>1828</v>
      </c>
      <c r="Q24" s="129" t="s">
        <v>1829</v>
      </c>
      <c r="R24" s="120">
        <v>56</v>
      </c>
      <c r="S24" s="121">
        <v>338.68</v>
      </c>
      <c r="T24" s="316">
        <v>45856</v>
      </c>
      <c r="U24" s="317" t="s">
        <v>1930</v>
      </c>
      <c r="V24" s="161" t="s">
        <v>1825</v>
      </c>
      <c r="W24" s="161" t="s">
        <v>1854</v>
      </c>
      <c r="X24" s="311">
        <v>2025</v>
      </c>
      <c r="Y24" s="308"/>
    </row>
    <row r="25" spans="1:25" ht="25.5" x14ac:dyDescent="0.2">
      <c r="A25" s="671" t="s">
        <v>1931</v>
      </c>
      <c r="B25" s="634" t="s">
        <v>1932</v>
      </c>
      <c r="C25" s="634" t="s">
        <v>1328</v>
      </c>
      <c r="D25" s="675" t="s">
        <v>1933</v>
      </c>
      <c r="E25" s="678" t="s">
        <v>1934</v>
      </c>
      <c r="F25" s="531" t="s">
        <v>1822</v>
      </c>
      <c r="G25" s="533" t="s">
        <v>1823</v>
      </c>
      <c r="H25" s="535">
        <v>0</v>
      </c>
      <c r="I25" s="541">
        <v>10.67</v>
      </c>
      <c r="J25" s="659">
        <v>45671</v>
      </c>
      <c r="K25" s="662" t="s">
        <v>1935</v>
      </c>
      <c r="L25" s="665" t="s">
        <v>1825</v>
      </c>
      <c r="M25" s="665" t="s">
        <v>1826</v>
      </c>
      <c r="N25" s="687">
        <v>2025</v>
      </c>
      <c r="O25" s="684" t="s">
        <v>1827</v>
      </c>
      <c r="P25" s="531" t="s">
        <v>1828</v>
      </c>
      <c r="Q25" s="533" t="s">
        <v>1829</v>
      </c>
      <c r="R25" s="120">
        <v>392</v>
      </c>
      <c r="S25" s="121">
        <v>2003.29</v>
      </c>
      <c r="T25" s="316">
        <v>45856</v>
      </c>
      <c r="U25" s="317" t="s">
        <v>1936</v>
      </c>
      <c r="V25" s="161" t="s">
        <v>1825</v>
      </c>
      <c r="W25" s="161" t="s">
        <v>1866</v>
      </c>
      <c r="X25" s="311">
        <v>2025</v>
      </c>
      <c r="Y25" s="308"/>
    </row>
    <row r="26" spans="1:25" x14ac:dyDescent="0.2">
      <c r="A26" s="672"/>
      <c r="B26" s="674"/>
      <c r="C26" s="674"/>
      <c r="D26" s="676"/>
      <c r="E26" s="679"/>
      <c r="F26" s="681"/>
      <c r="G26" s="682"/>
      <c r="H26" s="683"/>
      <c r="I26" s="658"/>
      <c r="J26" s="660"/>
      <c r="K26" s="663"/>
      <c r="L26" s="666"/>
      <c r="M26" s="666"/>
      <c r="N26" s="688"/>
      <c r="O26" s="685"/>
      <c r="P26" s="532"/>
      <c r="Q26" s="534"/>
      <c r="R26" s="120"/>
      <c r="S26" s="121"/>
      <c r="T26" s="316"/>
      <c r="U26" s="317"/>
      <c r="V26" s="161"/>
      <c r="W26" s="161"/>
      <c r="X26" s="161"/>
      <c r="Y26" s="308"/>
    </row>
    <row r="27" spans="1:25" x14ac:dyDescent="0.2">
      <c r="A27" s="673"/>
      <c r="B27" s="635"/>
      <c r="C27" s="635"/>
      <c r="D27" s="677"/>
      <c r="E27" s="680"/>
      <c r="F27" s="532"/>
      <c r="G27" s="534"/>
      <c r="H27" s="536"/>
      <c r="I27" s="542"/>
      <c r="J27" s="661"/>
      <c r="K27" s="664"/>
      <c r="L27" s="667"/>
      <c r="M27" s="667"/>
      <c r="N27" s="689"/>
      <c r="O27" s="686"/>
      <c r="P27" s="128"/>
      <c r="Q27" s="129"/>
      <c r="R27" s="120"/>
      <c r="S27" s="121"/>
      <c r="T27" s="316"/>
      <c r="U27" s="317"/>
      <c r="V27" s="161"/>
      <c r="W27" s="161"/>
      <c r="X27" s="161"/>
      <c r="Y27" s="308"/>
    </row>
    <row r="28" spans="1:25" ht="63.75" x14ac:dyDescent="0.2">
      <c r="A28" s="313" t="s">
        <v>1937</v>
      </c>
      <c r="B28" s="228" t="s">
        <v>1938</v>
      </c>
      <c r="C28" s="228" t="s">
        <v>1328</v>
      </c>
      <c r="D28" s="314" t="s">
        <v>1492</v>
      </c>
      <c r="E28" s="333" t="s">
        <v>1939</v>
      </c>
      <c r="F28" s="128" t="s">
        <v>1822</v>
      </c>
      <c r="G28" s="129" t="s">
        <v>1823</v>
      </c>
      <c r="H28" s="120">
        <v>0</v>
      </c>
      <c r="I28" s="121">
        <v>10.67</v>
      </c>
      <c r="J28" s="309">
        <v>45671</v>
      </c>
      <c r="K28" s="310" t="s">
        <v>1940</v>
      </c>
      <c r="L28" s="311" t="s">
        <v>1825</v>
      </c>
      <c r="M28" s="311" t="s">
        <v>1826</v>
      </c>
      <c r="N28" s="311">
        <v>2025</v>
      </c>
      <c r="O28" s="308" t="s">
        <v>1827</v>
      </c>
      <c r="P28" s="128" t="s">
        <v>1828</v>
      </c>
      <c r="Q28" s="129" t="s">
        <v>1829</v>
      </c>
      <c r="R28" s="120">
        <v>32</v>
      </c>
      <c r="S28" s="121">
        <v>173.33</v>
      </c>
      <c r="T28" s="316">
        <v>45856</v>
      </c>
      <c r="U28" s="317" t="s">
        <v>1941</v>
      </c>
      <c r="V28" s="161" t="s">
        <v>1825</v>
      </c>
      <c r="W28" s="161" t="s">
        <v>1854</v>
      </c>
      <c r="X28" s="311">
        <v>2025</v>
      </c>
      <c r="Y28" s="308"/>
    </row>
    <row r="29" spans="1:25" ht="30" x14ac:dyDescent="0.2">
      <c r="A29" s="313" t="s">
        <v>1942</v>
      </c>
      <c r="B29" s="228" t="s">
        <v>1943</v>
      </c>
      <c r="C29" s="228" t="s">
        <v>1944</v>
      </c>
      <c r="D29" s="314" t="s">
        <v>1945</v>
      </c>
      <c r="E29" s="315" t="s">
        <v>1946</v>
      </c>
      <c r="F29" s="128"/>
      <c r="G29" s="129"/>
      <c r="H29" s="120"/>
      <c r="I29" s="121"/>
      <c r="J29" s="316"/>
      <c r="K29" s="317"/>
      <c r="L29" s="161"/>
      <c r="M29" s="161"/>
      <c r="N29" s="161"/>
      <c r="O29" s="308"/>
      <c r="P29" s="128" t="s">
        <v>1828</v>
      </c>
      <c r="Q29" s="129" t="s">
        <v>1829</v>
      </c>
      <c r="R29" s="120">
        <v>28</v>
      </c>
      <c r="S29" s="121">
        <v>78.67</v>
      </c>
      <c r="T29" s="316">
        <v>45856</v>
      </c>
      <c r="U29" s="317" t="s">
        <v>1947</v>
      </c>
      <c r="V29" s="161" t="s">
        <v>1825</v>
      </c>
      <c r="W29" s="161" t="s">
        <v>1854</v>
      </c>
      <c r="X29" s="311">
        <v>2025</v>
      </c>
      <c r="Y29" s="308"/>
    </row>
    <row r="30" spans="1:25" ht="63.75" x14ac:dyDescent="0.2">
      <c r="A30" s="313" t="s">
        <v>1948</v>
      </c>
      <c r="B30" s="228" t="s">
        <v>1949</v>
      </c>
      <c r="C30" s="228" t="s">
        <v>1911</v>
      </c>
      <c r="D30" s="314" t="s">
        <v>1950</v>
      </c>
      <c r="E30" s="315" t="s">
        <v>1951</v>
      </c>
      <c r="F30" s="128" t="s">
        <v>1822</v>
      </c>
      <c r="G30" s="129" t="s">
        <v>1823</v>
      </c>
      <c r="H30" s="120">
        <v>0</v>
      </c>
      <c r="I30" s="121">
        <v>54.02</v>
      </c>
      <c r="J30" s="316">
        <v>45680</v>
      </c>
      <c r="K30" s="317" t="s">
        <v>1952</v>
      </c>
      <c r="L30" s="161" t="s">
        <v>1825</v>
      </c>
      <c r="M30" s="161" t="s">
        <v>1953</v>
      </c>
      <c r="N30" s="161">
        <v>2025</v>
      </c>
      <c r="O30" s="308" t="s">
        <v>1827</v>
      </c>
      <c r="P30" s="128" t="s">
        <v>1828</v>
      </c>
      <c r="Q30" s="129" t="s">
        <v>1829</v>
      </c>
      <c r="R30" s="120">
        <v>32</v>
      </c>
      <c r="S30" s="121">
        <v>216.68</v>
      </c>
      <c r="T30" s="316">
        <v>45856</v>
      </c>
      <c r="U30" s="317" t="s">
        <v>1954</v>
      </c>
      <c r="V30" s="161" t="s">
        <v>1825</v>
      </c>
      <c r="W30" s="161" t="s">
        <v>1955</v>
      </c>
      <c r="X30" s="311">
        <v>2025</v>
      </c>
      <c r="Y30" s="308"/>
    </row>
    <row r="31" spans="1:25" ht="63.75" x14ac:dyDescent="0.2">
      <c r="A31" s="313" t="s">
        <v>1956</v>
      </c>
      <c r="B31" s="228" t="s">
        <v>1957</v>
      </c>
      <c r="C31" s="228" t="s">
        <v>1958</v>
      </c>
      <c r="D31" s="314" t="s">
        <v>1484</v>
      </c>
      <c r="E31" s="315" t="s">
        <v>1959</v>
      </c>
      <c r="F31" s="128" t="s">
        <v>1822</v>
      </c>
      <c r="G31" s="129" t="s">
        <v>1823</v>
      </c>
      <c r="H31" s="120">
        <v>0</v>
      </c>
      <c r="I31" s="121">
        <v>10.67</v>
      </c>
      <c r="J31" s="316">
        <v>45671</v>
      </c>
      <c r="K31" s="317" t="s">
        <v>1960</v>
      </c>
      <c r="L31" s="316" t="s">
        <v>1825</v>
      </c>
      <c r="M31" s="161" t="s">
        <v>1826</v>
      </c>
      <c r="N31" s="161">
        <v>2025</v>
      </c>
      <c r="O31" s="308" t="s">
        <v>1827</v>
      </c>
      <c r="P31" s="128" t="s">
        <v>1828</v>
      </c>
      <c r="Q31" s="129" t="s">
        <v>1829</v>
      </c>
      <c r="R31" s="120">
        <v>273</v>
      </c>
      <c r="S31" s="121">
        <v>673.63</v>
      </c>
      <c r="T31" s="316">
        <v>45856</v>
      </c>
      <c r="U31" s="317" t="s">
        <v>1961</v>
      </c>
      <c r="V31" s="161" t="s">
        <v>1825</v>
      </c>
      <c r="W31" s="161" t="s">
        <v>1831</v>
      </c>
      <c r="X31" s="311">
        <v>2025</v>
      </c>
      <c r="Y31" s="308"/>
    </row>
    <row r="32" spans="1:25" ht="63.75" x14ac:dyDescent="0.2">
      <c r="A32" s="313" t="s">
        <v>1962</v>
      </c>
      <c r="B32" s="228" t="s">
        <v>1963</v>
      </c>
      <c r="C32" s="228" t="s">
        <v>1911</v>
      </c>
      <c r="D32" s="314" t="s">
        <v>1964</v>
      </c>
      <c r="E32" s="315" t="s">
        <v>1965</v>
      </c>
      <c r="F32" s="128" t="s">
        <v>1822</v>
      </c>
      <c r="G32" s="129" t="s">
        <v>1823</v>
      </c>
      <c r="H32" s="120">
        <v>0</v>
      </c>
      <c r="I32" s="121">
        <v>10.67</v>
      </c>
      <c r="J32" s="316">
        <v>45671</v>
      </c>
      <c r="K32" s="317" t="s">
        <v>1966</v>
      </c>
      <c r="L32" s="161" t="s">
        <v>1825</v>
      </c>
      <c r="M32" s="161" t="s">
        <v>1826</v>
      </c>
      <c r="N32" s="161">
        <v>2025</v>
      </c>
      <c r="O32" s="308" t="s">
        <v>1827</v>
      </c>
      <c r="P32" s="128" t="s">
        <v>1828</v>
      </c>
      <c r="Q32" s="129" t="s">
        <v>1829</v>
      </c>
      <c r="R32" s="120">
        <v>11</v>
      </c>
      <c r="S32" s="121">
        <v>37.39</v>
      </c>
      <c r="T32" s="316">
        <v>45856</v>
      </c>
      <c r="U32" s="317" t="s">
        <v>1967</v>
      </c>
      <c r="V32" s="161" t="s">
        <v>1825</v>
      </c>
      <c r="W32" s="161" t="s">
        <v>1831</v>
      </c>
      <c r="X32" s="311">
        <v>2025</v>
      </c>
      <c r="Y32" s="308"/>
    </row>
    <row r="33" spans="1:25" ht="63.75" x14ac:dyDescent="0.2">
      <c r="A33" s="313" t="s">
        <v>1968</v>
      </c>
      <c r="B33" s="228" t="s">
        <v>1969</v>
      </c>
      <c r="C33" s="228" t="s">
        <v>1970</v>
      </c>
      <c r="D33" s="314" t="s">
        <v>1971</v>
      </c>
      <c r="E33" s="315" t="s">
        <v>1972</v>
      </c>
      <c r="F33" s="128" t="s">
        <v>1822</v>
      </c>
      <c r="G33" s="129" t="s">
        <v>1823</v>
      </c>
      <c r="H33" s="120">
        <v>0</v>
      </c>
      <c r="I33" s="121">
        <v>10.67</v>
      </c>
      <c r="J33" s="316">
        <v>45671</v>
      </c>
      <c r="K33" s="317" t="s">
        <v>1973</v>
      </c>
      <c r="L33" s="161" t="s">
        <v>1825</v>
      </c>
      <c r="M33" s="161" t="s">
        <v>1826</v>
      </c>
      <c r="N33" s="161">
        <v>2025</v>
      </c>
      <c r="O33" s="308" t="s">
        <v>1827</v>
      </c>
      <c r="P33" s="128" t="s">
        <v>1828</v>
      </c>
      <c r="Q33" s="129" t="s">
        <v>1829</v>
      </c>
      <c r="R33" s="120">
        <v>0</v>
      </c>
      <c r="S33" s="121">
        <v>10.67</v>
      </c>
      <c r="T33" s="316">
        <v>45856</v>
      </c>
      <c r="U33" s="317" t="s">
        <v>1974</v>
      </c>
      <c r="V33" s="161" t="s">
        <v>1825</v>
      </c>
      <c r="W33" s="161" t="s">
        <v>1854</v>
      </c>
      <c r="X33" s="311">
        <v>2025</v>
      </c>
      <c r="Y33" s="308"/>
    </row>
    <row r="34" spans="1:25" ht="30" x14ac:dyDescent="0.2">
      <c r="A34" s="313" t="s">
        <v>1975</v>
      </c>
      <c r="B34" s="228" t="s">
        <v>1976</v>
      </c>
      <c r="C34" s="228" t="s">
        <v>1911</v>
      </c>
      <c r="D34" s="314" t="s">
        <v>1977</v>
      </c>
      <c r="E34" s="315" t="s">
        <v>1408</v>
      </c>
      <c r="F34" s="128"/>
      <c r="G34" s="129"/>
      <c r="H34" s="120"/>
      <c r="I34" s="121"/>
      <c r="J34" s="316"/>
      <c r="K34" s="317"/>
      <c r="L34" s="161"/>
      <c r="M34" s="161"/>
      <c r="N34" s="161"/>
      <c r="O34" s="308"/>
      <c r="P34" s="128"/>
      <c r="Q34" s="129"/>
      <c r="R34" s="120"/>
      <c r="S34" s="121"/>
      <c r="T34" s="316"/>
      <c r="U34" s="317"/>
      <c r="V34" s="161"/>
      <c r="W34" s="161"/>
      <c r="X34" s="161"/>
      <c r="Y34" s="308"/>
    </row>
    <row r="35" spans="1:25" ht="63.75" x14ac:dyDescent="0.2">
      <c r="A35" s="313" t="s">
        <v>1978</v>
      </c>
      <c r="B35" s="228" t="s">
        <v>1979</v>
      </c>
      <c r="C35" s="228" t="s">
        <v>1911</v>
      </c>
      <c r="D35" s="314" t="s">
        <v>1360</v>
      </c>
      <c r="E35" s="315" t="s">
        <v>1980</v>
      </c>
      <c r="F35" s="128" t="s">
        <v>1822</v>
      </c>
      <c r="G35" s="129" t="s">
        <v>1823</v>
      </c>
      <c r="H35" s="120">
        <v>0</v>
      </c>
      <c r="I35" s="121">
        <v>150.61000000000001</v>
      </c>
      <c r="J35" s="316">
        <v>45671</v>
      </c>
      <c r="K35" s="317" t="s">
        <v>1981</v>
      </c>
      <c r="L35" s="161" t="s">
        <v>1825</v>
      </c>
      <c r="M35" s="161" t="s">
        <v>1826</v>
      </c>
      <c r="N35" s="161">
        <v>2025</v>
      </c>
      <c r="O35" s="308" t="s">
        <v>1827</v>
      </c>
      <c r="P35" s="128" t="s">
        <v>1828</v>
      </c>
      <c r="Q35" s="129" t="s">
        <v>1829</v>
      </c>
      <c r="R35" s="120">
        <v>23</v>
      </c>
      <c r="S35" s="121">
        <v>206.45</v>
      </c>
      <c r="T35" s="316">
        <v>45856</v>
      </c>
      <c r="U35" s="317" t="s">
        <v>1982</v>
      </c>
      <c r="V35" s="161" t="s">
        <v>1825</v>
      </c>
      <c r="W35" s="161" t="s">
        <v>1831</v>
      </c>
      <c r="X35" s="311">
        <v>2025</v>
      </c>
      <c r="Y35" s="308"/>
    </row>
    <row r="36" spans="1:25" ht="63.75" x14ac:dyDescent="0.2">
      <c r="A36" s="313" t="s">
        <v>1983</v>
      </c>
      <c r="B36" s="228" t="s">
        <v>1984</v>
      </c>
      <c r="C36" s="228" t="s">
        <v>1911</v>
      </c>
      <c r="D36" s="314" t="s">
        <v>1985</v>
      </c>
      <c r="E36" s="315" t="s">
        <v>1986</v>
      </c>
      <c r="F36" s="128" t="s">
        <v>1822</v>
      </c>
      <c r="G36" s="129" t="s">
        <v>1823</v>
      </c>
      <c r="H36" s="120">
        <v>0</v>
      </c>
      <c r="I36" s="121">
        <v>150.61000000000001</v>
      </c>
      <c r="J36" s="316">
        <v>45671</v>
      </c>
      <c r="K36" s="317" t="s">
        <v>1987</v>
      </c>
      <c r="L36" s="161" t="s">
        <v>1825</v>
      </c>
      <c r="M36" s="161" t="s">
        <v>1826</v>
      </c>
      <c r="N36" s="161">
        <v>2025</v>
      </c>
      <c r="O36" s="308" t="s">
        <v>1827</v>
      </c>
      <c r="P36" s="128" t="s">
        <v>1828</v>
      </c>
      <c r="Q36" s="129" t="s">
        <v>1829</v>
      </c>
      <c r="R36" s="120">
        <v>216</v>
      </c>
      <c r="S36" s="121">
        <v>675.14</v>
      </c>
      <c r="T36" s="316">
        <v>45856</v>
      </c>
      <c r="U36" s="317" t="s">
        <v>1988</v>
      </c>
      <c r="V36" s="161" t="s">
        <v>1825</v>
      </c>
      <c r="W36" s="161" t="s">
        <v>1831</v>
      </c>
      <c r="X36" s="311">
        <v>2025</v>
      </c>
      <c r="Y36" s="308"/>
    </row>
    <row r="37" spans="1:25" ht="30" x14ac:dyDescent="0.2">
      <c r="A37" s="313" t="s">
        <v>1989</v>
      </c>
      <c r="B37" s="228" t="s">
        <v>1990</v>
      </c>
      <c r="C37" s="228" t="s">
        <v>1911</v>
      </c>
      <c r="D37" s="314" t="s">
        <v>1991</v>
      </c>
      <c r="E37" s="315" t="s">
        <v>1992</v>
      </c>
      <c r="F37" s="128"/>
      <c r="G37" s="129"/>
      <c r="H37" s="120"/>
      <c r="I37" s="121"/>
      <c r="J37" s="316"/>
      <c r="K37" s="317"/>
      <c r="L37" s="161"/>
      <c r="M37" s="161"/>
      <c r="N37" s="161"/>
      <c r="O37" s="308"/>
      <c r="P37" s="128" t="s">
        <v>1828</v>
      </c>
      <c r="Q37" s="129" t="s">
        <v>1829</v>
      </c>
      <c r="R37" s="120">
        <v>339</v>
      </c>
      <c r="S37" s="121">
        <v>833.91</v>
      </c>
      <c r="T37" s="316">
        <v>45856</v>
      </c>
      <c r="U37" s="317" t="s">
        <v>1993</v>
      </c>
      <c r="V37" s="161" t="s">
        <v>1825</v>
      </c>
      <c r="W37" s="161" t="s">
        <v>1866</v>
      </c>
      <c r="X37" s="311">
        <v>2025</v>
      </c>
      <c r="Y37" s="308"/>
    </row>
    <row r="38" spans="1:25" ht="30" x14ac:dyDescent="0.2">
      <c r="A38" s="313" t="s">
        <v>1994</v>
      </c>
      <c r="B38" s="228" t="s">
        <v>1995</v>
      </c>
      <c r="C38" s="228" t="s">
        <v>1911</v>
      </c>
      <c r="D38" s="314" t="s">
        <v>1996</v>
      </c>
      <c r="E38" s="315" t="s">
        <v>1996</v>
      </c>
      <c r="F38" s="334" t="s">
        <v>1822</v>
      </c>
      <c r="G38" s="129" t="s">
        <v>1823</v>
      </c>
      <c r="H38" s="120">
        <v>5</v>
      </c>
      <c r="I38" s="121">
        <v>415.44</v>
      </c>
      <c r="J38" s="316">
        <v>45821</v>
      </c>
      <c r="K38" s="317" t="s">
        <v>1997</v>
      </c>
      <c r="L38" s="161" t="s">
        <v>1825</v>
      </c>
      <c r="M38" s="161" t="s">
        <v>1998</v>
      </c>
      <c r="N38" s="161">
        <v>2025</v>
      </c>
      <c r="O38" s="308"/>
      <c r="P38" s="128"/>
      <c r="Q38" s="129"/>
      <c r="R38" s="120"/>
      <c r="S38" s="121"/>
      <c r="T38" s="316"/>
      <c r="U38" s="317"/>
      <c r="V38" s="161"/>
      <c r="W38" s="161"/>
      <c r="X38" s="161"/>
      <c r="Y38" s="308"/>
    </row>
    <row r="39" spans="1:25" ht="63.75" x14ac:dyDescent="0.2">
      <c r="A39" s="313" t="s">
        <v>1999</v>
      </c>
      <c r="B39" s="228" t="s">
        <v>2000</v>
      </c>
      <c r="C39" s="228" t="s">
        <v>2001</v>
      </c>
      <c r="D39" s="314" t="s">
        <v>2002</v>
      </c>
      <c r="E39" s="315" t="s">
        <v>2003</v>
      </c>
      <c r="F39" s="128" t="s">
        <v>1822</v>
      </c>
      <c r="G39" s="129" t="s">
        <v>1823</v>
      </c>
      <c r="H39" s="120">
        <v>0</v>
      </c>
      <c r="I39" s="121">
        <v>10.67</v>
      </c>
      <c r="J39" s="316">
        <v>45671</v>
      </c>
      <c r="K39" s="317" t="s">
        <v>2004</v>
      </c>
      <c r="L39" s="161" t="s">
        <v>1825</v>
      </c>
      <c r="M39" s="316" t="s">
        <v>1826</v>
      </c>
      <c r="N39" s="161">
        <v>2025</v>
      </c>
      <c r="O39" s="308" t="s">
        <v>1827</v>
      </c>
      <c r="P39" s="128" t="s">
        <v>1828</v>
      </c>
      <c r="Q39" s="129" t="s">
        <v>1829</v>
      </c>
      <c r="R39" s="120">
        <v>48</v>
      </c>
      <c r="S39" s="121">
        <v>127.23</v>
      </c>
      <c r="T39" s="316">
        <v>45856</v>
      </c>
      <c r="U39" s="317" t="s">
        <v>2005</v>
      </c>
      <c r="V39" s="161" t="s">
        <v>1825</v>
      </c>
      <c r="W39" s="316" t="s">
        <v>1831</v>
      </c>
      <c r="X39" s="311">
        <v>2025</v>
      </c>
      <c r="Y39" s="308"/>
    </row>
    <row r="40" spans="1:25" ht="30" x14ac:dyDescent="0.2">
      <c r="A40" s="313" t="s">
        <v>2006</v>
      </c>
      <c r="B40" s="228" t="s">
        <v>2007</v>
      </c>
      <c r="C40" s="228" t="s">
        <v>1911</v>
      </c>
      <c r="D40" s="314" t="s">
        <v>2008</v>
      </c>
      <c r="E40" s="315" t="s">
        <v>2009</v>
      </c>
      <c r="F40" s="128"/>
      <c r="G40" s="129"/>
      <c r="H40" s="120"/>
      <c r="I40" s="121"/>
      <c r="J40" s="316"/>
      <c r="K40" s="317"/>
      <c r="L40" s="161"/>
      <c r="M40" s="161"/>
      <c r="N40" s="161"/>
      <c r="O40" s="308"/>
      <c r="P40" s="128" t="s">
        <v>1828</v>
      </c>
      <c r="Q40" s="129" t="s">
        <v>1829</v>
      </c>
      <c r="R40" s="120">
        <v>62</v>
      </c>
      <c r="S40" s="121">
        <v>161.22999999999999</v>
      </c>
      <c r="T40" s="316">
        <v>45856</v>
      </c>
      <c r="U40" s="317" t="s">
        <v>2010</v>
      </c>
      <c r="V40" s="161" t="s">
        <v>1825</v>
      </c>
      <c r="W40" s="161" t="s">
        <v>1854</v>
      </c>
      <c r="X40" s="311">
        <v>2025</v>
      </c>
      <c r="Y40" s="308"/>
    </row>
    <row r="41" spans="1:25" ht="63.75" x14ac:dyDescent="0.2">
      <c r="A41" s="313" t="s">
        <v>2011</v>
      </c>
      <c r="B41" s="228" t="s">
        <v>2012</v>
      </c>
      <c r="C41" s="228" t="s">
        <v>1911</v>
      </c>
      <c r="D41" s="314" t="s">
        <v>2013</v>
      </c>
      <c r="E41" s="315" t="s">
        <v>2014</v>
      </c>
      <c r="F41" s="128" t="s">
        <v>1822</v>
      </c>
      <c r="G41" s="129" t="s">
        <v>1823</v>
      </c>
      <c r="H41" s="120">
        <v>0</v>
      </c>
      <c r="I41" s="121">
        <v>54.02</v>
      </c>
      <c r="J41" s="316">
        <v>45671</v>
      </c>
      <c r="K41" s="317" t="s">
        <v>2015</v>
      </c>
      <c r="L41" s="161" t="s">
        <v>1825</v>
      </c>
      <c r="M41" s="316" t="s">
        <v>1826</v>
      </c>
      <c r="N41" s="161">
        <v>2025</v>
      </c>
      <c r="O41" s="308" t="s">
        <v>1827</v>
      </c>
      <c r="P41" s="128" t="s">
        <v>1828</v>
      </c>
      <c r="Q41" s="129" t="s">
        <v>1829</v>
      </c>
      <c r="R41" s="120">
        <v>41</v>
      </c>
      <c r="S41" s="121">
        <v>153.58000000000001</v>
      </c>
      <c r="T41" s="316">
        <v>45856</v>
      </c>
      <c r="U41" s="317" t="s">
        <v>2016</v>
      </c>
      <c r="V41" s="161" t="s">
        <v>1825</v>
      </c>
      <c r="W41" s="161" t="s">
        <v>1831</v>
      </c>
      <c r="X41" s="311">
        <v>2025</v>
      </c>
      <c r="Y41" s="308"/>
    </row>
    <row r="42" spans="1:25" ht="64.5" thickBot="1" x14ac:dyDescent="0.25">
      <c r="A42" s="335" t="s">
        <v>2017</v>
      </c>
      <c r="B42" s="261" t="s">
        <v>2018</v>
      </c>
      <c r="C42" s="261" t="s">
        <v>1911</v>
      </c>
      <c r="D42" s="336" t="s">
        <v>2019</v>
      </c>
      <c r="E42" s="337" t="s">
        <v>2020</v>
      </c>
      <c r="F42" s="275" t="s">
        <v>1822</v>
      </c>
      <c r="G42" s="272" t="s">
        <v>1823</v>
      </c>
      <c r="H42" s="273">
        <v>0</v>
      </c>
      <c r="I42" s="338">
        <v>54.02</v>
      </c>
      <c r="J42" s="339">
        <v>45671</v>
      </c>
      <c r="K42" s="340" t="s">
        <v>2021</v>
      </c>
      <c r="L42" s="341" t="s">
        <v>1825</v>
      </c>
      <c r="M42" s="339" t="s">
        <v>1826</v>
      </c>
      <c r="N42" s="341">
        <v>2025</v>
      </c>
      <c r="O42" s="342" t="s">
        <v>1827</v>
      </c>
      <c r="P42" s="275" t="s">
        <v>1828</v>
      </c>
      <c r="Q42" s="272" t="s">
        <v>1829</v>
      </c>
      <c r="R42" s="273">
        <v>145</v>
      </c>
      <c r="S42" s="338">
        <v>406.17</v>
      </c>
      <c r="T42" s="339">
        <v>45856</v>
      </c>
      <c r="U42" s="340" t="s">
        <v>2022</v>
      </c>
      <c r="V42" s="341" t="s">
        <v>1825</v>
      </c>
      <c r="W42" s="339" t="s">
        <v>1831</v>
      </c>
      <c r="X42" s="343">
        <v>2025</v>
      </c>
      <c r="Y42" s="342"/>
    </row>
    <row r="43" spans="1:25" ht="15.75" thickBot="1" x14ac:dyDescent="0.25">
      <c r="A43" s="102"/>
      <c r="B43" s="102"/>
      <c r="C43" s="102"/>
      <c r="D43" s="102"/>
      <c r="E43" s="278"/>
      <c r="J43" s="16"/>
      <c r="K43" s="16"/>
      <c r="L43" s="16"/>
      <c r="M43" s="16"/>
      <c r="N43" s="16"/>
      <c r="T43" s="16"/>
      <c r="U43" s="16"/>
      <c r="V43" s="16"/>
      <c r="W43" s="16"/>
      <c r="X43" s="16"/>
    </row>
    <row r="44" spans="1:25" ht="13.5" thickBot="1" x14ac:dyDescent="0.25">
      <c r="A44" s="102"/>
      <c r="B44" s="102"/>
      <c r="C44" s="102"/>
      <c r="D44" s="539" t="s">
        <v>1596</v>
      </c>
      <c r="E44" s="540"/>
      <c r="F44" s="197"/>
      <c r="G44" s="102"/>
      <c r="H44" s="102"/>
      <c r="I44" s="198">
        <f>SUM(I6:I43)</f>
        <v>4088.78</v>
      </c>
      <c r="J44" s="16"/>
      <c r="K44" s="16"/>
      <c r="L44" s="16"/>
      <c r="M44" s="16"/>
      <c r="N44" s="16"/>
      <c r="P44" s="197"/>
      <c r="Q44" s="102"/>
      <c r="R44" s="102"/>
      <c r="S44" s="198">
        <f>SUM(S6:S43)</f>
        <v>46544.63</v>
      </c>
      <c r="T44" s="16"/>
      <c r="U44" s="16"/>
      <c r="V44" s="16"/>
      <c r="W44" s="16"/>
      <c r="X44" s="16"/>
    </row>
    <row r="45" spans="1:25" x14ac:dyDescent="0.2">
      <c r="A45" s="102"/>
      <c r="B45" s="102"/>
      <c r="C45" s="102"/>
      <c r="I45" s="287"/>
      <c r="J45" s="16"/>
      <c r="K45" s="16"/>
      <c r="L45" s="16"/>
      <c r="M45" s="16"/>
      <c r="N45" s="16"/>
      <c r="S45" s="287"/>
      <c r="T45" s="16"/>
      <c r="U45" s="16"/>
      <c r="V45" s="16"/>
      <c r="W45" s="16"/>
      <c r="X45" s="16"/>
    </row>
    <row r="46" spans="1:25" ht="15" x14ac:dyDescent="0.2">
      <c r="A46" s="102"/>
      <c r="B46" s="102"/>
      <c r="C46" s="102"/>
      <c r="D46" s="102"/>
      <c r="E46" s="278"/>
      <c r="J46" s="16"/>
      <c r="K46" s="16"/>
      <c r="L46" s="16"/>
      <c r="M46" s="16"/>
      <c r="N46" s="16"/>
      <c r="T46" s="16"/>
      <c r="U46" s="16"/>
      <c r="V46" s="16"/>
      <c r="W46" s="16"/>
      <c r="X46" s="16"/>
    </row>
  </sheetData>
  <mergeCells count="26">
    <mergeCell ref="A2:E2"/>
    <mergeCell ref="A4:A5"/>
    <mergeCell ref="B4:B5"/>
    <mergeCell ref="C4:C5"/>
    <mergeCell ref="D4:D5"/>
    <mergeCell ref="E4:E5"/>
    <mergeCell ref="F4:O4"/>
    <mergeCell ref="P4:Y4"/>
    <mergeCell ref="A25:A27"/>
    <mergeCell ref="B25:B27"/>
    <mergeCell ref="C25:C27"/>
    <mergeCell ref="D25:D27"/>
    <mergeCell ref="E25:E27"/>
    <mergeCell ref="F25:F27"/>
    <mergeCell ref="G25:G27"/>
    <mergeCell ref="H25:H27"/>
    <mergeCell ref="O25:O27"/>
    <mergeCell ref="P25:P26"/>
    <mergeCell ref="Q25:Q26"/>
    <mergeCell ref="M25:M27"/>
    <mergeCell ref="N25:N27"/>
    <mergeCell ref="D44:E44"/>
    <mergeCell ref="I25:I27"/>
    <mergeCell ref="J25:J27"/>
    <mergeCell ref="K25:K27"/>
    <mergeCell ref="L25:L2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A528-65AA-48D5-A462-AECAA57C68C3}">
  <sheetPr codeName="Feuil9"/>
  <dimension ref="A2:R204"/>
  <sheetViews>
    <sheetView showGridLines="0" tabSelected="1" topLeftCell="G49" zoomScaleNormal="100" workbookViewId="0">
      <selection activeCell="K26" sqref="K26"/>
    </sheetView>
  </sheetViews>
  <sheetFormatPr baseColWidth="10" defaultColWidth="21.42578125" defaultRowHeight="13.5" customHeight="1" x14ac:dyDescent="0.2"/>
  <cols>
    <col min="3" max="3" width="25" customWidth="1"/>
    <col min="4" max="4" width="28.85546875" customWidth="1"/>
    <col min="5" max="5" width="32.5703125" customWidth="1"/>
    <col min="6" max="6" width="54.140625" customWidth="1"/>
    <col min="7" max="7" width="33" customWidth="1"/>
    <col min="10" max="10" width="38" customWidth="1"/>
    <col min="14" max="14" width="23.7109375" customWidth="1"/>
    <col min="15" max="15" width="24.7109375" customWidth="1"/>
    <col min="16" max="16" width="28.7109375" customWidth="1"/>
    <col min="17" max="17" width="29.5703125" customWidth="1"/>
    <col min="18" max="18" width="30.140625" customWidth="1"/>
  </cols>
  <sheetData>
    <row r="2" spans="1:9" ht="12" customHeight="1" x14ac:dyDescent="0.2"/>
    <row r="3" spans="1:9" ht="13.5" hidden="1" customHeight="1" x14ac:dyDescent="0.2"/>
    <row r="4" spans="1:9" ht="18" customHeight="1" x14ac:dyDescent="0.2">
      <c r="A4" s="707" t="s">
        <v>1289</v>
      </c>
      <c r="B4" s="708"/>
      <c r="C4" s="708"/>
      <c r="D4" s="708"/>
      <c r="E4" s="708"/>
      <c r="F4" s="708"/>
      <c r="G4" s="708"/>
      <c r="H4" s="708"/>
      <c r="I4" s="709"/>
    </row>
    <row r="5" spans="1:9" ht="13.5" customHeight="1" x14ac:dyDescent="0.2">
      <c r="A5" s="716" t="s">
        <v>1187</v>
      </c>
      <c r="B5" s="716"/>
      <c r="C5" s="716" t="s">
        <v>1209</v>
      </c>
      <c r="D5" s="716" t="s">
        <v>1207</v>
      </c>
      <c r="E5" s="716" t="s">
        <v>1210</v>
      </c>
      <c r="F5" s="716" t="s">
        <v>1211</v>
      </c>
      <c r="G5" s="716" t="s">
        <v>1290</v>
      </c>
      <c r="H5" s="716" t="s">
        <v>1212</v>
      </c>
      <c r="I5" s="84" t="s">
        <v>1215</v>
      </c>
    </row>
    <row r="6" spans="1:9" ht="13.5" customHeight="1" x14ac:dyDescent="0.2">
      <c r="A6" s="716"/>
      <c r="B6" s="716"/>
      <c r="C6" s="716"/>
      <c r="D6" s="716"/>
      <c r="E6" s="716"/>
      <c r="F6" s="721"/>
      <c r="G6" s="721"/>
      <c r="H6" s="721"/>
      <c r="I6" s="84"/>
    </row>
    <row r="7" spans="1:9" ht="13.5" customHeight="1" x14ac:dyDescent="0.2">
      <c r="A7" s="35" t="s">
        <v>1188</v>
      </c>
      <c r="B7" s="35"/>
      <c r="C7" s="36">
        <v>5.54</v>
      </c>
      <c r="D7" s="37">
        <v>11</v>
      </c>
      <c r="E7" s="40">
        <v>4.42</v>
      </c>
      <c r="F7" s="94">
        <f t="shared" ref="F7:F16" si="0">(E7*D7)*140</f>
        <v>6806.7999999999993</v>
      </c>
      <c r="G7" s="94">
        <f>(C7*D7)*140</f>
        <v>8531.6</v>
      </c>
      <c r="H7" s="95">
        <f>G7-F7</f>
        <v>1724.8000000000011</v>
      </c>
      <c r="I7" s="48">
        <f>(G7/F7)</f>
        <v>1.2533936651583713</v>
      </c>
    </row>
    <row r="8" spans="1:9" ht="13.5" customHeight="1" x14ac:dyDescent="0.2">
      <c r="A8" s="35" t="s">
        <v>1189</v>
      </c>
      <c r="B8" s="35" t="s">
        <v>1190</v>
      </c>
      <c r="C8" s="36">
        <v>5.13</v>
      </c>
      <c r="D8" s="37">
        <v>429</v>
      </c>
      <c r="E8" s="40">
        <v>4.42</v>
      </c>
      <c r="F8" s="94">
        <f t="shared" si="0"/>
        <v>265465.2</v>
      </c>
      <c r="G8" s="94">
        <f t="shared" ref="G8:G16" si="1">(C8*D8)*140</f>
        <v>308107.8</v>
      </c>
      <c r="H8" s="95">
        <f t="shared" ref="H8:H17" si="2">G8-F8</f>
        <v>42642.599999999977</v>
      </c>
      <c r="I8" s="48">
        <f t="shared" ref="I8:I17" si="3">(G8/F8)</f>
        <v>1.1606334841628958</v>
      </c>
    </row>
    <row r="9" spans="1:9" ht="13.5" customHeight="1" x14ac:dyDescent="0.2">
      <c r="A9" s="35" t="s">
        <v>1191</v>
      </c>
      <c r="B9" s="35" t="s">
        <v>1192</v>
      </c>
      <c r="C9" s="36">
        <v>4.53</v>
      </c>
      <c r="D9" s="37">
        <v>90</v>
      </c>
      <c r="E9" s="40">
        <v>4.42</v>
      </c>
      <c r="F9" s="94">
        <f t="shared" si="0"/>
        <v>55692</v>
      </c>
      <c r="G9" s="94">
        <f t="shared" si="1"/>
        <v>57078.000000000007</v>
      </c>
      <c r="H9" s="95">
        <f t="shared" si="2"/>
        <v>1386.0000000000073</v>
      </c>
      <c r="I9" s="48">
        <f t="shared" si="3"/>
        <v>1.0248868778280544</v>
      </c>
    </row>
    <row r="10" spans="1:9" ht="13.5" customHeight="1" x14ac:dyDescent="0.2">
      <c r="A10" s="38" t="s">
        <v>1193</v>
      </c>
      <c r="B10" s="38" t="s">
        <v>1194</v>
      </c>
      <c r="C10" s="39">
        <v>4</v>
      </c>
      <c r="D10" s="37">
        <v>90</v>
      </c>
      <c r="E10" s="40">
        <v>4.42</v>
      </c>
      <c r="F10" s="94">
        <f t="shared" si="0"/>
        <v>55692</v>
      </c>
      <c r="G10" s="94">
        <f t="shared" si="1"/>
        <v>50400</v>
      </c>
      <c r="H10" s="95">
        <f t="shared" si="2"/>
        <v>-5292</v>
      </c>
      <c r="I10" s="48">
        <f t="shared" si="3"/>
        <v>0.90497737556561086</v>
      </c>
    </row>
    <row r="11" spans="1:9" ht="13.5" customHeight="1" x14ac:dyDescent="0.2">
      <c r="A11" s="35" t="s">
        <v>1195</v>
      </c>
      <c r="B11" s="35" t="s">
        <v>1196</v>
      </c>
      <c r="C11" s="36">
        <v>3.86</v>
      </c>
      <c r="D11" s="37">
        <v>79</v>
      </c>
      <c r="E11" s="40">
        <v>4.42</v>
      </c>
      <c r="F11" s="94">
        <f t="shared" si="0"/>
        <v>48885.200000000004</v>
      </c>
      <c r="G11" s="94">
        <f t="shared" si="1"/>
        <v>42691.6</v>
      </c>
      <c r="H11" s="95">
        <f t="shared" si="2"/>
        <v>-6193.6000000000058</v>
      </c>
      <c r="I11" s="48">
        <f t="shared" si="3"/>
        <v>0.87330316742081437</v>
      </c>
    </row>
    <row r="12" spans="1:9" ht="13.5" customHeight="1" x14ac:dyDescent="0.2">
      <c r="A12" s="35" t="s">
        <v>1197</v>
      </c>
      <c r="B12" s="35" t="s">
        <v>1198</v>
      </c>
      <c r="C12" s="36">
        <v>3.25</v>
      </c>
      <c r="D12" s="37">
        <v>79</v>
      </c>
      <c r="E12" s="40">
        <v>4.42</v>
      </c>
      <c r="F12" s="94">
        <f t="shared" si="0"/>
        <v>48885.200000000004</v>
      </c>
      <c r="G12" s="94">
        <f t="shared" si="1"/>
        <v>35945</v>
      </c>
      <c r="H12" s="95">
        <f t="shared" si="2"/>
        <v>-12940.200000000004</v>
      </c>
      <c r="I12" s="48">
        <f t="shared" si="3"/>
        <v>0.73529411764705876</v>
      </c>
    </row>
    <row r="13" spans="1:9" ht="13.5" customHeight="1" x14ac:dyDescent="0.2">
      <c r="A13" s="35" t="s">
        <v>1199</v>
      </c>
      <c r="B13" s="35" t="s">
        <v>1200</v>
      </c>
      <c r="C13" s="36">
        <v>2.7</v>
      </c>
      <c r="D13" s="37">
        <v>90</v>
      </c>
      <c r="E13" s="40">
        <v>4.42</v>
      </c>
      <c r="F13" s="94">
        <f t="shared" si="0"/>
        <v>55692</v>
      </c>
      <c r="G13" s="94">
        <f t="shared" si="1"/>
        <v>34020.000000000007</v>
      </c>
      <c r="H13" s="95">
        <f t="shared" si="2"/>
        <v>-21671.999999999993</v>
      </c>
      <c r="I13" s="48">
        <f t="shared" si="3"/>
        <v>0.61085972850678749</v>
      </c>
    </row>
    <row r="14" spans="1:9" ht="13.5" customHeight="1" x14ac:dyDescent="0.2">
      <c r="A14" s="35" t="s">
        <v>1201</v>
      </c>
      <c r="B14" s="35" t="s">
        <v>1202</v>
      </c>
      <c r="C14" s="36">
        <v>2</v>
      </c>
      <c r="D14" s="37">
        <v>79</v>
      </c>
      <c r="E14" s="40">
        <v>4.42</v>
      </c>
      <c r="F14" s="94">
        <f t="shared" si="0"/>
        <v>48885.200000000004</v>
      </c>
      <c r="G14" s="94">
        <f t="shared" si="1"/>
        <v>22120</v>
      </c>
      <c r="H14" s="95">
        <f t="shared" si="2"/>
        <v>-26765.200000000004</v>
      </c>
      <c r="I14" s="48">
        <f t="shared" si="3"/>
        <v>0.45248868778280538</v>
      </c>
    </row>
    <row r="15" spans="1:9" ht="13.5" customHeight="1" x14ac:dyDescent="0.2">
      <c r="A15" s="38" t="s">
        <v>1203</v>
      </c>
      <c r="B15" s="38" t="s">
        <v>1204</v>
      </c>
      <c r="C15" s="39">
        <v>1.45</v>
      </c>
      <c r="D15" s="37">
        <v>57</v>
      </c>
      <c r="E15" s="40">
        <v>4.42</v>
      </c>
      <c r="F15" s="94">
        <f t="shared" si="0"/>
        <v>35271.599999999999</v>
      </c>
      <c r="G15" s="94">
        <f t="shared" si="1"/>
        <v>11570.999999999998</v>
      </c>
      <c r="H15" s="95">
        <f t="shared" si="2"/>
        <v>-23700.6</v>
      </c>
      <c r="I15" s="48">
        <f t="shared" si="3"/>
        <v>0.32805429864253388</v>
      </c>
    </row>
    <row r="16" spans="1:9" ht="13.5" customHeight="1" x14ac:dyDescent="0.2">
      <c r="A16" s="41" t="s">
        <v>1205</v>
      </c>
      <c r="B16" s="41" t="s">
        <v>1206</v>
      </c>
      <c r="C16" s="42">
        <v>1.32</v>
      </c>
      <c r="D16" s="43">
        <v>124</v>
      </c>
      <c r="E16" s="44">
        <v>4.42</v>
      </c>
      <c r="F16" s="94">
        <f t="shared" si="0"/>
        <v>76731.200000000012</v>
      </c>
      <c r="G16" s="94">
        <f t="shared" si="1"/>
        <v>22915.200000000001</v>
      </c>
      <c r="H16" s="95">
        <f t="shared" si="2"/>
        <v>-53816.000000000015</v>
      </c>
      <c r="I16" s="48">
        <f t="shared" si="3"/>
        <v>0.29864253393665152</v>
      </c>
    </row>
    <row r="17" spans="1:18" ht="13.5" customHeight="1" x14ac:dyDescent="0.2">
      <c r="A17" s="45" t="s">
        <v>1208</v>
      </c>
      <c r="B17" s="45"/>
      <c r="C17" s="46"/>
      <c r="D17" s="45">
        <f>SUM(D7:D16)</f>
        <v>1128</v>
      </c>
      <c r="E17" s="47"/>
      <c r="F17" s="93">
        <f>SUM(F7:F16)</f>
        <v>698006.39999999991</v>
      </c>
      <c r="G17" s="93">
        <f>SUM(G7:G16)</f>
        <v>593380.19999999995</v>
      </c>
      <c r="H17" s="95">
        <f t="shared" si="2"/>
        <v>-104626.19999999995</v>
      </c>
      <c r="I17" s="48">
        <f t="shared" si="3"/>
        <v>0.85010710503514009</v>
      </c>
    </row>
    <row r="18" spans="1:18" ht="13.5" customHeight="1" x14ac:dyDescent="0.2">
      <c r="H18" s="49"/>
      <c r="K18" s="34"/>
    </row>
    <row r="22" spans="1:18" ht="13.5" customHeight="1" x14ac:dyDescent="0.2">
      <c r="A22" s="705" t="s">
        <v>1295</v>
      </c>
      <c r="B22" s="696" t="s">
        <v>2044</v>
      </c>
      <c r="C22" s="698"/>
      <c r="D22" s="698"/>
      <c r="E22" s="698"/>
      <c r="F22" s="698"/>
      <c r="G22" s="698"/>
      <c r="H22" s="697"/>
      <c r="I22" s="722" t="s">
        <v>1270</v>
      </c>
      <c r="J22" s="722" t="s">
        <v>2037</v>
      </c>
    </row>
    <row r="23" spans="1:18" ht="13.5" customHeight="1" x14ac:dyDescent="0.2">
      <c r="A23" s="705"/>
      <c r="B23" s="712" t="s">
        <v>1222</v>
      </c>
      <c r="C23" s="713"/>
      <c r="D23" s="85" t="s">
        <v>1277</v>
      </c>
      <c r="E23" s="96" t="s">
        <v>1292</v>
      </c>
      <c r="F23" s="698" t="s">
        <v>1231</v>
      </c>
      <c r="G23" s="698"/>
      <c r="H23" s="698"/>
      <c r="I23" s="723"/>
      <c r="J23" s="723"/>
    </row>
    <row r="24" spans="1:18" ht="13.5" customHeight="1" x14ac:dyDescent="0.2">
      <c r="A24" s="705"/>
      <c r="B24" s="62" t="s">
        <v>1275</v>
      </c>
      <c r="C24" s="62" t="s">
        <v>1217</v>
      </c>
      <c r="D24" s="62" t="s">
        <v>1276</v>
      </c>
      <c r="E24" s="63" t="s">
        <v>2025</v>
      </c>
      <c r="F24" s="63" t="s">
        <v>1278</v>
      </c>
      <c r="G24" s="63" t="s">
        <v>1238</v>
      </c>
      <c r="H24" s="63" t="s">
        <v>1279</v>
      </c>
      <c r="I24" s="724"/>
      <c r="J24" s="724"/>
      <c r="P24" s="62" t="s">
        <v>1291</v>
      </c>
      <c r="Q24" s="710" t="s">
        <v>1265</v>
      </c>
      <c r="R24" s="711"/>
    </row>
    <row r="25" spans="1:18" ht="13.5" customHeight="1" x14ac:dyDescent="0.2">
      <c r="A25" s="705"/>
      <c r="B25" s="53" t="s">
        <v>1216</v>
      </c>
      <c r="C25" s="54">
        <f>'Depenses restau 2025'!H2+'Depenses restau 2025'!H3+'Depenses restau 2025'!H4+'Depenses restau 2025'!H5+'Depenses restau 2025'!H6+'Depenses restau 2025'!H14+'Depenses restau 2025'!H19+'Depenses restau 2025'!H20+'Depenses restau 2025'!H21+'Depenses restau 2025'!H31+'Depenses restau 2025'!H32+'Depenses restau 2025'!H38+'Depenses restau 2025'!H51+'Depenses restau 2025'!H52+'Depenses restau 2025'!H67+'Depenses restau 2025'!H68+'Depenses restau 2025'!H69+'Depenses restau 2025'!H70+'Depenses restau 2025'!H71+'Depenses restau 2025'!H76+'Depenses restau 2025'!H85</f>
        <v>555834.83999999985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76">
        <f>SUM(C25:H25)</f>
        <v>555834.83999999985</v>
      </c>
      <c r="J25" s="725">
        <f>I34/(D17*140)</f>
        <v>11.481164577001012</v>
      </c>
      <c r="P25" s="37">
        <v>0</v>
      </c>
      <c r="Q25" s="69" t="s">
        <v>1239</v>
      </c>
      <c r="R25" s="69" t="s">
        <v>1213</v>
      </c>
    </row>
    <row r="26" spans="1:18" ht="13.5" customHeight="1" x14ac:dyDescent="0.25">
      <c r="A26" s="705"/>
      <c r="B26" s="50" t="s">
        <v>47</v>
      </c>
      <c r="C26" s="54">
        <f>'Depenses restau 2025'!H8+'Depenses restau 2025'!H12+'Depenses restau 2025'!H16+'Depenses restau 2025'!H24+'Depenses restau 2025'!H25+'Depenses restau 2025'!H27+'Depenses restau 2025'!H28+'Depenses restau 2025'!H37+'Depenses restau 2025'!H49+'Depenses restau 2025'!H50+'Depenses restau 2025'!H54+'Depenses restau 2025'!H58+'Depenses restau 2025'!H60+'Depenses restau 2025'!H72+'Depenses restau 2025'!H79+'Depenses restau 2025'!H84</f>
        <v>4535.9500000000007</v>
      </c>
      <c r="D26" s="37">
        <v>0</v>
      </c>
      <c r="E26" s="88">
        <f>'DEP ALIM MODIF'!N3+'DEP ALIM MODIF'!N13+'DEP ALIM MODIF'!N66+'DEP ALIM MODIF'!N69+'DEP ALIM MODIF'!N77+'DEP ALIM MODIF'!N101+'DEP ALIM MODIF'!N138+'DEP ALIM MODIF'!N159+'DEP ALIM MODIF'!N239+'DEP ALIM MODIF'!N278+'DEP ALIM MODIF'!N282+'DEP ALIM MODIF'!N345+'DEP ALIM MODIF'!N346</f>
        <v>337.28000000000003</v>
      </c>
      <c r="F26" s="37">
        <v>0</v>
      </c>
      <c r="G26" s="37">
        <v>0</v>
      </c>
      <c r="H26" s="37">
        <v>0</v>
      </c>
      <c r="I26" s="76">
        <f>SUM(C26:H26)</f>
        <v>4873.2300000000005</v>
      </c>
      <c r="J26" s="726"/>
      <c r="K26" s="14" t="s">
        <v>2045</v>
      </c>
      <c r="P26" s="37">
        <v>0</v>
      </c>
      <c r="Q26" s="70"/>
      <c r="R26" s="70"/>
    </row>
    <row r="27" spans="1:18" ht="13.5" customHeight="1" x14ac:dyDescent="0.2">
      <c r="A27" s="705"/>
      <c r="B27" s="50" t="s">
        <v>50</v>
      </c>
      <c r="C27" s="54">
        <f>'Depenses restau 2025'!H9+'Depenses restau 2025'!H17+'Depenses restau 2025'!H23+'Depenses restau 2025'!H29+'Depenses restau 2025'!H35+'Depenses restau 2025'!H40+'Depenses restau 2025'!H41+'Depenses restau 2025'!H42+'Depenses restau 2025'!H56+'Depenses restau 2025'!H61+'Depenses restau 2025'!H73+'Depenses restau 2025'!H77+'Depenses restau 2025'!H80+'Depenses restau 2025'!H81+'Depenses restau 2025'!H82</f>
        <v>74126.060000000012</v>
      </c>
      <c r="D27" s="89">
        <f>[1]Edition_d_un_journal_de_paie_14!$B$14</f>
        <v>518185.07</v>
      </c>
      <c r="E27" s="88">
        <f>'DEP ALIM MODIF'!N2+'DEP ALIM MODIF'!N15+'DEP ALIM MODIF'!N64+'DEP ALIM MODIF'!N108+'DEP ALIM MODIF'!N133+'DEP ALIM MODIF'!N137+'DEP ALIM MODIF'!N163+'DEP ALIM MODIF'!N165+'DEP ALIM MODIF'!N241+'DEP ALIM MODIF'!N280+'DEP ALIM MODIF'!N284+'DEP ALIM MODIF'!N342</f>
        <v>463.73000000000008</v>
      </c>
      <c r="F27">
        <f>E36</f>
        <v>8159</v>
      </c>
      <c r="G27">
        <f>G36</f>
        <v>12458.85</v>
      </c>
      <c r="H27">
        <f>M36</f>
        <v>8159</v>
      </c>
      <c r="I27" s="76">
        <f>SUM(C27:H27)</f>
        <v>621551.71</v>
      </c>
      <c r="J27" s="726"/>
      <c r="P27" s="37">
        <v>16</v>
      </c>
      <c r="Q27" s="70"/>
      <c r="R27" s="70"/>
    </row>
    <row r="28" spans="1:18" ht="13.5" customHeight="1" x14ac:dyDescent="0.2">
      <c r="A28" s="705"/>
      <c r="B28" s="50" t="s">
        <v>43</v>
      </c>
      <c r="C28" s="54">
        <f>'Depenses restau 2025'!H7+'Depenses restau 2025'!H15+'Depenses restau 2025'!H22+'Depenses restau 2025'!H30+'Depenses restau 2025'!H34+'Depenses restau 2025'!H44+'Depenses restau 2025'!H45+'Depenses restau 2025'!H46+'Depenses restau 2025'!H47+'Depenses restau 2025'!H48+'Depenses restau 2025'!H59+'Depenses restau 2025'!H62+'Depenses restau 2025'!H66+'Depenses restau 2025'!H75+'Depenses restau 2025'!H83</f>
        <v>79255.62</v>
      </c>
      <c r="D28" s="89">
        <f>[1]Edition_d_un_journal_de_paie_14!$B$12</f>
        <v>435474.22</v>
      </c>
      <c r="E28" s="88">
        <f>'DEP ALIM MODIF'!N6+'DEP ALIM MODIF'!N14+'DEP ALIM MODIF'!N65+'DEP ALIM MODIF'!N68+'DEP ALIM MODIF'!N78+'DEP ALIM MODIF'!N134+'DEP ALIM MODIF'!N160+'DEP ALIM MODIF'!N222+'DEP ALIM MODIF'!N238+'DEP ALIM MODIF'!N240+'DEP ALIM MODIF'!N279+'DEP ALIM MODIF'!N283+'DEP ALIM MODIF'!N343</f>
        <v>650.9</v>
      </c>
      <c r="F28" s="37">
        <v>0</v>
      </c>
      <c r="G28" s="37">
        <f>'[2]Etat consos TOTAL sur BP2025 '!$K$11+'[2]Etat consos TOTAL sur BP2025 '!$AA$11+'[2]Etat consos TOTAL sur BP2025 '!$AI$11+'[2]Etat consos TOTAL sur BP2025 '!$AQ$11+'[2]Etat consos TOTAL sur BP2025 '!$AU$11+'[2]Etat consos TOTAL sur BP2025 '!$BC$11+'[2]Etat consos TOTAL sur BP2025 '!$BK$11+'[2]Etat consos TOTAL sur BP2025 '!$BS$11+'[2]Etat consos TOTAL sur BP2025 '!$CI$11+'[2]Etat consos TOTAL sur BP2025 '!$CM$11+'[2]Etat consos TOTAL sur BP2025 '!$DS$11</f>
        <v>18104.64</v>
      </c>
      <c r="H28" s="37">
        <v>0</v>
      </c>
      <c r="I28" s="76">
        <f t="shared" ref="I28:I33" si="4">SUM(C28:H28)</f>
        <v>533485.38</v>
      </c>
      <c r="J28" s="726"/>
      <c r="P28" s="37">
        <v>19</v>
      </c>
      <c r="Q28" s="70"/>
      <c r="R28" s="70"/>
    </row>
    <row r="29" spans="1:18" ht="13.5" customHeight="1" x14ac:dyDescent="0.2">
      <c r="A29" s="705"/>
      <c r="B29" s="50" t="s">
        <v>2024</v>
      </c>
      <c r="C29" s="72">
        <v>0</v>
      </c>
      <c r="D29" s="89">
        <f>[1]Edition_d_un_journal_de_paie_14!$B$13</f>
        <v>97360.35</v>
      </c>
      <c r="E29" s="37">
        <v>0</v>
      </c>
      <c r="F29" s="37">
        <v>0</v>
      </c>
      <c r="G29" s="37">
        <v>0</v>
      </c>
      <c r="H29" s="37">
        <v>0</v>
      </c>
      <c r="I29" s="76">
        <f t="shared" si="4"/>
        <v>97360.35</v>
      </c>
      <c r="J29" s="726"/>
      <c r="P29" s="37">
        <v>7</v>
      </c>
      <c r="Q29" s="70"/>
      <c r="R29" s="70"/>
    </row>
    <row r="30" spans="1:18" ht="13.5" customHeight="1" x14ac:dyDescent="0.2">
      <c r="A30" s="705"/>
      <c r="B30" s="50" t="s">
        <v>1228</v>
      </c>
      <c r="C30" s="72">
        <v>0</v>
      </c>
      <c r="D30" s="37">
        <v>0</v>
      </c>
      <c r="E30" s="37">
        <v>0</v>
      </c>
      <c r="F30" s="90">
        <v>0</v>
      </c>
      <c r="G30" s="37">
        <v>0</v>
      </c>
      <c r="H30" s="37">
        <v>0</v>
      </c>
      <c r="I30" s="76">
        <f t="shared" si="4"/>
        <v>0</v>
      </c>
      <c r="J30" s="726"/>
      <c r="P30" s="37">
        <v>0</v>
      </c>
      <c r="Q30" s="70"/>
      <c r="R30" s="70"/>
    </row>
    <row r="31" spans="1:18" ht="13.5" customHeight="1" x14ac:dyDescent="0.2">
      <c r="A31" s="705"/>
      <c r="B31" s="50" t="s">
        <v>1229</v>
      </c>
      <c r="C31" s="72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76">
        <f t="shared" si="4"/>
        <v>0</v>
      </c>
      <c r="J31" s="726"/>
      <c r="P31" s="37">
        <v>0</v>
      </c>
      <c r="Q31" s="70"/>
      <c r="R31" s="70"/>
    </row>
    <row r="32" spans="1:18" ht="13.5" customHeight="1" x14ac:dyDescent="0.2">
      <c r="A32" s="705"/>
      <c r="B32" s="50" t="s">
        <v>1230</v>
      </c>
      <c r="C32" s="72">
        <v>0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76">
        <f t="shared" si="4"/>
        <v>0</v>
      </c>
      <c r="J32" s="726"/>
      <c r="P32" s="37">
        <v>0</v>
      </c>
      <c r="Q32" s="70"/>
      <c r="R32" s="70"/>
    </row>
    <row r="33" spans="1:18" ht="13.5" customHeight="1" x14ac:dyDescent="0.2">
      <c r="A33" s="705"/>
      <c r="B33" s="68" t="s">
        <v>1259</v>
      </c>
      <c r="C33" s="73">
        <v>0</v>
      </c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76">
        <f t="shared" si="4"/>
        <v>0</v>
      </c>
      <c r="J33" s="726"/>
      <c r="P33" s="37">
        <v>0</v>
      </c>
      <c r="Q33" s="70"/>
      <c r="R33" s="70"/>
    </row>
    <row r="34" spans="1:18" ht="13.5" customHeight="1" x14ac:dyDescent="0.2">
      <c r="A34" s="705"/>
      <c r="B34" s="51" t="s">
        <v>167</v>
      </c>
      <c r="C34" s="55">
        <f>SUM(C25:C33)</f>
        <v>713752.46999999986</v>
      </c>
      <c r="D34" s="55">
        <f>SUM(D25:D33)</f>
        <v>1051019.6400000001</v>
      </c>
      <c r="E34" s="55">
        <f>SUM(E25:E33)</f>
        <v>1451.91</v>
      </c>
      <c r="F34" s="55">
        <f t="shared" ref="F34" si="5">SUM(F25:F33)</f>
        <v>8159</v>
      </c>
      <c r="G34" s="55">
        <f>SUM(G25:G33)</f>
        <v>30563.489999999998</v>
      </c>
      <c r="H34" s="55">
        <f>SUM(H25:H33)</f>
        <v>8159</v>
      </c>
      <c r="I34" s="75">
        <f>SUM(I25:I33)</f>
        <v>1813105.5099999998</v>
      </c>
      <c r="J34" s="727"/>
      <c r="P34" s="60">
        <f>SUM(P25:P33)</f>
        <v>42</v>
      </c>
      <c r="Q34" s="71">
        <f>SUM(Q26:Q29)</f>
        <v>0</v>
      </c>
      <c r="R34" s="71">
        <f>SUM(R26:R29)</f>
        <v>0</v>
      </c>
    </row>
    <row r="35" spans="1:18" ht="13.5" customHeight="1" x14ac:dyDescent="0.2">
      <c r="B35" s="513" t="s">
        <v>2082</v>
      </c>
      <c r="C35" s="494"/>
      <c r="D35" s="497"/>
      <c r="E35" s="495">
        <v>16318</v>
      </c>
      <c r="F35" s="502" t="s">
        <v>2073</v>
      </c>
      <c r="G35" s="503">
        <f>'[3]Etat consos TOTAL sur BP2025 '!$K$11+'[3]Etat consos TOTAL sur BP2025 '!$O$11+'[3]Etat consos TOTAL sur BP2025 '!$AA$11+'[3]Etat consos TOTAL sur BP2025 '!$AI$11+'[3]Etat consos TOTAL sur BP2025 '!$AQ$11+'[3]Etat consos TOTAL sur BP2025 '!$AU$11+'[3]Etat consos TOTAL sur BP2025 '!$BC$11+'[3]Etat consos TOTAL sur BP2025 '!$BK$11+'[3]Etat consos TOTAL sur BP2025 '!$BS$11+'[3]Etat consos TOTAL sur BP2025 '!$CI$11+'[3]Etat consos TOTAL sur BP2025 '!$CM$11+'[3]Etat consos TOTAL sur BP2025 '!$CQ$11+'[3]Etats consos TOTAL sur BP 2026'!$DS$11</f>
        <v>24917.7</v>
      </c>
      <c r="I35" s="520" t="s">
        <v>2087</v>
      </c>
      <c r="J35" s="520"/>
      <c r="K35" s="520"/>
      <c r="L35" s="520"/>
      <c r="M35" s="520">
        <f>'[4]Etat consos GAZ 2024-2025'!$HN$19</f>
        <v>16318</v>
      </c>
    </row>
    <row r="36" spans="1:18" ht="13.5" customHeight="1" x14ac:dyDescent="0.2">
      <c r="B36" s="514" t="s">
        <v>2032</v>
      </c>
      <c r="C36" s="494"/>
      <c r="D36" s="494"/>
      <c r="E36" s="500">
        <f>16318/2</f>
        <v>8159</v>
      </c>
      <c r="F36" s="502" t="s">
        <v>2074</v>
      </c>
      <c r="G36" s="504">
        <f>G35/2</f>
        <v>12458.85</v>
      </c>
      <c r="I36" s="520"/>
      <c r="J36" s="520"/>
      <c r="K36" s="520"/>
      <c r="L36" s="520"/>
      <c r="M36" s="521">
        <f>M35/2</f>
        <v>8159</v>
      </c>
    </row>
    <row r="37" spans="1:18" ht="13.5" customHeight="1" x14ac:dyDescent="0.2">
      <c r="B37" s="496"/>
      <c r="C37" s="496"/>
      <c r="D37" s="496"/>
      <c r="E37" s="496"/>
      <c r="G37" s="17"/>
      <c r="H37" s="17"/>
    </row>
    <row r="38" spans="1:18" ht="29.25" customHeight="1" x14ac:dyDescent="0.2"/>
    <row r="39" spans="1:18" ht="13.5" customHeight="1" x14ac:dyDescent="0.2">
      <c r="A39" s="717" t="s">
        <v>1257</v>
      </c>
      <c r="B39" s="696" t="s">
        <v>1233</v>
      </c>
      <c r="C39" s="698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698"/>
      <c r="O39" s="697"/>
    </row>
    <row r="40" spans="1:18" ht="13.5" customHeight="1" x14ac:dyDescent="0.2">
      <c r="A40" s="718"/>
      <c r="B40" s="714" t="s">
        <v>1223</v>
      </c>
      <c r="C40" s="715"/>
      <c r="D40" s="714" t="s">
        <v>1288</v>
      </c>
      <c r="E40" s="740"/>
      <c r="F40" s="715"/>
      <c r="G40" s="712" t="s">
        <v>1234</v>
      </c>
      <c r="H40" s="712"/>
      <c r="I40" s="712"/>
      <c r="J40" s="712"/>
      <c r="K40" s="720" t="s">
        <v>1237</v>
      </c>
      <c r="L40" s="720"/>
      <c r="M40" s="720"/>
      <c r="N40" s="720"/>
      <c r="O40" s="720"/>
    </row>
    <row r="41" spans="1:18" ht="38.25" x14ac:dyDescent="0.2">
      <c r="A41" s="718"/>
      <c r="B41" s="62" t="s">
        <v>1225</v>
      </c>
      <c r="C41" s="62" t="s">
        <v>1226</v>
      </c>
      <c r="D41" s="63" t="s">
        <v>1245</v>
      </c>
      <c r="E41" s="65" t="s">
        <v>1240</v>
      </c>
      <c r="F41" s="61" t="s">
        <v>1241</v>
      </c>
      <c r="G41" s="86" t="s">
        <v>1242</v>
      </c>
      <c r="H41" s="64" t="s">
        <v>1271</v>
      </c>
      <c r="I41" s="66" t="s">
        <v>1274</v>
      </c>
      <c r="J41" s="66" t="s">
        <v>1244</v>
      </c>
      <c r="K41" s="63" t="s">
        <v>1238</v>
      </c>
      <c r="L41" s="63" t="s">
        <v>1269</v>
      </c>
      <c r="M41" s="63" t="s">
        <v>1232</v>
      </c>
      <c r="N41" s="63" t="s">
        <v>1273</v>
      </c>
      <c r="O41" s="63" t="s">
        <v>1279</v>
      </c>
      <c r="P41" s="87" t="s">
        <v>1208</v>
      </c>
    </row>
    <row r="42" spans="1:18" ht="13.5" customHeight="1" x14ac:dyDescent="0.2">
      <c r="A42" s="718"/>
      <c r="B42" s="50" t="s">
        <v>243</v>
      </c>
      <c r="C42" s="54">
        <f>[1]Edition_d_un_journal_de_paie_14!$B$17</f>
        <v>102776.17</v>
      </c>
      <c r="D42" s="54">
        <v>0</v>
      </c>
      <c r="E42" s="37">
        <v>0</v>
      </c>
      <c r="F42" s="37">
        <v>0</v>
      </c>
      <c r="G42" s="54">
        <v>0</v>
      </c>
      <c r="H42" s="54">
        <f>'DEP ALIM MODIF'!N1036131</f>
        <v>2437.79</v>
      </c>
      <c r="I42" s="54">
        <v>0</v>
      </c>
      <c r="J42" s="54">
        <v>0</v>
      </c>
      <c r="K42" s="54">
        <v>9054.68</v>
      </c>
      <c r="L42" s="54">
        <f>G49</f>
        <v>3474.8849999999998</v>
      </c>
      <c r="M42" s="77">
        <v>27471.64</v>
      </c>
      <c r="N42" s="77"/>
      <c r="O42" s="77"/>
      <c r="P42" s="80">
        <f>SUM(C42:N42)</f>
        <v>145215.16499999998</v>
      </c>
    </row>
    <row r="43" spans="1:18" ht="13.5" customHeight="1" x14ac:dyDescent="0.2">
      <c r="A43" s="718"/>
      <c r="B43" s="50" t="s">
        <v>1268</v>
      </c>
      <c r="C43" s="728">
        <f>[1]Edition_d_un_journal_de_paie_14!$B$8</f>
        <v>661314.32999999996</v>
      </c>
      <c r="D43" s="54">
        <v>0</v>
      </c>
      <c r="E43" s="37">
        <v>0</v>
      </c>
      <c r="F43" s="37">
        <v>0</v>
      </c>
      <c r="G43" s="54">
        <v>0</v>
      </c>
      <c r="H43" s="54">
        <v>0</v>
      </c>
      <c r="I43" s="54">
        <v>0</v>
      </c>
      <c r="J43" s="54">
        <v>0</v>
      </c>
      <c r="K43" s="54">
        <f>H52</f>
        <v>2553.6574999999998</v>
      </c>
      <c r="L43" s="54">
        <f>'[5]Consos eau 2025'!$I$15+'[5]Consos eau 2025'!$S$15+'[5]Consos eau 2026'!$I$15</f>
        <v>7072.09</v>
      </c>
      <c r="M43" s="37">
        <v>0</v>
      </c>
      <c r="N43" s="37"/>
      <c r="O43" s="77">
        <f>M36</f>
        <v>8159</v>
      </c>
      <c r="P43" s="80">
        <f>SUM(C43:N43)</f>
        <v>670940.0774999999</v>
      </c>
    </row>
    <row r="44" spans="1:18" ht="13.5" customHeight="1" x14ac:dyDescent="0.2">
      <c r="A44" s="718"/>
      <c r="B44" s="50" t="s">
        <v>236</v>
      </c>
      <c r="C44" s="729"/>
      <c r="D44" s="54">
        <f>[6]Feuil1!$N$36+[6]Feuil1!$N$126</f>
        <v>1154.9100000000001</v>
      </c>
      <c r="E44" s="88">
        <f>[6]Feuil1!$N$46+[6]Feuil1!$N$47+[6]Feuil1!$N$48+[6]Feuil1!$N$49+[6]Feuil1!$N$50+[6]Feuil1!$N$64+[6]Feuil1!$N$112+[6]Feuil1!$N$116+[6]Feuil1!$N$129+[6]Feuil1!$N$234+[6]Feuil1!$N$256+[6]Feuil1!$N$278+[6]Feuil1!$N$279+[6]Feuil1!$N$280+[6]Feuil1!$N$281+[6]Feuil1!$N$321+[6]Feuil1!$N$323+[6]Feuil1!$N$324</f>
        <v>7011.49</v>
      </c>
      <c r="F44" s="88">
        <f>[6]Feuil1!$N$319</f>
        <v>478.61</v>
      </c>
      <c r="G44" s="54">
        <f>[6]Feuil1!$N$106+[6]Feuil1!$N$283+[6]Feuil1!$N$318+[6]Feuil1!$N$320</f>
        <v>2016.62</v>
      </c>
      <c r="H44" s="54">
        <f>[6]Feuil1!$N$33+[6]Feuil1!$N$35+[6]Feuil1!$N$102+[6]Feuil1!$N$103+[6]Feuil1!$N$104+[6]Feuil1!$N$105+[6]Feuil1!$N$107+[6]Feuil1!$N$108+[6]Feuil1!$N$109+[6]Feuil1!$N$110+[6]Feuil1!$N$113+[6]Feuil1!$N$115+[6]Feuil1!$N$117+[6]Feuil1!$N$118+[6]Feuil1!$N$119+[6]Feuil1!$N$120+[6]Feuil1!$N$123+[6]Feuil1!$N$125+[6]Feuil1!$N$181+[6]Feuil1!$N$187+[6]Feuil1!$N$188+[6]Feuil1!$N$223+[6]Feuil1!$N$251+[6]Feuil1!$N$252+[6]Feuil1!$N$253+[6]Feuil1!$N$254+[6]Feuil1!$N$255+[6]Feuil1!$N$272+[6]Feuil1!$N$273+[6]Feuil1!$N$274+[6]Feuil1!$N$275+[6]Feuil1!$N$296+[6]Feuil1!$N$297+[6]Feuil1!$N$298+[6]Feuil1!$N$300+[6]Feuil1!$N$301+[6]Feuil1!$N$302+[6]Feuil1!$N$313+'DEP ALIM MODIF'!N36+'DEP ALIM MODIF'!N37+'DEP ALIM MODIF'!N114+'DEP ALIM MODIF'!N116+'DEP ALIM MODIF'!N117+'DEP ALIM MODIF'!N118+'DEP ALIM MODIF'!N119+'DEP ALIM MODIF'!N120+'DEP ALIM MODIF'!N121+'DEP ALIM MODIF'!N122+'DEP ALIM MODIF'!N123+'DEP ALIM MODIF'!N124+'DEP ALIM MODIF'!N125+'DEP ALIM MODIF'!N126+'DEP ALIM MODIF'!N127+'DEP ALIM MODIF'!N128+'DEP ALIM MODIF'!N181+'DEP ALIM MODIF'!N183+'DEP ALIM MODIF'!N184+'DEP ALIM MODIF'!N228+'DEP ALIM MODIF'!N256+'DEP ALIM MODIF'!N257+'DEP ALIM MODIF'!N258+'DEP ALIM MODIF'!N265+'DEP ALIM MODIF'!N266+'DEP ALIM MODIF'!N292+'DEP ALIM MODIF'!N293+'DEP ALIM MODIF'!N294+'DEP ALIM MODIF'!N295+'DEP ALIM MODIF'!N306+'DEP ALIM MODIF'!N307+'DEP ALIM MODIF'!N308+'DEP ALIM MODIF'!N309+'DEP ALIM MODIF'!N310+'DEP ALIM MODIF'!N311+'DEP ALIM MODIF'!N319</f>
        <v>14529.360000000004</v>
      </c>
      <c r="I44" s="54">
        <f>[6]Feuil1!$N$34+[6]Feuil1!$N$177+[6]Feuil1!$N$178+[6]Feuil1!$N$179+[6]Feuil1!$N$184+[6]Feuil1!$N$189+[6]Feuil1!$N$190+[6]Feuil1!$N$207+[6]Feuil1!$N$208+[6]Feuil1!$N$220+[6]Feuil1!$N$221+[6]Feuil1!$N$224+[6]Feuil1!$N$233</f>
        <v>8749.6</v>
      </c>
      <c r="J44" s="54">
        <f>[6]Feuil1!$N$37+[6]Feuil1!$N$65+[6]Feuil1!$N$114+[6]Feuil1!$N$121+[6]Feuil1!$N$122+[6]Feuil1!$N$124+[6]Feuil1!$N$159+[6]Feuil1!$N$180+[6]Feuil1!$N$182+[6]Feuil1!$N$183+[6]Feuil1!$N$185+[6]Feuil1!$N$186+[6]Feuil1!$N$222+[6]Feuil1!$N$257+[6]Feuil1!$N$258+[6]Feuil1!$N$277</f>
        <v>6237.2</v>
      </c>
      <c r="K44" s="54">
        <v>0</v>
      </c>
      <c r="L44" s="54">
        <v>0</v>
      </c>
      <c r="M44" s="77">
        <v>0</v>
      </c>
      <c r="N44" s="88">
        <f>[6]Feuil1!$N$98+[6]Feuil1!$N$99+[6]Feuil1!$N$128</f>
        <v>115.44</v>
      </c>
      <c r="O44" s="77"/>
      <c r="P44" s="80">
        <f>SUM(C44:N44)</f>
        <v>40293.230000000003</v>
      </c>
    </row>
    <row r="45" spans="1:18" ht="13.5" customHeight="1" x14ac:dyDescent="0.2">
      <c r="A45" s="718"/>
      <c r="B45" s="50" t="s">
        <v>250</v>
      </c>
      <c r="C45" s="37">
        <v>0</v>
      </c>
      <c r="D45" s="54">
        <v>0</v>
      </c>
      <c r="E45" s="88">
        <f>[6]Feuil1!$N$71+[6]Feuil1!$N$72+[6]Feuil1!$N$263+[6]Feuil1!$N$276</f>
        <v>1636.4</v>
      </c>
      <c r="F45" s="37">
        <v>0</v>
      </c>
      <c r="G45" s="54">
        <f>[6]Feuil1!$N$267</f>
        <v>650</v>
      </c>
      <c r="H45" s="54">
        <f>[6]Feuil1!$N$25+[6]Feuil1!$N$26+[6]Feuil1!$N$51+[6]Feuil1!$N$73+[6]Feuil1!$N$135+[6]Feuil1!$N$209+[6]Feuil1!$N$243+[6]Feuil1!$N$262+[6]Feuil1!$N$265+[6]Feuil1!$N$268+[6]Feuil1!$N$269+[6]Feuil1!$N$285+[6]Feuil1!$N$287+'DEP ALIM MODIF'!N5+'DEP ALIM MODIF'!N16+'DEP ALIM MODIF'!N31+'DEP ALIM MODIF'!N32+'DEP ALIM MODIF'!N44+'DEP ALIM MODIF'!N63+'DEP ALIM MODIF'!N79+'DEP ALIM MODIF'!N81+'DEP ALIM MODIF'!N132+'DEP ALIM MODIF'!N136+'DEP ALIM MODIF'!N140+'DEP ALIM MODIF'!N161+'DEP ALIM MODIF'!N199+'DEP ALIM MODIF'!N242+'DEP ALIM MODIF'!N251+'DEP ALIM MODIF'!N274+'DEP ALIM MODIF'!N276+'DEP ALIM MODIF'!N277+'DEP ALIM MODIF'!N285+'DEP ALIM MODIF'!N287+'DEP ALIM MODIF'!N289+'DEP ALIM MODIF'!N290+'DEP ALIM MODIF'!N298+'DEP ALIM MODIF'!N299+'DEP ALIM MODIF'!N344</f>
        <v>5392.09</v>
      </c>
      <c r="I45" s="54">
        <v>0</v>
      </c>
      <c r="J45" s="54">
        <v>0</v>
      </c>
      <c r="K45" s="54">
        <f>F54</f>
        <v>5275.8949999999995</v>
      </c>
      <c r="L45" s="54">
        <f>F121</f>
        <v>16055</v>
      </c>
      <c r="M45" s="37">
        <v>0</v>
      </c>
      <c r="N45" s="77"/>
      <c r="O45" s="77">
        <f>K54</f>
        <v>8027.5</v>
      </c>
      <c r="P45" s="80">
        <f>SUM(C45:N45)</f>
        <v>29009.384999999998</v>
      </c>
    </row>
    <row r="46" spans="1:18" ht="13.5" customHeight="1" x14ac:dyDescent="0.2">
      <c r="A46" s="718"/>
      <c r="B46" s="50" t="s">
        <v>1272</v>
      </c>
      <c r="C46" s="88">
        <f>[1]Edition_d_un_journal_de_paie_14!$B$7</f>
        <v>664758.87</v>
      </c>
      <c r="D46" s="54">
        <f>[6]Feuil1!$N$16+[6]Feuil1!$N$90+[6]Feuil1!$N$168</f>
        <v>1022.56</v>
      </c>
      <c r="E46" s="88">
        <f>[6]Feuil1!$N$20+[6]Feuil1!$N$55+[6]Feuil1!$N$56+[6]Feuil1!$N$62+[6]Feuil1!$N$140+[6]Feuil1!$N$245+[6]Feuil1!$N$266+[6]Feuil1!$N$299+[6]Feuil1!$N$325+[6]Feuil1!$N$326+[6]Feuil1!$N$329</f>
        <v>6143.02</v>
      </c>
      <c r="F46" s="37">
        <v>0</v>
      </c>
      <c r="G46" s="54">
        <f>[6]Feuil1!$N$292+[6]Feuil1!$N$282+[6]Feuil1!$N$239+[6]Feuil1!$N$231+[6]Feuil1!$N$230+[6]Feuil1!$N$229+[6]Feuil1!$N$228+[6]Feuil1!$N$227+[6]Feuil1!$N$226+[6]Feuil1!$N$216+[6]Feuil1!$N$215+[6]Feuil1!$N$173+[6]Feuil1!$N$169+[6]Feuil1!$N$160+[6]Feuil1!$N$156+[6]Feuil1!$N$155+[6]Feuil1!$N$152+[6]Feuil1!$N$149+[6]Feuil1!$N$148+[6]Feuil1!$N$146+[6]Feuil1!$N$134+[6]Feuil1!$N$132+[6]Feuil1!$N$43</f>
        <v>2223.08</v>
      </c>
      <c r="H46" s="54">
        <f>[6]Feuil1!$N$12+[6]Feuil1!$N$13+[6]Feuil1!$N$14+[6]Feuil1!$N$15+[6]Feuil1!$N$17+[6]Feuil1!$N$18+[6]Feuil1!$N$19+[6]Feuil1!$N$21+[6]Feuil1!$N$22+[6]Feuil1!$N$28+[6]Feuil1!$N$29+[6]Feuil1!$N$39+[6]Feuil1!$N$40+[6]Feuil1!$N$41+[6]Feuil1!$N$42+[6]Feuil1!$N$52+[6]Feuil1!$N$53+[6]Feuil1!$N$54+[6]Feuil1!$N$57+[6]Feuil1!$N$58+[6]Feuil1!$N$59+[6]Feuil1!$N$60+[6]Feuil1!$N$74+[6]Feuil1!$N$75+[6]Feuil1!$N$76+[6]Feuil1!$N$77+[6]Feuil1!$N$78+[6]Feuil1!$N$79+[6]Feuil1!$N$80+[6]Feuil1!$N$82+[6]Feuil1!$N$84+[6]Feuil1!$N$85+[6]Feuil1!$N$86+[6]Feuil1!$N$87+[6]Feuil1!$N$88+[6]Feuil1!$N$89+[6]Feuil1!$N$92+[6]Feuil1!$N$136+[6]Feuil1!$N$137+[6]Feuil1!$N$138+[6]Feuil1!$N$139+[6]Feuil1!$N$141+[6]Feuil1!$N$145+[6]Feuil1!$N$147+[6]Feuil1!$N$150+[6]Feuil1!$N$151+[6]Feuil1!$N$154+[6]Feuil1!$N$157+[6]Feuil1!$N$158+[6]Feuil1!$N$163+[6]Feuil1!$N$172+[6]Feuil1!$N$213+[6]Feuil1!$N$214+[6]Feuil1!$N$217+[6]Feuil1!$N$237+[6]Feuil1!$N$238+[6]Feuil1!$N$240+[6]Feuil1!$N$241+[6]Feuil1!$N$242+[6]Feuil1!$N$244+[6]Feuil1!$N$248+[6]Feuil1!$N$249+[6]Feuil1!$N$288+[6]Feuil1!$N$289+[6]Feuil1!$N$290+[6]Feuil1!$N$291+[6]Feuil1!$N$294+[6]Feuil1!$N$295+[6]Feuil1!$N$306+[6]Feuil1!$N$307+[6]Feuil1!$N$308+[6]Feuil1!$N$309+[6]Feuil1!$N$310+[6]Feuil1!$N$311+[6]Feuil1!$N$312+[6]Feuil1!$N$327+[6]Feuil1!$N$328+[6]Feuil1!$N$333+[6]Feuil1!$N$334+'DEP ALIM MODIF'!N1036130</f>
        <v>13263.82</v>
      </c>
      <c r="I46" s="54">
        <f>[6]Feuil1!$N$10+[6]Feuil1!$N$66+[6]Feuil1!$N$142+[6]Feuil1!$N$161+[6]Feuil1!$N$198+[6]Feuil1!$N$225+[6]Feuil1!$N$250+[6]Feuil1!$N$314+[6]Feuil1!$N$315+[6]Feuil1!$N$316+[6]Feuil1!$N$317+[6]Feuil1!$N$331</f>
        <v>5803.3899999999994</v>
      </c>
      <c r="J46" s="54">
        <f>[6]Feuil1!$N$11+[6]Feuil1!$N$23+[6]Feuil1!$N$27+[6]Feuil1!$N$30+[6]Feuil1!$N$31+[6]Feuil1!$N$32+[6]Feuil1!$N$38+[6]Feuil1!$N$61+[6]Feuil1!$N$63+[6]Feuil1!$N$67+[6]Feuil1!$N$68+[6]Feuil1!$N$70+[6]Feuil1!$N$81+[6]Feuil1!$N$83+[6]Feuil1!$N$133+[6]Feuil1!$N$143+[6]Feuil1!$N$144+[6]Feuil1!$N$153+[6]Feuil1!$N$162+[6]Feuil1!$N$164+[6]Feuil1!$N$165+[6]Feuil1!$N$166+[6]Feuil1!$N$167+[6]Feuil1!$N$170+[6]Feuil1!$N$171+[6]Feuil1!$N$174+[6]Feuil1!$N$175+[6]Feuil1!$N$218+[6]Feuil1!$N$219+[6]Feuil1!$N$246+[6]Feuil1!$N$247+[6]Feuil1!$N$264+[6]Feuil1!$N$284+[6]Feuil1!$N$286+[6]Feuil1!$N$293+[6]Feuil1!$N$303+[6]Feuil1!$N$304+[6]Feuil1!$N$305+[6]Feuil1!$N$322+[6]Feuil1!$N$330+[6]Feuil1!$N$332</f>
        <v>12609.07</v>
      </c>
      <c r="K46" s="54">
        <v>0</v>
      </c>
      <c r="L46" s="54">
        <v>0</v>
      </c>
      <c r="M46" s="37">
        <v>0</v>
      </c>
      <c r="N46" s="89">
        <f>[6]Feuil1!$N$24+[6]Feuil1!$N$44+[6]Feuil1!$N$93+[6]Feuil1!$N$100+[6]Feuil1!$N$101+[6]Feuil1!$N$232+[6]Feuil1!$N$259+[6]Feuil1!$N$270+[6]Feuil1!$N$271</f>
        <v>4834.47</v>
      </c>
      <c r="O46" s="77"/>
      <c r="P46" s="80">
        <f>SUM(C46:N46)</f>
        <v>710658.27999999991</v>
      </c>
    </row>
    <row r="47" spans="1:18" ht="13.5" customHeight="1" x14ac:dyDescent="0.2">
      <c r="A47" s="719"/>
      <c r="B47" s="51" t="s">
        <v>167</v>
      </c>
      <c r="C47" s="55">
        <f t="shared" ref="C47:N47" si="6">SUM(C42:C46)</f>
        <v>1428849.37</v>
      </c>
      <c r="D47" s="55">
        <f t="shared" si="6"/>
        <v>2177.4700000000003</v>
      </c>
      <c r="E47" s="55">
        <f t="shared" si="6"/>
        <v>14790.91</v>
      </c>
      <c r="F47" s="55">
        <f t="shared" si="6"/>
        <v>478.61</v>
      </c>
      <c r="G47" s="55">
        <f t="shared" si="6"/>
        <v>4889.7</v>
      </c>
      <c r="H47" s="55">
        <f t="shared" si="6"/>
        <v>35623.060000000005</v>
      </c>
      <c r="I47" s="55">
        <f t="shared" si="6"/>
        <v>14552.99</v>
      </c>
      <c r="J47" s="55">
        <f t="shared" si="6"/>
        <v>18846.27</v>
      </c>
      <c r="K47" s="55">
        <f>SUM(K42:K46)</f>
        <v>16884.232499999998</v>
      </c>
      <c r="L47" s="55">
        <f t="shared" si="6"/>
        <v>26601.974999999999</v>
      </c>
      <c r="M47" s="55">
        <f>SUM(M42:M46)</f>
        <v>27471.64</v>
      </c>
      <c r="N47" s="55">
        <f t="shared" si="6"/>
        <v>4949.91</v>
      </c>
      <c r="O47" s="55"/>
      <c r="P47" s="81">
        <f>SUM(P42:P46)</f>
        <v>1596116.1374999997</v>
      </c>
    </row>
    <row r="48" spans="1:18" ht="13.5" customHeight="1" x14ac:dyDescent="0.2">
      <c r="A48" s="97"/>
      <c r="B48" s="498" t="s">
        <v>2069</v>
      </c>
      <c r="C48" s="499"/>
      <c r="D48" s="499"/>
      <c r="E48" s="499"/>
      <c r="F48" s="499"/>
      <c r="G48" s="499">
        <f>'[5]Consos eau 2025'!$S$11+'[5]Consos eau 2026'!$I$11</f>
        <v>6949.7699999999995</v>
      </c>
    </row>
    <row r="49" spans="1:11" ht="13.5" customHeight="1" x14ac:dyDescent="0.2">
      <c r="A49" s="91"/>
      <c r="B49" s="499"/>
      <c r="C49" s="499"/>
      <c r="D49" s="499"/>
      <c r="E49" s="499"/>
      <c r="F49" s="499" t="s">
        <v>2070</v>
      </c>
      <c r="G49" s="501">
        <f>G48/2</f>
        <v>3474.8849999999998</v>
      </c>
    </row>
    <row r="50" spans="1:11" ht="13.5" customHeight="1" x14ac:dyDescent="0.2">
      <c r="A50" s="91"/>
      <c r="B50" s="505" t="s">
        <v>2076</v>
      </c>
      <c r="C50" s="506"/>
      <c r="D50" s="506"/>
      <c r="E50" s="506"/>
      <c r="F50" s="506"/>
      <c r="G50" s="506"/>
      <c r="H50" s="505">
        <f>'[3]Etat consos TOTAL sur BP2025 '!$K$14+'[3]Etat consos TOTAL sur BP2025 '!$O$14+'[3]Etat consos TOTAL sur BP2025 '!$AA$14+'[3]Etat consos TOTAL sur BP2025 '!$AI$14+'[3]Etat consos TOTAL sur BP2025 '!$AQ$14+'[3]Etat consos TOTAL sur BP2025 '!$BS$14+'[3]Etat consos TOTAL sur BP2025 '!$CI$14+'[3]Etat consos TOTAL sur BP2025 '!$CM$14+'[3]Etats consos TOTAL sur BP 2026'!$DS$14</f>
        <v>10214.629999999999</v>
      </c>
    </row>
    <row r="51" spans="1:11" ht="13.5" customHeight="1" x14ac:dyDescent="0.2">
      <c r="B51" s="505" t="s">
        <v>2075</v>
      </c>
      <c r="C51" s="506"/>
      <c r="D51" s="506"/>
      <c r="E51" s="506"/>
      <c r="F51" s="506"/>
      <c r="G51" s="506"/>
      <c r="H51" s="507">
        <f>H50/2</f>
        <v>5107.3149999999996</v>
      </c>
    </row>
    <row r="52" spans="1:11" ht="13.5" customHeight="1" x14ac:dyDescent="0.25">
      <c r="B52" s="505" t="s">
        <v>2079</v>
      </c>
      <c r="C52" s="506"/>
      <c r="D52" s="506"/>
      <c r="E52" s="506"/>
      <c r="F52" s="506"/>
      <c r="G52" s="506"/>
      <c r="H52" s="508">
        <f>H51/2</f>
        <v>2553.6574999999998</v>
      </c>
    </row>
    <row r="53" spans="1:11" ht="13.5" customHeight="1" x14ac:dyDescent="0.2">
      <c r="B53" s="511" t="s">
        <v>2080</v>
      </c>
      <c r="C53" s="155"/>
      <c r="D53" s="155"/>
      <c r="E53" s="155"/>
      <c r="F53" s="155">
        <f>'[3]Etat consos TOTAL sur BP2025 '!$K$22+'[3]Etat consos TOTAL sur BP2025 '!$O$22+'[3]Etat consos TOTAL sur BP2025 '!$AA$22+'[3]Etat consos TOTAL sur BP2025 '!$AI$22+'[3]Etat consos TOTAL sur BP2025 '!$AQ$22+'[3]Etat consos TOTAL sur BP2025 '!$AU$22+'[3]Etat consos TOTAL sur BP2025 '!$BC$22+'[3]Etat consos TOTAL sur BP2025 '!$BK$22+'[3]Etat consos TOTAL sur BP2025 '!$BS$22+'[3]Etat consos TOTAL sur BP2025 '!$CI$22+'[3]Etat consos TOTAL sur BP2025 '!$CM$22+'[3]Etat consos TOTAL sur BP2025 '!$CQ$22+'[3]Etats consos TOTAL sur BP 2026'!$DS$22</f>
        <v>10551.789999999999</v>
      </c>
      <c r="G53" s="516" t="s">
        <v>2085</v>
      </c>
      <c r="H53" s="517"/>
      <c r="I53" s="517"/>
      <c r="J53" s="517"/>
      <c r="K53" s="516">
        <f>'[4]Etat consos GAZ 2024-2025'!$HN$15</f>
        <v>16055</v>
      </c>
    </row>
    <row r="54" spans="1:11" ht="13.5" customHeight="1" x14ac:dyDescent="0.2">
      <c r="B54" s="511" t="s">
        <v>2081</v>
      </c>
      <c r="C54" s="155"/>
      <c r="D54" s="155"/>
      <c r="E54" s="155"/>
      <c r="F54" s="512">
        <f>F53/2</f>
        <v>5275.8949999999995</v>
      </c>
      <c r="G54" s="516" t="s">
        <v>2086</v>
      </c>
      <c r="H54" s="517"/>
      <c r="I54" s="517"/>
      <c r="J54" s="517"/>
      <c r="K54" s="518">
        <f>K53/2</f>
        <v>8027.5</v>
      </c>
    </row>
    <row r="55" spans="1:11" ht="28.5" customHeight="1" x14ac:dyDescent="0.2"/>
    <row r="56" spans="1:11" ht="13.5" customHeight="1" x14ac:dyDescent="0.2">
      <c r="A56" s="737" t="s">
        <v>1255</v>
      </c>
      <c r="B56" s="707" t="s">
        <v>1233</v>
      </c>
      <c r="C56" s="708"/>
      <c r="D56" s="708"/>
      <c r="E56" s="709"/>
      <c r="F56" s="98"/>
      <c r="G56" s="67"/>
      <c r="H56" s="67"/>
      <c r="I56" s="67"/>
      <c r="J56" s="67"/>
      <c r="K56" s="67"/>
    </row>
    <row r="57" spans="1:11" ht="13.5" customHeight="1" x14ac:dyDescent="0.2">
      <c r="A57" s="737"/>
      <c r="B57" s="703" t="s">
        <v>1223</v>
      </c>
      <c r="C57" s="706"/>
      <c r="D57" s="703" t="s">
        <v>1245</v>
      </c>
      <c r="E57" s="703"/>
      <c r="F57" s="83"/>
    </row>
    <row r="58" spans="1:11" ht="41.25" customHeight="1" x14ac:dyDescent="0.2">
      <c r="A58" s="737"/>
      <c r="B58" s="62" t="s">
        <v>1225</v>
      </c>
      <c r="C58" s="62" t="s">
        <v>1226</v>
      </c>
      <c r="D58" s="65" t="s">
        <v>1246</v>
      </c>
      <c r="E58" s="65" t="s">
        <v>1247</v>
      </c>
      <c r="F58" s="63" t="s">
        <v>1208</v>
      </c>
    </row>
    <row r="59" spans="1:11" ht="13.5" customHeight="1" x14ac:dyDescent="0.2">
      <c r="A59" s="737"/>
      <c r="B59" s="741" t="s">
        <v>2031</v>
      </c>
      <c r="C59" s="738">
        <f>[1]Edition_d_un_journal_de_paie_14!$B$15</f>
        <v>58598.14</v>
      </c>
      <c r="D59" s="452"/>
      <c r="E59" s="745">
        <v>0</v>
      </c>
      <c r="F59" s="743">
        <f>SUM(C59:E60)</f>
        <v>58598.14</v>
      </c>
    </row>
    <row r="60" spans="1:11" ht="13.5" customHeight="1" x14ac:dyDescent="0.2">
      <c r="A60" s="737"/>
      <c r="B60" s="742"/>
      <c r="C60" s="739"/>
      <c r="D60" s="453">
        <v>0</v>
      </c>
      <c r="E60" s="745"/>
      <c r="F60" s="744"/>
    </row>
    <row r="61" spans="1:11" ht="13.5" customHeight="1" x14ac:dyDescent="0.2">
      <c r="A61" s="737"/>
      <c r="B61" s="51" t="s">
        <v>167</v>
      </c>
      <c r="C61" s="55">
        <f>SUM(C59:C60)</f>
        <v>58598.14</v>
      </c>
      <c r="D61" s="60">
        <f>SUM(D59:D60)</f>
        <v>0</v>
      </c>
      <c r="E61" s="55">
        <f>SUM(E59)</f>
        <v>0</v>
      </c>
      <c r="F61" s="78">
        <f>SUM(F59)</f>
        <v>58598.14</v>
      </c>
    </row>
    <row r="62" spans="1:11" ht="13.5" customHeight="1" x14ac:dyDescent="0.2">
      <c r="A62" s="100"/>
    </row>
    <row r="63" spans="1:11" ht="13.5" customHeight="1" x14ac:dyDescent="0.2">
      <c r="A63" s="100"/>
    </row>
    <row r="64" spans="1:11" ht="13.5" customHeight="1" x14ac:dyDescent="0.2">
      <c r="A64" s="100"/>
    </row>
    <row r="65" spans="1:14" ht="13.5" customHeight="1" x14ac:dyDescent="0.2">
      <c r="A65" s="100"/>
    </row>
    <row r="66" spans="1:14" ht="13.5" customHeight="1" x14ac:dyDescent="0.2">
      <c r="A66" s="100"/>
    </row>
    <row r="67" spans="1:14" ht="13.5" customHeight="1" x14ac:dyDescent="0.2">
      <c r="A67" s="99"/>
    </row>
    <row r="71" spans="1:14" ht="25.5" customHeight="1" x14ac:dyDescent="0.2"/>
    <row r="72" spans="1:14" ht="13.5" customHeight="1" x14ac:dyDescent="0.2">
      <c r="A72" s="705" t="s">
        <v>1248</v>
      </c>
      <c r="B72" s="696" t="s">
        <v>1233</v>
      </c>
      <c r="C72" s="698"/>
      <c r="D72" s="698"/>
      <c r="E72" s="698"/>
      <c r="F72" s="698"/>
      <c r="G72" s="698"/>
      <c r="H72" s="698"/>
      <c r="I72" s="698"/>
      <c r="J72" s="698"/>
      <c r="K72" s="697"/>
    </row>
    <row r="73" spans="1:14" ht="13.5" customHeight="1" x14ac:dyDescent="0.2">
      <c r="A73" s="705"/>
      <c r="B73" s="703" t="s">
        <v>1223</v>
      </c>
      <c r="C73" s="706"/>
      <c r="D73" s="696" t="s">
        <v>1237</v>
      </c>
      <c r="E73" s="698"/>
      <c r="F73" s="698" t="s">
        <v>1280</v>
      </c>
      <c r="G73" s="698"/>
      <c r="H73" s="697"/>
      <c r="I73" s="52" t="s">
        <v>1283</v>
      </c>
      <c r="J73" s="98"/>
      <c r="K73" s="696" t="s">
        <v>1235</v>
      </c>
      <c r="L73" s="697"/>
    </row>
    <row r="74" spans="1:14" ht="35.25" customHeight="1" x14ac:dyDescent="0.2">
      <c r="A74" s="705"/>
      <c r="B74" s="63" t="s">
        <v>1275</v>
      </c>
      <c r="C74" s="63" t="s">
        <v>2028</v>
      </c>
      <c r="D74" s="63" t="s">
        <v>1238</v>
      </c>
      <c r="E74" s="63" t="s">
        <v>1267</v>
      </c>
      <c r="F74" s="487" t="s">
        <v>1278</v>
      </c>
      <c r="G74" s="63" t="s">
        <v>1280</v>
      </c>
      <c r="H74" s="63" t="s">
        <v>1281</v>
      </c>
      <c r="I74" s="63" t="s">
        <v>1282</v>
      </c>
      <c r="J74" s="63" t="s">
        <v>1283</v>
      </c>
      <c r="K74" s="63" t="s">
        <v>1273</v>
      </c>
      <c r="L74" s="66" t="s">
        <v>1243</v>
      </c>
      <c r="M74" s="66" t="s">
        <v>1244</v>
      </c>
      <c r="N74" s="66" t="s">
        <v>1270</v>
      </c>
    </row>
    <row r="75" spans="1:14" ht="13.5" customHeight="1" x14ac:dyDescent="0.2">
      <c r="A75" s="705"/>
      <c r="B75" s="50" t="s">
        <v>1248</v>
      </c>
      <c r="C75" s="54">
        <f>[1]Edition_d_un_journal_de_paie_14!$B$16</f>
        <v>119794.89</v>
      </c>
      <c r="D75">
        <v>10918.975</v>
      </c>
      <c r="E75" s="54">
        <v>426</v>
      </c>
      <c r="F75" s="37">
        <f>F81</f>
        <v>3499.27</v>
      </c>
      <c r="G75" s="54">
        <v>0</v>
      </c>
      <c r="H75" s="54">
        <f>[6]Feuil1!$N$261+[6]Feuil1!$N$97+[6]Feuil1!$N$95</f>
        <v>1265.8699999999999</v>
      </c>
      <c r="I75" s="54">
        <f>[6]Feuil1!$N$127+[6]Feuil1!$N$197</f>
        <v>467.86</v>
      </c>
      <c r="J75" s="54">
        <f>[6]Feuil1!$N$96</f>
        <v>59.24</v>
      </c>
      <c r="K75" s="54">
        <f>[6]Feuil1!$N$94+[6]Feuil1!$N$130+[6]Feuil1!$N$131</f>
        <v>327.01</v>
      </c>
      <c r="L75" s="54">
        <f>[6]Feuil1!$N$194+[6]Feuil1!$N$205+[6]Feuil1!$N$206+[6]Feuil1!$N$211+[6]Feuil1!$N$212</f>
        <v>4016.42</v>
      </c>
      <c r="M75" s="54">
        <v>0</v>
      </c>
      <c r="N75" s="79">
        <f>SUM(C75:M75)</f>
        <v>140775.53499999997</v>
      </c>
    </row>
    <row r="76" spans="1:14" ht="13.5" customHeight="1" x14ac:dyDescent="0.2">
      <c r="A76" s="705"/>
      <c r="B76" s="51" t="s">
        <v>167</v>
      </c>
      <c r="C76" s="55">
        <f>SUM(C75:C75)</f>
        <v>119794.89</v>
      </c>
      <c r="D76" s="55">
        <f>SUM(D75)</f>
        <v>10918.975</v>
      </c>
      <c r="E76" s="55">
        <f t="shared" ref="E76:F76" si="7">SUM(E75:E75)</f>
        <v>426</v>
      </c>
      <c r="F76" s="55">
        <f t="shared" si="7"/>
        <v>3499.27</v>
      </c>
      <c r="G76" s="55">
        <f>SUM(G75:G75)</f>
        <v>0</v>
      </c>
      <c r="H76" s="55">
        <f>SUM(H75:H75)</f>
        <v>1265.8699999999999</v>
      </c>
      <c r="I76" s="55">
        <f>SUM(I75:I75)</f>
        <v>467.86</v>
      </c>
      <c r="J76" s="55">
        <f>SUM(J75:J75)</f>
        <v>59.24</v>
      </c>
      <c r="K76" s="55">
        <f>SUM(K75:K75)</f>
        <v>327.01</v>
      </c>
      <c r="L76" s="55">
        <f t="shared" ref="L76:M76" si="8">SUM(L75:L75)</f>
        <v>4016.42</v>
      </c>
      <c r="M76" s="55">
        <f t="shared" si="8"/>
        <v>0</v>
      </c>
      <c r="N76" s="81">
        <f>SUM(N75)</f>
        <v>140775.53499999997</v>
      </c>
    </row>
    <row r="77" spans="1:14" ht="13.5" customHeight="1" x14ac:dyDescent="0.2">
      <c r="A77" s="705"/>
      <c r="B77" s="488" t="s">
        <v>2030</v>
      </c>
      <c r="C77" s="489"/>
      <c r="D77" s="489"/>
      <c r="E77" s="489"/>
      <c r="F77" s="489" cm="1">
        <f t="array" ref="F77:F78">'[3]Etat consos TOTAL sur BP2025 '!$K$17:$K$18+'[3]Etat consos TOTAL sur BP2025 '!$O$17:$O$18+'[3]Etat consos TOTAL sur BP2025 '!$AA$17:$AA$18+'[3]Etat consos TOTAL sur BP2025 '!$AI$17:$AI$18+'[3]Etat consos TOTAL sur BP2025 '!$AQ$17:$AQ$18+'[3]Etat consos TOTAL sur BP2025 '!$AU$17:$AU$18+'[3]Etat consos TOTAL sur BP2025 '!$BC$17:$BC$18+'[3]Etat consos TOTAL sur BP2025 '!$BK$17:$BK$18+'[3]Etat consos TOTAL sur BP2025 '!$BS$17:$BS$18+'[3]Etat consos TOTAL sur BP2025 '!$CI$17:$CI$18+'[3]Etat consos TOTAL sur BP2025 '!$CM$17:$CM$18+'[3]Etat consos TOTAL sur BP2025 '!$DS$17:$DS$18</f>
        <v>21837.950000000004</v>
      </c>
    </row>
    <row r="78" spans="1:14" ht="13.5" customHeight="1" x14ac:dyDescent="0.2">
      <c r="A78" s="91"/>
      <c r="B78" s="489"/>
      <c r="C78" s="489"/>
      <c r="D78" s="489"/>
      <c r="E78" s="489"/>
      <c r="F78" s="489">
        <v>0</v>
      </c>
    </row>
    <row r="79" spans="1:14" ht="13.5" customHeight="1" x14ac:dyDescent="0.2">
      <c r="A79" s="92"/>
      <c r="B79" s="489"/>
      <c r="C79" s="489"/>
      <c r="D79" s="489"/>
      <c r="E79" s="489"/>
      <c r="F79" s="490">
        <f>F77/2</f>
        <v>10918.975000000002</v>
      </c>
    </row>
    <row r="80" spans="1:14" ht="13.5" customHeight="1" x14ac:dyDescent="0.2">
      <c r="A80" s="92"/>
      <c r="B80" s="491" t="s">
        <v>2071</v>
      </c>
      <c r="C80" s="492"/>
      <c r="D80" s="492"/>
      <c r="E80" s="492"/>
      <c r="F80" s="492">
        <f>'[5]Consos eau 2025'!$I$15+'[5]Consos eau 2025'!$S$15+'[5]Consos eau 2026'!$I$17</f>
        <v>6998.54</v>
      </c>
    </row>
    <row r="81" spans="1:11" ht="13.5" customHeight="1" x14ac:dyDescent="0.2">
      <c r="A81" s="92"/>
      <c r="B81" s="492"/>
      <c r="C81" s="492"/>
      <c r="D81" s="492"/>
      <c r="E81" s="492"/>
      <c r="F81" s="493">
        <f>F80/2</f>
        <v>3499.27</v>
      </c>
    </row>
    <row r="82" spans="1:11" ht="13.5" customHeight="1" x14ac:dyDescent="0.2">
      <c r="A82" s="17"/>
      <c r="B82" s="492"/>
      <c r="C82" s="492"/>
      <c r="D82" s="492"/>
      <c r="E82" s="492"/>
      <c r="F82" s="492"/>
    </row>
    <row r="83" spans="1:11" ht="13.5" customHeight="1" x14ac:dyDescent="0.2">
      <c r="A83" s="92"/>
      <c r="B83" s="17"/>
    </row>
    <row r="86" spans="1:11" ht="13.5" customHeight="1" x14ac:dyDescent="0.2">
      <c r="B86" s="17"/>
    </row>
    <row r="89" spans="1:11" ht="13.5" customHeight="1" x14ac:dyDescent="0.2">
      <c r="A89" s="705" t="s">
        <v>1249</v>
      </c>
      <c r="B89" s="703" t="s">
        <v>1233</v>
      </c>
      <c r="C89" s="703"/>
      <c r="D89" s="703"/>
      <c r="E89" s="703"/>
      <c r="F89" s="703"/>
      <c r="G89" s="703"/>
      <c r="H89" s="703"/>
      <c r="I89" s="703"/>
      <c r="J89" s="703"/>
      <c r="K89" s="703"/>
    </row>
    <row r="90" spans="1:11" ht="13.5" customHeight="1" x14ac:dyDescent="0.2">
      <c r="A90" s="705"/>
      <c r="B90" s="703" t="s">
        <v>1223</v>
      </c>
      <c r="C90" s="706"/>
      <c r="D90" s="703" t="s">
        <v>1236</v>
      </c>
      <c r="E90" s="703"/>
      <c r="F90" s="74" t="s">
        <v>1252</v>
      </c>
      <c r="G90" s="52" t="s">
        <v>1232</v>
      </c>
      <c r="H90" s="703" t="s">
        <v>2033</v>
      </c>
      <c r="I90" s="703"/>
      <c r="J90" s="703"/>
      <c r="K90" s="699" t="s">
        <v>1270</v>
      </c>
    </row>
    <row r="91" spans="1:11" ht="34.5" customHeight="1" x14ac:dyDescent="0.2">
      <c r="A91" s="705"/>
      <c r="B91" s="62" t="s">
        <v>1225</v>
      </c>
      <c r="C91" s="62" t="s">
        <v>1226</v>
      </c>
      <c r="D91" s="66" t="s">
        <v>1250</v>
      </c>
      <c r="E91" s="63" t="s">
        <v>1251</v>
      </c>
      <c r="F91" s="63" t="s">
        <v>1253</v>
      </c>
      <c r="G91" s="63" t="s">
        <v>1232</v>
      </c>
      <c r="H91" s="63" t="s">
        <v>1287</v>
      </c>
      <c r="I91" s="63" t="s">
        <v>1281</v>
      </c>
      <c r="J91" s="63" t="s">
        <v>1273</v>
      </c>
      <c r="K91" s="700"/>
    </row>
    <row r="92" spans="1:11" ht="13.5" customHeight="1" x14ac:dyDescent="0.2">
      <c r="A92" s="705"/>
      <c r="B92" s="53" t="s">
        <v>2029</v>
      </c>
      <c r="C92" s="54"/>
      <c r="D92" s="54">
        <f>[6]Feuil1!$N$205</f>
        <v>1934.41</v>
      </c>
      <c r="E92" s="54">
        <f>[6]Feuil1!$N$194+[6]Feuil1!$N$211+[6]Feuil1!$N$212</f>
        <v>147.6</v>
      </c>
      <c r="F92" s="54">
        <f>[6]Feuil1!$N$196+[6]Feuil1!$N$202+[6]Feuil1!$N$203+[6]Feuil1!$N$204+[6]Feuil1!$N$210</f>
        <v>21765.91</v>
      </c>
      <c r="G92" s="54">
        <f>[6]Feuil1!$N$195+[6]Feuil1!$N$199+[6]Feuil1!$N$200+[6]Feuil1!$N$260+[6]Feuil1!$N$201</f>
        <v>179.91</v>
      </c>
      <c r="H92" s="54">
        <f>[6]Feuil1!$N$192+[6]Feuil1!$N$193</f>
        <v>83.789999999999992</v>
      </c>
      <c r="I92" s="54"/>
      <c r="J92" s="54"/>
      <c r="K92" s="79">
        <f>SUM(C92:J92)</f>
        <v>24111.62</v>
      </c>
    </row>
    <row r="93" spans="1:11" ht="13.5" customHeight="1" x14ac:dyDescent="0.2">
      <c r="A93" s="705"/>
      <c r="B93" s="50" t="s">
        <v>1284</v>
      </c>
      <c r="C93" s="54"/>
      <c r="D93" s="734">
        <f>[7]Feuil1!$H$2</f>
        <v>29454</v>
      </c>
      <c r="E93" s="735"/>
      <c r="F93" s="735"/>
      <c r="G93" s="735"/>
      <c r="H93" s="735"/>
      <c r="I93" s="735"/>
      <c r="J93" s="736"/>
      <c r="K93" s="79">
        <f t="shared" ref="K93:K95" si="9">SUM(C93:J93)</f>
        <v>29454</v>
      </c>
    </row>
    <row r="94" spans="1:11" ht="13.5" customHeight="1" x14ac:dyDescent="0.2">
      <c r="A94" s="705"/>
      <c r="B94" s="50" t="s">
        <v>1285</v>
      </c>
      <c r="C94" s="54"/>
      <c r="D94" s="734">
        <f>[7]Feuil1!$H$5</f>
        <v>9900</v>
      </c>
      <c r="E94" s="736"/>
      <c r="F94" s="54">
        <f>[7]Feuil1!$H$3+[7]Feuil1!$H$4</f>
        <v>22575</v>
      </c>
      <c r="G94" s="54">
        <f>[7]Feuil1!$H$6+[7]Feuil1!$H$16+[7]Feuil1!$H$17+[7]Feuil1!$H$18+[7]Feuil1!$H$22</f>
        <v>175.55</v>
      </c>
      <c r="H94" s="54"/>
      <c r="I94" s="54"/>
      <c r="J94" s="54"/>
      <c r="K94" s="79">
        <f t="shared" si="9"/>
        <v>32650.55</v>
      </c>
    </row>
    <row r="95" spans="1:11" ht="13.5" customHeight="1" x14ac:dyDescent="0.2">
      <c r="A95" s="705"/>
      <c r="B95" s="50" t="s">
        <v>1286</v>
      </c>
      <c r="C95" s="54"/>
      <c r="D95" s="88">
        <f>[7]Feuil1!$H$19+[7]Feuil1!$H$20</f>
        <v>3868.82</v>
      </c>
      <c r="E95" s="77"/>
      <c r="F95" s="54">
        <f>[7]Feuil1!$H$13+[7]Feuil1!$H$14+[7]Feuil1!$H$15</f>
        <v>16429.030000000002</v>
      </c>
      <c r="G95" s="54"/>
      <c r="H95" s="54"/>
      <c r="I95" s="54">
        <f>[7]Feuil1!$H$7</f>
        <v>298.95999999999998</v>
      </c>
      <c r="J95" s="54">
        <f>[7]Feuil1!$H$8+[7]Feuil1!$H$9+[7]Feuil1!$H$10+[7]Feuil1!$H$11+[7]Feuil1!$H$12</f>
        <v>314.73</v>
      </c>
      <c r="K95" s="79">
        <f t="shared" si="9"/>
        <v>20911.54</v>
      </c>
    </row>
    <row r="96" spans="1:11" ht="13.5" customHeight="1" x14ac:dyDescent="0.2">
      <c r="A96" s="705"/>
      <c r="B96" s="51" t="s">
        <v>167</v>
      </c>
      <c r="C96" s="55">
        <f>SUM(C92:C95)</f>
        <v>0</v>
      </c>
      <c r="D96" s="55">
        <f>SUM(D92:D95)</f>
        <v>45157.23</v>
      </c>
      <c r="E96" s="55">
        <f>SUM(E92)</f>
        <v>147.6</v>
      </c>
      <c r="F96" s="55">
        <f>SUM(F92:F95)</f>
        <v>60769.94</v>
      </c>
      <c r="G96" s="55">
        <f>SUM(G92:G95)</f>
        <v>355.46000000000004</v>
      </c>
      <c r="H96" s="55">
        <f t="shared" ref="H96:J96" si="10">SUM(H92:H95)</f>
        <v>83.789999999999992</v>
      </c>
      <c r="I96" s="55">
        <f t="shared" si="10"/>
        <v>298.95999999999998</v>
      </c>
      <c r="J96" s="55">
        <f t="shared" si="10"/>
        <v>314.73</v>
      </c>
      <c r="K96" s="82">
        <f>SUM(K92:K95)</f>
        <v>107127.70999999999</v>
      </c>
    </row>
    <row r="97" spans="1:13" ht="13.5" customHeight="1" x14ac:dyDescent="0.2">
      <c r="A97" s="91"/>
      <c r="B97" s="509" t="s">
        <v>1296</v>
      </c>
      <c r="C97" s="510"/>
    </row>
    <row r="98" spans="1:13" ht="13.5" customHeight="1" x14ac:dyDescent="0.2">
      <c r="A98" s="92"/>
    </row>
    <row r="99" spans="1:13" ht="13.5" customHeight="1" x14ac:dyDescent="0.2">
      <c r="A99" s="92"/>
    </row>
    <row r="100" spans="1:13" ht="13.5" customHeight="1" x14ac:dyDescent="0.2">
      <c r="A100" s="92"/>
    </row>
    <row r="106" spans="1:13" ht="13.5" customHeight="1" x14ac:dyDescent="0.2">
      <c r="A106" s="701" t="s">
        <v>1254</v>
      </c>
      <c r="B106" s="703" t="s">
        <v>1233</v>
      </c>
      <c r="C106" s="703"/>
      <c r="D106" s="703"/>
      <c r="E106" s="703"/>
      <c r="F106" s="703"/>
      <c r="G106" s="703"/>
      <c r="H106" s="703"/>
      <c r="I106" s="67"/>
      <c r="J106" s="67"/>
      <c r="K106" s="67"/>
      <c r="L106" s="67"/>
      <c r="M106" s="67"/>
    </row>
    <row r="107" spans="1:13" ht="13.5" customHeight="1" x14ac:dyDescent="0.2">
      <c r="A107" s="701"/>
      <c r="B107" s="703" t="s">
        <v>1223</v>
      </c>
      <c r="C107" s="706"/>
      <c r="D107" s="52" t="s">
        <v>2036</v>
      </c>
      <c r="E107" s="456" t="s">
        <v>1232</v>
      </c>
      <c r="F107" s="702" t="s">
        <v>1237</v>
      </c>
      <c r="G107" s="702"/>
      <c r="H107" s="702"/>
      <c r="I107" s="704" t="s">
        <v>1270</v>
      </c>
    </row>
    <row r="108" spans="1:13" ht="28.5" customHeight="1" x14ac:dyDescent="0.2">
      <c r="A108" s="701"/>
      <c r="B108" s="101" t="s">
        <v>1275</v>
      </c>
      <c r="C108" s="101" t="s">
        <v>1294</v>
      </c>
      <c r="D108" s="455" t="s">
        <v>1256</v>
      </c>
      <c r="E108" s="455" t="s">
        <v>1283</v>
      </c>
      <c r="F108" s="455" t="s">
        <v>1278</v>
      </c>
      <c r="G108" s="455" t="s">
        <v>1238</v>
      </c>
      <c r="H108" s="455" t="s">
        <v>1279</v>
      </c>
      <c r="I108" s="704"/>
    </row>
    <row r="109" spans="1:13" ht="13.5" customHeight="1" x14ac:dyDescent="0.2">
      <c r="A109" s="701"/>
      <c r="B109" s="53" t="s">
        <v>1258</v>
      </c>
      <c r="C109" s="54">
        <f>[1]Edition_d_un_journal_de_paie_14!$B$10</f>
        <v>171094.89</v>
      </c>
      <c r="D109" s="54"/>
      <c r="E109" s="72">
        <v>5810.47</v>
      </c>
      <c r="F109" s="37">
        <f>'[8]Consos eau 2026'!$I$20+'[8]Consos eau 2025'!$S$20</f>
        <v>2539.0299999999997</v>
      </c>
      <c r="G109" s="37">
        <f>F118</f>
        <v>5275.8949999999995</v>
      </c>
      <c r="H109" s="37">
        <f>F122</f>
        <v>8027.5</v>
      </c>
      <c r="I109" s="79">
        <f>SUM(C109:H109)</f>
        <v>192747.785</v>
      </c>
    </row>
    <row r="110" spans="1:13" ht="13.5" customHeight="1" x14ac:dyDescent="0.2">
      <c r="A110" s="701"/>
      <c r="B110" s="50" t="s">
        <v>1293</v>
      </c>
      <c r="C110" s="54">
        <v>0</v>
      </c>
      <c r="D110" s="54"/>
      <c r="E110" s="54"/>
      <c r="F110" s="54"/>
      <c r="G110" s="54">
        <f>H116</f>
        <v>2553.6574999999998</v>
      </c>
      <c r="H110" s="54">
        <f>E36</f>
        <v>8159</v>
      </c>
      <c r="I110" s="79">
        <f>SUM(C110:H110)</f>
        <v>10712.657499999999</v>
      </c>
    </row>
    <row r="111" spans="1:13" ht="13.5" customHeight="1" x14ac:dyDescent="0.2">
      <c r="A111" s="701"/>
      <c r="B111" s="50" t="s">
        <v>2035</v>
      </c>
      <c r="C111" s="54">
        <f>[1]Edition_d_un_journal_de_paie_14!$B$11</f>
        <v>157998.9</v>
      </c>
      <c r="D111" s="54"/>
      <c r="E111" s="54"/>
      <c r="F111" s="54">
        <f>F121</f>
        <v>16055</v>
      </c>
      <c r="G111" s="54">
        <f>G36</f>
        <v>12458.85</v>
      </c>
      <c r="H111" s="54"/>
      <c r="I111" s="79">
        <f>SUM(C111:H111)</f>
        <v>186512.75</v>
      </c>
    </row>
    <row r="112" spans="1:13" ht="13.5" customHeight="1" x14ac:dyDescent="0.2">
      <c r="A112" s="701"/>
      <c r="B112" s="50" t="s">
        <v>2034</v>
      </c>
      <c r="C112" s="454">
        <f>[1]Edition_d_un_journal_de_paie_14!$B$9</f>
        <v>268883.59000000003</v>
      </c>
      <c r="D112" s="50"/>
      <c r="E112" s="50"/>
      <c r="F112" s="50">
        <f>E115</f>
        <v>0</v>
      </c>
      <c r="G112" s="50"/>
      <c r="H112" s="50"/>
      <c r="I112" s="79">
        <f>SUM(C112:H112)</f>
        <v>268883.59000000003</v>
      </c>
    </row>
    <row r="113" spans="1:9" ht="13.5" customHeight="1" x14ac:dyDescent="0.2">
      <c r="A113" s="701"/>
      <c r="B113" s="51" t="s">
        <v>167</v>
      </c>
      <c r="C113" s="55">
        <f>SUM(C109:C112)</f>
        <v>597977.38000000012</v>
      </c>
      <c r="D113" s="55">
        <f t="shared" ref="D113:H113" si="11">SUM(D109:D112)</f>
        <v>0</v>
      </c>
      <c r="E113" s="55">
        <f t="shared" si="11"/>
        <v>5810.47</v>
      </c>
      <c r="F113" s="55">
        <f t="shared" si="11"/>
        <v>18594.03</v>
      </c>
      <c r="G113" s="55">
        <f t="shared" si="11"/>
        <v>20288.4025</v>
      </c>
      <c r="H113" s="55">
        <f t="shared" si="11"/>
        <v>16186.5</v>
      </c>
      <c r="I113" s="81">
        <f>SUM(I109:I112)</f>
        <v>658856.78249999997</v>
      </c>
    </row>
    <row r="114" spans="1:9" ht="13.5" customHeight="1" x14ac:dyDescent="0.2">
      <c r="A114" s="100"/>
      <c r="B114" s="375" t="s">
        <v>2072</v>
      </c>
      <c r="C114" s="471"/>
      <c r="D114" s="471"/>
      <c r="E114" s="471">
        <v>3707.13</v>
      </c>
    </row>
    <row r="115" spans="1:9" ht="13.5" customHeight="1" x14ac:dyDescent="0.2">
      <c r="A115" s="100"/>
      <c r="B115" s="505" t="s">
        <v>2077</v>
      </c>
      <c r="C115" s="506"/>
      <c r="D115" s="506"/>
      <c r="E115" s="506"/>
      <c r="F115" s="506"/>
      <c r="G115" s="506"/>
      <c r="H115" s="506"/>
    </row>
    <row r="116" spans="1:9" ht="13.5" customHeight="1" x14ac:dyDescent="0.2">
      <c r="A116" s="100"/>
      <c r="B116" s="505" t="s">
        <v>2078</v>
      </c>
      <c r="C116" s="506"/>
      <c r="D116" s="506"/>
      <c r="E116" s="506"/>
      <c r="F116" s="506"/>
      <c r="G116" s="506"/>
      <c r="H116" s="507">
        <f>H51/2</f>
        <v>2553.6574999999998</v>
      </c>
    </row>
    <row r="117" spans="1:9" ht="13.5" customHeight="1" x14ac:dyDescent="0.2">
      <c r="A117" s="100"/>
      <c r="B117" s="511" t="s">
        <v>2080</v>
      </c>
      <c r="C117" s="155"/>
      <c r="D117" s="155"/>
      <c r="E117" s="155"/>
      <c r="F117" s="155">
        <f>'[3]Etat consos TOTAL sur BP2025 '!$K$22+'[3]Etat consos TOTAL sur BP2025 '!$O$22+'[3]Etat consos TOTAL sur BP2025 '!$AA$22+'[3]Etat consos TOTAL sur BP2025 '!$AI$22+'[3]Etat consos TOTAL sur BP2025 '!$AQ$22+'[3]Etat consos TOTAL sur BP2025 '!$AU$22+'[3]Etat consos TOTAL sur BP2025 '!$BC$22+'[3]Etat consos TOTAL sur BP2025 '!$BK$22+'[3]Etat consos TOTAL sur BP2025 '!$BS$22+'[3]Etat consos TOTAL sur BP2025 '!$CI$22+'[3]Etat consos TOTAL sur BP2025 '!$CM$22+'[3]Etat consos TOTAL sur BP2025 '!$CQ$22+'[3]Etats consos TOTAL sur BP 2026'!$DS$22</f>
        <v>10551.789999999999</v>
      </c>
    </row>
    <row r="118" spans="1:9" ht="13.5" customHeight="1" x14ac:dyDescent="0.2">
      <c r="B118" s="511" t="s">
        <v>2081</v>
      </c>
      <c r="C118" s="155"/>
      <c r="D118" s="155"/>
      <c r="E118" s="155"/>
      <c r="F118" s="512">
        <f>F117/2</f>
        <v>5275.8949999999995</v>
      </c>
    </row>
    <row r="119" spans="1:9" ht="13.5" customHeight="1" x14ac:dyDescent="0.2">
      <c r="B119" s="345" t="s">
        <v>2084</v>
      </c>
      <c r="C119" s="515"/>
      <c r="D119" s="515"/>
      <c r="E119" s="515"/>
      <c r="F119" s="515">
        <f>'[4]Etat consos GAZ 2024-2025'!$HN$12</f>
        <v>16697</v>
      </c>
    </row>
    <row r="120" spans="1:9" ht="13.5" customHeight="1" x14ac:dyDescent="0.2">
      <c r="B120" s="345" t="s">
        <v>2083</v>
      </c>
      <c r="C120" s="515"/>
      <c r="D120" s="515"/>
      <c r="E120" s="515"/>
      <c r="F120" s="519">
        <f>F119/2</f>
        <v>8348.5</v>
      </c>
    </row>
    <row r="121" spans="1:9" ht="13.5" customHeight="1" x14ac:dyDescent="0.2">
      <c r="B121" s="516" t="s">
        <v>2085</v>
      </c>
      <c r="C121" s="517"/>
      <c r="D121" s="517"/>
      <c r="E121" s="517"/>
      <c r="F121" s="516">
        <f>'[4]Etat consos GAZ 2024-2025'!$HN$15</f>
        <v>16055</v>
      </c>
      <c r="G121" s="14" t="s">
        <v>31</v>
      </c>
    </row>
    <row r="122" spans="1:9" ht="13.5" customHeight="1" x14ac:dyDescent="0.2">
      <c r="B122" s="516" t="s">
        <v>2086</v>
      </c>
      <c r="C122" s="517"/>
      <c r="D122" s="517"/>
      <c r="E122" s="517"/>
      <c r="F122" s="518">
        <f>F121/2</f>
        <v>8027.5</v>
      </c>
    </row>
    <row r="123" spans="1:9" ht="13.5" customHeight="1" x14ac:dyDescent="0.2">
      <c r="A123" s="17"/>
      <c r="B123" s="17"/>
      <c r="C123" s="17"/>
      <c r="D123" s="17"/>
      <c r="E123" s="17"/>
      <c r="F123" s="17"/>
      <c r="G123" s="17"/>
    </row>
    <row r="124" spans="1:9" ht="13.5" customHeight="1" x14ac:dyDescent="0.2">
      <c r="A124" s="17"/>
      <c r="B124" s="17"/>
      <c r="C124" s="17"/>
      <c r="D124" s="17"/>
      <c r="E124" s="17"/>
      <c r="F124" s="17"/>
      <c r="G124" s="17"/>
    </row>
    <row r="125" spans="1:9" ht="13.5" customHeight="1" x14ac:dyDescent="0.2">
      <c r="A125" s="17"/>
      <c r="B125" s="17"/>
      <c r="C125" s="17"/>
      <c r="D125" s="17"/>
      <c r="E125" s="17"/>
      <c r="F125" s="17"/>
      <c r="G125" s="17"/>
    </row>
    <row r="126" spans="1:9" ht="13.5" customHeight="1" x14ac:dyDescent="0.2">
      <c r="A126" s="17"/>
      <c r="B126" s="17"/>
      <c r="C126" s="17"/>
      <c r="D126" s="17"/>
      <c r="E126" s="17"/>
      <c r="F126" s="17"/>
      <c r="G126" s="17"/>
    </row>
    <row r="127" spans="1:9" ht="13.5" customHeight="1" x14ac:dyDescent="0.2">
      <c r="A127" s="17"/>
      <c r="B127" s="17"/>
      <c r="C127" s="17"/>
      <c r="D127" s="17"/>
      <c r="E127" s="17"/>
      <c r="F127" s="17"/>
      <c r="G127" s="17"/>
    </row>
    <row r="128" spans="1:9" ht="13.5" customHeight="1" x14ac:dyDescent="0.2">
      <c r="A128" s="17"/>
      <c r="B128" s="17"/>
      <c r="C128" s="17"/>
      <c r="D128" s="17"/>
      <c r="E128" s="17"/>
      <c r="F128" s="17"/>
      <c r="G128" s="17"/>
    </row>
    <row r="129" spans="1:11" ht="13.5" customHeight="1" x14ac:dyDescent="0.2">
      <c r="A129" s="17"/>
      <c r="B129" s="17"/>
      <c r="C129" s="17"/>
      <c r="D129" s="17"/>
      <c r="E129" s="17"/>
      <c r="F129" s="17"/>
      <c r="G129" s="17"/>
    </row>
    <row r="130" spans="1:11" ht="13.5" customHeight="1" x14ac:dyDescent="0.2">
      <c r="A130" s="17"/>
      <c r="B130" s="17"/>
      <c r="C130" s="17"/>
      <c r="D130" s="17"/>
      <c r="E130" s="17"/>
      <c r="F130" s="17"/>
      <c r="G130" s="17"/>
    </row>
    <row r="131" spans="1:11" ht="13.5" customHeight="1" x14ac:dyDescent="0.2">
      <c r="A131" s="17"/>
      <c r="B131" s="17"/>
      <c r="C131" s="17"/>
      <c r="D131" s="17"/>
      <c r="E131" s="17"/>
      <c r="F131" s="17"/>
      <c r="G131" s="17"/>
    </row>
    <row r="138" spans="1:11" ht="13.5" customHeight="1" x14ac:dyDescent="0.2">
      <c r="G138" s="706" t="s">
        <v>1264</v>
      </c>
      <c r="H138" s="730"/>
      <c r="J138" s="731" t="s">
        <v>1266</v>
      </c>
      <c r="K138" s="736"/>
    </row>
    <row r="139" spans="1:11" ht="13.5" customHeight="1" x14ac:dyDescent="0.2">
      <c r="A139" s="731" t="s">
        <v>1219</v>
      </c>
      <c r="B139" s="732"/>
      <c r="C139" s="732"/>
      <c r="D139" s="732"/>
      <c r="E139" s="733"/>
      <c r="G139" s="53" t="s">
        <v>1216</v>
      </c>
      <c r="H139" s="54">
        <v>555834.84</v>
      </c>
      <c r="J139" s="703" t="s">
        <v>1214</v>
      </c>
      <c r="K139" s="703"/>
    </row>
    <row r="140" spans="1:11" ht="13.5" customHeight="1" thickBot="1" x14ac:dyDescent="0.25">
      <c r="A140" s="56" t="s">
        <v>0</v>
      </c>
      <c r="B140" s="57" t="s">
        <v>1</v>
      </c>
      <c r="C140" s="57" t="s">
        <v>2</v>
      </c>
      <c r="D140" s="58" t="s">
        <v>18</v>
      </c>
      <c r="E140" s="58" t="s">
        <v>1217</v>
      </c>
      <c r="G140" s="50" t="s">
        <v>47</v>
      </c>
      <c r="H140" s="54">
        <v>4535.9500000000007</v>
      </c>
      <c r="J140" s="63" t="s">
        <v>1260</v>
      </c>
      <c r="K140" s="63" t="s">
        <v>1224</v>
      </c>
    </row>
    <row r="141" spans="1:11" ht="13.5" customHeight="1" x14ac:dyDescent="0.2">
      <c r="A141" s="9">
        <v>401932</v>
      </c>
      <c r="B141" s="10">
        <v>19</v>
      </c>
      <c r="C141" s="10">
        <v>135</v>
      </c>
      <c r="D141" s="11" t="s">
        <v>1218</v>
      </c>
      <c r="E141" s="14">
        <v>576.51</v>
      </c>
      <c r="G141" s="50" t="s">
        <v>50</v>
      </c>
      <c r="H141" s="54">
        <v>74126.060000000012</v>
      </c>
      <c r="J141" s="54" t="s">
        <v>1261</v>
      </c>
      <c r="K141" s="37">
        <v>5246</v>
      </c>
    </row>
    <row r="142" spans="1:11" ht="13.5" customHeight="1" x14ac:dyDescent="0.2">
      <c r="A142" s="12">
        <v>401933</v>
      </c>
      <c r="B142" s="13">
        <v>19</v>
      </c>
      <c r="C142" s="13">
        <v>136</v>
      </c>
      <c r="D142" s="11" t="s">
        <v>1220</v>
      </c>
      <c r="E142" s="14">
        <v>464.26</v>
      </c>
      <c r="G142" s="50" t="s">
        <v>43</v>
      </c>
      <c r="H142" s="54">
        <v>79255.62</v>
      </c>
      <c r="J142" s="54" t="s">
        <v>1263</v>
      </c>
      <c r="K142" s="37">
        <v>10097.84</v>
      </c>
    </row>
    <row r="143" spans="1:11" ht="13.5" customHeight="1" x14ac:dyDescent="0.2">
      <c r="A143" s="9">
        <v>401935</v>
      </c>
      <c r="B143" s="10">
        <v>19</v>
      </c>
      <c r="C143" s="10">
        <v>137</v>
      </c>
      <c r="D143" s="14" t="s">
        <v>1221</v>
      </c>
      <c r="E143" s="59">
        <v>52541.24</v>
      </c>
      <c r="G143" s="50" t="s">
        <v>1227</v>
      </c>
      <c r="H143" s="37"/>
      <c r="J143" s="54" t="s">
        <v>1262</v>
      </c>
      <c r="K143" s="37">
        <v>4678.6000000000004</v>
      </c>
    </row>
    <row r="144" spans="1:11" ht="13.5" customHeight="1" x14ac:dyDescent="0.2">
      <c r="A144" s="9">
        <v>403041</v>
      </c>
      <c r="B144" s="10">
        <v>25</v>
      </c>
      <c r="C144" s="10">
        <v>174</v>
      </c>
      <c r="D144" t="s">
        <v>1221</v>
      </c>
      <c r="E144" s="5">
        <v>65753.279999999999</v>
      </c>
      <c r="G144" s="50" t="s">
        <v>1228</v>
      </c>
      <c r="H144" s="37"/>
      <c r="J144" s="54"/>
      <c r="K144" s="37"/>
    </row>
    <row r="145" spans="1:11" ht="13.5" customHeight="1" x14ac:dyDescent="0.2">
      <c r="A145" s="9">
        <v>406096</v>
      </c>
      <c r="B145" s="10">
        <v>69</v>
      </c>
      <c r="C145" s="10">
        <v>535</v>
      </c>
      <c r="D145" t="s">
        <v>1221</v>
      </c>
      <c r="E145" s="5">
        <v>32717.64</v>
      </c>
      <c r="G145" s="50" t="s">
        <v>1229</v>
      </c>
      <c r="H145" s="37"/>
      <c r="J145" s="54"/>
      <c r="K145" s="37"/>
    </row>
    <row r="146" spans="1:11" ht="13.5" customHeight="1" x14ac:dyDescent="0.2">
      <c r="A146" s="12">
        <v>407926</v>
      </c>
      <c r="B146" s="13">
        <v>93</v>
      </c>
      <c r="C146" s="13">
        <v>708</v>
      </c>
      <c r="D146" t="s">
        <v>1221</v>
      </c>
      <c r="E146" s="5">
        <v>70334.37</v>
      </c>
      <c r="G146" s="50" t="s">
        <v>1230</v>
      </c>
      <c r="H146" s="37"/>
      <c r="J146" s="54"/>
      <c r="K146" s="37"/>
    </row>
    <row r="147" spans="1:11" ht="13.5" customHeight="1" x14ac:dyDescent="0.2">
      <c r="A147" s="9">
        <v>407927</v>
      </c>
      <c r="B147" s="10">
        <v>93</v>
      </c>
      <c r="C147" s="10">
        <v>708</v>
      </c>
      <c r="J147" s="54"/>
      <c r="K147" s="37"/>
    </row>
    <row r="148" spans="1:11" ht="13.5" customHeight="1" x14ac:dyDescent="0.2">
      <c r="A148" s="12">
        <v>407928</v>
      </c>
      <c r="B148" s="13">
        <v>93</v>
      </c>
      <c r="C148" s="13">
        <v>708</v>
      </c>
      <c r="J148" s="54"/>
      <c r="K148" s="37"/>
    </row>
    <row r="149" spans="1:11" ht="13.5" customHeight="1" x14ac:dyDescent="0.2">
      <c r="A149" s="12">
        <v>409359</v>
      </c>
      <c r="B149" s="13">
        <v>142</v>
      </c>
      <c r="C149" s="13">
        <v>971</v>
      </c>
      <c r="J149" s="55">
        <f>SUM(J141:J148)</f>
        <v>0</v>
      </c>
      <c r="K149" s="55">
        <f>SUM(K141:K148)</f>
        <v>20022.440000000002</v>
      </c>
    </row>
    <row r="150" spans="1:11" ht="13.5" customHeight="1" x14ac:dyDescent="0.2">
      <c r="A150" s="9">
        <v>409360</v>
      </c>
      <c r="B150" s="10">
        <v>142</v>
      </c>
      <c r="C150" s="10">
        <v>972</v>
      </c>
    </row>
    <row r="151" spans="1:11" ht="13.5" customHeight="1" x14ac:dyDescent="0.2">
      <c r="A151" s="9">
        <v>411309</v>
      </c>
      <c r="B151" s="10">
        <v>201</v>
      </c>
      <c r="C151" s="10">
        <v>1332</v>
      </c>
    </row>
    <row r="152" spans="1:11" ht="13.5" customHeight="1" x14ac:dyDescent="0.2">
      <c r="A152" s="12">
        <v>413725</v>
      </c>
      <c r="B152" s="13">
        <v>270</v>
      </c>
      <c r="C152" s="13">
        <v>1734</v>
      </c>
    </row>
    <row r="153" spans="1:11" ht="13.5" customHeight="1" x14ac:dyDescent="0.2">
      <c r="A153" s="9">
        <v>414786</v>
      </c>
      <c r="B153" s="10">
        <v>304</v>
      </c>
      <c r="C153" s="10">
        <v>1900</v>
      </c>
    </row>
    <row r="154" spans="1:11" ht="13.5" customHeight="1" x14ac:dyDescent="0.2">
      <c r="A154" s="12">
        <v>415931</v>
      </c>
      <c r="B154" s="13">
        <v>336</v>
      </c>
      <c r="C154" s="13">
        <v>2216</v>
      </c>
    </row>
    <row r="155" spans="1:11" ht="13.5" customHeight="1" x14ac:dyDescent="0.2">
      <c r="A155" s="9">
        <v>415932</v>
      </c>
      <c r="B155" s="10">
        <v>336</v>
      </c>
      <c r="C155" s="10">
        <v>2217</v>
      </c>
    </row>
    <row r="156" spans="1:11" ht="13.5" customHeight="1" x14ac:dyDescent="0.2">
      <c r="A156" s="12">
        <v>415933</v>
      </c>
      <c r="B156" s="13">
        <v>336</v>
      </c>
      <c r="C156" s="13">
        <v>2218</v>
      </c>
    </row>
    <row r="157" spans="1:11" ht="13.5" customHeight="1" x14ac:dyDescent="0.2">
      <c r="A157" s="9">
        <v>415935</v>
      </c>
      <c r="B157" s="10">
        <v>336</v>
      </c>
      <c r="C157" s="10">
        <v>2219</v>
      </c>
    </row>
    <row r="158" spans="1:11" ht="13.5" customHeight="1" x14ac:dyDescent="0.2">
      <c r="A158" s="12">
        <v>415936</v>
      </c>
      <c r="B158" s="13">
        <v>336</v>
      </c>
      <c r="C158" s="13">
        <v>2220</v>
      </c>
    </row>
    <row r="159" spans="1:11" ht="13.5" customHeight="1" x14ac:dyDescent="0.2">
      <c r="A159" s="9">
        <v>419293</v>
      </c>
      <c r="B159" s="10">
        <v>419</v>
      </c>
      <c r="C159" s="10">
        <v>2835</v>
      </c>
    </row>
    <row r="160" spans="1:11" ht="13.5" customHeight="1" x14ac:dyDescent="0.2">
      <c r="A160" s="12">
        <v>419698</v>
      </c>
      <c r="B160" s="13">
        <v>441</v>
      </c>
      <c r="C160" s="13">
        <v>3005</v>
      </c>
    </row>
    <row r="163" spans="1:5" ht="13.5" customHeight="1" x14ac:dyDescent="0.2">
      <c r="A163" s="17"/>
      <c r="B163" s="17"/>
      <c r="C163" s="17"/>
      <c r="D163" s="17"/>
      <c r="E163" s="17"/>
    </row>
    <row r="164" spans="1:5" ht="13.5" customHeight="1" x14ac:dyDescent="0.2">
      <c r="A164" s="17"/>
      <c r="B164" s="17"/>
      <c r="C164" s="17"/>
      <c r="D164" s="17"/>
      <c r="E164" s="17"/>
    </row>
    <row r="165" spans="1:5" ht="13.5" customHeight="1" x14ac:dyDescent="0.2">
      <c r="A165" s="17"/>
      <c r="B165" s="17"/>
      <c r="C165" s="17"/>
      <c r="D165" s="17"/>
      <c r="E165" s="17"/>
    </row>
    <row r="166" spans="1:5" ht="13.5" customHeight="1" x14ac:dyDescent="0.2">
      <c r="A166" s="17"/>
      <c r="B166" s="17"/>
      <c r="C166" s="17"/>
      <c r="D166" s="17"/>
      <c r="E166" s="17"/>
    </row>
    <row r="167" spans="1:5" ht="13.5" customHeight="1" x14ac:dyDescent="0.2">
      <c r="A167" s="17"/>
      <c r="B167" s="17"/>
      <c r="C167" s="17"/>
      <c r="D167" s="17"/>
      <c r="E167" s="17"/>
    </row>
    <row r="168" spans="1:5" ht="13.5" customHeight="1" x14ac:dyDescent="0.2">
      <c r="A168" s="17"/>
      <c r="B168" s="17"/>
      <c r="C168" s="17"/>
      <c r="D168" s="17"/>
      <c r="E168" s="17"/>
    </row>
    <row r="169" spans="1:5" ht="13.5" customHeight="1" x14ac:dyDescent="0.2">
      <c r="A169" s="17"/>
      <c r="B169" s="17"/>
      <c r="C169" s="17"/>
      <c r="D169" s="17"/>
      <c r="E169" s="17"/>
    </row>
    <row r="170" spans="1:5" ht="13.5" customHeight="1" x14ac:dyDescent="0.2">
      <c r="A170" s="17"/>
      <c r="B170" s="17"/>
      <c r="C170" s="17"/>
      <c r="D170" s="17"/>
      <c r="E170" s="17"/>
    </row>
    <row r="171" spans="1:5" ht="13.5" customHeight="1" x14ac:dyDescent="0.2">
      <c r="A171" s="17"/>
      <c r="B171" s="17"/>
      <c r="C171" s="17"/>
      <c r="D171" s="17"/>
      <c r="E171" s="17"/>
    </row>
    <row r="172" spans="1:5" ht="13.5" customHeight="1" x14ac:dyDescent="0.2">
      <c r="A172" s="17"/>
      <c r="B172" s="17"/>
      <c r="C172" s="17"/>
      <c r="D172" s="17"/>
      <c r="E172" s="17"/>
    </row>
    <row r="204" spans="1:1" ht="13.5" customHeight="1" x14ac:dyDescent="0.2">
      <c r="A204" s="14" t="s">
        <v>2023</v>
      </c>
    </row>
  </sheetData>
  <mergeCells count="54">
    <mergeCell ref="A56:A61"/>
    <mergeCell ref="C59:C60"/>
    <mergeCell ref="G40:J40"/>
    <mergeCell ref="C5:C6"/>
    <mergeCell ref="F5:F6"/>
    <mergeCell ref="H5:H6"/>
    <mergeCell ref="B57:C57"/>
    <mergeCell ref="D57:E57"/>
    <mergeCell ref="I22:I24"/>
    <mergeCell ref="B22:H22"/>
    <mergeCell ref="D40:F40"/>
    <mergeCell ref="B59:B60"/>
    <mergeCell ref="F59:F60"/>
    <mergeCell ref="E59:E60"/>
    <mergeCell ref="B39:O39"/>
    <mergeCell ref="J139:K139"/>
    <mergeCell ref="G138:H138"/>
    <mergeCell ref="A139:E139"/>
    <mergeCell ref="B107:C107"/>
    <mergeCell ref="B89:K89"/>
    <mergeCell ref="D93:J93"/>
    <mergeCell ref="A89:A96"/>
    <mergeCell ref="J138:K138"/>
    <mergeCell ref="D94:E94"/>
    <mergeCell ref="B90:C90"/>
    <mergeCell ref="A4:I4"/>
    <mergeCell ref="B56:E56"/>
    <mergeCell ref="Q24:R24"/>
    <mergeCell ref="B23:C23"/>
    <mergeCell ref="B40:C40"/>
    <mergeCell ref="A5:B6"/>
    <mergeCell ref="D5:D6"/>
    <mergeCell ref="E5:E6"/>
    <mergeCell ref="A39:A47"/>
    <mergeCell ref="A22:A34"/>
    <mergeCell ref="K40:O40"/>
    <mergeCell ref="G5:G6"/>
    <mergeCell ref="F23:H23"/>
    <mergeCell ref="J22:J24"/>
    <mergeCell ref="J25:J34"/>
    <mergeCell ref="C43:C44"/>
    <mergeCell ref="K73:L73"/>
    <mergeCell ref="D73:E73"/>
    <mergeCell ref="F73:H73"/>
    <mergeCell ref="K90:K91"/>
    <mergeCell ref="A106:A113"/>
    <mergeCell ref="F107:H107"/>
    <mergeCell ref="B106:H106"/>
    <mergeCell ref="I107:I108"/>
    <mergeCell ref="D90:E90"/>
    <mergeCell ref="H90:J90"/>
    <mergeCell ref="A72:A77"/>
    <mergeCell ref="B73:C73"/>
    <mergeCell ref="B72:K72"/>
  </mergeCells>
  <phoneticPr fontId="34" type="noConversion"/>
  <conditionalFormatting sqref="H7:H17">
    <cfRule type="cellIs" dxfId="5" priority="5" operator="lessThan">
      <formula>0</formula>
    </cfRule>
    <cfRule type="cellIs" dxfId="4" priority="7" operator="greaterThan">
      <formula>0</formula>
    </cfRule>
  </conditionalFormatting>
  <conditionalFormatting sqref="I7:I17">
    <cfRule type="cellIs" dxfId="3" priority="2" operator="greaterThan">
      <formula>1</formula>
    </cfRule>
    <cfRule type="cellIs" dxfId="2" priority="3" operator="greaterThan">
      <formula>100</formula>
    </cfRule>
    <cfRule type="cellIs" dxfId="1" priority="4" operator="lessThan">
      <formula>100</formula>
    </cfRule>
  </conditionalFormatting>
  <conditionalFormatting sqref="I10:I17">
    <cfRule type="cellIs" dxfId="0" priority="1" operator="less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341CB-8533-44DE-9B18-4FD2EAE524EA}">
  <dimension ref="A2:O53"/>
  <sheetViews>
    <sheetView topLeftCell="A45" zoomScaleNormal="100" workbookViewId="0">
      <selection activeCell="B9" sqref="B9"/>
    </sheetView>
  </sheetViews>
  <sheetFormatPr baseColWidth="10" defaultRowHeight="12.75" x14ac:dyDescent="0.2"/>
  <cols>
    <col min="1" max="1" width="26.42578125" customWidth="1"/>
    <col min="2" max="2" width="26.5703125" customWidth="1"/>
    <col min="3" max="3" width="21.85546875" customWidth="1"/>
    <col min="4" max="4" width="22" customWidth="1"/>
    <col min="5" max="5" width="22.85546875" customWidth="1"/>
    <col min="6" max="6" width="20.7109375" customWidth="1"/>
    <col min="7" max="7" width="20.42578125" customWidth="1"/>
    <col min="8" max="8" width="21.85546875" customWidth="1"/>
    <col min="9" max="9" width="17.5703125" customWidth="1"/>
    <col min="10" max="10" width="21.5703125" customWidth="1"/>
    <col min="11" max="11" width="20.85546875" customWidth="1"/>
    <col min="12" max="12" width="21.5703125" customWidth="1"/>
    <col min="13" max="13" width="17.42578125" customWidth="1"/>
    <col min="14" max="14" width="16.42578125" customWidth="1"/>
    <col min="15" max="15" width="22.140625" customWidth="1"/>
  </cols>
  <sheetData>
    <row r="2" spans="1:10" ht="15.75" customHeight="1" x14ac:dyDescent="0.25">
      <c r="B2" s="757" t="s">
        <v>2060</v>
      </c>
      <c r="C2" s="757"/>
      <c r="D2" s="757"/>
      <c r="E2" s="757"/>
      <c r="F2" s="757"/>
      <c r="G2" s="757"/>
      <c r="H2" s="757"/>
      <c r="I2" s="757"/>
    </row>
    <row r="3" spans="1:10" x14ac:dyDescent="0.2">
      <c r="A3" s="458"/>
      <c r="B3" s="461" t="s">
        <v>2038</v>
      </c>
      <c r="C3" s="461" t="s">
        <v>2068</v>
      </c>
      <c r="D3" s="461" t="s">
        <v>1232</v>
      </c>
      <c r="E3" s="461" t="s">
        <v>2039</v>
      </c>
      <c r="F3" s="461" t="s">
        <v>2040</v>
      </c>
      <c r="G3" s="461" t="s">
        <v>2041</v>
      </c>
      <c r="H3" s="461" t="s">
        <v>2042</v>
      </c>
      <c r="I3" s="461" t="s">
        <v>2043</v>
      </c>
      <c r="J3" s="460" t="s">
        <v>1208</v>
      </c>
    </row>
    <row r="4" spans="1:10" x14ac:dyDescent="0.2">
      <c r="A4" s="764" t="s">
        <v>2059</v>
      </c>
      <c r="B4" s="457" t="s">
        <v>2046</v>
      </c>
      <c r="C4" s="457">
        <v>6042</v>
      </c>
      <c r="D4" s="88">
        <f>'CALC DEP(4)'!C34</f>
        <v>713752.46999999986</v>
      </c>
      <c r="E4" s="88">
        <f>'CALC DEP(4)'!M47</f>
        <v>27471.64</v>
      </c>
      <c r="F4" s="37">
        <v>0</v>
      </c>
      <c r="G4" s="37">
        <v>0</v>
      </c>
      <c r="H4" s="37">
        <v>0</v>
      </c>
      <c r="I4" s="37">
        <v>0</v>
      </c>
      <c r="J4" s="466">
        <f>SUM(D4:I4)</f>
        <v>741224.10999999987</v>
      </c>
    </row>
    <row r="5" spans="1:10" x14ac:dyDescent="0.2">
      <c r="A5" s="764"/>
      <c r="B5" s="457" t="s">
        <v>1283</v>
      </c>
      <c r="C5" s="457">
        <v>60623</v>
      </c>
      <c r="D5" s="88">
        <f>'CALC DEP(4)'!E34</f>
        <v>1451.91</v>
      </c>
      <c r="E5" s="88">
        <f>'CALC DEP(4)'!H47</f>
        <v>35623.060000000005</v>
      </c>
      <c r="F5" s="88">
        <f>'CALC DEP(4)'!E113</f>
        <v>5810.47</v>
      </c>
      <c r="G5" s="37">
        <v>0</v>
      </c>
      <c r="H5" s="88">
        <f>'CALC DEP(4)'!J76</f>
        <v>59.24</v>
      </c>
      <c r="I5" s="88">
        <f>'CALC DEP(4)'!G96</f>
        <v>355.46000000000004</v>
      </c>
      <c r="J5" s="466">
        <f t="shared" ref="J5:J21" si="0">SUM(D5:I5)</f>
        <v>43300.140000000007</v>
      </c>
    </row>
    <row r="6" spans="1:10" x14ac:dyDescent="0.2">
      <c r="A6" s="764" t="s">
        <v>2056</v>
      </c>
      <c r="B6" s="457" t="s">
        <v>1278</v>
      </c>
      <c r="C6" s="457">
        <v>60611</v>
      </c>
      <c r="D6" s="89">
        <f>'CALC DEP(4)'!F34</f>
        <v>8159</v>
      </c>
      <c r="E6" s="88">
        <f>'CALC DEP(4)'!L47</f>
        <v>26601.974999999999</v>
      </c>
      <c r="F6" s="88">
        <f>'CALC DEP(4)'!F113</f>
        <v>18594.03</v>
      </c>
      <c r="G6" s="37">
        <v>0</v>
      </c>
      <c r="H6" s="88">
        <f>'CALC DEP(4)'!F76</f>
        <v>3499.27</v>
      </c>
      <c r="I6" s="37">
        <v>0</v>
      </c>
      <c r="J6" s="466">
        <f t="shared" si="0"/>
        <v>56854.274999999994</v>
      </c>
    </row>
    <row r="7" spans="1:10" x14ac:dyDescent="0.2">
      <c r="A7" s="764"/>
      <c r="B7" s="457" t="s">
        <v>1279</v>
      </c>
      <c r="C7" s="457">
        <v>60618</v>
      </c>
      <c r="D7" s="88">
        <f>'CALC DEP(4)'!H34</f>
        <v>8159</v>
      </c>
      <c r="E7" s="37">
        <v>0</v>
      </c>
      <c r="F7" s="88">
        <f>'CALC DEP(4)'!H113</f>
        <v>16186.5</v>
      </c>
      <c r="G7" s="37">
        <v>0</v>
      </c>
      <c r="H7" s="88">
        <f>'CALC DEP(4)'!E76</f>
        <v>426</v>
      </c>
      <c r="I7" s="37">
        <v>0</v>
      </c>
      <c r="J7" s="466">
        <f t="shared" si="0"/>
        <v>24771.5</v>
      </c>
    </row>
    <row r="8" spans="1:10" x14ac:dyDescent="0.2">
      <c r="A8" s="764"/>
      <c r="B8" s="457" t="s">
        <v>1238</v>
      </c>
      <c r="C8" s="457">
        <v>60612</v>
      </c>
      <c r="D8" s="88">
        <f>'CALC DEP(4)'!G34</f>
        <v>30563.489999999998</v>
      </c>
      <c r="E8" s="88">
        <f>'CALC DEP(4)'!K47</f>
        <v>16884.232499999998</v>
      </c>
      <c r="F8" s="88">
        <f>'CALC DEP(4)'!G113</f>
        <v>20288.4025</v>
      </c>
      <c r="G8" s="37">
        <v>0</v>
      </c>
      <c r="H8" s="88">
        <f>'CALC DEP(4)'!D76</f>
        <v>10918.975</v>
      </c>
      <c r="I8" s="37">
        <v>0</v>
      </c>
      <c r="J8" s="466">
        <f>SUM(D8:I8)</f>
        <v>78655.100000000006</v>
      </c>
    </row>
    <row r="9" spans="1:10" s="17" customFormat="1" x14ac:dyDescent="0.2">
      <c r="A9" s="764" t="s">
        <v>2057</v>
      </c>
      <c r="B9" s="523" t="s">
        <v>1239</v>
      </c>
      <c r="C9" s="523">
        <v>21841</v>
      </c>
      <c r="D9" s="77">
        <v>0</v>
      </c>
      <c r="E9" s="89">
        <f>'CALC DEP(4)'!D47</f>
        <v>2177.4700000000003</v>
      </c>
      <c r="F9" s="77">
        <v>0</v>
      </c>
      <c r="G9" s="89">
        <f>'CALC DEP(4)'!E61</f>
        <v>0</v>
      </c>
      <c r="H9" s="89">
        <f>'CALC DEP(4)'!G76</f>
        <v>0</v>
      </c>
      <c r="I9" s="89">
        <f>'CALC DEP(4)'!H96</f>
        <v>83.789999999999992</v>
      </c>
      <c r="J9" s="466">
        <f t="shared" si="0"/>
        <v>2261.2600000000002</v>
      </c>
    </row>
    <row r="10" spans="1:10" s="17" customFormat="1" x14ac:dyDescent="0.2">
      <c r="A10" s="764"/>
      <c r="B10" s="523" t="s">
        <v>1281</v>
      </c>
      <c r="C10" s="523">
        <v>6068</v>
      </c>
      <c r="D10" s="77">
        <v>0</v>
      </c>
      <c r="E10" s="89">
        <f>'CALC DEP(4)'!E47</f>
        <v>14790.91</v>
      </c>
      <c r="F10" s="89">
        <f>'CALC DEP(4)'!D113</f>
        <v>0</v>
      </c>
      <c r="G10" s="524">
        <f>'CALC DEP(4)'!D61</f>
        <v>0</v>
      </c>
      <c r="H10" s="89">
        <f>'CALC DEP(4)'!H76</f>
        <v>1265.8699999999999</v>
      </c>
      <c r="I10" s="89">
        <f>'CALC DEP(4)'!I96</f>
        <v>298.95999999999998</v>
      </c>
      <c r="J10" s="466">
        <f t="shared" si="0"/>
        <v>16355.739999999998</v>
      </c>
    </row>
    <row r="11" spans="1:10" s="17" customFormat="1" x14ac:dyDescent="0.2">
      <c r="A11" s="764"/>
      <c r="B11" s="523" t="s">
        <v>2048</v>
      </c>
      <c r="C11" s="523">
        <v>60632</v>
      </c>
      <c r="D11" s="77">
        <v>0</v>
      </c>
      <c r="E11" s="77">
        <v>0</v>
      </c>
      <c r="F11" s="77">
        <v>0</v>
      </c>
      <c r="G11" s="77">
        <v>0</v>
      </c>
      <c r="H11" s="89">
        <f>'CALC DEP(4)'!I76</f>
        <v>467.86</v>
      </c>
      <c r="I11" s="77">
        <v>0</v>
      </c>
      <c r="J11" s="466">
        <f t="shared" si="0"/>
        <v>467.86</v>
      </c>
    </row>
    <row r="12" spans="1:10" s="17" customFormat="1" x14ac:dyDescent="0.2">
      <c r="A12" s="764"/>
      <c r="B12" s="523" t="s">
        <v>2049</v>
      </c>
      <c r="C12" s="523">
        <v>28282</v>
      </c>
      <c r="D12" s="77">
        <v>0</v>
      </c>
      <c r="E12" s="89">
        <f>'CALC DEP(4)'!F47</f>
        <v>478.61</v>
      </c>
      <c r="F12" s="77">
        <v>0</v>
      </c>
      <c r="G12" s="77">
        <v>0</v>
      </c>
      <c r="H12" s="77">
        <v>0</v>
      </c>
      <c r="I12" s="77">
        <v>0</v>
      </c>
      <c r="J12" s="466">
        <f t="shared" si="0"/>
        <v>478.61</v>
      </c>
    </row>
    <row r="13" spans="1:10" s="17" customFormat="1" x14ac:dyDescent="0.2">
      <c r="A13" s="764" t="s">
        <v>1235</v>
      </c>
      <c r="B13" s="523" t="s">
        <v>2088</v>
      </c>
      <c r="C13" s="523">
        <v>6238</v>
      </c>
      <c r="D13" s="77">
        <v>0</v>
      </c>
      <c r="E13" s="89">
        <f>'CALC DEP(4)'!G47</f>
        <v>4889.7</v>
      </c>
      <c r="F13" s="77">
        <v>0</v>
      </c>
      <c r="G13" s="77">
        <v>0</v>
      </c>
      <c r="H13" s="77">
        <v>0</v>
      </c>
      <c r="I13" s="77">
        <v>0</v>
      </c>
      <c r="J13" s="466">
        <f t="shared" si="0"/>
        <v>4889.7</v>
      </c>
    </row>
    <row r="14" spans="1:10" s="17" customFormat="1" x14ac:dyDescent="0.2">
      <c r="A14" s="764"/>
      <c r="B14" s="523" t="s">
        <v>2050</v>
      </c>
      <c r="C14" s="523">
        <v>6247</v>
      </c>
      <c r="D14" s="77">
        <v>0</v>
      </c>
      <c r="E14" s="89">
        <f>'CALC DEP(4)'!J47</f>
        <v>18846.27</v>
      </c>
      <c r="F14" s="77">
        <v>0</v>
      </c>
      <c r="G14" s="525">
        <v>0</v>
      </c>
      <c r="H14" s="89">
        <f>'CALC DEP(4)'!M76</f>
        <v>0</v>
      </c>
      <c r="I14" s="77">
        <v>0</v>
      </c>
      <c r="J14" s="466">
        <f t="shared" si="0"/>
        <v>18846.27</v>
      </c>
    </row>
    <row r="15" spans="1:10" s="17" customFormat="1" x14ac:dyDescent="0.2">
      <c r="A15" s="764" t="s">
        <v>1236</v>
      </c>
      <c r="B15" s="523" t="s">
        <v>2051</v>
      </c>
      <c r="C15" s="523">
        <v>60622</v>
      </c>
      <c r="D15" s="77">
        <v>0</v>
      </c>
      <c r="E15" s="89">
        <f>'CALC DEP(4)'!I47</f>
        <v>14552.99</v>
      </c>
      <c r="F15" s="77">
        <v>0</v>
      </c>
      <c r="G15" s="77">
        <v>0</v>
      </c>
      <c r="H15" s="758">
        <f>'CALC DEP(4)'!L76</f>
        <v>4016.42</v>
      </c>
      <c r="I15" s="758">
        <f>'CALC DEP(4)'!D96+'CALC DEP(4)'!E96</f>
        <v>45304.83</v>
      </c>
      <c r="J15" s="754">
        <f t="shared" si="0"/>
        <v>63874.240000000005</v>
      </c>
    </row>
    <row r="16" spans="1:10" s="17" customFormat="1" x14ac:dyDescent="0.2">
      <c r="A16" s="764"/>
      <c r="B16" s="523" t="s">
        <v>2052</v>
      </c>
      <c r="C16" s="17">
        <v>61351</v>
      </c>
      <c r="D16" s="77">
        <v>0</v>
      </c>
      <c r="E16" s="77">
        <v>0</v>
      </c>
      <c r="F16" s="77">
        <v>0</v>
      </c>
      <c r="G16" s="77">
        <v>0</v>
      </c>
      <c r="H16" s="759"/>
      <c r="I16" s="759"/>
      <c r="J16" s="755"/>
    </row>
    <row r="17" spans="1:15" s="17" customFormat="1" x14ac:dyDescent="0.2">
      <c r="A17" s="764"/>
      <c r="B17" s="523" t="s">
        <v>2053</v>
      </c>
      <c r="C17" s="523">
        <v>6274</v>
      </c>
      <c r="D17" s="77">
        <v>0</v>
      </c>
      <c r="E17" s="77">
        <v>0</v>
      </c>
      <c r="F17" s="77">
        <v>0</v>
      </c>
      <c r="G17" s="77">
        <v>0</v>
      </c>
      <c r="H17" s="759"/>
      <c r="I17" s="759"/>
      <c r="J17" s="755"/>
    </row>
    <row r="18" spans="1:15" s="17" customFormat="1" x14ac:dyDescent="0.2">
      <c r="A18" s="764"/>
      <c r="B18" s="523" t="s">
        <v>2054</v>
      </c>
      <c r="C18" s="523">
        <v>6247</v>
      </c>
      <c r="D18" s="77">
        <v>0</v>
      </c>
      <c r="E18" s="77">
        <v>0</v>
      </c>
      <c r="F18" s="77">
        <v>0</v>
      </c>
      <c r="G18" s="77">
        <v>0</v>
      </c>
      <c r="H18" s="760"/>
      <c r="I18" s="760"/>
      <c r="J18" s="756"/>
    </row>
    <row r="19" spans="1:15" s="17" customFormat="1" ht="15.75" customHeight="1" x14ac:dyDescent="0.2">
      <c r="A19" s="459" t="s">
        <v>1252</v>
      </c>
      <c r="B19" s="523" t="s">
        <v>2055</v>
      </c>
      <c r="C19" s="523">
        <v>652</v>
      </c>
      <c r="D19" s="77">
        <v>0</v>
      </c>
      <c r="E19" s="77">
        <v>0</v>
      </c>
      <c r="F19" s="77">
        <v>0</v>
      </c>
      <c r="G19" s="77">
        <v>0</v>
      </c>
      <c r="H19" s="77">
        <v>0</v>
      </c>
      <c r="I19" s="89">
        <f>'CALC DEP(4)'!F96</f>
        <v>60769.94</v>
      </c>
      <c r="J19" s="466">
        <f t="shared" si="0"/>
        <v>60769.94</v>
      </c>
    </row>
    <row r="20" spans="1:15" s="17" customFormat="1" ht="16.5" customHeight="1" x14ac:dyDescent="0.2">
      <c r="A20" s="459" t="s">
        <v>1223</v>
      </c>
      <c r="B20" s="523" t="s">
        <v>2047</v>
      </c>
      <c r="C20" s="523">
        <v>6411</v>
      </c>
      <c r="D20" s="89">
        <f>'CALC DEP(4)'!D34</f>
        <v>1051019.6400000001</v>
      </c>
      <c r="E20" s="89">
        <f>'CALC DEP(4)'!C47</f>
        <v>1428849.37</v>
      </c>
      <c r="F20" s="89">
        <f>'CALC DEP(4)'!C113</f>
        <v>597977.38000000012</v>
      </c>
      <c r="G20" s="89">
        <f>'CALC DEP(4)'!C61</f>
        <v>58598.14</v>
      </c>
      <c r="H20" s="89">
        <f>'CALC DEP(4)'!C76</f>
        <v>119794.89</v>
      </c>
      <c r="I20" s="89">
        <f>'CALC DEP(4)'!C96</f>
        <v>0</v>
      </c>
      <c r="J20" s="466">
        <f t="shared" si="0"/>
        <v>3256239.4200000009</v>
      </c>
    </row>
    <row r="21" spans="1:15" s="17" customFormat="1" ht="16.5" customHeight="1" x14ac:dyDescent="0.2">
      <c r="A21" s="459" t="s">
        <v>2058</v>
      </c>
      <c r="B21" s="523" t="s">
        <v>1273</v>
      </c>
      <c r="C21" s="523">
        <v>65318</v>
      </c>
      <c r="D21" s="77">
        <v>0</v>
      </c>
      <c r="E21" s="89">
        <f>'CALC DEP(4)'!N47</f>
        <v>4949.91</v>
      </c>
      <c r="F21" s="77">
        <v>0</v>
      </c>
      <c r="G21" s="77">
        <v>0</v>
      </c>
      <c r="H21" s="89">
        <f>'CALC DEP(4)'!K76</f>
        <v>327.01</v>
      </c>
      <c r="I21" s="89">
        <f>'CALC DEP(4)'!J96</f>
        <v>314.73</v>
      </c>
      <c r="J21" s="466">
        <f t="shared" si="0"/>
        <v>5591.65</v>
      </c>
    </row>
    <row r="22" spans="1:15" ht="16.5" customHeight="1" x14ac:dyDescent="0.25">
      <c r="A22" s="761" t="s">
        <v>1208</v>
      </c>
      <c r="B22" s="762"/>
      <c r="C22" s="763"/>
      <c r="D22" s="466">
        <f>SUM(D4:D21)</f>
        <v>1813105.51</v>
      </c>
      <c r="E22" s="466">
        <f t="shared" ref="E22:I22" si="1">SUM(E4:E21)</f>
        <v>1596116.1375</v>
      </c>
      <c r="F22" s="466">
        <f t="shared" si="1"/>
        <v>658856.78250000009</v>
      </c>
      <c r="G22" s="466">
        <f t="shared" si="1"/>
        <v>58598.14</v>
      </c>
      <c r="H22" s="466">
        <f t="shared" si="1"/>
        <v>140775.535</v>
      </c>
      <c r="I22" s="466">
        <f t="shared" si="1"/>
        <v>107127.71</v>
      </c>
      <c r="J22" s="526">
        <f>SUM(J4:J21)</f>
        <v>4374579.8150000013</v>
      </c>
    </row>
    <row r="23" spans="1:15" x14ac:dyDescent="0.2">
      <c r="A23" s="771" t="s">
        <v>1207</v>
      </c>
      <c r="B23" s="772"/>
      <c r="C23" s="773"/>
      <c r="D23" s="37">
        <v>1128</v>
      </c>
      <c r="E23" s="529">
        <v>272</v>
      </c>
      <c r="F23" s="37">
        <v>1131</v>
      </c>
      <c r="G23" s="37">
        <v>166</v>
      </c>
      <c r="H23" s="37">
        <v>111</v>
      </c>
      <c r="I23" s="37">
        <v>53</v>
      </c>
      <c r="J23" s="37">
        <f>SUM(D23:I23)</f>
        <v>2861</v>
      </c>
    </row>
    <row r="24" spans="1:15" x14ac:dyDescent="0.2">
      <c r="A24" s="746" t="s">
        <v>2062</v>
      </c>
      <c r="B24" s="747"/>
      <c r="C24" s="748"/>
      <c r="D24" s="37">
        <f>D23*140</f>
        <v>157920</v>
      </c>
      <c r="E24" s="37"/>
      <c r="F24" s="37"/>
      <c r="G24" s="37"/>
      <c r="H24" s="37"/>
      <c r="I24" s="37"/>
      <c r="J24" s="37"/>
    </row>
    <row r="25" spans="1:15" x14ac:dyDescent="0.2">
      <c r="A25" s="749" t="s">
        <v>2067</v>
      </c>
      <c r="B25" s="750"/>
      <c r="C25" s="751"/>
      <c r="D25" s="94">
        <f>D22/D24</f>
        <v>11.481164577001014</v>
      </c>
      <c r="E25" s="94">
        <f>E22/E23</f>
        <v>5868.0740349264706</v>
      </c>
      <c r="F25" s="94">
        <f t="shared" ref="F25:I25" si="2">F22/F23</f>
        <v>582.54357427055709</v>
      </c>
      <c r="G25" s="94">
        <f>G22/G23</f>
        <v>353.00084337349398</v>
      </c>
      <c r="H25" s="94">
        <f t="shared" si="2"/>
        <v>1268.248063063063</v>
      </c>
      <c r="I25" s="94">
        <f t="shared" si="2"/>
        <v>2021.2775471698114</v>
      </c>
      <c r="J25" s="94">
        <f>SUM(D25:I25)</f>
        <v>10104.625227380397</v>
      </c>
    </row>
    <row r="27" spans="1:15" ht="15" x14ac:dyDescent="0.25">
      <c r="B27" s="757" t="s">
        <v>2065</v>
      </c>
      <c r="C27" s="757"/>
      <c r="D27" s="757"/>
      <c r="E27" s="757"/>
      <c r="F27" s="757"/>
      <c r="G27" s="757"/>
      <c r="H27" s="757"/>
      <c r="I27" s="757"/>
    </row>
    <row r="28" spans="1:15" x14ac:dyDescent="0.2">
      <c r="A28" s="769" t="s">
        <v>2064</v>
      </c>
      <c r="B28" s="770"/>
      <c r="C28" s="767" t="s">
        <v>1232</v>
      </c>
      <c r="D28" s="768"/>
      <c r="E28" s="471"/>
      <c r="F28" s="471"/>
      <c r="G28" s="471"/>
      <c r="H28" s="471"/>
      <c r="I28" s="471"/>
    </row>
    <row r="29" spans="1:15" x14ac:dyDescent="0.2">
      <c r="A29" s="769"/>
      <c r="B29" s="769"/>
      <c r="C29" s="469" t="s">
        <v>2061</v>
      </c>
      <c r="D29" s="469" t="s">
        <v>2066</v>
      </c>
      <c r="E29" s="469" t="s">
        <v>2061</v>
      </c>
      <c r="F29" s="461" t="s">
        <v>2039</v>
      </c>
      <c r="G29" s="469" t="s">
        <v>2061</v>
      </c>
      <c r="H29" s="461" t="s">
        <v>2040</v>
      </c>
      <c r="I29" s="469" t="s">
        <v>2061</v>
      </c>
      <c r="J29" s="461" t="s">
        <v>2041</v>
      </c>
      <c r="K29" s="469" t="s">
        <v>2061</v>
      </c>
      <c r="L29" s="461" t="s">
        <v>2042</v>
      </c>
      <c r="M29" s="469" t="s">
        <v>2061</v>
      </c>
      <c r="N29" s="461" t="s">
        <v>2043</v>
      </c>
      <c r="O29" s="460" t="s">
        <v>1208</v>
      </c>
    </row>
    <row r="30" spans="1:15" ht="15" x14ac:dyDescent="0.2">
      <c r="A30" s="464" t="s">
        <v>1188</v>
      </c>
      <c r="B30" s="470"/>
      <c r="C30" s="37">
        <v>11</v>
      </c>
      <c r="D30" s="36">
        <v>5.54</v>
      </c>
      <c r="E30" s="37"/>
      <c r="F30" s="36">
        <f>AVERAGE(17.95,11.97)</f>
        <v>14.96</v>
      </c>
      <c r="G30" s="37"/>
      <c r="H30" s="36">
        <f>AVERAGE(5.98,2.98)</f>
        <v>4.4800000000000004</v>
      </c>
      <c r="I30" s="37"/>
      <c r="J30" s="36">
        <f>AVERAGE(30.26,15.12,2.98)</f>
        <v>16.12</v>
      </c>
      <c r="K30" s="37"/>
      <c r="L30" s="36">
        <f>AVERAGE(12.6,6.63,9.3,3.33,6.48,10.8)</f>
        <v>8.19</v>
      </c>
      <c r="M30" s="37"/>
      <c r="N30" s="36">
        <f>AVERAGE(60,80)</f>
        <v>70</v>
      </c>
      <c r="O30" s="462">
        <f t="shared" ref="O30:O40" si="3">SUM(D30:N30)*C30</f>
        <v>1312.1899999999998</v>
      </c>
    </row>
    <row r="31" spans="1:15" ht="15" x14ac:dyDescent="0.2">
      <c r="A31" s="465" t="s">
        <v>1189</v>
      </c>
      <c r="B31" s="465" t="s">
        <v>1190</v>
      </c>
      <c r="C31" s="37">
        <v>429</v>
      </c>
      <c r="D31" s="463">
        <v>5.13</v>
      </c>
      <c r="E31" s="37"/>
      <c r="F31" s="36">
        <f>AVERAGE(16.63,11.08)</f>
        <v>13.855</v>
      </c>
      <c r="G31" s="37"/>
      <c r="H31" s="36">
        <f>AVERAGE(5.54,2.79)</f>
        <v>4.165</v>
      </c>
      <c r="I31" s="37"/>
      <c r="J31" s="36">
        <f>AVERAGE(27.51,13.75,2.22)</f>
        <v>14.493333333333334</v>
      </c>
      <c r="K31" s="37"/>
      <c r="L31" s="36">
        <f>AVERAGE(11.69,6.15,8.62,3.07,5.18)</f>
        <v>6.9420000000000002</v>
      </c>
      <c r="M31" s="37"/>
      <c r="N31" s="36">
        <f>AVERAGE(48,64)</f>
        <v>56</v>
      </c>
      <c r="O31" s="462">
        <f t="shared" si="3"/>
        <v>43151.107999999993</v>
      </c>
    </row>
    <row r="32" spans="1:15" ht="15" x14ac:dyDescent="0.2">
      <c r="A32" s="465" t="s">
        <v>1191</v>
      </c>
      <c r="B32" s="465" t="s">
        <v>1192</v>
      </c>
      <c r="C32" s="37">
        <v>90</v>
      </c>
      <c r="D32" s="463">
        <v>4.53</v>
      </c>
      <c r="E32" s="37"/>
      <c r="F32" s="36">
        <f>AVERAGE(14.73,9.78)</f>
        <v>12.254999999999999</v>
      </c>
      <c r="G32" s="37"/>
      <c r="H32" s="36">
        <f>AVERAGE(4.89,2.43)</f>
        <v>3.66</v>
      </c>
      <c r="I32" s="37"/>
      <c r="J32" s="36">
        <f>AVERAGE(24.75,12.38,1.93)</f>
        <v>13.020000000000001</v>
      </c>
      <c r="K32" s="37"/>
      <c r="L32" s="36">
        <f>AVERAGE(10.37,6.15,8.62,3.07,5.18,8.64)</f>
        <v>7.0049999999999999</v>
      </c>
      <c r="M32" s="37"/>
      <c r="N32" s="36">
        <f>AVERAGE(42,56)</f>
        <v>49</v>
      </c>
      <c r="O32" s="462">
        <f t="shared" si="3"/>
        <v>8052.3</v>
      </c>
    </row>
    <row r="33" spans="1:15" ht="15" x14ac:dyDescent="0.2">
      <c r="A33" s="465" t="s">
        <v>1193</v>
      </c>
      <c r="B33" s="465" t="s">
        <v>1194</v>
      </c>
      <c r="C33" s="37">
        <v>90</v>
      </c>
      <c r="D33" s="463">
        <v>4</v>
      </c>
      <c r="E33" s="37"/>
      <c r="F33" s="36">
        <f>AVERAGE(12.46,8.34)</f>
        <v>10.4</v>
      </c>
      <c r="G33" s="37"/>
      <c r="H33" s="36">
        <f>AVERAGE(4.17,2.11)</f>
        <v>3.1399999999999997</v>
      </c>
      <c r="I33" s="37"/>
      <c r="J33" s="36">
        <f>AVERAGE(22.29,11.15,1.62)</f>
        <v>11.686666666666666</v>
      </c>
      <c r="K33" s="37"/>
      <c r="L33" s="36">
        <f>AVERAGE(9.09,4.91,6.63,2.44,3.89,6.48)</f>
        <v>5.5733333333333333</v>
      </c>
      <c r="M33" s="37"/>
      <c r="N33" s="36">
        <f>AVERAGE(36,48)</f>
        <v>42</v>
      </c>
      <c r="O33" s="462">
        <f t="shared" si="3"/>
        <v>6912</v>
      </c>
    </row>
    <row r="34" spans="1:15" ht="15" x14ac:dyDescent="0.2">
      <c r="A34" s="465" t="s">
        <v>1195</v>
      </c>
      <c r="B34" s="465" t="s">
        <v>1196</v>
      </c>
      <c r="C34" s="37">
        <v>79</v>
      </c>
      <c r="D34" s="463">
        <v>3.86</v>
      </c>
      <c r="E34" s="37"/>
      <c r="F34" s="36">
        <f t="shared" ref="F34" si="4">AVERAGE(12.46,8.34)</f>
        <v>10.4</v>
      </c>
      <c r="G34" s="37"/>
      <c r="H34" s="36">
        <f>AVERAGE(4.17,2.11)</f>
        <v>3.1399999999999997</v>
      </c>
      <c r="I34" s="37"/>
      <c r="J34" s="36">
        <f>AVERAGE(22.29,11.15,1.62)</f>
        <v>11.686666666666666</v>
      </c>
      <c r="K34" s="37"/>
      <c r="L34" s="36">
        <f>AVERAGE(9.09,4.91,6.63,2.44,3.89,6.48)</f>
        <v>5.5733333333333333</v>
      </c>
      <c r="M34" s="37"/>
      <c r="N34" s="36">
        <f>AVERAGE(36,48)</f>
        <v>42</v>
      </c>
      <c r="O34" s="462">
        <f t="shared" si="3"/>
        <v>6056.1399999999994</v>
      </c>
    </row>
    <row r="35" spans="1:15" ht="15" x14ac:dyDescent="0.2">
      <c r="A35" s="465" t="s">
        <v>1197</v>
      </c>
      <c r="B35" s="465" t="s">
        <v>1198</v>
      </c>
      <c r="C35" s="37">
        <v>79</v>
      </c>
      <c r="D35" s="463">
        <v>3.25</v>
      </c>
      <c r="E35" s="37"/>
      <c r="F35" s="36">
        <f>AVERAGE(10.55,7.02)</f>
        <v>8.7850000000000001</v>
      </c>
      <c r="G35" s="37"/>
      <c r="H35" s="36">
        <f>AVERAGE(3.51,1.76)</f>
        <v>2.6349999999999998</v>
      </c>
      <c r="I35" s="37"/>
      <c r="J35" s="36">
        <f>AVERAGE(20.06,10.03,1.4)</f>
        <v>10.496666666666664</v>
      </c>
      <c r="K35" s="37"/>
      <c r="L35" s="36">
        <f>AVERAGE(6.49,2.96,5.01,1.51,3.24,5.4)</f>
        <v>4.1016666666666666</v>
      </c>
      <c r="M35" s="37"/>
      <c r="N35" s="36">
        <f>AVERAGE(30,40)</f>
        <v>35</v>
      </c>
      <c r="O35" s="462">
        <f t="shared" si="3"/>
        <v>5077.1983333333328</v>
      </c>
    </row>
    <row r="36" spans="1:15" ht="15" x14ac:dyDescent="0.2">
      <c r="A36" s="465" t="s">
        <v>1199</v>
      </c>
      <c r="B36" s="465" t="s">
        <v>1200</v>
      </c>
      <c r="C36" s="37">
        <v>90</v>
      </c>
      <c r="D36" s="463">
        <v>2.7</v>
      </c>
      <c r="E36" s="37"/>
      <c r="F36" s="36">
        <f>AVERAGE(8.82,5.83)</f>
        <v>7.3250000000000002</v>
      </c>
      <c r="G36" s="37"/>
      <c r="H36" s="36">
        <f>AVERAGE(2.92,1.48)</f>
        <v>2.2000000000000002</v>
      </c>
      <c r="I36" s="37"/>
      <c r="J36" s="36">
        <f>AVERAGE(18.06,9.03,1.2)</f>
        <v>9.4299999999999979</v>
      </c>
      <c r="K36" s="37"/>
      <c r="L36" s="36">
        <f>AVERAGE(5.18,2.27,4.05,1.13,2.59,4.32)</f>
        <v>3.2566666666666664</v>
      </c>
      <c r="M36" s="37"/>
      <c r="N36" s="36">
        <f>AVERAGE(24,32)</f>
        <v>28</v>
      </c>
      <c r="O36" s="462">
        <f t="shared" si="3"/>
        <v>4762.05</v>
      </c>
    </row>
    <row r="37" spans="1:15" ht="15" x14ac:dyDescent="0.2">
      <c r="A37" s="465" t="s">
        <v>1201</v>
      </c>
      <c r="B37" s="465" t="s">
        <v>1202</v>
      </c>
      <c r="C37" s="37">
        <v>79</v>
      </c>
      <c r="D37" s="463">
        <v>2</v>
      </c>
      <c r="E37" s="37"/>
      <c r="F37" s="36">
        <f>AVERAGE(6.5,4.32)</f>
        <v>5.41</v>
      </c>
      <c r="G37" s="37"/>
      <c r="H37" s="36">
        <f>AVERAGE(2.16,1.08)</f>
        <v>1.62</v>
      </c>
      <c r="I37" s="37"/>
      <c r="J37" s="36">
        <f>AVERAGE(16.28,8.13,0.86)</f>
        <v>8.4233333333333338</v>
      </c>
      <c r="K37" s="37"/>
      <c r="L37" s="36">
        <f>AVERAGE(3.9,1.74,3,0.87,1.94,3.24)</f>
        <v>2.4483333333333333</v>
      </c>
      <c r="M37" s="37"/>
      <c r="N37" s="36">
        <f>AVERAGE(18,24)</f>
        <v>21</v>
      </c>
      <c r="O37" s="462">
        <f t="shared" si="3"/>
        <v>3231.231666666667</v>
      </c>
    </row>
    <row r="38" spans="1:15" ht="15" x14ac:dyDescent="0.2">
      <c r="A38" s="465" t="s">
        <v>1203</v>
      </c>
      <c r="B38" s="465" t="s">
        <v>1204</v>
      </c>
      <c r="C38" s="37">
        <v>57</v>
      </c>
      <c r="D38" s="463">
        <v>1.45</v>
      </c>
      <c r="E38" s="37"/>
      <c r="F38" s="36">
        <f>AVERAGE(6.5,4.32)</f>
        <v>5.41</v>
      </c>
      <c r="G38" s="37"/>
      <c r="H38" s="36">
        <f>AVERAGE(2.16,1.08)</f>
        <v>1.62</v>
      </c>
      <c r="I38" s="37"/>
      <c r="J38" s="36">
        <f>AVERAGE(16.28,8.13,0.86)</f>
        <v>8.4233333333333338</v>
      </c>
      <c r="K38" s="37"/>
      <c r="L38" s="36">
        <f>AVERAGE(3.9,1.74,3,0.87,1.94,3.24)</f>
        <v>2.4483333333333333</v>
      </c>
      <c r="M38" s="37"/>
      <c r="N38" s="36">
        <f>AVERAGE(18,24)</f>
        <v>21</v>
      </c>
      <c r="O38" s="462">
        <f t="shared" si="3"/>
        <v>2300.0450000000005</v>
      </c>
    </row>
    <row r="39" spans="1:15" ht="15" x14ac:dyDescent="0.2">
      <c r="A39" s="465" t="s">
        <v>1205</v>
      </c>
      <c r="B39" s="464" t="s">
        <v>1206</v>
      </c>
      <c r="C39" s="37">
        <v>124</v>
      </c>
      <c r="D39" s="36">
        <v>1.32</v>
      </c>
      <c r="E39" s="37"/>
      <c r="F39" s="36">
        <f>AVERAGE(5.35,2.85)</f>
        <v>4.0999999999999996</v>
      </c>
      <c r="G39" s="37"/>
      <c r="H39" s="36">
        <f>AVERAGE(1.43,0.7)</f>
        <v>1.0649999999999999</v>
      </c>
      <c r="I39" s="37"/>
      <c r="J39" s="36">
        <f>AVERAGE(14.62,7.31,0.56)</f>
        <v>7.4966666666666661</v>
      </c>
      <c r="K39" s="37"/>
      <c r="L39" s="36">
        <f>AVERAGE(2.6,1.17,2.02,0.58,1.3,2.16)</f>
        <v>1.6383333333333334</v>
      </c>
      <c r="M39" s="37"/>
      <c r="N39" s="36">
        <f>AVERAGE(12,16)</f>
        <v>14</v>
      </c>
      <c r="O39" s="462">
        <f t="shared" si="3"/>
        <v>3672.8799999999997</v>
      </c>
    </row>
    <row r="40" spans="1:15" ht="15" x14ac:dyDescent="0.2">
      <c r="A40" s="467" t="s">
        <v>2063</v>
      </c>
      <c r="B40" s="468"/>
      <c r="C40" s="37"/>
      <c r="D40" s="36">
        <v>1</v>
      </c>
      <c r="E40" s="37"/>
      <c r="F40" s="36">
        <v>0</v>
      </c>
      <c r="G40" s="37"/>
      <c r="H40" s="36">
        <v>0</v>
      </c>
      <c r="I40" s="37"/>
      <c r="J40" s="36">
        <v>0</v>
      </c>
      <c r="K40" s="37"/>
      <c r="L40" s="36">
        <v>0</v>
      </c>
      <c r="M40" s="37"/>
      <c r="N40" s="36">
        <v>0</v>
      </c>
      <c r="O40" s="462">
        <f t="shared" si="3"/>
        <v>0</v>
      </c>
    </row>
    <row r="41" spans="1:15" x14ac:dyDescent="0.2">
      <c r="A41" s="765" t="s">
        <v>1208</v>
      </c>
      <c r="B41" s="766"/>
      <c r="C41" s="43">
        <f>SUM(C30:C40)</f>
        <v>1128</v>
      </c>
      <c r="D41" s="522">
        <f>(C30*D30)+(C31*D31)+(C32*D32)+(C33*D33)+(C34*D34)+(C35*D35)+(C36*D36)+(C37*D37)+(C38*D38)+(C39*D39)</f>
        <v>4238.43</v>
      </c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</row>
    <row r="42" spans="1:15" x14ac:dyDescent="0.2">
      <c r="A42" s="752" t="s">
        <v>2089</v>
      </c>
      <c r="B42" s="753"/>
      <c r="C42" s="37"/>
      <c r="D42" s="530">
        <f>D41*140</f>
        <v>593380.20000000007</v>
      </c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</row>
    <row r="44" spans="1:15" x14ac:dyDescent="0.2">
      <c r="D44" s="522"/>
      <c r="F44" s="17"/>
    </row>
    <row r="45" spans="1:15" x14ac:dyDescent="0.2">
      <c r="D45" s="522"/>
    </row>
    <row r="46" spans="1:15" x14ac:dyDescent="0.2">
      <c r="D46" s="522"/>
    </row>
    <row r="47" spans="1:15" x14ac:dyDescent="0.2">
      <c r="D47" s="522"/>
    </row>
    <row r="48" spans="1:15" x14ac:dyDescent="0.2">
      <c r="D48" s="522"/>
    </row>
    <row r="49" spans="4:4" x14ac:dyDescent="0.2">
      <c r="D49" s="522"/>
    </row>
    <row r="50" spans="4:4" x14ac:dyDescent="0.2">
      <c r="D50" s="522"/>
    </row>
    <row r="51" spans="4:4" x14ac:dyDescent="0.2">
      <c r="D51" s="522"/>
    </row>
    <row r="52" spans="4:4" x14ac:dyDescent="0.2">
      <c r="D52" s="522"/>
    </row>
    <row r="53" spans="4:4" x14ac:dyDescent="0.2">
      <c r="D53" s="522"/>
    </row>
  </sheetData>
  <mergeCells count="18">
    <mergeCell ref="B27:I27"/>
    <mergeCell ref="A23:C23"/>
    <mergeCell ref="A24:C24"/>
    <mergeCell ref="A25:C25"/>
    <mergeCell ref="A42:B42"/>
    <mergeCell ref="J15:J18"/>
    <mergeCell ref="B2:I2"/>
    <mergeCell ref="H15:H18"/>
    <mergeCell ref="I15:I18"/>
    <mergeCell ref="A22:C22"/>
    <mergeCell ref="A4:A5"/>
    <mergeCell ref="A6:A8"/>
    <mergeCell ref="A9:A12"/>
    <mergeCell ref="A13:A14"/>
    <mergeCell ref="A15:A18"/>
    <mergeCell ref="A41:B41"/>
    <mergeCell ref="C28:D28"/>
    <mergeCell ref="A28:B29"/>
  </mergeCell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4BAF-4679-4904-B6E1-AFC971A66EC2}">
  <dimension ref="A2:Q38"/>
  <sheetViews>
    <sheetView showGridLines="0" zoomScale="115" zoomScaleNormal="115" workbookViewId="0">
      <selection activeCell="H21" sqref="H21"/>
    </sheetView>
  </sheetViews>
  <sheetFormatPr baseColWidth="10" defaultColWidth="20.7109375" defaultRowHeight="12.75" x14ac:dyDescent="0.2"/>
  <cols>
    <col min="1" max="1" width="26.7109375" customWidth="1"/>
    <col min="2" max="2" width="25.140625" customWidth="1"/>
    <col min="9" max="9" width="27.7109375" customWidth="1"/>
    <col min="11" max="11" width="14.5703125" customWidth="1"/>
    <col min="12" max="12" width="27.42578125" customWidth="1"/>
    <col min="13" max="13" width="31.140625" customWidth="1"/>
  </cols>
  <sheetData>
    <row r="2" spans="1:17" x14ac:dyDescent="0.2">
      <c r="J2" s="461" t="s">
        <v>1232</v>
      </c>
      <c r="K2" s="527">
        <v>1813105.51</v>
      </c>
      <c r="M2" s="459" t="s">
        <v>2059</v>
      </c>
      <c r="N2" s="527">
        <v>784524.24999999977</v>
      </c>
      <c r="P2" s="461" t="s">
        <v>1232</v>
      </c>
      <c r="Q2" s="527">
        <f>'syntheses charges'!D25</f>
        <v>11.481164577001014</v>
      </c>
    </row>
    <row r="3" spans="1:17" x14ac:dyDescent="0.2">
      <c r="J3" s="461" t="s">
        <v>2039</v>
      </c>
      <c r="K3" s="527">
        <v>1596116.1375</v>
      </c>
      <c r="M3" s="459" t="s">
        <v>2056</v>
      </c>
      <c r="N3" s="527">
        <v>160280.875</v>
      </c>
      <c r="P3" s="461" t="s">
        <v>2039</v>
      </c>
      <c r="Q3" s="527">
        <f>'syntheses charges'!E25</f>
        <v>5868.0740349264706</v>
      </c>
    </row>
    <row r="4" spans="1:17" x14ac:dyDescent="0.2">
      <c r="B4" s="461" t="s">
        <v>1232</v>
      </c>
      <c r="C4" s="461" t="s">
        <v>2039</v>
      </c>
      <c r="D4" s="461" t="s">
        <v>2040</v>
      </c>
      <c r="E4" s="461" t="s">
        <v>2041</v>
      </c>
      <c r="F4" s="461" t="s">
        <v>2042</v>
      </c>
      <c r="G4" s="461" t="s">
        <v>2043</v>
      </c>
      <c r="H4" s="461" t="s">
        <v>1208</v>
      </c>
      <c r="J4" s="461" t="s">
        <v>2040</v>
      </c>
      <c r="K4" s="527">
        <v>658856.78250000009</v>
      </c>
      <c r="M4" s="459" t="s">
        <v>2057</v>
      </c>
      <c r="N4" s="527">
        <v>19563.47</v>
      </c>
      <c r="P4" s="461" t="s">
        <v>2040</v>
      </c>
      <c r="Q4" s="527">
        <f>'syntheses charges'!F25</f>
        <v>582.54357427055709</v>
      </c>
    </row>
    <row r="5" spans="1:17" x14ac:dyDescent="0.2">
      <c r="A5" s="459" t="s">
        <v>2059</v>
      </c>
      <c r="B5" s="88">
        <f>'syntheses charges'!D4+'syntheses charges'!D5</f>
        <v>715204.37999999989</v>
      </c>
      <c r="C5" s="88">
        <f>'syntheses charges'!E4+'syntheses charges'!E5</f>
        <v>63094.700000000004</v>
      </c>
      <c r="D5" s="88">
        <f>'syntheses charges'!F4+'syntheses charges'!F5</f>
        <v>5810.47</v>
      </c>
      <c r="E5" s="88">
        <f>'syntheses charges'!G4+'syntheses charges'!G5</f>
        <v>0</v>
      </c>
      <c r="F5" s="88">
        <f>'syntheses charges'!H4+'syntheses charges'!H5</f>
        <v>59.24</v>
      </c>
      <c r="G5" s="88">
        <f>'syntheses charges'!I4+'syntheses charges'!I5</f>
        <v>355.46000000000004</v>
      </c>
      <c r="H5" s="462">
        <f>SUM(B5:G5)</f>
        <v>784524.24999999977</v>
      </c>
      <c r="J5" s="461" t="s">
        <v>2041</v>
      </c>
      <c r="K5" s="527">
        <v>58598.14</v>
      </c>
      <c r="M5" s="459" t="s">
        <v>1235</v>
      </c>
      <c r="N5" s="527">
        <v>23735.97</v>
      </c>
      <c r="P5" s="461" t="s">
        <v>2041</v>
      </c>
      <c r="Q5" s="527">
        <f>'syntheses charges'!G25</f>
        <v>353.00084337349398</v>
      </c>
    </row>
    <row r="6" spans="1:17" x14ac:dyDescent="0.2">
      <c r="A6" s="459" t="s">
        <v>2056</v>
      </c>
      <c r="B6" s="88">
        <f>'syntheses charges'!D6+'syntheses charges'!D7+'syntheses charges'!D8</f>
        <v>46881.49</v>
      </c>
      <c r="C6" s="88">
        <f>'syntheses charges'!E7+'syntheses charges'!E6+'syntheses charges'!E8</f>
        <v>43486.207499999997</v>
      </c>
      <c r="D6" s="88">
        <f>'syntheses charges'!F6+'syntheses charges'!F7+'syntheses charges'!F8</f>
        <v>55068.932499999995</v>
      </c>
      <c r="E6" s="37">
        <f>'syntheses charges'!G6+'syntheses charges'!G7+'syntheses charges'!G8</f>
        <v>0</v>
      </c>
      <c r="F6" s="88">
        <f>'syntheses charges'!H6+'syntheses charges'!H7+'syntheses charges'!H8</f>
        <v>14844.245000000001</v>
      </c>
      <c r="G6" s="37">
        <f>'syntheses charges'!I6+'syntheses charges'!I7+'syntheses charges'!I8</f>
        <v>0</v>
      </c>
      <c r="H6" s="462">
        <f t="shared" ref="H6:H13" si="0">SUM(B6:G6)</f>
        <v>160280.875</v>
      </c>
      <c r="J6" s="461" t="s">
        <v>2042</v>
      </c>
      <c r="K6" s="527">
        <v>140775.535</v>
      </c>
      <c r="M6" s="459" t="s">
        <v>1236</v>
      </c>
      <c r="N6" s="527">
        <v>63874.240000000005</v>
      </c>
      <c r="P6" s="461" t="s">
        <v>2042</v>
      </c>
      <c r="Q6" s="527">
        <f>'syntheses charges'!H25</f>
        <v>1268.248063063063</v>
      </c>
    </row>
    <row r="7" spans="1:17" x14ac:dyDescent="0.2">
      <c r="A7" s="459" t="s">
        <v>2057</v>
      </c>
      <c r="B7" s="37">
        <f>'syntheses charges'!D9+'syntheses charges'!D10+'syntheses charges'!D11+'syntheses charges'!D12</f>
        <v>0</v>
      </c>
      <c r="C7" s="88">
        <f>'syntheses charges'!E9+'syntheses charges'!E10+'syntheses charges'!E11+'syntheses charges'!E12</f>
        <v>17446.990000000002</v>
      </c>
      <c r="D7" s="88">
        <f>'syntheses charges'!F9+'syntheses charges'!F10+'syntheses charges'!F11+'syntheses charges'!F12</f>
        <v>0</v>
      </c>
      <c r="E7" s="88">
        <f>'syntheses charges'!G9+'syntheses charges'!G10+'syntheses charges'!G11+'syntheses charges'!G12</f>
        <v>0</v>
      </c>
      <c r="F7" s="88">
        <f>'syntheses charges'!H9+'syntheses charges'!H10+'syntheses charges'!H11+'syntheses charges'!H12</f>
        <v>1733.73</v>
      </c>
      <c r="G7" s="88">
        <f>'syntheses charges'!I9+'syntheses charges'!I10+'syntheses charges'!I11+'syntheses charges'!I12</f>
        <v>382.75</v>
      </c>
      <c r="H7" s="462">
        <f t="shared" si="0"/>
        <v>19563.47</v>
      </c>
      <c r="J7" s="461" t="s">
        <v>2043</v>
      </c>
      <c r="K7" s="527">
        <v>107127.71</v>
      </c>
      <c r="M7" s="459" t="s">
        <v>1252</v>
      </c>
      <c r="N7" s="527">
        <v>60769.94</v>
      </c>
      <c r="P7" s="461" t="s">
        <v>2043</v>
      </c>
      <c r="Q7" s="527">
        <f>'syntheses charges'!I25</f>
        <v>2021.2775471698114</v>
      </c>
    </row>
    <row r="8" spans="1:17" x14ac:dyDescent="0.2">
      <c r="A8" s="459" t="s">
        <v>1235</v>
      </c>
      <c r="B8" s="37">
        <f>'syntheses charges'!D13+'syntheses charges'!D14</f>
        <v>0</v>
      </c>
      <c r="C8" s="88">
        <f>'syntheses charges'!E13+'syntheses charges'!E14</f>
        <v>23735.97</v>
      </c>
      <c r="D8" s="37">
        <f>'syntheses charges'!F13+'syntheses charges'!F14</f>
        <v>0</v>
      </c>
      <c r="E8" s="486">
        <f>'syntheses charges'!G13+'syntheses charges'!G14</f>
        <v>0</v>
      </c>
      <c r="F8" s="88">
        <f>'syntheses charges'!H13+'syntheses charges'!H14</f>
        <v>0</v>
      </c>
      <c r="G8" s="37">
        <f>'syntheses charges'!I13+'syntheses charges'!I14</f>
        <v>0</v>
      </c>
      <c r="H8" s="462">
        <f t="shared" si="0"/>
        <v>23735.97</v>
      </c>
      <c r="M8" s="459" t="s">
        <v>1223</v>
      </c>
      <c r="N8" s="527">
        <v>3256239.4200000009</v>
      </c>
    </row>
    <row r="9" spans="1:17" x14ac:dyDescent="0.2">
      <c r="A9" s="459" t="s">
        <v>1236</v>
      </c>
      <c r="B9" s="37">
        <f>'syntheses charges'!D15+'syntheses charges'!D16+'syntheses charges'!D17+'syntheses charges'!D18</f>
        <v>0</v>
      </c>
      <c r="C9" s="88">
        <f>'syntheses charges'!E15+'syntheses charges'!E16+'syntheses charges'!E17+'syntheses charges'!E18</f>
        <v>14552.99</v>
      </c>
      <c r="D9" s="37">
        <f>'syntheses charges'!F15+'syntheses charges'!F16+'syntheses charges'!F17+'syntheses charges'!F18</f>
        <v>0</v>
      </c>
      <c r="E9" s="37">
        <f>'syntheses charges'!G15+'syntheses charges'!G16+'syntheses charges'!G17+'syntheses charges'!G18</f>
        <v>0</v>
      </c>
      <c r="F9" s="88">
        <v>4016.42</v>
      </c>
      <c r="G9" s="88">
        <v>45304.83</v>
      </c>
      <c r="H9" s="462">
        <f t="shared" si="0"/>
        <v>63874.240000000005</v>
      </c>
      <c r="M9" s="459" t="s">
        <v>2058</v>
      </c>
      <c r="N9" s="527">
        <v>5591.65</v>
      </c>
    </row>
    <row r="10" spans="1:17" x14ac:dyDescent="0.2">
      <c r="A10" s="459" t="s">
        <v>1252</v>
      </c>
      <c r="B10" s="37">
        <f>'syntheses charges'!D19</f>
        <v>0</v>
      </c>
      <c r="C10" s="37">
        <f>'syntheses charges'!E19</f>
        <v>0</v>
      </c>
      <c r="D10" s="37">
        <f>'syntheses charges'!F19</f>
        <v>0</v>
      </c>
      <c r="E10" s="37"/>
      <c r="F10" s="37">
        <v>0</v>
      </c>
      <c r="G10" s="88">
        <f>'syntheses charges'!I19</f>
        <v>60769.94</v>
      </c>
      <c r="H10" s="462">
        <f t="shared" si="0"/>
        <v>60769.94</v>
      </c>
    </row>
    <row r="11" spans="1:17" x14ac:dyDescent="0.2">
      <c r="A11" s="459" t="s">
        <v>1223</v>
      </c>
      <c r="B11" s="88">
        <f>'syntheses charges'!D20</f>
        <v>1051019.6400000001</v>
      </c>
      <c r="C11" s="88">
        <f>'syntheses charges'!E20</f>
        <v>1428849.37</v>
      </c>
      <c r="D11" s="88">
        <f>'syntheses charges'!F20</f>
        <v>597977.38000000012</v>
      </c>
      <c r="E11" s="88">
        <f>'syntheses charges'!G20</f>
        <v>58598.14</v>
      </c>
      <c r="F11" s="88">
        <f>'syntheses charges'!H20</f>
        <v>119794.89</v>
      </c>
      <c r="G11" s="88">
        <f>'syntheses charges'!I20</f>
        <v>0</v>
      </c>
      <c r="H11" s="462">
        <f t="shared" si="0"/>
        <v>3256239.4200000009</v>
      </c>
    </row>
    <row r="12" spans="1:17" x14ac:dyDescent="0.2">
      <c r="A12" s="459" t="s">
        <v>2058</v>
      </c>
      <c r="B12" s="37">
        <f>'syntheses charges'!D21</f>
        <v>0</v>
      </c>
      <c r="C12" s="88">
        <f>'syntheses charges'!E21</f>
        <v>4949.91</v>
      </c>
      <c r="D12" s="37">
        <f>'syntheses charges'!F21</f>
        <v>0</v>
      </c>
      <c r="E12" s="37">
        <f>'syntheses charges'!G21</f>
        <v>0</v>
      </c>
      <c r="F12" s="88">
        <f>'syntheses charges'!H21</f>
        <v>327.01</v>
      </c>
      <c r="G12" s="88">
        <f>'syntheses charges'!I21</f>
        <v>314.73</v>
      </c>
      <c r="H12" s="462">
        <f t="shared" si="0"/>
        <v>5591.65</v>
      </c>
    </row>
    <row r="13" spans="1:17" x14ac:dyDescent="0.2">
      <c r="A13" s="459" t="s">
        <v>1208</v>
      </c>
      <c r="B13" s="462">
        <f>SUM(B5:B12)</f>
        <v>1813105.51</v>
      </c>
      <c r="C13" s="462">
        <f t="shared" ref="C13:G13" si="1">SUM(C5:C12)</f>
        <v>1596116.1375</v>
      </c>
      <c r="D13" s="462">
        <f t="shared" si="1"/>
        <v>658856.78250000009</v>
      </c>
      <c r="E13" s="462">
        <f t="shared" si="1"/>
        <v>58598.14</v>
      </c>
      <c r="F13" s="462">
        <f t="shared" si="1"/>
        <v>140775.535</v>
      </c>
      <c r="G13" s="462">
        <f t="shared" si="1"/>
        <v>107127.71</v>
      </c>
      <c r="H13" s="462">
        <f t="shared" si="0"/>
        <v>4374579.8150000004</v>
      </c>
    </row>
    <row r="26" spans="3:3" x14ac:dyDescent="0.2">
      <c r="C26" s="528"/>
    </row>
    <row r="27" spans="3:3" x14ac:dyDescent="0.2">
      <c r="C27" s="528"/>
    </row>
    <row r="28" spans="3:3" x14ac:dyDescent="0.2">
      <c r="C28" s="528"/>
    </row>
    <row r="37" spans="3:3" x14ac:dyDescent="0.2">
      <c r="C37" s="528"/>
    </row>
    <row r="38" spans="3:3" x14ac:dyDescent="0.2">
      <c r="C38" s="528"/>
    </row>
  </sheetData>
  <pageMargins left="0.7" right="0.7" top="0.75" bottom="0.75" header="0.3" footer="0.3"/>
  <drawing r:id="rId1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F841DF18-2E67-46A4-BE40-AF9E270173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</vt:i4>
      </vt:variant>
    </vt:vector>
  </HeadingPairs>
  <TitlesOfParts>
    <vt:vector size="12" baseType="lpstr">
      <vt:lpstr>Depenses restau 2025</vt:lpstr>
      <vt:lpstr>Depenses,service,RE</vt:lpstr>
      <vt:lpstr>DEP ALIM</vt:lpstr>
      <vt:lpstr>DEP ALIM MODIF</vt:lpstr>
      <vt:lpstr>DEP ALIM TCD</vt:lpstr>
      <vt:lpstr>CONSO ELEC</vt:lpstr>
      <vt:lpstr>CONSO GAZ</vt:lpstr>
      <vt:lpstr>Conso eau</vt:lpstr>
      <vt:lpstr>CALC DEP(4)</vt:lpstr>
      <vt:lpstr>syntheses charges</vt:lpstr>
      <vt:lpstr>tcd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2009-02-24T10:52:46Z</dcterms:created>
  <dc:creator>Finances 1</dc:creator>
  <cp:lastModifiedBy>Seri-Khane YOLOU</cp:lastModifiedBy>
  <cp:lastPrinted>2026-04-10T09:43:15Z</cp:lastPrinted>
  <dcterms:modified xsi:type="dcterms:W3CDTF">2026-04-21T07:08:03Z</dcterms:modified>
</cp:coreProperties>
</file>