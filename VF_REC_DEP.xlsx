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s1\Downloads\"/>
    </mc:Choice>
  </mc:AlternateContent>
  <xr:revisionPtr revIDLastSave="0" documentId="13_ncr:1_{D2DA377B-73FB-4615-BEED-399F005BE60B}" xr6:coauthVersionLast="47" xr6:coauthVersionMax="47" xr10:uidLastSave="{00000000-0000-0000-0000-000000000000}"/>
  <bookViews>
    <workbookView xWindow="-120" yWindow="-120" windowWidth="29040" windowHeight="15720" xr2:uid="{E0EE2629-0877-4914-B1B9-D80C09233EBC}"/>
  </bookViews>
  <sheets>
    <sheet name="DEP" sheetId="1" r:id="rId1"/>
    <sheet name="RE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8" i="1" l="1"/>
  <c r="G67" i="1"/>
  <c r="G66" i="1"/>
  <c r="K47" i="1"/>
  <c r="G60" i="1"/>
  <c r="G59" i="1"/>
  <c r="G58" i="1"/>
  <c r="G57" i="1"/>
  <c r="G56" i="1"/>
  <c r="G55" i="1"/>
  <c r="G54" i="1"/>
  <c r="G53" i="1"/>
  <c r="V22" i="1"/>
  <c r="V16" i="1"/>
  <c r="V15" i="1"/>
  <c r="V14" i="1"/>
  <c r="V13" i="1"/>
  <c r="V12" i="1"/>
  <c r="V11" i="1"/>
  <c r="V10" i="1"/>
  <c r="V9" i="1"/>
  <c r="V8" i="1"/>
  <c r="V7" i="1"/>
  <c r="V6" i="1"/>
  <c r="V5" i="1"/>
  <c r="V21" i="1" s="1"/>
  <c r="V23" i="1" s="1"/>
  <c r="V4" i="1"/>
  <c r="J20" i="2"/>
  <c r="I20" i="2"/>
  <c r="H20" i="2"/>
  <c r="G20" i="2"/>
  <c r="F20" i="2"/>
  <c r="E20" i="2"/>
  <c r="D20" i="2"/>
  <c r="C20" i="2"/>
  <c r="K19" i="2"/>
  <c r="C18" i="2"/>
  <c r="K18" i="2" s="1"/>
  <c r="K20" i="2" s="1"/>
  <c r="L10" i="2"/>
  <c r="K10" i="2"/>
  <c r="J10" i="2"/>
  <c r="I10" i="2"/>
  <c r="H10" i="2"/>
  <c r="G10" i="2"/>
  <c r="F10" i="2"/>
  <c r="E10" i="2"/>
  <c r="D10" i="2"/>
  <c r="C10" i="2"/>
  <c r="B10" i="2"/>
  <c r="M9" i="2"/>
  <c r="M8" i="2"/>
  <c r="M10" i="2" s="1"/>
  <c r="F65" i="1"/>
  <c r="E65" i="1"/>
  <c r="D65" i="1"/>
  <c r="C65" i="1"/>
  <c r="J46" i="1"/>
  <c r="I46" i="1"/>
  <c r="H46" i="1"/>
  <c r="F46" i="1"/>
  <c r="E46" i="1"/>
  <c r="D46" i="1"/>
  <c r="C46" i="1"/>
  <c r="G42" i="1"/>
  <c r="G46" i="1" s="1"/>
  <c r="K41" i="1"/>
  <c r="K40" i="1"/>
  <c r="K39" i="1"/>
  <c r="K38" i="1"/>
  <c r="K37" i="1"/>
  <c r="K36" i="1"/>
  <c r="K35" i="1"/>
  <c r="K34" i="1"/>
  <c r="K33" i="1"/>
  <c r="K32" i="1"/>
  <c r="K31" i="1"/>
  <c r="K30" i="1"/>
  <c r="C22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K42" i="1" l="1"/>
  <c r="K46" i="1" s="1"/>
  <c r="G65" i="1"/>
</calcChain>
</file>

<file path=xl/sharedStrings.xml><?xml version="1.0" encoding="utf-8"?>
<sst xmlns="http://schemas.openxmlformats.org/spreadsheetml/2006/main" count="124" uniqueCount="84">
  <si>
    <t xml:space="preserve">DEPENSES RE </t>
  </si>
  <si>
    <t>Nature C /Antene</t>
  </si>
  <si>
    <t>BAT BRASS</t>
  </si>
  <si>
    <t>BATCOMM</t>
  </si>
  <si>
    <t>BATT CURIE</t>
  </si>
  <si>
    <t>BAT GAV</t>
  </si>
  <si>
    <t>BAT MICH</t>
  </si>
  <si>
    <t>BAT PREVET</t>
  </si>
  <si>
    <t>BAT SAND</t>
  </si>
  <si>
    <t>BAT CA</t>
  </si>
  <si>
    <t>BAT MDJ</t>
  </si>
  <si>
    <t xml:space="preserve">BAT PP </t>
  </si>
  <si>
    <t xml:space="preserve">CL JP1 </t>
  </si>
  <si>
    <t>PREVET</t>
  </si>
  <si>
    <t xml:space="preserve">RESTSCOL </t>
  </si>
  <si>
    <t>RESTCA</t>
  </si>
  <si>
    <t xml:space="preserve">RESTCOMM </t>
  </si>
  <si>
    <t>RESTGAV</t>
  </si>
  <si>
    <t xml:space="preserve">RESTJP1 </t>
  </si>
  <si>
    <t>RESTMICH</t>
  </si>
  <si>
    <t xml:space="preserve">VIDE </t>
  </si>
  <si>
    <t xml:space="preserve">Fournitures d'entretien </t>
  </si>
  <si>
    <t xml:space="preserve">Contrat de préstation de service </t>
  </si>
  <si>
    <t xml:space="preserve">Service bancaire et asimilés </t>
  </si>
  <si>
    <t xml:space="preserve">Autres biens mobiliers </t>
  </si>
  <si>
    <t>Achat préstation de service</t>
  </si>
  <si>
    <t xml:space="preserve">Fournitures et petits équipement </t>
  </si>
  <si>
    <t>Installation, mat et outillage</t>
  </si>
  <si>
    <t>Autres immob corp</t>
  </si>
  <si>
    <t>Vetemeny de travail</t>
  </si>
  <si>
    <t xml:space="preserve">Maintenace </t>
  </si>
  <si>
    <t xml:space="preserve">Alimentation </t>
  </si>
  <si>
    <t>Frnt non stocké</t>
  </si>
  <si>
    <t>Fournitures</t>
  </si>
  <si>
    <t>Personnel</t>
  </si>
  <si>
    <t xml:space="preserve">Eau et assainissement </t>
  </si>
  <si>
    <t>autre frnt non stockable</t>
  </si>
  <si>
    <t xml:space="preserve">Enérgie elctricité </t>
  </si>
  <si>
    <t xml:space="preserve">Total </t>
  </si>
  <si>
    <t>Nombre de présence</t>
  </si>
  <si>
    <t>Cout par unité d'œuvre</t>
  </si>
  <si>
    <t>DEPENSES SC</t>
  </si>
  <si>
    <t>TOTAL</t>
  </si>
  <si>
    <t>NATURE C /ANTENNE</t>
  </si>
  <si>
    <t>BRASSENS</t>
  </si>
  <si>
    <t>CLGAV</t>
  </si>
  <si>
    <t>CLMICH</t>
  </si>
  <si>
    <t>CURIE</t>
  </si>
  <si>
    <t>SAND</t>
  </si>
  <si>
    <t>RASED</t>
  </si>
  <si>
    <t>VIDE</t>
  </si>
  <si>
    <t>Transport collectif du personnel</t>
  </si>
  <si>
    <t>Organisme public divers</t>
  </si>
  <si>
    <t>Fournitures scolaire</t>
  </si>
  <si>
    <t>Materiel de bureau et mobilier sco</t>
  </si>
  <si>
    <t>DEPENSES CL</t>
  </si>
  <si>
    <t>CLJP1</t>
  </si>
  <si>
    <t>Matériel roulant</t>
  </si>
  <si>
    <t>Divers en pub et relation publiques</t>
  </si>
  <si>
    <t>Recettes extraction ciril (FICHIER REC F 74 et 70)</t>
  </si>
  <si>
    <t>Chapitre comptable / Antenne</t>
  </si>
  <si>
    <t xml:space="preserve">RE </t>
  </si>
  <si>
    <t xml:space="preserve">CT </t>
  </si>
  <si>
    <t xml:space="preserve">SC </t>
  </si>
  <si>
    <t>CA</t>
  </si>
  <si>
    <t>MP</t>
  </si>
  <si>
    <t>Total</t>
  </si>
  <si>
    <t>RESTCOMM</t>
  </si>
  <si>
    <t>RESTSCOLL</t>
  </si>
  <si>
    <t>CL JP1</t>
  </si>
  <si>
    <t>CL MIC</t>
  </si>
  <si>
    <t>CRCOLL</t>
  </si>
  <si>
    <t>LEAP</t>
  </si>
  <si>
    <t xml:space="preserve">RAM </t>
  </si>
  <si>
    <t>Tableau synthetique des recettes par service pole enfance</t>
  </si>
  <si>
    <t xml:space="preserve"> Nature comptable / Service </t>
  </si>
  <si>
    <t>Restauration</t>
  </si>
  <si>
    <t>Acceuil de Loisirs</t>
  </si>
  <si>
    <t>Acceuil périscolaire</t>
  </si>
  <si>
    <t>Etudes surveillés</t>
  </si>
  <si>
    <t>Espace Ados</t>
  </si>
  <si>
    <t>Séjours</t>
  </si>
  <si>
    <t>classe de découverte</t>
  </si>
  <si>
    <t>REST 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</si>
</sst>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  <numFmt numFmtId="166" formatCode="#,##0.00\ &quot;€&quot;"/>
    <numFmt numFmtId="167" formatCode="_-* #,##0.00\ [$֏-42B]_-;\-* #,##0.00\ [$֏-42B]_-;_-* &quot;-&quot;??\ [$֏-42B]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/>
    <xf numFmtId="164" fontId="3" fillId="3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/>
    <xf numFmtId="164" fontId="0" fillId="0" borderId="1" xfId="0" applyNumberFormat="1" applyBorder="1"/>
    <xf numFmtId="0" fontId="0" fillId="4" borderId="1" xfId="0" applyFill="1" applyBorder="1" applyAlignment="1">
      <alignment horizontal="center"/>
    </xf>
    <xf numFmtId="0" fontId="1" fillId="2" borderId="2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2" borderId="1" xfId="0" applyFont="1" applyFill="1" applyBorder="1"/>
    <xf numFmtId="0" fontId="0" fillId="4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4" fontId="0" fillId="0" borderId="0" xfId="0" applyNumberFormat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3" xfId="0" applyFont="1" applyFill="1" applyBorder="1"/>
    <xf numFmtId="164" fontId="0" fillId="0" borderId="3" xfId="0" applyNumberFormat="1" applyBorder="1"/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1" xfId="0" applyFont="1" applyFill="1" applyBorder="1" applyAlignment="1">
      <alignment vertical="center"/>
    </xf>
    <xf numFmtId="0" fontId="0" fillId="7" borderId="1" xfId="0" applyFill="1" applyBorder="1"/>
    <xf numFmtId="0" fontId="3" fillId="5" borderId="11" xfId="0" applyFont="1" applyFill="1" applyBorder="1" applyAlignment="1">
      <alignment horizontal="center" vertical="center"/>
    </xf>
    <xf numFmtId="0" fontId="0" fillId="2" borderId="1" xfId="0" applyFill="1" applyBorder="1"/>
    <xf numFmtId="164" fontId="6" fillId="0" borderId="1" xfId="0" applyNumberFormat="1" applyFont="1" applyBorder="1"/>
    <xf numFmtId="164" fontId="6" fillId="0" borderId="3" xfId="0" applyNumberFormat="1" applyFont="1" applyBorder="1"/>
    <xf numFmtId="164" fontId="6" fillId="5" borderId="5" xfId="0" applyNumberFormat="1" applyFont="1" applyFill="1" applyBorder="1"/>
    <xf numFmtId="0" fontId="3" fillId="5" borderId="7" xfId="0" applyFont="1" applyFill="1" applyBorder="1" applyAlignment="1">
      <alignment horizontal="center"/>
    </xf>
    <xf numFmtId="164" fontId="3" fillId="5" borderId="0" xfId="0" applyNumberFormat="1" applyFont="1" applyFill="1"/>
    <xf numFmtId="164" fontId="3" fillId="5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0" fillId="0" borderId="1" xfId="0" applyNumberFormat="1" applyBorder="1"/>
    <xf numFmtId="165" fontId="0" fillId="5" borderId="1" xfId="0" applyNumberFormat="1" applyFill="1" applyBorder="1"/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/>
    <xf numFmtId="164" fontId="2" fillId="5" borderId="0" xfId="0" applyNumberFormat="1" applyFont="1" applyFill="1"/>
    <xf numFmtId="164" fontId="3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/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66" fontId="3" fillId="7" borderId="1" xfId="0" applyNumberFormat="1" applyFont="1" applyFill="1" applyBorder="1"/>
    <xf numFmtId="44" fontId="0" fillId="7" borderId="1" xfId="0" applyNumberFormat="1" applyFill="1" applyBorder="1"/>
    <xf numFmtId="167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61CD-B68D-423B-BB25-29A2C4719195}">
  <dimension ref="A2:V67"/>
  <sheetViews>
    <sheetView tabSelected="1" topLeftCell="A38" workbookViewId="0">
      <selection activeCell="B50" sqref="B50"/>
    </sheetView>
  </sheetViews>
  <sheetFormatPr baseColWidth="10" defaultColWidth="24.5703125" defaultRowHeight="15" x14ac:dyDescent="0.25"/>
  <cols>
    <col min="1" max="1" width="45.85546875" customWidth="1"/>
    <col min="7" max="7" width="27.140625" customWidth="1"/>
  </cols>
  <sheetData>
    <row r="2" spans="1:22" ht="15.7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1" t="s">
        <v>38</v>
      </c>
    </row>
    <row r="3" spans="1:22" x14ac:dyDescent="0.25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11"/>
    </row>
    <row r="4" spans="1:22" ht="15.75" x14ac:dyDescent="0.25">
      <c r="A4" s="4" t="s">
        <v>21</v>
      </c>
      <c r="B4" s="5">
        <v>60631</v>
      </c>
      <c r="C4" s="6">
        <v>5343.98</v>
      </c>
      <c r="D4" s="6">
        <v>300</v>
      </c>
      <c r="E4" s="6">
        <v>6403.8</v>
      </c>
      <c r="F4" s="6">
        <v>10378.48</v>
      </c>
      <c r="G4" s="6">
        <v>7078.77</v>
      </c>
      <c r="H4" s="6">
        <v>8005.49</v>
      </c>
      <c r="I4" s="6">
        <v>3818.11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2">
        <f>SUM(C4:U4)</f>
        <v>41328.629999999997</v>
      </c>
    </row>
    <row r="5" spans="1:22" ht="15.75" x14ac:dyDescent="0.25">
      <c r="A5" s="4" t="s">
        <v>22</v>
      </c>
      <c r="B5" s="5">
        <v>611</v>
      </c>
      <c r="C5" s="6">
        <v>1403</v>
      </c>
      <c r="D5" s="6"/>
      <c r="E5" s="6">
        <v>10460.84</v>
      </c>
      <c r="F5" s="6"/>
      <c r="G5" s="6">
        <v>5191.38</v>
      </c>
      <c r="H5" s="6">
        <v>6611.82</v>
      </c>
      <c r="I5" s="6">
        <v>7626.65</v>
      </c>
      <c r="J5" s="6">
        <v>4678.6000000000004</v>
      </c>
      <c r="K5" s="6">
        <v>10097.84</v>
      </c>
      <c r="L5" s="6">
        <v>27471.64</v>
      </c>
      <c r="M5" s="6"/>
      <c r="N5" s="6"/>
      <c r="O5" s="6"/>
      <c r="P5" s="6"/>
      <c r="Q5" s="6"/>
      <c r="R5" s="6"/>
      <c r="S5" s="6"/>
      <c r="T5" s="6"/>
      <c r="U5" s="6"/>
      <c r="V5" s="12">
        <f t="shared" ref="V5:V16" si="0">SUM(C5:U5)</f>
        <v>73541.77</v>
      </c>
    </row>
    <row r="6" spans="1:22" ht="15.75" x14ac:dyDescent="0.25">
      <c r="A6" s="4" t="s">
        <v>23</v>
      </c>
      <c r="B6" s="5">
        <v>627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1366.95</v>
      </c>
      <c r="P6" s="6"/>
      <c r="Q6" s="6"/>
      <c r="R6" s="6"/>
      <c r="S6" s="6"/>
      <c r="T6" s="6"/>
      <c r="U6" s="6"/>
      <c r="V6" s="12">
        <f t="shared" si="0"/>
        <v>1366.95</v>
      </c>
    </row>
    <row r="7" spans="1:22" ht="15.75" x14ac:dyDescent="0.25">
      <c r="A7" s="4" t="s">
        <v>24</v>
      </c>
      <c r="B7" s="5">
        <v>61558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206.14</v>
      </c>
      <c r="O7" s="6"/>
      <c r="P7" s="6"/>
      <c r="Q7" s="6"/>
      <c r="R7" s="6">
        <v>281.39999999999998</v>
      </c>
      <c r="S7" s="6"/>
      <c r="T7" s="6">
        <v>242.5</v>
      </c>
      <c r="U7" s="6"/>
      <c r="V7" s="12">
        <f t="shared" si="0"/>
        <v>730.04</v>
      </c>
    </row>
    <row r="8" spans="1:22" ht="15.75" x14ac:dyDescent="0.25">
      <c r="A8" s="4" t="s">
        <v>25</v>
      </c>
      <c r="B8" s="5">
        <v>6042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10434.81</v>
      </c>
      <c r="Q8" s="6">
        <v>4839.1000000000004</v>
      </c>
      <c r="R8" s="6">
        <v>80450.009999999995</v>
      </c>
      <c r="S8" s="6"/>
      <c r="T8" s="6">
        <v>85746.84</v>
      </c>
      <c r="U8" s="6">
        <v>591759.97</v>
      </c>
      <c r="V8" s="12">
        <f t="shared" si="0"/>
        <v>773230.73</v>
      </c>
    </row>
    <row r="9" spans="1:22" ht="15.75" x14ac:dyDescent="0.25">
      <c r="A9" s="4" t="s">
        <v>26</v>
      </c>
      <c r="B9" s="5">
        <v>60632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1253.22</v>
      </c>
      <c r="V9" s="12">
        <f t="shared" si="0"/>
        <v>1253.22</v>
      </c>
    </row>
    <row r="10" spans="1:22" ht="15.75" x14ac:dyDescent="0.25">
      <c r="A10" s="4" t="s">
        <v>27</v>
      </c>
      <c r="B10" s="5">
        <v>21541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25155.72</v>
      </c>
      <c r="S10" s="6">
        <v>5810.47</v>
      </c>
      <c r="T10" s="6">
        <v>10175.01</v>
      </c>
      <c r="U10" s="6"/>
      <c r="V10" s="12">
        <f t="shared" si="0"/>
        <v>41141.200000000004</v>
      </c>
    </row>
    <row r="11" spans="1:22" ht="15.75" x14ac:dyDescent="0.25">
      <c r="A11" s="4" t="s">
        <v>28</v>
      </c>
      <c r="B11" s="5">
        <v>2188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2155.9899999999998</v>
      </c>
      <c r="V11" s="12">
        <f t="shared" si="0"/>
        <v>2155.9899999999998</v>
      </c>
    </row>
    <row r="12" spans="1:22" ht="15.75" x14ac:dyDescent="0.25">
      <c r="A12" s="4" t="s">
        <v>29</v>
      </c>
      <c r="B12" s="5">
        <v>60636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2516.08</v>
      </c>
      <c r="V12" s="12">
        <f t="shared" si="0"/>
        <v>2516.08</v>
      </c>
    </row>
    <row r="13" spans="1:22" ht="15.75" x14ac:dyDescent="0.25">
      <c r="A13" s="4" t="s">
        <v>30</v>
      </c>
      <c r="B13" s="5">
        <v>6156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16700.509999999998</v>
      </c>
      <c r="V13" s="12">
        <f t="shared" si="0"/>
        <v>16700.509999999998</v>
      </c>
    </row>
    <row r="14" spans="1:22" ht="15.75" x14ac:dyDescent="0.25">
      <c r="A14" s="4" t="s">
        <v>31</v>
      </c>
      <c r="B14" s="5">
        <v>60623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472.13</v>
      </c>
      <c r="N14" s="6"/>
      <c r="O14" s="6"/>
      <c r="P14" s="6"/>
      <c r="Q14" s="6">
        <v>337.28</v>
      </c>
      <c r="R14" s="6">
        <v>463.73</v>
      </c>
      <c r="S14" s="6"/>
      <c r="T14" s="6">
        <v>650.9</v>
      </c>
      <c r="U14" s="6">
        <v>11114.63</v>
      </c>
      <c r="V14" s="12">
        <f t="shared" si="0"/>
        <v>13038.669999999998</v>
      </c>
    </row>
    <row r="15" spans="1:22" ht="15.75" x14ac:dyDescent="0.25">
      <c r="A15" s="4" t="s">
        <v>32</v>
      </c>
      <c r="B15" s="5">
        <v>60628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777.85</v>
      </c>
      <c r="V15" s="12">
        <f t="shared" si="0"/>
        <v>777.85</v>
      </c>
    </row>
    <row r="16" spans="1:22" ht="15.75" x14ac:dyDescent="0.25">
      <c r="A16" s="7" t="s">
        <v>33</v>
      </c>
      <c r="B16" s="8">
        <v>6064</v>
      </c>
      <c r="C16" s="6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>
        <v>9511.68</v>
      </c>
      <c r="Q16" s="9">
        <v>4535.95</v>
      </c>
      <c r="R16" s="9">
        <v>174126.06</v>
      </c>
      <c r="S16" s="9"/>
      <c r="T16" s="9"/>
      <c r="U16" s="9">
        <v>555834.84</v>
      </c>
      <c r="V16" s="12">
        <f t="shared" si="0"/>
        <v>744008.53</v>
      </c>
    </row>
    <row r="17" spans="1:22" ht="15.75" x14ac:dyDescent="0.25">
      <c r="A17" s="7" t="s">
        <v>34</v>
      </c>
      <c r="B17" s="5">
        <v>641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>
        <v>518185.07</v>
      </c>
      <c r="S17" s="10">
        <v>97360.35</v>
      </c>
      <c r="T17" s="9">
        <v>435474.22</v>
      </c>
      <c r="U17" s="9"/>
      <c r="V17" s="64">
        <v>1051019.6399999999</v>
      </c>
    </row>
    <row r="18" spans="1:22" ht="15.75" x14ac:dyDescent="0.25">
      <c r="A18" s="7" t="s">
        <v>35</v>
      </c>
      <c r="B18" s="5">
        <v>60611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2">
        <v>8159</v>
      </c>
    </row>
    <row r="19" spans="1:22" ht="15.75" x14ac:dyDescent="0.25">
      <c r="A19" s="7" t="s">
        <v>36</v>
      </c>
      <c r="B19" s="5">
        <v>60618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2">
        <v>8159</v>
      </c>
    </row>
    <row r="20" spans="1:22" ht="15.75" x14ac:dyDescent="0.25">
      <c r="A20" s="7" t="s">
        <v>37</v>
      </c>
      <c r="B20" s="5">
        <v>60612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2">
        <v>30563.49</v>
      </c>
    </row>
    <row r="21" spans="1:22" ht="15.75" x14ac:dyDescent="0.25">
      <c r="A21" s="11" t="s">
        <v>38</v>
      </c>
      <c r="B21" s="11"/>
      <c r="C21" s="12">
        <f t="shared" ref="C21:U21" si="1">SUM(C4:C16)</f>
        <v>6746.98</v>
      </c>
      <c r="D21" s="12">
        <f t="shared" si="1"/>
        <v>300</v>
      </c>
      <c r="E21" s="12">
        <f t="shared" si="1"/>
        <v>16864.64</v>
      </c>
      <c r="F21" s="12">
        <f t="shared" si="1"/>
        <v>10378.48</v>
      </c>
      <c r="G21" s="12">
        <f t="shared" si="1"/>
        <v>12270.150000000001</v>
      </c>
      <c r="H21" s="12">
        <f t="shared" si="1"/>
        <v>14617.31</v>
      </c>
      <c r="I21" s="12">
        <f t="shared" si="1"/>
        <v>11444.76</v>
      </c>
      <c r="J21" s="12">
        <f t="shared" si="1"/>
        <v>4678.6000000000004</v>
      </c>
      <c r="K21" s="12">
        <f t="shared" si="1"/>
        <v>10097.84</v>
      </c>
      <c r="L21" s="12">
        <f t="shared" si="1"/>
        <v>27471.64</v>
      </c>
      <c r="M21" s="12">
        <f t="shared" si="1"/>
        <v>472.13</v>
      </c>
      <c r="N21" s="12">
        <f t="shared" si="1"/>
        <v>206.14</v>
      </c>
      <c r="O21" s="12">
        <f t="shared" si="1"/>
        <v>1366.95</v>
      </c>
      <c r="P21" s="12">
        <f t="shared" si="1"/>
        <v>19946.489999999998</v>
      </c>
      <c r="Q21" s="12">
        <f t="shared" si="1"/>
        <v>9712.33</v>
      </c>
      <c r="R21" s="12">
        <f t="shared" si="1"/>
        <v>280476.92</v>
      </c>
      <c r="S21" s="12">
        <f t="shared" si="1"/>
        <v>5810.47</v>
      </c>
      <c r="T21" s="12">
        <f t="shared" si="1"/>
        <v>96815.249999999985</v>
      </c>
      <c r="U21" s="12">
        <f t="shared" si="1"/>
        <v>1182113.0899999999</v>
      </c>
      <c r="V21" s="12">
        <f>SUM(V4:V20)</f>
        <v>2809691.3</v>
      </c>
    </row>
    <row r="22" spans="1:22" x14ac:dyDescent="0.25">
      <c r="A22" s="13" t="s">
        <v>39</v>
      </c>
      <c r="B22" s="13"/>
      <c r="C22" s="14">
        <f>109926+9782+10312+1017</f>
        <v>131037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6"/>
      <c r="V22" s="65">
        <f>C22</f>
        <v>131037</v>
      </c>
    </row>
    <row r="23" spans="1:22" x14ac:dyDescent="0.25">
      <c r="A23" s="17" t="s">
        <v>40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75">
        <f>V21/V22</f>
        <v>21.441969062173278</v>
      </c>
    </row>
    <row r="28" spans="1:22" ht="15.75" x14ac:dyDescent="0.25">
      <c r="B28" s="19" t="s">
        <v>41</v>
      </c>
      <c r="C28" s="19"/>
      <c r="D28" s="19"/>
      <c r="E28" s="19"/>
      <c r="F28" s="19"/>
      <c r="G28" s="19"/>
      <c r="H28" s="19"/>
      <c r="I28" s="19"/>
      <c r="J28" s="19"/>
      <c r="K28" s="20" t="s">
        <v>42</v>
      </c>
    </row>
    <row r="29" spans="1:22" x14ac:dyDescent="0.25">
      <c r="B29" s="21" t="s">
        <v>43</v>
      </c>
      <c r="C29" s="21" t="s">
        <v>44</v>
      </c>
      <c r="D29" s="21" t="s">
        <v>45</v>
      </c>
      <c r="E29" s="21" t="s">
        <v>46</v>
      </c>
      <c r="F29" s="21" t="s">
        <v>47</v>
      </c>
      <c r="G29" s="21" t="s">
        <v>13</v>
      </c>
      <c r="H29" s="21" t="s">
        <v>48</v>
      </c>
      <c r="I29" s="21" t="s">
        <v>49</v>
      </c>
      <c r="J29" s="21" t="s">
        <v>50</v>
      </c>
      <c r="K29" s="20"/>
    </row>
    <row r="30" spans="1:22" ht="15.75" x14ac:dyDescent="0.25">
      <c r="A30" s="4" t="s">
        <v>51</v>
      </c>
      <c r="B30" s="22">
        <v>6247</v>
      </c>
      <c r="C30" s="6">
        <v>9335.7900000000009</v>
      </c>
      <c r="D30" s="6"/>
      <c r="E30" s="6"/>
      <c r="F30" s="6">
        <v>7000.31</v>
      </c>
      <c r="G30" s="6">
        <v>5452.99</v>
      </c>
      <c r="H30" s="6">
        <v>4959</v>
      </c>
      <c r="I30" s="6"/>
      <c r="J30" s="6"/>
      <c r="K30" s="12">
        <f>SUM(C30:J30)</f>
        <v>26748.090000000004</v>
      </c>
    </row>
    <row r="31" spans="1:22" ht="15.75" x14ac:dyDescent="0.25">
      <c r="A31" s="4" t="s">
        <v>24</v>
      </c>
      <c r="B31" s="22">
        <v>61558</v>
      </c>
      <c r="C31" s="6"/>
      <c r="D31" s="6">
        <v>2081.4</v>
      </c>
      <c r="E31" s="6">
        <v>3255</v>
      </c>
      <c r="F31" s="6"/>
      <c r="G31" s="6">
        <v>5400</v>
      </c>
      <c r="H31" s="6">
        <v>4897.6000000000004</v>
      </c>
      <c r="I31" s="6"/>
      <c r="J31" s="6"/>
      <c r="K31" s="12">
        <f t="shared" ref="K31:K41" si="2">SUM(C31:J31)</f>
        <v>15634</v>
      </c>
    </row>
    <row r="32" spans="1:22" ht="15.75" x14ac:dyDescent="0.25">
      <c r="A32" s="23" t="s">
        <v>52</v>
      </c>
      <c r="B32" s="22">
        <v>657382</v>
      </c>
      <c r="C32" s="6"/>
      <c r="D32" s="6"/>
      <c r="E32" s="6"/>
      <c r="F32" s="6"/>
      <c r="G32" s="6"/>
      <c r="H32" s="6"/>
      <c r="I32" s="6"/>
      <c r="J32" s="6">
        <v>8419.94</v>
      </c>
      <c r="K32" s="12">
        <f t="shared" si="2"/>
        <v>8419.94</v>
      </c>
    </row>
    <row r="33" spans="1:20" ht="15.75" x14ac:dyDescent="0.25">
      <c r="A33" s="23" t="s">
        <v>53</v>
      </c>
      <c r="B33" s="22">
        <v>6067</v>
      </c>
      <c r="C33" s="6">
        <v>14043.05</v>
      </c>
      <c r="D33" s="6"/>
      <c r="E33" s="6"/>
      <c r="F33" s="6">
        <v>10495.83</v>
      </c>
      <c r="G33" s="6">
        <v>8215.5300000000007</v>
      </c>
      <c r="H33" s="6">
        <v>6523.45</v>
      </c>
      <c r="I33" s="6">
        <v>856.07</v>
      </c>
      <c r="J33" s="6">
        <v>3777.54</v>
      </c>
      <c r="K33" s="12">
        <f t="shared" si="2"/>
        <v>43911.469999999994</v>
      </c>
    </row>
    <row r="34" spans="1:20" ht="15.75" x14ac:dyDescent="0.25">
      <c r="A34" s="4" t="s">
        <v>25</v>
      </c>
      <c r="B34" s="22">
        <v>6042</v>
      </c>
      <c r="C34" s="6">
        <v>38872.699999999997</v>
      </c>
      <c r="D34" s="6"/>
      <c r="E34" s="6"/>
      <c r="F34" s="6">
        <v>35615.300000000003</v>
      </c>
      <c r="G34" s="6">
        <v>4055.5</v>
      </c>
      <c r="H34" s="6">
        <v>3079</v>
      </c>
      <c r="I34" s="6"/>
      <c r="J34" s="6"/>
      <c r="K34" s="12">
        <f t="shared" si="2"/>
        <v>81622.5</v>
      </c>
    </row>
    <row r="35" spans="1:20" ht="15.75" x14ac:dyDescent="0.25">
      <c r="A35" s="4" t="s">
        <v>31</v>
      </c>
      <c r="B35" s="22">
        <v>60623</v>
      </c>
      <c r="C35" s="6"/>
      <c r="D35" s="6"/>
      <c r="E35" s="6"/>
      <c r="F35" s="6"/>
      <c r="G35" s="6"/>
      <c r="H35" s="6"/>
      <c r="I35" s="6"/>
      <c r="J35" s="6">
        <v>1660.37</v>
      </c>
      <c r="K35" s="12">
        <f t="shared" si="2"/>
        <v>1660.37</v>
      </c>
    </row>
    <row r="36" spans="1:20" ht="15.75" x14ac:dyDescent="0.25">
      <c r="A36" s="24" t="s">
        <v>54</v>
      </c>
      <c r="B36" s="22">
        <v>21841</v>
      </c>
      <c r="C36" s="6">
        <v>1198.58</v>
      </c>
      <c r="D36" s="6"/>
      <c r="E36" s="6"/>
      <c r="F36" s="6">
        <v>1199.32</v>
      </c>
      <c r="G36" s="6">
        <v>1100.83</v>
      </c>
      <c r="H36" s="6">
        <v>1199.22</v>
      </c>
      <c r="I36" s="6">
        <v>325.60000000000002</v>
      </c>
      <c r="J36" s="6">
        <v>11700.18</v>
      </c>
      <c r="K36" s="12">
        <f t="shared" si="2"/>
        <v>16723.73</v>
      </c>
      <c r="T36" s="25"/>
    </row>
    <row r="37" spans="1:20" ht="15.75" x14ac:dyDescent="0.25">
      <c r="A37" s="4" t="s">
        <v>30</v>
      </c>
      <c r="B37" s="22">
        <v>6156</v>
      </c>
      <c r="C37" s="6">
        <v>3122.2</v>
      </c>
      <c r="D37" s="6"/>
      <c r="E37" s="6"/>
      <c r="F37" s="6"/>
      <c r="G37" s="6">
        <v>369.85</v>
      </c>
      <c r="H37" s="6">
        <v>968.32</v>
      </c>
      <c r="I37" s="6"/>
      <c r="J37" s="6"/>
      <c r="K37" s="12">
        <f t="shared" si="2"/>
        <v>4460.37</v>
      </c>
    </row>
    <row r="38" spans="1:20" ht="15.75" x14ac:dyDescent="0.25">
      <c r="A38" s="4" t="s">
        <v>32</v>
      </c>
      <c r="B38" s="22">
        <v>60628</v>
      </c>
      <c r="C38" s="6"/>
      <c r="D38" s="6"/>
      <c r="E38" s="6"/>
      <c r="F38" s="6">
        <v>1603.76</v>
      </c>
      <c r="G38" s="6">
        <v>149.36000000000001</v>
      </c>
      <c r="H38" s="6">
        <v>147.44999999999999</v>
      </c>
      <c r="I38" s="6"/>
      <c r="J38" s="6">
        <v>90.75</v>
      </c>
      <c r="K38" s="12">
        <f t="shared" si="2"/>
        <v>1991.32</v>
      </c>
    </row>
    <row r="39" spans="1:20" ht="15.75" x14ac:dyDescent="0.25">
      <c r="A39" s="7" t="s">
        <v>33</v>
      </c>
      <c r="B39" s="22">
        <v>6064</v>
      </c>
      <c r="C39" s="6"/>
      <c r="D39" s="6"/>
      <c r="E39" s="6"/>
      <c r="F39" s="6"/>
      <c r="G39" s="6"/>
      <c r="H39" s="6"/>
      <c r="I39" s="6"/>
      <c r="J39" s="6">
        <v>626.97</v>
      </c>
      <c r="K39" s="12">
        <f t="shared" si="2"/>
        <v>626.97</v>
      </c>
    </row>
    <row r="40" spans="1:20" ht="15.75" x14ac:dyDescent="0.25">
      <c r="A40" s="4" t="s">
        <v>26</v>
      </c>
      <c r="B40" s="22">
        <v>60632</v>
      </c>
      <c r="C40" s="6"/>
      <c r="D40" s="6"/>
      <c r="E40" s="6"/>
      <c r="F40" s="6"/>
      <c r="G40" s="6"/>
      <c r="H40" s="6"/>
      <c r="I40" s="6"/>
      <c r="J40" s="6">
        <v>245.89</v>
      </c>
      <c r="K40" s="12">
        <f t="shared" si="2"/>
        <v>245.89</v>
      </c>
    </row>
    <row r="41" spans="1:20" ht="15.75" x14ac:dyDescent="0.25">
      <c r="A41" s="4" t="s">
        <v>28</v>
      </c>
      <c r="B41" s="22">
        <v>2188</v>
      </c>
      <c r="C41" s="6"/>
      <c r="D41" s="6"/>
      <c r="E41" s="6"/>
      <c r="F41" s="6"/>
      <c r="G41" s="6"/>
      <c r="H41" s="6">
        <v>683.71</v>
      </c>
      <c r="I41" s="6"/>
      <c r="J41" s="6">
        <v>1779.04</v>
      </c>
      <c r="K41" s="12">
        <f t="shared" si="2"/>
        <v>2462.75</v>
      </c>
    </row>
    <row r="42" spans="1:20" ht="15.75" x14ac:dyDescent="0.25">
      <c r="A42" s="7" t="s">
        <v>34</v>
      </c>
      <c r="B42" s="5">
        <v>641</v>
      </c>
      <c r="C42" s="9"/>
      <c r="D42" s="9"/>
      <c r="E42" s="9"/>
      <c r="F42" s="9"/>
      <c r="G42" s="10">
        <f>171094.89+157998.9</f>
        <v>329093.79000000004</v>
      </c>
      <c r="H42" s="9">
        <v>268883.59000000003</v>
      </c>
      <c r="I42" s="9"/>
      <c r="J42" s="9">
        <v>58598.14</v>
      </c>
      <c r="K42" s="12">
        <f>SUM(C42:J42)</f>
        <v>656575.52000000014</v>
      </c>
    </row>
    <row r="43" spans="1:20" ht="15.75" x14ac:dyDescent="0.25">
      <c r="A43" s="7" t="s">
        <v>35</v>
      </c>
      <c r="B43" s="5">
        <v>60611</v>
      </c>
      <c r="C43" s="9"/>
      <c r="D43" s="9"/>
      <c r="E43" s="9"/>
      <c r="F43" s="9"/>
      <c r="G43" s="9"/>
      <c r="H43" s="9"/>
      <c r="I43" s="9"/>
      <c r="J43" s="9"/>
      <c r="K43" s="12">
        <v>18594.03</v>
      </c>
    </row>
    <row r="44" spans="1:20" ht="15.75" x14ac:dyDescent="0.25">
      <c r="A44" s="7" t="s">
        <v>36</v>
      </c>
      <c r="B44" s="5">
        <v>60618</v>
      </c>
      <c r="C44" s="9"/>
      <c r="D44" s="9"/>
      <c r="E44" s="9"/>
      <c r="F44" s="9"/>
      <c r="G44" s="9"/>
      <c r="H44" s="9"/>
      <c r="I44" s="9"/>
      <c r="J44" s="9"/>
      <c r="K44" s="12">
        <v>16186.5</v>
      </c>
    </row>
    <row r="45" spans="1:20" ht="15.75" x14ac:dyDescent="0.25">
      <c r="A45" s="7" t="s">
        <v>37</v>
      </c>
      <c r="B45" s="5">
        <v>60612</v>
      </c>
      <c r="C45" s="9"/>
      <c r="D45" s="9"/>
      <c r="E45" s="9"/>
      <c r="F45" s="9"/>
      <c r="G45" s="9"/>
      <c r="H45" s="9"/>
      <c r="I45" s="9"/>
      <c r="J45" s="9"/>
      <c r="K45" s="12">
        <v>20288.400000000001</v>
      </c>
    </row>
    <row r="46" spans="1:20" ht="15.75" x14ac:dyDescent="0.25">
      <c r="A46" s="26" t="s">
        <v>42</v>
      </c>
      <c r="B46" s="27"/>
      <c r="C46" s="12">
        <f>SUM(C30:C45)</f>
        <v>66572.319999999992</v>
      </c>
      <c r="D46" s="12">
        <f t="shared" ref="D46:J46" si="3">SUM(D30:D45)</f>
        <v>2081.4</v>
      </c>
      <c r="E46" s="12">
        <f t="shared" si="3"/>
        <v>3255</v>
      </c>
      <c r="F46" s="12">
        <f t="shared" si="3"/>
        <v>55914.520000000004</v>
      </c>
      <c r="G46" s="12">
        <f t="shared" si="3"/>
        <v>353837.85000000003</v>
      </c>
      <c r="H46" s="12">
        <f t="shared" si="3"/>
        <v>291341.34000000003</v>
      </c>
      <c r="I46" s="12">
        <f t="shared" si="3"/>
        <v>1181.67</v>
      </c>
      <c r="J46" s="12">
        <f t="shared" si="3"/>
        <v>86898.82</v>
      </c>
      <c r="K46" s="12">
        <f>SUM(K30:K45)</f>
        <v>916151.85000000021</v>
      </c>
    </row>
    <row r="47" spans="1:20" x14ac:dyDescent="0.25">
      <c r="A47" s="13" t="s">
        <v>39</v>
      </c>
      <c r="B47" s="13"/>
      <c r="C47" s="66"/>
      <c r="D47" s="66"/>
      <c r="E47" s="66"/>
      <c r="F47" s="66"/>
      <c r="G47" s="66"/>
      <c r="H47" s="66"/>
      <c r="I47" s="66"/>
      <c r="J47" s="66"/>
      <c r="K47" s="68">
        <f>2576+4225+11732+13113+50+87</f>
        <v>31783</v>
      </c>
    </row>
    <row r="48" spans="1:20" x14ac:dyDescent="0.25">
      <c r="A48" s="17" t="s">
        <v>40</v>
      </c>
      <c r="B48" s="17"/>
      <c r="C48" s="67"/>
      <c r="D48" s="67"/>
      <c r="E48" s="67"/>
      <c r="F48" s="67"/>
      <c r="G48" s="67"/>
      <c r="H48" s="67"/>
      <c r="I48" s="67"/>
      <c r="J48" s="67"/>
      <c r="K48" s="76">
        <f>K46/K47</f>
        <v>28.825216310606304</v>
      </c>
    </row>
    <row r="51" spans="1:7" ht="15.75" x14ac:dyDescent="0.25">
      <c r="B51" s="19" t="s">
        <v>55</v>
      </c>
      <c r="C51" s="1"/>
      <c r="D51" s="1"/>
      <c r="E51" s="1"/>
      <c r="F51" s="28"/>
      <c r="G51" s="11" t="s">
        <v>42</v>
      </c>
    </row>
    <row r="52" spans="1:7" ht="15" customHeight="1" x14ac:dyDescent="0.25">
      <c r="B52" s="21" t="s">
        <v>43</v>
      </c>
      <c r="C52" s="21" t="s">
        <v>56</v>
      </c>
      <c r="D52" s="21" t="s">
        <v>45</v>
      </c>
      <c r="E52" s="21" t="s">
        <v>46</v>
      </c>
      <c r="F52" s="29" t="s">
        <v>50</v>
      </c>
      <c r="G52" s="11"/>
    </row>
    <row r="53" spans="1:7" ht="15.75" x14ac:dyDescent="0.25">
      <c r="A53" s="4" t="s">
        <v>28</v>
      </c>
      <c r="B53" s="5">
        <v>2188</v>
      </c>
      <c r="C53" s="6"/>
      <c r="D53" s="6"/>
      <c r="E53" s="6">
        <v>3236.51</v>
      </c>
      <c r="F53" s="30"/>
      <c r="G53" s="12">
        <f>SUM(C53:F53)</f>
        <v>3236.51</v>
      </c>
    </row>
    <row r="54" spans="1:7" ht="15.75" x14ac:dyDescent="0.25">
      <c r="A54" s="4" t="s">
        <v>25</v>
      </c>
      <c r="B54" s="5">
        <v>6042</v>
      </c>
      <c r="C54" s="6"/>
      <c r="D54" s="6">
        <v>7655.2</v>
      </c>
      <c r="E54" s="6">
        <v>11012.33</v>
      </c>
      <c r="F54" s="30">
        <v>21765.91</v>
      </c>
      <c r="G54" s="12">
        <f t="shared" ref="G54:G60" si="4">SUM(C54:F54)</f>
        <v>40433.440000000002</v>
      </c>
    </row>
    <row r="55" spans="1:7" ht="15.75" x14ac:dyDescent="0.25">
      <c r="A55" s="4" t="s">
        <v>31</v>
      </c>
      <c r="B55" s="5">
        <v>60623</v>
      </c>
      <c r="C55" s="6">
        <v>2459.98</v>
      </c>
      <c r="D55" s="6">
        <v>7014.46</v>
      </c>
      <c r="E55" s="6">
        <v>6254.03</v>
      </c>
      <c r="F55" s="30">
        <v>175.55</v>
      </c>
      <c r="G55" s="12">
        <f t="shared" si="4"/>
        <v>15904.02</v>
      </c>
    </row>
    <row r="56" spans="1:7" ht="15.75" x14ac:dyDescent="0.25">
      <c r="A56" s="4" t="s">
        <v>32</v>
      </c>
      <c r="B56" s="5">
        <v>60628</v>
      </c>
      <c r="C56" s="6">
        <v>99.99</v>
      </c>
      <c r="D56" s="6">
        <v>537.33000000000004</v>
      </c>
      <c r="E56" s="6">
        <v>499.73</v>
      </c>
      <c r="F56" s="30"/>
      <c r="G56" s="12">
        <f t="shared" si="4"/>
        <v>1137.0500000000002</v>
      </c>
    </row>
    <row r="57" spans="1:7" ht="15.75" x14ac:dyDescent="0.25">
      <c r="A57" s="4" t="s">
        <v>26</v>
      </c>
      <c r="B57" s="5">
        <v>60632</v>
      </c>
      <c r="C57" s="6">
        <v>2141.77</v>
      </c>
      <c r="D57" s="6">
        <v>8461.61</v>
      </c>
      <c r="E57" s="6">
        <v>8999.84</v>
      </c>
      <c r="F57" s="30"/>
      <c r="G57" s="12">
        <f t="shared" si="4"/>
        <v>19603.22</v>
      </c>
    </row>
    <row r="58" spans="1:7" ht="15.75" x14ac:dyDescent="0.25">
      <c r="A58" s="4" t="s">
        <v>57</v>
      </c>
      <c r="B58" s="5">
        <v>61351</v>
      </c>
      <c r="C58" s="6"/>
      <c r="D58" s="6"/>
      <c r="E58" s="6"/>
      <c r="F58" s="30">
        <v>3903.82</v>
      </c>
      <c r="G58" s="12">
        <f t="shared" si="4"/>
        <v>3903.82</v>
      </c>
    </row>
    <row r="59" spans="1:7" ht="15.75" x14ac:dyDescent="0.25">
      <c r="A59" s="4" t="s">
        <v>58</v>
      </c>
      <c r="B59" s="5">
        <v>6238</v>
      </c>
      <c r="C59" s="6">
        <v>650</v>
      </c>
      <c r="D59" s="6">
        <v>1109.2</v>
      </c>
      <c r="E59" s="6">
        <v>3250.85</v>
      </c>
      <c r="F59" s="30">
        <v>2087.21</v>
      </c>
      <c r="G59" s="12">
        <f t="shared" si="4"/>
        <v>7097.26</v>
      </c>
    </row>
    <row r="60" spans="1:7" ht="15.75" x14ac:dyDescent="0.25">
      <c r="A60" s="4" t="s">
        <v>51</v>
      </c>
      <c r="B60" s="5">
        <v>6247</v>
      </c>
      <c r="C60" s="6"/>
      <c r="D60" s="6">
        <v>9211.6</v>
      </c>
      <c r="E60" s="6">
        <v>7327.41</v>
      </c>
      <c r="F60" s="30">
        <v>257</v>
      </c>
      <c r="G60" s="12">
        <f t="shared" si="4"/>
        <v>16796.010000000002</v>
      </c>
    </row>
    <row r="61" spans="1:7" ht="15.75" x14ac:dyDescent="0.25">
      <c r="A61" s="7" t="s">
        <v>34</v>
      </c>
      <c r="B61" s="5">
        <v>641</v>
      </c>
      <c r="C61" s="9"/>
      <c r="D61" s="9"/>
      <c r="E61" s="9"/>
      <c r="F61" s="9"/>
      <c r="G61" s="12">
        <v>1548644.26</v>
      </c>
    </row>
    <row r="62" spans="1:7" ht="15.75" x14ac:dyDescent="0.25">
      <c r="A62" s="7" t="s">
        <v>35</v>
      </c>
      <c r="B62" s="5">
        <v>60611</v>
      </c>
      <c r="C62" s="9"/>
      <c r="D62" s="9"/>
      <c r="E62" s="9"/>
      <c r="F62" s="9"/>
      <c r="G62" s="12">
        <v>30101.25</v>
      </c>
    </row>
    <row r="63" spans="1:7" ht="15.75" x14ac:dyDescent="0.25">
      <c r="A63" s="7" t="s">
        <v>36</v>
      </c>
      <c r="B63" s="5">
        <v>60618</v>
      </c>
      <c r="C63" s="9"/>
      <c r="D63" s="9"/>
      <c r="E63" s="9"/>
      <c r="F63" s="9"/>
      <c r="G63" s="12">
        <v>426.6</v>
      </c>
    </row>
    <row r="64" spans="1:7" ht="15.75" x14ac:dyDescent="0.25">
      <c r="A64" s="7" t="s">
        <v>37</v>
      </c>
      <c r="B64" s="5">
        <v>60612</v>
      </c>
      <c r="C64" s="9"/>
      <c r="D64" s="9"/>
      <c r="E64" s="9"/>
      <c r="F64" s="9"/>
      <c r="G64" s="12">
        <v>27803.21</v>
      </c>
    </row>
    <row r="65" spans="1:7" ht="15.75" x14ac:dyDescent="0.25">
      <c r="A65" s="31" t="s">
        <v>42</v>
      </c>
      <c r="B65" s="32"/>
      <c r="C65" s="12">
        <f>SUM(C53:C64)</f>
        <v>5351.74</v>
      </c>
      <c r="D65" s="12">
        <f t="shared" ref="D65:F65" si="5">SUM(D53:D64)</f>
        <v>33989.4</v>
      </c>
      <c r="E65" s="12">
        <f t="shared" si="5"/>
        <v>40580.699999999997</v>
      </c>
      <c r="F65" s="12">
        <f t="shared" si="5"/>
        <v>28189.489999999998</v>
      </c>
      <c r="G65" s="12">
        <f>SUM(G53:G64)</f>
        <v>1715086.6500000001</v>
      </c>
    </row>
    <row r="66" spans="1:7" x14ac:dyDescent="0.25">
      <c r="A66" s="13" t="s">
        <v>39</v>
      </c>
      <c r="B66" s="13"/>
      <c r="C66" s="69"/>
      <c r="D66" s="70"/>
      <c r="E66" s="70"/>
      <c r="F66" s="71"/>
      <c r="G66" s="68">
        <f>4007+3176+2515+2497+3478+1902+1462+82</f>
        <v>19119</v>
      </c>
    </row>
    <row r="67" spans="1:7" x14ac:dyDescent="0.25">
      <c r="A67" s="17" t="s">
        <v>40</v>
      </c>
      <c r="B67" s="17"/>
      <c r="C67" s="72"/>
      <c r="D67" s="73"/>
      <c r="E67" s="73"/>
      <c r="F67" s="74"/>
      <c r="G67" s="77">
        <f>G65/G66</f>
        <v>89.705876353365767</v>
      </c>
    </row>
  </sheetData>
  <mergeCells count="20">
    <mergeCell ref="A66:B66"/>
    <mergeCell ref="A67:B67"/>
    <mergeCell ref="C66:F66"/>
    <mergeCell ref="C67:F67"/>
    <mergeCell ref="A46:B46"/>
    <mergeCell ref="B51:F51"/>
    <mergeCell ref="G51:G52"/>
    <mergeCell ref="A65:B65"/>
    <mergeCell ref="V2:V3"/>
    <mergeCell ref="A47:B47"/>
    <mergeCell ref="A48:B48"/>
    <mergeCell ref="C47:J47"/>
    <mergeCell ref="C48:J48"/>
    <mergeCell ref="B2:U2"/>
    <mergeCell ref="A21:B21"/>
    <mergeCell ref="A22:B22"/>
    <mergeCell ref="C22:U22"/>
    <mergeCell ref="A23:B23"/>
    <mergeCell ref="B28:J28"/>
    <mergeCell ref="K28:K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42C1-CBC5-4676-B4F2-B372B1EDC30D}">
  <dimension ref="A5:M20"/>
  <sheetViews>
    <sheetView workbookViewId="0">
      <selection activeCell="E13" sqref="E13"/>
    </sheetView>
  </sheetViews>
  <sheetFormatPr baseColWidth="10" defaultColWidth="25" defaultRowHeight="15" x14ac:dyDescent="0.25"/>
  <sheetData>
    <row r="5" spans="1:13" x14ac:dyDescent="0.25">
      <c r="A5" s="33" t="s">
        <v>59</v>
      </c>
      <c r="B5" s="34"/>
      <c r="C5" s="34"/>
      <c r="D5" s="34"/>
      <c r="E5" s="34"/>
      <c r="F5" s="34"/>
      <c r="G5" s="35"/>
      <c r="H5" s="35"/>
      <c r="I5" s="35"/>
      <c r="J5" s="35"/>
      <c r="K5" s="36"/>
    </row>
    <row r="6" spans="1:13" x14ac:dyDescent="0.25">
      <c r="A6" s="37" t="s">
        <v>60</v>
      </c>
      <c r="B6" s="38" t="s">
        <v>61</v>
      </c>
      <c r="C6" s="38"/>
      <c r="D6" s="38" t="s">
        <v>62</v>
      </c>
      <c r="E6" s="38"/>
      <c r="F6" s="39"/>
      <c r="G6" s="40" t="s">
        <v>63</v>
      </c>
      <c r="H6" s="40" t="s">
        <v>64</v>
      </c>
      <c r="I6" s="40" t="s">
        <v>65</v>
      </c>
      <c r="J6" s="40"/>
      <c r="K6" s="40"/>
      <c r="L6" s="40"/>
      <c r="M6" s="41" t="s">
        <v>66</v>
      </c>
    </row>
    <row r="7" spans="1:13" x14ac:dyDescent="0.25">
      <c r="A7" s="42"/>
      <c r="B7" s="43" t="s">
        <v>67</v>
      </c>
      <c r="C7" s="43" t="s">
        <v>68</v>
      </c>
      <c r="D7" s="43" t="s">
        <v>45</v>
      </c>
      <c r="E7" s="43" t="s">
        <v>69</v>
      </c>
      <c r="F7" s="44" t="s">
        <v>70</v>
      </c>
      <c r="G7" s="40"/>
      <c r="H7" s="40"/>
      <c r="I7" s="45" t="s">
        <v>71</v>
      </c>
      <c r="J7" s="46" t="s">
        <v>72</v>
      </c>
      <c r="K7" s="46" t="s">
        <v>73</v>
      </c>
      <c r="L7" s="46" t="s">
        <v>50</v>
      </c>
      <c r="M7" s="47"/>
    </row>
    <row r="8" spans="1:13" x14ac:dyDescent="0.25">
      <c r="A8" s="48">
        <v>70</v>
      </c>
      <c r="B8" s="49">
        <v>7187.8</v>
      </c>
      <c r="C8" s="49">
        <v>1040651.91</v>
      </c>
      <c r="D8" s="49">
        <v>0</v>
      </c>
      <c r="E8" s="49">
        <v>0</v>
      </c>
      <c r="F8" s="50">
        <v>0</v>
      </c>
      <c r="G8" s="49">
        <v>51194.36</v>
      </c>
      <c r="H8" s="49">
        <v>0</v>
      </c>
      <c r="I8" s="49"/>
      <c r="J8" s="49"/>
      <c r="K8" s="49"/>
      <c r="L8" s="49"/>
      <c r="M8" s="51">
        <f>SUM(B8:L8)</f>
        <v>1099034.07</v>
      </c>
    </row>
    <row r="9" spans="1:13" x14ac:dyDescent="0.25">
      <c r="A9" s="48">
        <v>74</v>
      </c>
      <c r="B9" s="49">
        <v>0</v>
      </c>
      <c r="C9" s="49">
        <v>0</v>
      </c>
      <c r="D9" s="49">
        <v>175069.1</v>
      </c>
      <c r="E9" s="49">
        <v>197.23</v>
      </c>
      <c r="F9" s="50">
        <v>218.07</v>
      </c>
      <c r="G9" s="49">
        <v>0</v>
      </c>
      <c r="H9" s="49">
        <v>16994.79</v>
      </c>
      <c r="I9" s="49">
        <v>289186.40999999997</v>
      </c>
      <c r="J9" s="49">
        <v>174381.31</v>
      </c>
      <c r="K9" s="49">
        <v>24399.65</v>
      </c>
      <c r="L9" s="49">
        <v>22852.38</v>
      </c>
      <c r="M9" s="51">
        <f>SUM(B9:L9)</f>
        <v>703298.94</v>
      </c>
    </row>
    <row r="10" spans="1:13" x14ac:dyDescent="0.25">
      <c r="A10" s="52" t="s">
        <v>66</v>
      </c>
      <c r="B10" s="53">
        <f>SUM(B8:B9)</f>
        <v>7187.8</v>
      </c>
      <c r="C10" s="53">
        <f t="shared" ref="C10:L10" si="0">SUM(C8:C9)</f>
        <v>1040651.91</v>
      </c>
      <c r="D10" s="53">
        <f t="shared" si="0"/>
        <v>175069.1</v>
      </c>
      <c r="E10" s="53">
        <f t="shared" si="0"/>
        <v>197.23</v>
      </c>
      <c r="F10" s="53">
        <f t="shared" si="0"/>
        <v>218.07</v>
      </c>
      <c r="G10" s="54">
        <f t="shared" si="0"/>
        <v>51194.36</v>
      </c>
      <c r="H10" s="54">
        <f t="shared" si="0"/>
        <v>16994.79</v>
      </c>
      <c r="I10" s="54">
        <f>SUM(I9:I9)</f>
        <v>289186.40999999997</v>
      </c>
      <c r="J10" s="54">
        <f>SUM(J9:J9)</f>
        <v>174381.31</v>
      </c>
      <c r="K10" s="54">
        <f t="shared" si="0"/>
        <v>24399.65</v>
      </c>
      <c r="L10" s="54">
        <f t="shared" si="0"/>
        <v>22852.38</v>
      </c>
      <c r="M10" s="53">
        <f>SUM(M8:M9)</f>
        <v>1802333.01</v>
      </c>
    </row>
    <row r="16" spans="1:13" x14ac:dyDescent="0.25">
      <c r="B16" s="55" t="s">
        <v>74</v>
      </c>
      <c r="C16" s="55"/>
      <c r="D16" s="55"/>
      <c r="E16" s="55"/>
      <c r="F16" s="55"/>
      <c r="G16" s="55"/>
      <c r="H16" s="55"/>
      <c r="I16" s="55"/>
    </row>
    <row r="17" spans="2:11" x14ac:dyDescent="0.25">
      <c r="B17" s="56" t="s">
        <v>75</v>
      </c>
      <c r="C17" s="57" t="s">
        <v>76</v>
      </c>
      <c r="D17" s="58" t="s">
        <v>77</v>
      </c>
      <c r="E17" s="58" t="s">
        <v>78</v>
      </c>
      <c r="F17" s="58" t="s">
        <v>79</v>
      </c>
      <c r="G17" s="58" t="s">
        <v>80</v>
      </c>
      <c r="H17" s="58" t="s">
        <v>81</v>
      </c>
      <c r="I17" s="58" t="s">
        <v>82</v>
      </c>
      <c r="J17" s="58" t="s">
        <v>83</v>
      </c>
      <c r="K17" s="59" t="s">
        <v>66</v>
      </c>
    </row>
    <row r="18" spans="2:11" x14ac:dyDescent="0.25">
      <c r="B18" s="48">
        <v>70</v>
      </c>
      <c r="C18" s="60">
        <f>451961+113850</f>
        <v>565811</v>
      </c>
      <c r="D18" s="60">
        <v>161235</v>
      </c>
      <c r="E18" s="60">
        <v>0</v>
      </c>
      <c r="F18" s="60">
        <v>161235</v>
      </c>
      <c r="G18" s="60">
        <v>0</v>
      </c>
      <c r="H18" s="60">
        <v>7650</v>
      </c>
      <c r="I18" s="60">
        <v>33308.85</v>
      </c>
      <c r="J18" s="60">
        <v>3271.8</v>
      </c>
      <c r="K18" s="61">
        <f>SUM(C18:J18)</f>
        <v>932511.65</v>
      </c>
    </row>
    <row r="19" spans="2:11" x14ac:dyDescent="0.25">
      <c r="B19" s="48">
        <v>74</v>
      </c>
      <c r="C19" s="60">
        <v>0</v>
      </c>
      <c r="D19" s="60">
        <v>84241.75</v>
      </c>
      <c r="E19" s="60">
        <v>92584.4</v>
      </c>
      <c r="F19" s="60">
        <v>0</v>
      </c>
      <c r="G19" s="60">
        <v>39956.79</v>
      </c>
      <c r="H19" s="60">
        <v>0</v>
      </c>
      <c r="I19" s="60">
        <v>0</v>
      </c>
      <c r="J19" s="60"/>
      <c r="K19" s="61">
        <f>SUM(C19:I19)</f>
        <v>216782.94</v>
      </c>
    </row>
    <row r="20" spans="2:11" x14ac:dyDescent="0.25">
      <c r="B20" s="62" t="s">
        <v>66</v>
      </c>
      <c r="C20" s="63">
        <f>C18+C19</f>
        <v>565811</v>
      </c>
      <c r="D20" s="63">
        <f t="shared" ref="D20:J20" si="1">D18+D19</f>
        <v>245476.75</v>
      </c>
      <c r="E20" s="63">
        <f t="shared" si="1"/>
        <v>92584.4</v>
      </c>
      <c r="F20" s="63">
        <f t="shared" si="1"/>
        <v>161235</v>
      </c>
      <c r="G20" s="63">
        <f t="shared" si="1"/>
        <v>39956.79</v>
      </c>
      <c r="H20" s="63">
        <f t="shared" si="1"/>
        <v>7650</v>
      </c>
      <c r="I20" s="63">
        <f t="shared" si="1"/>
        <v>33308.85</v>
      </c>
      <c r="J20" s="63">
        <f t="shared" si="1"/>
        <v>3271.8</v>
      </c>
      <c r="K20" s="63">
        <f>SUM(K18:K19)</f>
        <v>1149294.5900000001</v>
      </c>
    </row>
  </sheetData>
  <mergeCells count="9">
    <mergeCell ref="M6:M7"/>
    <mergeCell ref="B16:I16"/>
    <mergeCell ref="A5:K5"/>
    <mergeCell ref="A6:A7"/>
    <mergeCell ref="B6:C6"/>
    <mergeCell ref="D6:F6"/>
    <mergeCell ref="G6:G7"/>
    <mergeCell ref="H6:H7"/>
    <mergeCell ref="I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DEP</vt:lpstr>
      <vt:lpstr>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BAZZA</dc:creator>
  <cp:lastModifiedBy>Salma BAZZA</cp:lastModifiedBy>
  <dcterms:created xsi:type="dcterms:W3CDTF">2026-05-18T08:12:05Z</dcterms:created>
  <dcterms:modified xsi:type="dcterms:W3CDTF">2026-05-18T08:48:33Z</dcterms:modified>
</cp:coreProperties>
</file>